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 Esteban\PycharmProjects\revisionDeActuacionesConsola\app\src\"/>
    </mc:Choice>
  </mc:AlternateContent>
  <xr:revisionPtr revIDLastSave="0" documentId="13_ncr:1_{4695EA83-5246-407A-A301-760FF3897F98}" xr6:coauthVersionLast="47" xr6:coauthVersionMax="47" xr10:uidLastSave="{00000000-0000-0000-0000-000000000000}"/>
  <bookViews>
    <workbookView xWindow="-108" yWindow="-108" windowWidth="23256" windowHeight="12456" firstSheet="2" activeTab="2" xr2:uid="{87DAD391-98CA-492B-8F30-FFB570983628}"/>
  </bookViews>
  <sheets>
    <sheet name="EJECUCION CIRCUITO" sheetId="11" r:id="rId1"/>
    <sheet name="FOLDER ROJO" sheetId="1" r:id="rId2"/>
    <sheet name="CONSULTA UNIFICADA DE PROCESOS" sheetId="14" r:id="rId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1" l="1"/>
  <c r="G5" i="11" l="1"/>
  <c r="G58" i="11"/>
  <c r="G145" i="11"/>
  <c r="G49" i="11"/>
  <c r="G138" i="11"/>
  <c r="G140" i="11"/>
  <c r="G136" i="11"/>
  <c r="A2" i="11"/>
  <c r="G33" i="11"/>
  <c r="G144" i="11"/>
  <c r="G38" i="11"/>
  <c r="G40" i="11"/>
  <c r="G143" i="11"/>
  <c r="G62" i="11"/>
  <c r="G63" i="11"/>
  <c r="G65" i="11"/>
  <c r="G71" i="11"/>
  <c r="G73" i="11"/>
  <c r="G82" i="11"/>
  <c r="G85" i="11"/>
  <c r="G88" i="11"/>
  <c r="G104" i="11"/>
  <c r="G110" i="11"/>
  <c r="G113" i="11"/>
  <c r="G114" i="11"/>
  <c r="G116" i="11"/>
  <c r="G118" i="11"/>
  <c r="G119" i="11"/>
  <c r="G130" i="11"/>
  <c r="G132" i="11"/>
  <c r="G137" i="11"/>
  <c r="G4" i="11"/>
  <c r="G6" i="11"/>
  <c r="G7" i="11"/>
  <c r="G142" i="11"/>
  <c r="G141" i="11"/>
  <c r="G15" i="11"/>
  <c r="G17" i="11"/>
  <c r="G20" i="11"/>
  <c r="G23" i="11"/>
  <c r="G25" i="11"/>
  <c r="G26" i="11"/>
  <c r="G30" i="11"/>
  <c r="G36" i="11"/>
  <c r="G39" i="11"/>
  <c r="G46" i="11"/>
  <c r="G50" i="11"/>
  <c r="G55" i="11"/>
  <c r="G59" i="11"/>
  <c r="G67" i="11"/>
  <c r="G68" i="11"/>
  <c r="G72" i="11"/>
  <c r="G81" i="11"/>
  <c r="G84" i="11"/>
  <c r="G89" i="11"/>
  <c r="G98" i="11"/>
  <c r="G103" i="11"/>
  <c r="G111" i="11"/>
  <c r="G117" i="11"/>
  <c r="G128" i="11"/>
  <c r="G139" i="11"/>
  <c r="G10" i="11"/>
  <c r="G11" i="11"/>
  <c r="G12" i="11"/>
  <c r="G16" i="11"/>
  <c r="G19" i="11"/>
  <c r="G29" i="11"/>
  <c r="G31" i="11"/>
  <c r="G34" i="11"/>
  <c r="G47" i="11"/>
  <c r="G48" i="11"/>
  <c r="G51" i="11"/>
  <c r="G60" i="11"/>
  <c r="G75" i="11"/>
  <c r="G80" i="11"/>
  <c r="G86" i="11"/>
  <c r="G90" i="11"/>
  <c r="G91" i="11"/>
  <c r="G92" i="11"/>
  <c r="G93" i="11"/>
  <c r="G102" i="11"/>
  <c r="G106" i="11"/>
  <c r="G109" i="11"/>
  <c r="G112" i="11"/>
  <c r="G115" i="11"/>
  <c r="G129" i="11"/>
  <c r="G14" i="11"/>
  <c r="G21" i="11"/>
  <c r="G27" i="11"/>
  <c r="G37" i="11"/>
  <c r="G41" i="11"/>
  <c r="G42" i="11"/>
  <c r="G43" i="11"/>
  <c r="G45" i="11"/>
  <c r="G52" i="11"/>
  <c r="G53" i="11"/>
  <c r="G54" i="11"/>
  <c r="G56" i="11"/>
  <c r="G57" i="11"/>
  <c r="G66" i="11"/>
  <c r="G76" i="11"/>
  <c r="G77" i="11"/>
  <c r="G79" i="11"/>
  <c r="G96" i="11"/>
  <c r="G100" i="11"/>
  <c r="G107" i="11"/>
  <c r="G108" i="11"/>
  <c r="G121" i="11"/>
  <c r="G123" i="11"/>
  <c r="G125" i="11"/>
  <c r="G126" i="11"/>
  <c r="G127" i="11"/>
  <c r="G131" i="11"/>
  <c r="G135" i="11"/>
  <c r="G8" i="11"/>
  <c r="G9" i="11"/>
  <c r="G13" i="11"/>
  <c r="G18" i="11"/>
  <c r="G22" i="11"/>
  <c r="G24" i="11"/>
  <c r="G32" i="11"/>
  <c r="G35" i="11"/>
  <c r="G44" i="11"/>
  <c r="G61" i="11"/>
  <c r="G64" i="11"/>
  <c r="G69" i="11"/>
  <c r="G70" i="11"/>
  <c r="G74" i="11"/>
  <c r="G78" i="11"/>
  <c r="G83" i="11"/>
  <c r="G87" i="11"/>
  <c r="G94" i="11"/>
  <c r="G95" i="11"/>
  <c r="G97" i="11"/>
  <c r="G99" i="11"/>
  <c r="G101" i="11"/>
  <c r="G105" i="11"/>
  <c r="G120" i="11"/>
  <c r="G122" i="11"/>
  <c r="G124" i="11"/>
  <c r="G133" i="11"/>
  <c r="G134" i="11"/>
  <c r="H112" i="1"/>
  <c r="H160" i="1"/>
  <c r="H12" i="1"/>
  <c r="H23" i="1"/>
  <c r="H247" i="1"/>
  <c r="H116" i="1"/>
  <c r="H209" i="1"/>
  <c r="H282" i="1"/>
  <c r="H55" i="1"/>
  <c r="H69" i="1"/>
  <c r="H20" i="1"/>
  <c r="H225" i="1"/>
  <c r="H257" i="1"/>
  <c r="H109" i="1"/>
  <c r="H96" i="1"/>
  <c r="H42" i="1"/>
  <c r="H293" i="1"/>
  <c r="H99" i="1"/>
  <c r="H102" i="1"/>
  <c r="H92" i="1"/>
  <c r="H18" i="1"/>
  <c r="H265" i="1"/>
  <c r="H285" i="1"/>
  <c r="H6" i="1"/>
  <c r="H174" i="1"/>
  <c r="H280" i="1"/>
  <c r="H68" i="1"/>
  <c r="H226" i="1"/>
  <c r="H180" i="1"/>
  <c r="H212" i="1"/>
  <c r="H107" i="1"/>
  <c r="H115" i="1"/>
  <c r="H183" i="1"/>
  <c r="H322" i="1"/>
  <c r="H94" i="1"/>
  <c r="H219" i="1"/>
  <c r="H250" i="1"/>
  <c r="H108" i="1"/>
  <c r="H279" i="1"/>
  <c r="H189" i="1"/>
  <c r="H254" i="1"/>
  <c r="H229" i="1"/>
  <c r="H78" i="1"/>
  <c r="H73" i="1"/>
  <c r="H283" i="1"/>
  <c r="H144" i="1"/>
  <c r="H146" i="1"/>
  <c r="H228" i="1"/>
  <c r="H270" i="1"/>
  <c r="H268" i="1"/>
  <c r="H258" i="1"/>
  <c r="H101" i="1"/>
  <c r="H173" i="1"/>
  <c r="H255" i="1"/>
  <c r="H119" i="1"/>
  <c r="H208" i="1"/>
  <c r="H13" i="1"/>
  <c r="H139" i="1"/>
  <c r="H175" i="1"/>
  <c r="H216" i="1"/>
  <c r="H7" i="1"/>
  <c r="H41" i="1"/>
  <c r="H230" i="1"/>
  <c r="H164" i="1"/>
  <c r="H100" i="1"/>
  <c r="H129" i="1"/>
  <c r="H195" i="1"/>
  <c r="H296" i="1"/>
  <c r="H317" i="1"/>
  <c r="H22" i="1"/>
  <c r="H122" i="1"/>
  <c r="H103" i="1"/>
  <c r="H9" i="1"/>
  <c r="H161" i="1"/>
  <c r="H306" i="1"/>
  <c r="H33" i="1"/>
  <c r="H169" i="1"/>
  <c r="H190" i="1"/>
  <c r="H141" i="1"/>
  <c r="H86" i="1"/>
  <c r="H132" i="1"/>
  <c r="H271" i="1"/>
  <c r="H264" i="1"/>
  <c r="H232" i="1"/>
  <c r="H298" i="1"/>
  <c r="H290" i="1"/>
  <c r="H81" i="1"/>
  <c r="H87" i="1"/>
  <c r="H240" i="1"/>
  <c r="H278" i="1"/>
  <c r="H256" i="1"/>
  <c r="H148" i="1"/>
  <c r="H17" i="1"/>
  <c r="H245" i="1"/>
  <c r="H262" i="1"/>
  <c r="H307" i="1"/>
  <c r="H52" i="1"/>
  <c r="H291" i="1"/>
  <c r="H117" i="1"/>
  <c r="H275" i="1"/>
  <c r="H38" i="1"/>
  <c r="H217" i="1"/>
  <c r="H74" i="1"/>
  <c r="H166" i="1"/>
  <c r="H319" i="1"/>
  <c r="H131" i="1"/>
  <c r="H220" i="1"/>
  <c r="H158" i="1"/>
  <c r="H313" i="1"/>
  <c r="H218" i="1"/>
  <c r="H200" i="1"/>
  <c r="H224" i="1"/>
  <c r="H301" i="1"/>
  <c r="H186" i="1"/>
  <c r="H95" i="1"/>
  <c r="H269" i="1"/>
  <c r="H325" i="1"/>
  <c r="H253" i="1"/>
  <c r="H104" i="1"/>
  <c r="H239" i="1"/>
  <c r="H242" i="1"/>
  <c r="H199" i="1"/>
  <c r="H60" i="1"/>
  <c r="H170" i="1"/>
  <c r="H187" i="1"/>
  <c r="H315" i="1"/>
  <c r="H89" i="1"/>
  <c r="H145" i="1"/>
  <c r="H142" i="1"/>
  <c r="H167" i="1"/>
  <c r="H222" i="1"/>
  <c r="H266" i="1"/>
  <c r="H171" i="1"/>
  <c r="H151" i="1"/>
  <c r="H84" i="1"/>
  <c r="H267" i="1"/>
  <c r="H198" i="1"/>
  <c r="H125" i="1"/>
  <c r="H231" i="1"/>
  <c r="H309" i="1"/>
  <c r="H56" i="1"/>
  <c r="H43" i="1"/>
  <c r="H121" i="1"/>
  <c r="H288" i="1"/>
  <c r="H324" i="1"/>
  <c r="H263" i="1"/>
  <c r="H206" i="1"/>
  <c r="H59" i="1"/>
  <c r="H72" i="1"/>
  <c r="H294" i="1"/>
  <c r="H135" i="1"/>
  <c r="H57" i="1"/>
  <c r="H260" i="1"/>
  <c r="H303" i="1"/>
  <c r="H252" i="1"/>
  <c r="H134" i="1"/>
  <c r="H154" i="1"/>
  <c r="H284" i="1"/>
  <c r="H152" i="1"/>
  <c r="H98" i="1"/>
  <c r="H276" i="1"/>
  <c r="H157" i="1"/>
  <c r="H165" i="1"/>
  <c r="H176" i="1"/>
  <c r="H281" i="1"/>
  <c r="H14" i="1"/>
  <c r="H277" i="1"/>
  <c r="H310" i="1"/>
  <c r="H79" i="1"/>
  <c r="H93" i="1"/>
  <c r="H196" i="1"/>
  <c r="H46" i="1"/>
  <c r="H54" i="1"/>
  <c r="H105" i="1"/>
  <c r="H137" i="1"/>
  <c r="H138" i="1"/>
  <c r="H249" i="1"/>
  <c r="H191" i="1"/>
  <c r="H90" i="1"/>
  <c r="H65" i="1"/>
  <c r="H120" i="1"/>
  <c r="H295" i="1"/>
  <c r="H133" i="1"/>
  <c r="H27" i="1"/>
  <c r="H58" i="1"/>
  <c r="H30" i="1"/>
  <c r="H36" i="1"/>
  <c r="H40" i="1"/>
  <c r="H203" i="1"/>
  <c r="H21" i="1"/>
  <c r="H31" i="1"/>
  <c r="H37" i="1"/>
  <c r="H26" i="1"/>
  <c r="H28" i="1"/>
  <c r="H49" i="1"/>
  <c r="H32" i="1"/>
  <c r="H91" i="1"/>
  <c r="H39" i="1"/>
  <c r="H184" i="1"/>
  <c r="H153" i="1"/>
  <c r="H299" i="1"/>
  <c r="H34" i="1"/>
  <c r="H44" i="1"/>
  <c r="H289" i="1"/>
  <c r="H5" i="1"/>
  <c r="H15" i="1"/>
  <c r="H259" i="1"/>
  <c r="H213" i="1"/>
  <c r="H29" i="1"/>
  <c r="H24" i="1"/>
  <c r="H168" i="1"/>
  <c r="H82" i="1"/>
  <c r="H204" i="1"/>
  <c r="H211" i="1"/>
  <c r="H50" i="1"/>
  <c r="H244" i="1"/>
  <c r="H235" i="1"/>
  <c r="H233" i="1"/>
  <c r="H236" i="1"/>
  <c r="H243" i="1"/>
  <c r="H83" i="1"/>
  <c r="H192" i="1"/>
  <c r="H202" i="1"/>
  <c r="H181" i="1"/>
  <c r="H305" i="1"/>
  <c r="H314" i="1"/>
  <c r="H25" i="1"/>
  <c r="H286" i="1"/>
  <c r="H45" i="1"/>
  <c r="H130" i="1"/>
  <c r="H304" i="1"/>
  <c r="H11" i="1"/>
  <c r="H16" i="1"/>
  <c r="H110" i="1"/>
  <c r="H227" i="1"/>
  <c r="H67" i="1"/>
  <c r="H48" i="1"/>
  <c r="H61" i="1"/>
  <c r="H207" i="1"/>
  <c r="H321" i="1"/>
  <c r="H10" i="1"/>
  <c r="H53" i="1"/>
  <c r="H63" i="1"/>
  <c r="H113" i="1"/>
  <c r="H316" i="1"/>
  <c r="H318" i="1"/>
  <c r="H97" i="1"/>
  <c r="H320" i="1"/>
  <c r="H4" i="1"/>
  <c r="H71" i="1"/>
  <c r="H8" i="1"/>
  <c r="H85" i="1"/>
  <c r="H88" i="1"/>
  <c r="H178" i="1"/>
  <c r="H172" i="1"/>
  <c r="H47" i="1"/>
  <c r="H297" i="1"/>
  <c r="H177" i="1"/>
  <c r="H126" i="1"/>
  <c r="H193" i="1"/>
  <c r="H302" i="1"/>
  <c r="H128" i="1"/>
  <c r="H234" i="1"/>
  <c r="H251" i="1"/>
  <c r="H221" i="1"/>
  <c r="H75" i="1"/>
  <c r="H64" i="1"/>
  <c r="H292" i="1"/>
  <c r="H205" i="1"/>
  <c r="H77" i="1"/>
  <c r="H127" i="1"/>
  <c r="H114" i="1"/>
  <c r="H194" i="1"/>
  <c r="H35" i="1"/>
  <c r="H118" i="1"/>
  <c r="H300" i="1"/>
  <c r="H197" i="1"/>
  <c r="H70" i="1"/>
  <c r="H143" i="1"/>
  <c r="H274" i="1"/>
  <c r="H76" i="1"/>
  <c r="H80" i="1"/>
  <c r="H182" i="1"/>
  <c r="H188" i="1"/>
  <c r="H140" i="1"/>
  <c r="H147" i="1"/>
  <c r="H62" i="1"/>
  <c r="H215" i="1"/>
  <c r="H51" i="1"/>
  <c r="H238" i="1"/>
  <c r="H287" i="1"/>
  <c r="H248" i="1"/>
  <c r="H66" i="1"/>
  <c r="H210" i="1"/>
  <c r="H123" i="1"/>
  <c r="H214" i="1"/>
  <c r="H308" i="1"/>
  <c r="H155" i="1"/>
  <c r="H156" i="1"/>
  <c r="H179" i="1"/>
  <c r="H162" i="1"/>
  <c r="H163" i="1"/>
  <c r="H272" i="1"/>
  <c r="H19" i="1"/>
  <c r="H237" i="1"/>
  <c r="H312" i="1"/>
  <c r="H223" i="1"/>
  <c r="H111" i="1"/>
  <c r="H246" i="1"/>
  <c r="H159" i="1"/>
  <c r="H150" i="1"/>
  <c r="H311" i="1"/>
  <c r="H323" i="1"/>
  <c r="H273" i="1"/>
  <c r="H185" i="1"/>
  <c r="H136" i="1"/>
  <c r="H124" i="1"/>
  <c r="H106" i="1"/>
  <c r="H201" i="1"/>
  <c r="H241" i="1"/>
  <c r="H261" i="1"/>
  <c r="H149" i="1"/>
  <c r="B2" i="1"/>
  <c r="J55" i="1" s="1"/>
  <c r="I55" i="1" s="1"/>
  <c r="I141" i="11" l="1"/>
  <c r="H141" i="11" s="1"/>
  <c r="I28" i="11"/>
  <c r="H28" i="11" s="1"/>
  <c r="I5" i="11"/>
  <c r="H5" i="11" s="1"/>
  <c r="I75" i="11"/>
  <c r="H75" i="11" s="1"/>
  <c r="I144" i="11"/>
  <c r="H144" i="11" s="1"/>
  <c r="I48" i="11"/>
  <c r="H48" i="11" s="1"/>
  <c r="I74" i="11"/>
  <c r="H74" i="11" s="1"/>
  <c r="I44" i="11"/>
  <c r="H44" i="11" s="1"/>
  <c r="I32" i="11"/>
  <c r="H32" i="11" s="1"/>
  <c r="I122" i="11"/>
  <c r="H122" i="11" s="1"/>
  <c r="I138" i="11"/>
  <c r="H138" i="11" s="1"/>
  <c r="I125" i="11"/>
  <c r="H125" i="11" s="1"/>
  <c r="I9" i="11"/>
  <c r="H9" i="11" s="1"/>
  <c r="I102" i="11"/>
  <c r="H102" i="11" s="1"/>
  <c r="I71" i="11"/>
  <c r="H71" i="11" s="1"/>
  <c r="I117" i="11"/>
  <c r="H117" i="11" s="1"/>
  <c r="I123" i="11"/>
  <c r="H123" i="11" s="1"/>
  <c r="I41" i="11"/>
  <c r="H41" i="11" s="1"/>
  <c r="I27" i="11"/>
  <c r="H27" i="11" s="1"/>
  <c r="I110" i="11"/>
  <c r="H110" i="11" s="1"/>
  <c r="I10" i="11"/>
  <c r="H10" i="11" s="1"/>
  <c r="I69" i="11"/>
  <c r="H69" i="11" s="1"/>
  <c r="I45" i="11"/>
  <c r="H45" i="11" s="1"/>
  <c r="I62" i="11"/>
  <c r="H62" i="11" s="1"/>
  <c r="I127" i="11"/>
  <c r="H127" i="11" s="1"/>
  <c r="I90" i="11"/>
  <c r="H90" i="11" s="1"/>
  <c r="I59" i="11"/>
  <c r="H59" i="11" s="1"/>
  <c r="I132" i="11"/>
  <c r="H132" i="11" s="1"/>
  <c r="I56" i="11"/>
  <c r="H56" i="11" s="1"/>
  <c r="I130" i="11"/>
  <c r="H130" i="11" s="1"/>
  <c r="I104" i="11"/>
  <c r="H104" i="11" s="1"/>
  <c r="I7" i="11"/>
  <c r="H7" i="11" s="1"/>
  <c r="I13" i="11"/>
  <c r="H13" i="11" s="1"/>
  <c r="I136" i="11"/>
  <c r="H136" i="11" s="1"/>
  <c r="I22" i="11"/>
  <c r="H22" i="11" s="1"/>
  <c r="I42" i="11"/>
  <c r="H42" i="11" s="1"/>
  <c r="I72" i="11"/>
  <c r="H72" i="11" s="1"/>
  <c r="I15" i="11"/>
  <c r="H15" i="11" s="1"/>
  <c r="I79" i="11"/>
  <c r="H79" i="11" s="1"/>
  <c r="I50" i="11"/>
  <c r="H50" i="11" s="1"/>
  <c r="I55" i="11"/>
  <c r="H55" i="11" s="1"/>
  <c r="I25" i="11"/>
  <c r="H25" i="11" s="1"/>
  <c r="I61" i="11"/>
  <c r="H61" i="11" s="1"/>
  <c r="J199" i="1"/>
  <c r="I199" i="1" s="1"/>
  <c r="J185" i="1"/>
  <c r="I185" i="1" s="1"/>
  <c r="J76" i="1"/>
  <c r="I76" i="1" s="1"/>
  <c r="J305" i="1"/>
  <c r="I305" i="1" s="1"/>
  <c r="I23" i="11"/>
  <c r="H23" i="11" s="1"/>
  <c r="I33" i="11"/>
  <c r="H33" i="11" s="1"/>
  <c r="I53" i="11"/>
  <c r="H53" i="11" s="1"/>
  <c r="I115" i="11"/>
  <c r="H115" i="11" s="1"/>
  <c r="I60" i="11"/>
  <c r="H60" i="11" s="1"/>
  <c r="I66" i="11"/>
  <c r="H66" i="11" s="1"/>
  <c r="I116" i="11"/>
  <c r="H116" i="11" s="1"/>
  <c r="I111" i="11"/>
  <c r="H111" i="11" s="1"/>
  <c r="I54" i="11"/>
  <c r="H54" i="11" s="1"/>
  <c r="I46" i="11"/>
  <c r="H46" i="11" s="1"/>
  <c r="I80" i="11"/>
  <c r="H80" i="11" s="1"/>
  <c r="I126" i="11"/>
  <c r="H126" i="11" s="1"/>
  <c r="I63" i="11"/>
  <c r="H63" i="11" s="1"/>
  <c r="I103" i="11"/>
  <c r="H103" i="11" s="1"/>
  <c r="I94" i="11"/>
  <c r="H94" i="11" s="1"/>
  <c r="I84" i="11"/>
  <c r="H84" i="11" s="1"/>
  <c r="I95" i="11"/>
  <c r="H95" i="11" s="1"/>
  <c r="I142" i="11"/>
  <c r="H142" i="11" s="1"/>
  <c r="I120" i="11"/>
  <c r="H120" i="11" s="1"/>
  <c r="I29" i="11"/>
  <c r="H29" i="11" s="1"/>
  <c r="J299" i="1"/>
  <c r="I299" i="1" s="1"/>
  <c r="J106" i="1"/>
  <c r="I106" i="1" s="1"/>
  <c r="J99" i="1"/>
  <c r="I99" i="1" s="1"/>
  <c r="I36" i="11"/>
  <c r="H36" i="11" s="1"/>
  <c r="I118" i="11"/>
  <c r="H118" i="11" s="1"/>
  <c r="I96" i="11"/>
  <c r="H96" i="11" s="1"/>
  <c r="I8" i="11"/>
  <c r="H8" i="11" s="1"/>
  <c r="I99" i="11"/>
  <c r="H99" i="11" s="1"/>
  <c r="I143" i="11"/>
  <c r="H143" i="11" s="1"/>
  <c r="I6" i="11"/>
  <c r="H6" i="11" s="1"/>
  <c r="I16" i="11"/>
  <c r="H16" i="11" s="1"/>
  <c r="I24" i="11"/>
  <c r="H24" i="11" s="1"/>
  <c r="I81" i="11"/>
  <c r="H81" i="11" s="1"/>
  <c r="I21" i="11"/>
  <c r="H21" i="11" s="1"/>
  <c r="I135" i="11"/>
  <c r="H135" i="11" s="1"/>
  <c r="I140" i="11"/>
  <c r="H140" i="11" s="1"/>
  <c r="I57" i="11"/>
  <c r="H57" i="11" s="1"/>
  <c r="I38" i="11"/>
  <c r="H38" i="11" s="1"/>
  <c r="I129" i="11"/>
  <c r="H129" i="11" s="1"/>
  <c r="I65" i="11"/>
  <c r="H65" i="11" s="1"/>
  <c r="I17" i="11"/>
  <c r="H17" i="11" s="1"/>
  <c r="I11" i="11"/>
  <c r="H11" i="11" s="1"/>
  <c r="I35" i="11"/>
  <c r="H35" i="11" s="1"/>
  <c r="J118" i="1"/>
  <c r="I118" i="1" s="1"/>
  <c r="J149" i="1"/>
  <c r="I149" i="1" s="1"/>
  <c r="I128" i="11"/>
  <c r="H128" i="11" s="1"/>
  <c r="I39" i="11"/>
  <c r="H39" i="11" s="1"/>
  <c r="I43" i="11"/>
  <c r="H43" i="11" s="1"/>
  <c r="J156" i="1"/>
  <c r="I156" i="1" s="1"/>
  <c r="J64" i="1"/>
  <c r="I64" i="1" s="1"/>
  <c r="J157" i="1"/>
  <c r="I157" i="1" s="1"/>
  <c r="J312" i="1"/>
  <c r="I312" i="1" s="1"/>
  <c r="J70" i="1"/>
  <c r="I70" i="1" s="1"/>
  <c r="J62" i="1"/>
  <c r="I62" i="1" s="1"/>
  <c r="J4" i="1"/>
  <c r="I4" i="1" s="1"/>
  <c r="J129" i="1"/>
  <c r="I129" i="1" s="1"/>
  <c r="J204" i="1"/>
  <c r="I204" i="1" s="1"/>
  <c r="J318" i="1"/>
  <c r="I318" i="1" s="1"/>
  <c r="J211" i="1"/>
  <c r="I211" i="1" s="1"/>
  <c r="J227" i="1"/>
  <c r="I227" i="1" s="1"/>
  <c r="J44" i="1"/>
  <c r="I44" i="1" s="1"/>
  <c r="J217" i="1"/>
  <c r="I217" i="1" s="1"/>
  <c r="J265" i="1"/>
  <c r="I265" i="1" s="1"/>
  <c r="J320" i="1"/>
  <c r="I320" i="1" s="1"/>
  <c r="J40" i="1"/>
  <c r="I40" i="1" s="1"/>
  <c r="J230" i="1"/>
  <c r="I230" i="1" s="1"/>
  <c r="J310" i="1"/>
  <c r="I310" i="1" s="1"/>
  <c r="J324" i="1"/>
  <c r="I324" i="1" s="1"/>
  <c r="J237" i="1"/>
  <c r="I237" i="1" s="1"/>
  <c r="J66" i="1"/>
  <c r="I66" i="1" s="1"/>
  <c r="J140" i="1"/>
  <c r="I140" i="1" s="1"/>
  <c r="J143" i="1"/>
  <c r="I143" i="1" s="1"/>
  <c r="J194" i="1"/>
  <c r="I194" i="1" s="1"/>
  <c r="J302" i="1"/>
  <c r="I302" i="1" s="1"/>
  <c r="J10" i="1"/>
  <c r="I10" i="1" s="1"/>
  <c r="J235" i="1"/>
  <c r="I235" i="1" s="1"/>
  <c r="J26" i="1"/>
  <c r="I26" i="1" s="1"/>
  <c r="J186" i="1"/>
  <c r="I186" i="1" s="1"/>
  <c r="J268" i="1"/>
  <c r="I268" i="1" s="1"/>
  <c r="J201" i="1"/>
  <c r="I201" i="1" s="1"/>
  <c r="J124" i="1"/>
  <c r="I124" i="1" s="1"/>
  <c r="J48" i="1"/>
  <c r="I48" i="1" s="1"/>
  <c r="J5" i="1"/>
  <c r="I5" i="1" s="1"/>
  <c r="J54" i="1"/>
  <c r="I54" i="1" s="1"/>
  <c r="J131" i="1"/>
  <c r="I131" i="1" s="1"/>
  <c r="J223" i="1"/>
  <c r="I223" i="1" s="1"/>
  <c r="J35" i="1"/>
  <c r="I35" i="1" s="1"/>
  <c r="J53" i="1"/>
  <c r="I53" i="1" s="1"/>
  <c r="J24" i="1"/>
  <c r="I24" i="1" s="1"/>
  <c r="J191" i="1"/>
  <c r="I191" i="1" s="1"/>
  <c r="J304" i="1"/>
  <c r="I304" i="1" s="1"/>
  <c r="J184" i="1"/>
  <c r="I184" i="1" s="1"/>
  <c r="J284" i="1"/>
  <c r="I284" i="1" s="1"/>
  <c r="J245" i="1"/>
  <c r="I245" i="1" s="1"/>
  <c r="J109" i="1"/>
  <c r="I109" i="1" s="1"/>
  <c r="J188" i="1"/>
  <c r="I188" i="1" s="1"/>
  <c r="J321" i="1"/>
  <c r="I321" i="1" s="1"/>
  <c r="J138" i="1"/>
  <c r="I138" i="1" s="1"/>
  <c r="J95" i="1"/>
  <c r="I95" i="1" s="1"/>
  <c r="J258" i="1"/>
  <c r="I258" i="1" s="1"/>
  <c r="J134" i="1"/>
  <c r="I134" i="1" s="1"/>
  <c r="J87" i="1"/>
  <c r="I87" i="1" s="1"/>
  <c r="J142" i="1"/>
  <c r="I142" i="1" s="1"/>
  <c r="J323" i="1"/>
  <c r="I323" i="1" s="1"/>
  <c r="J272" i="1"/>
  <c r="I272" i="1" s="1"/>
  <c r="J308" i="1"/>
  <c r="I308" i="1" s="1"/>
  <c r="J287" i="1"/>
  <c r="I287" i="1" s="1"/>
  <c r="J182" i="1"/>
  <c r="I182" i="1" s="1"/>
  <c r="J127" i="1"/>
  <c r="I127" i="1" s="1"/>
  <c r="J221" i="1"/>
  <c r="I221" i="1" s="1"/>
  <c r="J126" i="1"/>
  <c r="I126" i="1" s="1"/>
  <c r="J16" i="1"/>
  <c r="I16" i="1" s="1"/>
  <c r="J58" i="1"/>
  <c r="I58" i="1" s="1"/>
  <c r="J263" i="1"/>
  <c r="I263" i="1" s="1"/>
  <c r="J291" i="1"/>
  <c r="I291" i="1" s="1"/>
  <c r="J322" i="1"/>
  <c r="I322" i="1" s="1"/>
  <c r="J273" i="1"/>
  <c r="I273" i="1" s="1"/>
  <c r="J88" i="1"/>
  <c r="I88" i="1" s="1"/>
  <c r="J45" i="1"/>
  <c r="I45" i="1" s="1"/>
  <c r="J91" i="1"/>
  <c r="I91" i="1" s="1"/>
  <c r="J303" i="1"/>
  <c r="I303" i="1" s="1"/>
  <c r="J161" i="1"/>
  <c r="I161" i="1" s="1"/>
  <c r="J155" i="1"/>
  <c r="I155" i="1" s="1"/>
  <c r="J75" i="1"/>
  <c r="I75" i="1" s="1"/>
  <c r="J110" i="1"/>
  <c r="I110" i="1" s="1"/>
  <c r="J34" i="1"/>
  <c r="I34" i="1" s="1"/>
  <c r="J172" i="1"/>
  <c r="I172" i="1" s="1"/>
  <c r="J202" i="1"/>
  <c r="I202" i="1" s="1"/>
  <c r="J36" i="1"/>
  <c r="I36" i="1" s="1"/>
  <c r="J151" i="1"/>
  <c r="I151" i="1" s="1"/>
  <c r="J41" i="1"/>
  <c r="I41" i="1" s="1"/>
  <c r="J311" i="1"/>
  <c r="I311" i="1" s="1"/>
  <c r="J292" i="1"/>
  <c r="I292" i="1" s="1"/>
  <c r="J243" i="1"/>
  <c r="I243" i="1" s="1"/>
  <c r="J152" i="1"/>
  <c r="I152" i="1" s="1"/>
  <c r="J262" i="1"/>
  <c r="I262" i="1" s="1"/>
  <c r="J107" i="1"/>
  <c r="I107" i="1" s="1"/>
  <c r="J267" i="1"/>
  <c r="I267" i="1" s="1"/>
  <c r="J42" i="1"/>
  <c r="I42" i="1" s="1"/>
  <c r="J13" i="1"/>
  <c r="I13" i="1" s="1"/>
  <c r="J295" i="1"/>
  <c r="I295" i="1" s="1"/>
  <c r="J14" i="1"/>
  <c r="I14" i="1" s="1"/>
  <c r="J215" i="1"/>
  <c r="I215" i="1" s="1"/>
  <c r="J89" i="1"/>
  <c r="I89" i="1" s="1"/>
  <c r="J166" i="1"/>
  <c r="I166" i="1" s="1"/>
  <c r="J261" i="1"/>
  <c r="I261" i="1" s="1"/>
  <c r="J159" i="1"/>
  <c r="I159" i="1" s="1"/>
  <c r="J162" i="1"/>
  <c r="I162" i="1" s="1"/>
  <c r="J123" i="1"/>
  <c r="I123" i="1" s="1"/>
  <c r="J51" i="1"/>
  <c r="I51" i="1" s="1"/>
  <c r="J197" i="1"/>
  <c r="I197" i="1" s="1"/>
  <c r="J205" i="1"/>
  <c r="I205" i="1" s="1"/>
  <c r="J234" i="1"/>
  <c r="I234" i="1" s="1"/>
  <c r="J297" i="1"/>
  <c r="I297" i="1" s="1"/>
  <c r="J29" i="1"/>
  <c r="I29" i="1" s="1"/>
  <c r="J249" i="1"/>
  <c r="I249" i="1" s="1"/>
  <c r="J167" i="1"/>
  <c r="I167" i="1" s="1"/>
  <c r="J271" i="1"/>
  <c r="I271" i="1" s="1"/>
  <c r="J150" i="1"/>
  <c r="I150" i="1" s="1"/>
  <c r="J246" i="1"/>
  <c r="I246" i="1" s="1"/>
  <c r="J316" i="1"/>
  <c r="I316" i="1" s="1"/>
  <c r="J83" i="1"/>
  <c r="I83" i="1" s="1"/>
  <c r="J120" i="1"/>
  <c r="I120" i="1" s="1"/>
  <c r="J125" i="1"/>
  <c r="I125" i="1" s="1"/>
  <c r="J280" i="1"/>
  <c r="I280" i="1" s="1"/>
  <c r="J147" i="1"/>
  <c r="I147" i="1" s="1"/>
  <c r="J178" i="1"/>
  <c r="I178" i="1" s="1"/>
  <c r="J192" i="1"/>
  <c r="I192" i="1" s="1"/>
  <c r="J21" i="1"/>
  <c r="I21" i="1" s="1"/>
  <c r="J63" i="1"/>
  <c r="I63" i="1" s="1"/>
  <c r="J168" i="1"/>
  <c r="I168" i="1" s="1"/>
  <c r="J133" i="1"/>
  <c r="I133" i="1" s="1"/>
  <c r="J315" i="1"/>
  <c r="I315" i="1" s="1"/>
  <c r="J255" i="1"/>
  <c r="I255" i="1" s="1"/>
  <c r="J19" i="1"/>
  <c r="I19" i="1" s="1"/>
  <c r="J251" i="1"/>
  <c r="I251" i="1" s="1"/>
  <c r="J213" i="1"/>
  <c r="I213" i="1" s="1"/>
  <c r="J206" i="1"/>
  <c r="I206" i="1" s="1"/>
  <c r="J264" i="1"/>
  <c r="I264" i="1" s="1"/>
  <c r="J102" i="1"/>
  <c r="I102" i="1" s="1"/>
  <c r="J170" i="1"/>
  <c r="I170" i="1" s="1"/>
  <c r="J79" i="1"/>
  <c r="I79" i="1" s="1"/>
  <c r="J254" i="1"/>
  <c r="I254" i="1" s="1"/>
  <c r="J139" i="1"/>
  <c r="I139" i="1" s="1"/>
  <c r="J69" i="1"/>
  <c r="I69" i="1" s="1"/>
  <c r="J210" i="1"/>
  <c r="I210" i="1" s="1"/>
  <c r="J80" i="1"/>
  <c r="I80" i="1" s="1"/>
  <c r="J128" i="1"/>
  <c r="I128" i="1" s="1"/>
  <c r="J71" i="1"/>
  <c r="I71" i="1" s="1"/>
  <c r="J130" i="1"/>
  <c r="I130" i="1" s="1"/>
  <c r="J233" i="1"/>
  <c r="I233" i="1" s="1"/>
  <c r="J39" i="1"/>
  <c r="I39" i="1" s="1"/>
  <c r="J30" i="1"/>
  <c r="I30" i="1" s="1"/>
  <c r="J8" i="1"/>
  <c r="I8" i="1" s="1"/>
  <c r="J207" i="1"/>
  <c r="I207" i="1" s="1"/>
  <c r="J236" i="1"/>
  <c r="I236" i="1" s="1"/>
  <c r="J259" i="1"/>
  <c r="I259" i="1" s="1"/>
  <c r="J49" i="1"/>
  <c r="I49" i="1" s="1"/>
  <c r="J90" i="1"/>
  <c r="I90" i="1" s="1"/>
  <c r="J294" i="1"/>
  <c r="I294" i="1" s="1"/>
  <c r="J253" i="1"/>
  <c r="I253" i="1" s="1"/>
  <c r="J290" i="1"/>
  <c r="I290" i="1" s="1"/>
  <c r="J144" i="1"/>
  <c r="I144" i="1" s="1"/>
  <c r="J241" i="1"/>
  <c r="I241" i="1" s="1"/>
  <c r="J179" i="1"/>
  <c r="I179" i="1" s="1"/>
  <c r="J274" i="1"/>
  <c r="I274" i="1" s="1"/>
  <c r="J47" i="1"/>
  <c r="I47" i="1" s="1"/>
  <c r="J67" i="1"/>
  <c r="I67" i="1" s="1"/>
  <c r="J289" i="1"/>
  <c r="I289" i="1" s="1"/>
  <c r="J46" i="1"/>
  <c r="I46" i="1" s="1"/>
  <c r="J121" i="1"/>
  <c r="I121" i="1" s="1"/>
  <c r="J200" i="1"/>
  <c r="I200" i="1" s="1"/>
  <c r="J141" i="1"/>
  <c r="I141" i="1" s="1"/>
  <c r="J146" i="1"/>
  <c r="I146" i="1" s="1"/>
  <c r="J96" i="1"/>
  <c r="I96" i="1" s="1"/>
  <c r="J57" i="1"/>
  <c r="I57" i="1" s="1"/>
  <c r="J239" i="1"/>
  <c r="I239" i="1" s="1"/>
  <c r="J86" i="1"/>
  <c r="I86" i="1" s="1"/>
  <c r="J189" i="1"/>
  <c r="I189" i="1" s="1"/>
  <c r="J242" i="1"/>
  <c r="I242" i="1" s="1"/>
  <c r="J132" i="1"/>
  <c r="I132" i="1" s="1"/>
  <c r="J174" i="1"/>
  <c r="I174" i="1" s="1"/>
  <c r="J203" i="1"/>
  <c r="I203" i="1" s="1"/>
  <c r="J93" i="1"/>
  <c r="I93" i="1" s="1"/>
  <c r="J278" i="1"/>
  <c r="I278" i="1" s="1"/>
  <c r="J229" i="1"/>
  <c r="I229" i="1" s="1"/>
  <c r="J163" i="1"/>
  <c r="I163" i="1" s="1"/>
  <c r="J238" i="1"/>
  <c r="I238" i="1" s="1"/>
  <c r="J77" i="1"/>
  <c r="I77" i="1" s="1"/>
  <c r="J177" i="1"/>
  <c r="I177" i="1" s="1"/>
  <c r="J61" i="1"/>
  <c r="I61" i="1" s="1"/>
  <c r="J314" i="1"/>
  <c r="I314" i="1" s="1"/>
  <c r="J15" i="1"/>
  <c r="I15" i="1" s="1"/>
  <c r="J28" i="1"/>
  <c r="I28" i="1" s="1"/>
  <c r="J105" i="1"/>
  <c r="I105" i="1" s="1"/>
  <c r="J97" i="1"/>
  <c r="I97" i="1" s="1"/>
  <c r="J25" i="1"/>
  <c r="I25" i="1" s="1"/>
  <c r="J50" i="1"/>
  <c r="I50" i="1" s="1"/>
  <c r="J31" i="1"/>
  <c r="I31" i="1" s="1"/>
  <c r="J137" i="1"/>
  <c r="I137" i="1" s="1"/>
  <c r="J43" i="1"/>
  <c r="I43" i="1" s="1"/>
  <c r="J218" i="1"/>
  <c r="I218" i="1" s="1"/>
  <c r="J190" i="1"/>
  <c r="I190" i="1" s="1"/>
  <c r="J212" i="1"/>
  <c r="I212" i="1" s="1"/>
  <c r="J136" i="1"/>
  <c r="I136" i="1" s="1"/>
  <c r="J214" i="1"/>
  <c r="I214" i="1" s="1"/>
  <c r="J114" i="1"/>
  <c r="I114" i="1" s="1"/>
  <c r="J85" i="1"/>
  <c r="I85" i="1" s="1"/>
  <c r="J181" i="1"/>
  <c r="I181" i="1" s="1"/>
  <c r="J37" i="1"/>
  <c r="I37" i="1" s="1"/>
  <c r="J165" i="1"/>
  <c r="I165" i="1" s="1"/>
  <c r="J222" i="1"/>
  <c r="I222" i="1" s="1"/>
  <c r="J117" i="1"/>
  <c r="I117" i="1" s="1"/>
  <c r="J195" i="1"/>
  <c r="I195" i="1" s="1"/>
  <c r="J94" i="1"/>
  <c r="I94" i="1" s="1"/>
  <c r="J12" i="1"/>
  <c r="I12" i="1" s="1"/>
  <c r="J309" i="1"/>
  <c r="I309" i="1" s="1"/>
  <c r="J164" i="1"/>
  <c r="I164" i="1" s="1"/>
  <c r="J6" i="1"/>
  <c r="I6" i="1" s="1"/>
  <c r="J319" i="1"/>
  <c r="I319" i="1" s="1"/>
  <c r="J100" i="1"/>
  <c r="I100" i="1" s="1"/>
  <c r="J112" i="1"/>
  <c r="I112" i="1" s="1"/>
  <c r="J293" i="1"/>
  <c r="I293" i="1" s="1"/>
  <c r="J270" i="1"/>
  <c r="I270" i="1" s="1"/>
  <c r="J240" i="1"/>
  <c r="I240" i="1" s="1"/>
  <c r="J301" i="1"/>
  <c r="I301" i="1" s="1"/>
  <c r="J260" i="1"/>
  <c r="I260" i="1" s="1"/>
  <c r="J282" i="1"/>
  <c r="I282" i="1" s="1"/>
  <c r="J228" i="1"/>
  <c r="I228" i="1" s="1"/>
  <c r="J103" i="1"/>
  <c r="I103" i="1" s="1"/>
  <c r="J224" i="1"/>
  <c r="I224" i="1" s="1"/>
  <c r="J145" i="1"/>
  <c r="I145" i="1" s="1"/>
  <c r="J288" i="1"/>
  <c r="I288" i="1" s="1"/>
  <c r="J98" i="1"/>
  <c r="I98" i="1" s="1"/>
  <c r="J209" i="1"/>
  <c r="I209" i="1" s="1"/>
  <c r="J285" i="1"/>
  <c r="I285" i="1" s="1"/>
  <c r="J279" i="1"/>
  <c r="I279" i="1" s="1"/>
  <c r="J119" i="1"/>
  <c r="I119" i="1" s="1"/>
  <c r="J122" i="1"/>
  <c r="I122" i="1" s="1"/>
  <c r="J81" i="1"/>
  <c r="I81" i="1" s="1"/>
  <c r="J74" i="1"/>
  <c r="I74" i="1" s="1"/>
  <c r="J104" i="1"/>
  <c r="I104" i="1" s="1"/>
  <c r="J84" i="1"/>
  <c r="I84" i="1" s="1"/>
  <c r="J135" i="1"/>
  <c r="I135" i="1" s="1"/>
  <c r="J277" i="1"/>
  <c r="I277" i="1" s="1"/>
  <c r="J65" i="1"/>
  <c r="I65" i="1" s="1"/>
  <c r="J32" i="1"/>
  <c r="I32" i="1" s="1"/>
  <c r="J82" i="1"/>
  <c r="I82" i="1" s="1"/>
  <c r="J286" i="1"/>
  <c r="I286" i="1" s="1"/>
  <c r="J113" i="1"/>
  <c r="I113" i="1" s="1"/>
  <c r="J193" i="1"/>
  <c r="I193" i="1" s="1"/>
  <c r="J300" i="1"/>
  <c r="I300" i="1" s="1"/>
  <c r="J248" i="1"/>
  <c r="I248" i="1" s="1"/>
  <c r="J111" i="1"/>
  <c r="I111" i="1" s="1"/>
  <c r="J116" i="1"/>
  <c r="I116" i="1" s="1"/>
  <c r="J108" i="1"/>
  <c r="I108" i="1" s="1"/>
  <c r="J22" i="1"/>
  <c r="I22" i="1" s="1"/>
  <c r="J9" i="1"/>
  <c r="I9" i="1" s="1"/>
  <c r="J52" i="1"/>
  <c r="I52" i="1" s="1"/>
  <c r="J198" i="1"/>
  <c r="I198" i="1" s="1"/>
  <c r="J276" i="1"/>
  <c r="I276" i="1" s="1"/>
  <c r="J115" i="1"/>
  <c r="I115" i="1" s="1"/>
  <c r="J208" i="1"/>
  <c r="I208" i="1" s="1"/>
  <c r="J307" i="1"/>
  <c r="I307" i="1" s="1"/>
  <c r="J269" i="1"/>
  <c r="I269" i="1" s="1"/>
  <c r="J266" i="1"/>
  <c r="I266" i="1" s="1"/>
  <c r="J59" i="1"/>
  <c r="I59" i="1" s="1"/>
  <c r="J176" i="1"/>
  <c r="I176" i="1" s="1"/>
  <c r="J20" i="1"/>
  <c r="I20" i="1" s="1"/>
  <c r="J68" i="1"/>
  <c r="I68" i="1" s="1"/>
  <c r="J78" i="1"/>
  <c r="I78" i="1" s="1"/>
  <c r="J175" i="1"/>
  <c r="I175" i="1" s="1"/>
  <c r="J306" i="1"/>
  <c r="I306" i="1" s="1"/>
  <c r="J256" i="1"/>
  <c r="I256" i="1" s="1"/>
  <c r="J220" i="1"/>
  <c r="I220" i="1" s="1"/>
  <c r="J60" i="1"/>
  <c r="I60" i="1" s="1"/>
  <c r="J231" i="1"/>
  <c r="I231" i="1" s="1"/>
  <c r="J252" i="1"/>
  <c r="I252" i="1" s="1"/>
  <c r="J196" i="1"/>
  <c r="I196" i="1" s="1"/>
  <c r="J27" i="1"/>
  <c r="I27" i="1" s="1"/>
  <c r="J153" i="1"/>
  <c r="I153" i="1" s="1"/>
  <c r="J244" i="1"/>
  <c r="I244" i="1" s="1"/>
  <c r="J11" i="1"/>
  <c r="I11" i="1" s="1"/>
  <c r="I20" i="11"/>
  <c r="H20" i="11" s="1"/>
  <c r="I31" i="11"/>
  <c r="H31" i="11" s="1"/>
  <c r="I106" i="11"/>
  <c r="H106" i="11" s="1"/>
  <c r="I100" i="11"/>
  <c r="H100" i="11" s="1"/>
  <c r="I88" i="11"/>
  <c r="H88" i="11" s="1"/>
  <c r="I98" i="11"/>
  <c r="H98" i="11" s="1"/>
  <c r="I34" i="11"/>
  <c r="H34" i="11" s="1"/>
  <c r="I93" i="11"/>
  <c r="H93" i="11" s="1"/>
  <c r="I37" i="11"/>
  <c r="H37" i="11" s="1"/>
  <c r="I18" i="11"/>
  <c r="H18" i="11" s="1"/>
  <c r="I73" i="11"/>
  <c r="H73" i="11" s="1"/>
  <c r="I114" i="11"/>
  <c r="H114" i="11" s="1"/>
  <c r="I139" i="11"/>
  <c r="H139" i="11" s="1"/>
  <c r="I77" i="11"/>
  <c r="H77" i="11" s="1"/>
  <c r="I134" i="11"/>
  <c r="H134" i="11" s="1"/>
  <c r="I82" i="11"/>
  <c r="H82" i="11" s="1"/>
  <c r="I86" i="11"/>
  <c r="H86" i="11" s="1"/>
  <c r="I108" i="11"/>
  <c r="H108" i="11" s="1"/>
  <c r="I101" i="11"/>
  <c r="H101" i="11" s="1"/>
  <c r="I137" i="11"/>
  <c r="H137" i="11" s="1"/>
  <c r="I112" i="11"/>
  <c r="H112" i="11" s="1"/>
  <c r="I76" i="11"/>
  <c r="H76" i="11" s="1"/>
  <c r="I133" i="11"/>
  <c r="H133" i="11" s="1"/>
  <c r="I19" i="11"/>
  <c r="H19" i="11" s="1"/>
  <c r="I47" i="11"/>
  <c r="H47" i="11" s="1"/>
  <c r="I64" i="11"/>
  <c r="H64" i="11" s="1"/>
  <c r="I105" i="11"/>
  <c r="H105" i="11" s="1"/>
  <c r="I87" i="11"/>
  <c r="H87" i="11" s="1"/>
  <c r="I70" i="11"/>
  <c r="H70" i="11" s="1"/>
  <c r="I121" i="11"/>
  <c r="H121" i="11" s="1"/>
  <c r="I85" i="11"/>
  <c r="H85" i="11" s="1"/>
  <c r="I26" i="11"/>
  <c r="H26" i="11" s="1"/>
  <c r="I89" i="11"/>
  <c r="H89" i="11" s="1"/>
  <c r="I131" i="11"/>
  <c r="H131" i="11" s="1"/>
  <c r="I113" i="11"/>
  <c r="H113" i="11" s="1"/>
  <c r="I30" i="11"/>
  <c r="H30" i="11" s="1"/>
  <c r="I51" i="11"/>
  <c r="H51" i="11" s="1"/>
  <c r="I109" i="11"/>
  <c r="H109" i="11" s="1"/>
  <c r="I52" i="11"/>
  <c r="H52" i="11" s="1"/>
  <c r="I107" i="11"/>
  <c r="H107" i="11" s="1"/>
  <c r="I49" i="11"/>
  <c r="H49" i="11" s="1"/>
  <c r="I119" i="11"/>
  <c r="H119" i="11" s="1"/>
  <c r="I67" i="11"/>
  <c r="H67" i="11" s="1"/>
  <c r="I91" i="11"/>
  <c r="H91" i="11" s="1"/>
  <c r="I78" i="11"/>
  <c r="H78" i="11" s="1"/>
  <c r="I58" i="11"/>
  <c r="H58" i="11" s="1"/>
  <c r="I68" i="11"/>
  <c r="H68" i="11" s="1"/>
  <c r="I92" i="11"/>
  <c r="H92" i="11" s="1"/>
  <c r="I83" i="11"/>
  <c r="H83" i="11" s="1"/>
  <c r="I40" i="11"/>
  <c r="H40" i="11" s="1"/>
  <c r="I145" i="11"/>
  <c r="H145" i="11" s="1"/>
  <c r="I97" i="11"/>
  <c r="H97" i="11" s="1"/>
  <c r="I4" i="11"/>
  <c r="H4" i="11" s="1"/>
  <c r="I12" i="11"/>
  <c r="H12" i="11" s="1"/>
  <c r="I14" i="11"/>
  <c r="H14" i="11" s="1"/>
  <c r="I124" i="11"/>
  <c r="H124" i="11" s="1"/>
  <c r="J183" i="1"/>
  <c r="I183" i="1" s="1"/>
  <c r="J160" i="1"/>
  <c r="I160" i="1" s="1"/>
  <c r="J247" i="1"/>
  <c r="I247" i="1" s="1"/>
  <c r="J257" i="1"/>
  <c r="I257" i="1" s="1"/>
  <c r="J18" i="1"/>
  <c r="I18" i="1" s="1"/>
  <c r="J180" i="1"/>
  <c r="I180" i="1" s="1"/>
  <c r="J250" i="1"/>
  <c r="I250" i="1" s="1"/>
  <c r="J283" i="1"/>
  <c r="I283" i="1" s="1"/>
  <c r="J173" i="1"/>
  <c r="I173" i="1" s="1"/>
  <c r="J7" i="1"/>
  <c r="I7" i="1" s="1"/>
  <c r="J317" i="1"/>
  <c r="I317" i="1" s="1"/>
  <c r="J169" i="1"/>
  <c r="I169" i="1" s="1"/>
  <c r="J298" i="1"/>
  <c r="I298" i="1" s="1"/>
  <c r="J17" i="1"/>
  <c r="I17" i="1" s="1"/>
  <c r="J38" i="1"/>
  <c r="I38" i="1" s="1"/>
  <c r="J313" i="1"/>
  <c r="I313" i="1" s="1"/>
  <c r="J325" i="1"/>
  <c r="I325" i="1" s="1"/>
  <c r="J187" i="1"/>
  <c r="I187" i="1" s="1"/>
  <c r="J171" i="1"/>
  <c r="I171" i="1" s="1"/>
  <c r="J56" i="1"/>
  <c r="I56" i="1" s="1"/>
  <c r="J72" i="1"/>
  <c r="I72" i="1" s="1"/>
  <c r="J154" i="1"/>
  <c r="I154" i="1" s="1"/>
  <c r="J281" i="1"/>
  <c r="I281" i="1" s="1"/>
  <c r="J23" i="1"/>
  <c r="I23" i="1" s="1"/>
  <c r="J225" i="1"/>
  <c r="I225" i="1" s="1"/>
  <c r="J92" i="1"/>
  <c r="I92" i="1" s="1"/>
  <c r="J226" i="1"/>
  <c r="I226" i="1" s="1"/>
  <c r="J219" i="1"/>
  <c r="I219" i="1" s="1"/>
  <c r="J73" i="1"/>
  <c r="I73" i="1" s="1"/>
  <c r="J101" i="1"/>
  <c r="I101" i="1" s="1"/>
  <c r="J216" i="1"/>
  <c r="I216" i="1" s="1"/>
  <c r="J296" i="1"/>
  <c r="I296" i="1" s="1"/>
  <c r="J33" i="1"/>
  <c r="I33" i="1" s="1"/>
  <c r="J232" i="1"/>
  <c r="I232" i="1" s="1"/>
  <c r="J148" i="1"/>
  <c r="I148" i="1" s="1"/>
  <c r="J275" i="1"/>
  <c r="I275" i="1" s="1"/>
  <c r="J158" i="1"/>
  <c r="I158" i="1" s="1"/>
</calcChain>
</file>

<file path=xl/sharedStrings.xml><?xml version="1.0" encoding="utf-8"?>
<sst xmlns="http://schemas.openxmlformats.org/spreadsheetml/2006/main" count="4511" uniqueCount="2612">
  <si>
    <t xml:space="preserve">FECHA ACTUAL </t>
  </si>
  <si>
    <t>JUZGADOS</t>
  </si>
  <si>
    <t>CARPETA</t>
  </si>
  <si>
    <t>PROCESO</t>
  </si>
  <si>
    <t xml:space="preserve">FECHA ENVIO </t>
  </si>
  <si>
    <t>ULTIMO ESTADO</t>
  </si>
  <si>
    <t xml:space="preserve">VENCE </t>
  </si>
  <si>
    <t xml:space="preserve">VENCIMIENTO </t>
  </si>
  <si>
    <t xml:space="preserve">ALERTA </t>
  </si>
  <si>
    <t>DIAS</t>
  </si>
  <si>
    <t xml:space="preserve">OBSERVACIONES </t>
  </si>
  <si>
    <t>FECHA</t>
  </si>
  <si>
    <t xml:space="preserve">ACTUACIÓN </t>
  </si>
  <si>
    <t>001 JUZGADO EJECUCIÓN DEL CIRCUITO</t>
  </si>
  <si>
    <t>C 286</t>
  </si>
  <si>
    <t>11001310301620100041700</t>
  </si>
  <si>
    <t xml:space="preserve">CISA 041 </t>
  </si>
  <si>
    <t>11001310301620080052400</t>
  </si>
  <si>
    <t>AUTO RESUELVE RENUNCIA PODER</t>
  </si>
  <si>
    <t>CISA 167</t>
  </si>
  <si>
    <t>11001310304220160001600</t>
  </si>
  <si>
    <t>CISA 168</t>
  </si>
  <si>
    <t>11001310300120130071600</t>
  </si>
  <si>
    <t>AUTO DECRETA MEDIDA CAUTELAR</t>
  </si>
  <si>
    <t>CISA 195</t>
  </si>
  <si>
    <t>11001310302320140009100</t>
  </si>
  <si>
    <t>estese dispuesto auto anterior ,reconoce personeria</t>
  </si>
  <si>
    <t>CISA 208</t>
  </si>
  <si>
    <t>11001310300620160009100</t>
  </si>
  <si>
    <t>AUTO PONE EN CONOCIMIENTO DEJA SIN VALOR NI EFECTO AUTO DE FECHA 22-11-2021 TERMINACION POR DESISTIMIENTO//REQUIERE A LA PARTE INTERESADA APORTAR ESCRITO DE CESION</t>
  </si>
  <si>
    <t>CISA 222</t>
  </si>
  <si>
    <t>11001310301320160002100</t>
  </si>
  <si>
    <t>AUTO RECONOCE PERSONERIA</t>
  </si>
  <si>
    <t>CISA 242</t>
  </si>
  <si>
    <t>11001310302920160001301</t>
  </si>
  <si>
    <t>actualizacion de oficios sed decreta embargo remanentes</t>
  </si>
  <si>
    <t xml:space="preserve">15-10-2022 </t>
  </si>
  <si>
    <t>Se remitio para estudio ginna</t>
  </si>
  <si>
    <t>CISA 244</t>
  </si>
  <si>
    <t>11001310301520160000800</t>
  </si>
  <si>
    <t>AUTO TERMINA PROCESO POR PAGO TOTAL DE LA OBLIGACION</t>
  </si>
  <si>
    <t>CISA 246</t>
  </si>
  <si>
    <t>11001310302120150069200</t>
  </si>
  <si>
    <t>AUTO DECRETA MEDIDA CAUTELAR INMUEBLE</t>
  </si>
  <si>
    <t>CISA 252</t>
  </si>
  <si>
    <t>11001310301320150051400</t>
  </si>
  <si>
    <t>AUTO REQUIERE OF DE APOYO ACTUALICE OFICIOS ORDENADOS EN AUTO DEL 19 de noviembre de 2015</t>
  </si>
  <si>
    <t>CISA 352</t>
  </si>
  <si>
    <t>11001310303120090010300</t>
  </si>
  <si>
    <t>CORRIGE PROCIDENCIA,ENTREGA DE TITULOS</t>
  </si>
  <si>
    <t>CISA 359</t>
  </si>
  <si>
    <t>11001310300120080020700</t>
  </si>
  <si>
    <t>REQUIERE EPS</t>
  </si>
  <si>
    <t>CISA 360</t>
  </si>
  <si>
    <t>11001310300120080023700</t>
  </si>
  <si>
    <t>DECRETA MEDIDA CAUTELAR Y REQUIERE SECUESTRE</t>
  </si>
  <si>
    <t>CISA 369</t>
  </si>
  <si>
    <t>11001310300120150116500</t>
  </si>
  <si>
    <t>decreta medida cautelar</t>
  </si>
  <si>
    <t>CISA 397</t>
  </si>
  <si>
    <t>11001310304120080008000</t>
  </si>
  <si>
    <t>AUTO REQUIERE ACTUALIZAR OFICIOS</t>
  </si>
  <si>
    <t>CISA 480</t>
  </si>
  <si>
    <t>11001310304420170068800</t>
  </si>
  <si>
    <t>AUTO ESTARSE A LO DISPUESTO AUTO ANTERIOR</t>
  </si>
  <si>
    <t>CISA 484</t>
  </si>
  <si>
    <t>11001310303620170077300</t>
  </si>
  <si>
    <t>AUTO RESUELVE SOLICITUD</t>
  </si>
  <si>
    <t>CISA 527</t>
  </si>
  <si>
    <t>11001310304420180012700</t>
  </si>
  <si>
    <t>CISA 540</t>
  </si>
  <si>
    <t>11001310304220170066000</t>
  </si>
  <si>
    <t>AUTO RESUELVE INTERVENCION SUCESOR PROCESAL CISA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</si>
  <si>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</si>
  <si>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</si>
  <si>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</si>
  <si>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</si>
  <si>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</si>
  <si>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</si>
  <si>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Auto resuelve renuncia poder</t>
  </si>
  <si>
    <t>CISA 577</t>
  </si>
  <si>
    <t>11001310302720180003500</t>
  </si>
  <si>
    <t>CISA 588</t>
  </si>
  <si>
    <t>11001310301020170055200</t>
  </si>
  <si>
    <t>CISA 597</t>
  </si>
  <si>
    <t>11001310303020170001400</t>
  </si>
  <si>
    <t>AUTO RECONOCE PERSONERIA LADY MARTINEZ</t>
  </si>
  <si>
    <t>CISA 605</t>
  </si>
  <si>
    <t>11001310300920180053300</t>
  </si>
  <si>
    <t>APRUEBA LIQUIDACION DE CREDITO</t>
  </si>
  <si>
    <t>CISA 609</t>
  </si>
  <si>
    <t>11001310303920170071300</t>
  </si>
  <si>
    <t>AUTO REQUIERE</t>
  </si>
  <si>
    <t>CISA 670</t>
  </si>
  <si>
    <t>11001310303120180009800</t>
  </si>
  <si>
    <t>RESUELVE SOLICITUD</t>
  </si>
  <si>
    <t>002 JUZGADO EJECUCIÓN DEL CIRCUITO</t>
  </si>
  <si>
    <t>C 254</t>
  </si>
  <si>
    <t>11001310303220160027100</t>
  </si>
  <si>
    <t>CISA 044</t>
  </si>
  <si>
    <t>11001310303720080026500</t>
  </si>
  <si>
    <t>CISA 081</t>
  </si>
  <si>
    <t>11001310300720090022800</t>
  </si>
  <si>
    <t>CISA 165</t>
  </si>
  <si>
    <t>11001310301120160012500</t>
  </si>
  <si>
    <t>CISA 191</t>
  </si>
  <si>
    <t>AUTO ORDENA COMISION</t>
  </si>
  <si>
    <t>CISA 196</t>
  </si>
  <si>
    <t>11001310303720140010101</t>
  </si>
  <si>
    <t>CISA 197</t>
  </si>
  <si>
    <t>11001310304220150068400</t>
  </si>
  <si>
    <t>AUTO ORDENA OFICIAR</t>
  </si>
  <si>
    <t>CISA 204</t>
  </si>
  <si>
    <t>11001310300420160003500</t>
  </si>
  <si>
    <t>se radico memorial 17/01/22</t>
  </si>
  <si>
    <t>AUTO RESUELVE SOLICITUD MODIFICA Y APRUEBA LIQUIDACION DE CREDITO</t>
  </si>
  <si>
    <t>CISA 206</t>
  </si>
  <si>
    <t>11001310300820160010600</t>
  </si>
  <si>
    <t>CISA 210</t>
  </si>
  <si>
    <t>11001310301020150074900</t>
  </si>
  <si>
    <t>AUTO APRUEBA LIQUIDACION</t>
  </si>
  <si>
    <t>CISA 212</t>
  </si>
  <si>
    <t>11001310301020150070900</t>
  </si>
  <si>
    <t>CISA 217</t>
  </si>
  <si>
    <t>11001310301720150056600</t>
  </si>
  <si>
    <t>AUTO RESUELVE SOLICITUD DE REMANENTES</t>
  </si>
  <si>
    <t>CISA 223</t>
  </si>
  <si>
    <t>11001310302220150046100</t>
  </si>
  <si>
    <t xml:space="preserve">DECRETA MEDIDA CAUTELAR </t>
  </si>
  <si>
    <t>CISA 227</t>
  </si>
  <si>
    <t>11001310302420150063800</t>
  </si>
  <si>
    <t>AUTO RESUELVE SOLICITUD ENTREGA DE DINEROS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</si>
  <si>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</si>
  <si>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</si>
  <si>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</si>
  <si>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</si>
  <si>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</si>
  <si>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</si>
  <si>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AUTO RESUELVE SOLICITUD REMITIR ACTUACION A LAS SUPERSOCIEDADES</t>
  </si>
  <si>
    <t>CISA 456</t>
  </si>
  <si>
    <t>11001310304220080005600</t>
  </si>
  <si>
    <t>AUTO REQUIERE PARA QUE APORTE EL PODER CONFERIDO EN DEBIDA FORMA</t>
  </si>
  <si>
    <t>CISA 459</t>
  </si>
  <si>
    <t>11001310300820070041000</t>
  </si>
  <si>
    <t>AUTO DECRETA LEVANTAR MEDIDA CAUTELAR</t>
  </si>
  <si>
    <t>CISA 481</t>
  </si>
  <si>
    <t>11001310302420170067800</t>
  </si>
  <si>
    <t>AUTO PONE EN CONOCIMIENTO</t>
  </si>
  <si>
    <t>CISA 490</t>
  </si>
  <si>
    <t>11001310301920170064700</t>
  </si>
  <si>
    <t>CISA 491</t>
  </si>
  <si>
    <t>11001310303820170071800</t>
  </si>
  <si>
    <t>CISA 498</t>
  </si>
  <si>
    <t>11001310300820170069900</t>
  </si>
  <si>
    <t>AUTO RECONOCE HEREDERO O CESIONARIO ACEPTA SUBROGACIÓN - ACEPTA CESIÓN – RECONOCE PERSONERIA</t>
  </si>
  <si>
    <t>CISA 559</t>
  </si>
  <si>
    <t>11001310301820170030400</t>
  </si>
  <si>
    <t>Auto reconoce heredero o cesionario</t>
  </si>
  <si>
    <t>CISA 573</t>
  </si>
  <si>
    <t>AUTO RECONOCE HEREDERO O CESIONARIO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</si>
  <si>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</si>
  <si>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</si>
  <si>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</si>
  <si>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</si>
  <si>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</si>
  <si>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</si>
  <si>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 xml:space="preserve">AUTO REQUIERE ACTORA APORTAR SUBROGACION LEGIBLE </t>
  </si>
  <si>
    <t>CISA 666</t>
  </si>
  <si>
    <t>11001310304020180009000</t>
  </si>
  <si>
    <t>AUTO RECONOCE HERDERO O CESIONARIO</t>
  </si>
  <si>
    <t>CISA 673</t>
  </si>
  <si>
    <t>11001310301120170070800</t>
  </si>
  <si>
    <t>003 JUZGADO EJECUCIÓN DEL CIRCUITO</t>
  </si>
  <si>
    <t>C 003</t>
  </si>
  <si>
    <t>11001310302820110043200</t>
  </si>
  <si>
    <t>entrga titulos</t>
  </si>
  <si>
    <t>TITULO ELABORADO Se elabora orden de pago DJ04 No. 2022001448 a favor de la parte demandadnte (proceso queda en el área de títulos pendiente de la autorización</t>
  </si>
  <si>
    <t>C 308</t>
  </si>
  <si>
    <t>11001310302520170018500</t>
  </si>
  <si>
    <t>TERMINA PROCESO POR DESISTIMIENTO</t>
  </si>
  <si>
    <t>CISA 051</t>
  </si>
  <si>
    <t>11001310303520080065900</t>
  </si>
  <si>
    <t>CISA 169</t>
  </si>
  <si>
    <t>11001310300220150076900</t>
  </si>
  <si>
    <t xml:space="preserve">TRASLADO LIQUIDACION DE CREDITO Art. 446 C.G.P. </t>
  </si>
  <si>
    <t>CISA 170</t>
  </si>
  <si>
    <t>11001310300220160015600</t>
  </si>
  <si>
    <t>DECRETA MEDIDA CAUTELAR0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</si>
  <si>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</si>
  <si>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</si>
  <si>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</si>
  <si>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</si>
  <si>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</si>
  <si>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</si>
  <si>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</si>
  <si>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</si>
  <si>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</si>
  <si>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</si>
  <si>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</si>
  <si>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</si>
  <si>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ORDENA ENTREGA DE TITULOS</t>
  </si>
  <si>
    <t>CISA 228</t>
  </si>
  <si>
    <t>11001310302420150049700</t>
  </si>
  <si>
    <t>AUTO REQUIERE PREVIO A RESOLVER, MEMORIALISTA PROCEDER CONFORME AL INCISO 2 DEL ART. 76 C.G.P</t>
  </si>
  <si>
    <t>CISA 232</t>
  </si>
  <si>
    <t>11001310304120160009400</t>
  </si>
  <si>
    <t>CISA 236</t>
  </si>
  <si>
    <t>11001310301920160007900</t>
  </si>
  <si>
    <t>AUTO MODIFICA LIQUIDACION DE CREDITO</t>
  </si>
  <si>
    <t>CISA 238</t>
  </si>
  <si>
    <t>11001310303820150056900</t>
  </si>
  <si>
    <t xml:space="preserve">CISA 240 </t>
  </si>
  <si>
    <t>11001310303320150062800</t>
  </si>
  <si>
    <t>AUTO RECONCE HEREDERO O CESIONARIO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</si>
  <si>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</si>
  <si>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</si>
  <si>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</si>
  <si>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</si>
  <si>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</si>
  <si>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</si>
  <si>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</si>
  <si>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</si>
  <si>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</si>
  <si>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</si>
  <si>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AUTO APRUEBA LIQUIDACION DE CREDITO</t>
  </si>
  <si>
    <t>CISA 505</t>
  </si>
  <si>
    <t>11001310300920180007700</t>
  </si>
  <si>
    <t>CISA 544</t>
  </si>
  <si>
    <t>11001310302720170046900</t>
  </si>
  <si>
    <t>REVIO A RESOLVER ALLEGAR CERTIFICADO DE EXISTENCIA Y REPRESENTACION LEGAL ACTUALIZADO. JHBG</t>
  </si>
  <si>
    <t>CISA 648</t>
  </si>
  <si>
    <t>11001310301020180007100</t>
  </si>
  <si>
    <t>DECRETA MEDIDA CAUTELAR</t>
  </si>
  <si>
    <t>SALAZAR</t>
  </si>
  <si>
    <t>11001310303720170046900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</si>
  <si>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</si>
  <si>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</si>
  <si>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</si>
  <si>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</si>
  <si>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</si>
  <si>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</si>
  <si>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</si>
  <si>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AUTO RECONOCE HEREDERO O CESIONARIO  ACEPTA CESIÓN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</si>
  <si>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</si>
  <si>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</si>
  <si>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</si>
  <si>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</si>
  <si>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</si>
  <si>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</si>
  <si>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AUTO RESUELVE SOLICITUD OFICINA DE APOYO PROCEDA A LA ENTREGA DE LOS TITULOS JUDICIALES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</si>
  <si>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</si>
  <si>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</si>
  <si>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</si>
  <si>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</si>
  <si>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</si>
  <si>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</si>
  <si>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</si>
  <si>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</si>
  <si>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AUTO REQUIERE PARTE DEMANDANTE ACREDITAR QUE LA INFORMACION REQUERIDA NO LE FUE SUMINISTRADA A TRAVES DE DERECHO DE PETICION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</si>
  <si>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</si>
  <si>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</si>
  <si>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</si>
  <si>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</si>
  <si>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</si>
  <si>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</si>
  <si>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decreta medida</t>
  </si>
  <si>
    <t>CISA 393</t>
  </si>
  <si>
    <t>11001310301920080025000</t>
  </si>
  <si>
    <t>AUTO PONE EN CONOCIMIENTO No se da curso a la cesión</t>
  </si>
  <si>
    <t>CISA 464</t>
  </si>
  <si>
    <t>11001310302120170045100</t>
  </si>
  <si>
    <t>AUTO RESUELVE INTERVENCION SUCESORAL</t>
  </si>
  <si>
    <t>CISA 487</t>
  </si>
  <si>
    <t>AUTO RESUELVE NULIDAD Declara NULIDAD de todo lo actuado ... remitir diligencias a la Superintendencia de Sociedades…</t>
  </si>
  <si>
    <t>CISA 500</t>
  </si>
  <si>
    <t>11001310301020170066300</t>
  </si>
  <si>
    <t>AUTO AVOCA CONOCIMIENTO</t>
  </si>
  <si>
    <t>CISA 502</t>
  </si>
  <si>
    <t>11001310303120170045900</t>
  </si>
  <si>
    <t>CISA 522</t>
  </si>
  <si>
    <t>11001310301220180005300</t>
  </si>
  <si>
    <t>ACEPTA CESION // ACEPTA SUBROGACION LEGAL// RECONOCE PERSONERIA ADJETIVA</t>
  </si>
  <si>
    <t>CISA 556</t>
  </si>
  <si>
    <t>CISA 557</t>
  </si>
  <si>
    <t>11001310301820180000600</t>
  </si>
  <si>
    <t>CISA 574</t>
  </si>
  <si>
    <t>11001310301020190030700</t>
  </si>
  <si>
    <t>Auto reconoce personería</t>
  </si>
  <si>
    <t>CISA 594</t>
  </si>
  <si>
    <t>11001310303920180059100</t>
  </si>
  <si>
    <t>CISA 608</t>
  </si>
  <si>
    <t>11001310300620190060100</t>
  </si>
  <si>
    <t>AUTO RESULVE SOLICITUD</t>
  </si>
  <si>
    <t>CISA 620</t>
  </si>
  <si>
    <t>11001310302820170056000</t>
  </si>
  <si>
    <t>Auto decreta medida cautelar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</si>
  <si>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</si>
  <si>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</si>
  <si>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</si>
  <si>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</si>
  <si>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</si>
  <si>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</si>
  <si>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</si>
  <si>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</si>
  <si>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</si>
  <si>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033</t>
  </si>
  <si>
    <t>11001310300520150065100</t>
  </si>
  <si>
    <t>AUTO ORDENA ACLARAR PETICIONES</t>
  </si>
  <si>
    <t>CISA 162</t>
  </si>
  <si>
    <t>11001310301820150043800</t>
  </si>
  <si>
    <t>DESISTIMIENTO TACITO</t>
  </si>
  <si>
    <t>CISA 172</t>
  </si>
  <si>
    <t>11001310300920130015000</t>
  </si>
  <si>
    <t>CISA 176</t>
  </si>
  <si>
    <t>11001310301320150083300</t>
  </si>
  <si>
    <t xml:space="preserve">AUTO DECRETA MEDIDA CAUTELAR </t>
  </si>
  <si>
    <t>CISA 177</t>
  </si>
  <si>
    <t>11001310302120130025500</t>
  </si>
  <si>
    <t>CISA 178</t>
  </si>
  <si>
    <t>11001310302720160036400</t>
  </si>
  <si>
    <t>CISA 179</t>
  </si>
  <si>
    <t>11001310301620150065300</t>
  </si>
  <si>
    <t>AUTO RECONOCE HEREDERO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</si>
  <si>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</si>
  <si>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</si>
  <si>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</si>
  <si>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</si>
  <si>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</si>
  <si>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</si>
  <si>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AGREGUSE A AUTOS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</si>
  <si>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</si>
  <si>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</si>
  <si>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</si>
  <si>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</si>
  <si>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</si>
  <si>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</si>
  <si>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</si>
  <si>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</si>
  <si>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decreta medida y pone en conocimiento</t>
  </si>
  <si>
    <t>CISA 237</t>
  </si>
  <si>
    <t>11001310300120150030300</t>
  </si>
  <si>
    <t>AUTO DECIDE RECURSO</t>
  </si>
  <si>
    <t>CISA 241</t>
  </si>
  <si>
    <t>11001310303020150058200</t>
  </si>
  <si>
    <t>AUTO ORDENA OFICIAR AL BANCO AGRARIO</t>
  </si>
  <si>
    <t>CISA 243</t>
  </si>
  <si>
    <t>11001310302820150070500</t>
  </si>
  <si>
    <t>AUTO ORDENA OFICIAR ordena enviar expediente a la superintendencia de sociedades</t>
  </si>
  <si>
    <t>CISA 249</t>
  </si>
  <si>
    <t>11001310302020150108700</t>
  </si>
  <si>
    <t>AUTO OBEDEZCASE Y CUMPLASE</t>
  </si>
  <si>
    <t>CISA 361</t>
  </si>
  <si>
    <t>11001310301120080039100</t>
  </si>
  <si>
    <t>AUTO AGREGUESE A AUTOS</t>
  </si>
  <si>
    <t>CISA 458</t>
  </si>
  <si>
    <t>11001310300520080050800</t>
  </si>
  <si>
    <t>AGREGUSE A AUTOS 	PONE EN CONOCIMIENTO MEDIDAS DEJADAS A DISPOSICION</t>
  </si>
  <si>
    <t>CISA 467</t>
  </si>
  <si>
    <t>11001310300620180010600</t>
  </si>
  <si>
    <t>AUTO REQUIERE DAR CUMPLIMIENTO AUTO</t>
  </si>
  <si>
    <t>CISA 509</t>
  </si>
  <si>
    <t>11001310303420180007600</t>
  </si>
  <si>
    <t>AGREGUESE A AUTOS SE AGREGA COMUNICACION CENTRO DE CONCILIACION</t>
  </si>
  <si>
    <t>CISA 515</t>
  </si>
  <si>
    <t>11001310300520180007300</t>
  </si>
  <si>
    <t>CISA 517</t>
  </si>
  <si>
    <t>11001310300520160012700</t>
  </si>
  <si>
    <t>CISA 537</t>
  </si>
  <si>
    <t>11001310303120170026100</t>
  </si>
  <si>
    <t>CISA 606</t>
  </si>
  <si>
    <t>11001310300420170072500</t>
  </si>
  <si>
    <t>CISA 627</t>
  </si>
  <si>
    <t>11001310300620190041100</t>
  </si>
  <si>
    <t xml:space="preserve">12-01-2023 Radicado </t>
  </si>
  <si>
    <t>CISA 654</t>
  </si>
  <si>
    <t>11001310301220180004800</t>
  </si>
  <si>
    <t>CISA 677</t>
  </si>
  <si>
    <t>11001310302020180011600</t>
  </si>
  <si>
    <t>Columna1</t>
  </si>
  <si>
    <t>001 JUZGADO EJECUCIÓN</t>
  </si>
  <si>
    <t>CISA 053</t>
  </si>
  <si>
    <t>11001400300620150077100</t>
  </si>
  <si>
    <t xml:space="preserve">Auto decreta medida cautelar. </t>
  </si>
  <si>
    <t>CISA 126</t>
  </si>
  <si>
    <t>11001400300620150115600</t>
  </si>
  <si>
    <t>Auto ordena entregar títulos</t>
  </si>
  <si>
    <t>CISA 145</t>
  </si>
  <si>
    <t>11001400304420160013300</t>
  </si>
  <si>
    <t>Auto resuelve renuncia poder 8-11-22 SE SOLICITA EMBARGO DE BANCOS</t>
  </si>
  <si>
    <t>CISA 254</t>
  </si>
  <si>
    <t>11001400300820150070800</t>
  </si>
  <si>
    <t>Auto no tiene en cuenta liquidación presentada</t>
  </si>
  <si>
    <t>CISA 338</t>
  </si>
  <si>
    <t>11001400302320140056200</t>
  </si>
  <si>
    <t>Traslado liquidacion credito.</t>
  </si>
  <si>
    <t>CISA 354</t>
  </si>
  <si>
    <t>11001400302920080064100</t>
  </si>
  <si>
    <t>CISA 390</t>
  </si>
  <si>
    <t>11001400302320080091500</t>
  </si>
  <si>
    <t xml:space="preserve">30-06-2022 Auto pone en conocimiento no esta reconocida cisa </t>
  </si>
  <si>
    <t>CISA 396</t>
  </si>
  <si>
    <t>11001400300520150092000</t>
  </si>
  <si>
    <t xml:space="preserve">31-03-22 SE RADICA ACTULIZACION OFICIOS Y INFORME DE TITULOS/ SE REMITE CORREO A CISA </t>
  </si>
  <si>
    <t>CISA 412</t>
  </si>
  <si>
    <t>11001400301620040178300</t>
  </si>
  <si>
    <t>2012-01-23 Proceso Inactivo INACTIVO PAQUETE 4</t>
  </si>
  <si>
    <t>CISA 413</t>
  </si>
  <si>
    <t>11001400301620080092800</t>
  </si>
  <si>
    <t>2021-04-09 Auto ordena aclarar petición</t>
  </si>
  <si>
    <t>CISA 414</t>
  </si>
  <si>
    <t>11001400301620070014900</t>
  </si>
  <si>
    <t>2021-03-18 Auto resuelve Solicitud</t>
  </si>
  <si>
    <t>CISA 416</t>
  </si>
  <si>
    <t>11001400302120050029500</t>
  </si>
  <si>
    <t>CISA 417</t>
  </si>
  <si>
    <t>11001400302320080011600</t>
  </si>
  <si>
    <t>TERMINADO 317</t>
  </si>
  <si>
    <t>31-03-2022 se remite correo a cisa para cesion y poder</t>
  </si>
  <si>
    <t>CISA 474</t>
  </si>
  <si>
    <t>11001400308320180009100</t>
  </si>
  <si>
    <t>SIN GENERAR IMPULSO</t>
  </si>
  <si>
    <t>CISA 616</t>
  </si>
  <si>
    <t>11001400303320170031400</t>
  </si>
  <si>
    <t>CISA 619</t>
  </si>
  <si>
    <t>11001310302920190030700</t>
  </si>
  <si>
    <t xml:space="preserve">AUTO REQUIERE </t>
  </si>
  <si>
    <t>002 JUZGADO EJECUCIÓN</t>
  </si>
  <si>
    <t>C 117</t>
  </si>
  <si>
    <t>11001400303520120165600</t>
  </si>
  <si>
    <t>se radico memorial oficio 30/06/2022</t>
  </si>
  <si>
    <t>Auto resuelve solicitud ,se niega lo pretendido</t>
  </si>
  <si>
    <t>C 251</t>
  </si>
  <si>
    <t>11001400301220160022000</t>
  </si>
  <si>
    <t>auto requiere togado</t>
  </si>
  <si>
    <t>CISA 009</t>
  </si>
  <si>
    <t>11001400303520150075101</t>
  </si>
  <si>
    <t>CISA 035</t>
  </si>
  <si>
    <t>11001400305320150116100</t>
  </si>
  <si>
    <t>1-04-22 ACTUALIZACIÓN OFICIOS - EXISTENCIA DE TÍTULOS JUDICIALES 2018-02-28 REMITASE EL EXPEIDNETE AL JUZGADO 34 CIVIL DEL CIRCUITO</t>
  </si>
  <si>
    <t>CISA 046</t>
  </si>
  <si>
    <t>11001400305520160000500</t>
  </si>
  <si>
    <t xml:space="preserve">Auto resuelve solicitud acepta cesion </t>
  </si>
  <si>
    <t>CISA 116</t>
  </si>
  <si>
    <t>11001400300920150119000</t>
  </si>
  <si>
    <t>Auto requiere AL PROFESIONAL DEL DERECHO CARLOS ARIZA MARIN/ 1-4-22 se remite correo dando cumplimiento</t>
  </si>
  <si>
    <t>CISA 123</t>
  </si>
  <si>
    <t>11001400302620160005300</t>
  </si>
  <si>
    <t>SE ORDENA ACTUALIZAR OFICIOS</t>
  </si>
  <si>
    <t>CISA 129</t>
  </si>
  <si>
    <t>11001400300920150144900</t>
  </si>
  <si>
    <t>ORDENA ELABORAR COMUNICACIONES // DECRETA MEDIDA CAUTELAR</t>
  </si>
  <si>
    <t>CISA 130</t>
  </si>
  <si>
    <t>11001400300920150104800</t>
  </si>
  <si>
    <t>CISA 144</t>
  </si>
  <si>
    <t>11001400305520160003300</t>
  </si>
  <si>
    <t xml:space="preserve">Auto decide recurso repone </t>
  </si>
  <si>
    <t>CISA 155</t>
  </si>
  <si>
    <t>11001400302620150114400</t>
  </si>
  <si>
    <t>BANCO AGRARIO--JUZGADO 26 CIVIL MUNICIPAL--SE ORDENA ENTREGA DE DINEROS</t>
  </si>
  <si>
    <t>CISA 265</t>
  </si>
  <si>
    <t>11001400301220150143900</t>
  </si>
  <si>
    <t>AUTO ORDENA ACTUALIZACION OFICIOS</t>
  </si>
  <si>
    <t>CISA 271</t>
  </si>
  <si>
    <t>11001400308520160048300</t>
  </si>
  <si>
    <t xml:space="preserve">AUTO APRUEBA LIQUIDACIÓN 18-4-22 DIGITALIZACIÓN DEL EXPEDIENTE actualizacion oficios </t>
  </si>
  <si>
    <t>CISA 284</t>
  </si>
  <si>
    <t>11001400305520150157200</t>
  </si>
  <si>
    <t>Agreguese a autos INFORME 12-04-22 proceso no sustanciado</t>
  </si>
  <si>
    <t>CISA 289</t>
  </si>
  <si>
    <t>11001400304620150107300</t>
  </si>
  <si>
    <t xml:space="preserve">Auto ordena oficiar </t>
  </si>
  <si>
    <t>CISA 307</t>
  </si>
  <si>
    <t>11001400300720160033200</t>
  </si>
  <si>
    <t>Auto ordena oficiar</t>
  </si>
  <si>
    <t>CISA 381</t>
  </si>
  <si>
    <t>11001400302020150104900</t>
  </si>
  <si>
    <t>BANCO AGRARIO--JUZGADO 20 CIVIL MUNICIPAL</t>
  </si>
  <si>
    <t>CISA 383</t>
  </si>
  <si>
    <t>11001400300120150168500</t>
  </si>
  <si>
    <t>CISA 391</t>
  </si>
  <si>
    <t>11001400303220080092400</t>
  </si>
  <si>
    <t>Auto Admite Cesion de Credito C.C 14-04-22 no se genera impulso</t>
  </si>
  <si>
    <t>CISA 402</t>
  </si>
  <si>
    <t>11001400300820150108000</t>
  </si>
  <si>
    <t>REMITASE COPIA DIGITAL DEL EXPEDIENTE</t>
  </si>
  <si>
    <t>CISA 461</t>
  </si>
  <si>
    <t>11001400303420170118600</t>
  </si>
  <si>
    <t>SE ACEPTA CESION</t>
  </si>
  <si>
    <t>CISA 486</t>
  </si>
  <si>
    <t>11001400306720170145800</t>
  </si>
  <si>
    <t>Auto resuelve Solicitud</t>
  </si>
  <si>
    <t>CISA 602</t>
  </si>
  <si>
    <t>11001400304620180013000</t>
  </si>
  <si>
    <t xml:space="preserve">SE ACPETA CESION-- SE RECONOCE PERSONERIA NO SE SUSTANCIA </t>
  </si>
  <si>
    <t>IX 080</t>
  </si>
  <si>
    <t>11001400301020170075700</t>
  </si>
  <si>
    <t>TRASLADO LIQUIDACION DE CREDITO</t>
  </si>
  <si>
    <t>003 JUZGADO EJECUCIÓN</t>
  </si>
  <si>
    <t>CA 008</t>
  </si>
  <si>
    <t>11001418900720180021800</t>
  </si>
  <si>
    <t>Auto requiere.</t>
  </si>
  <si>
    <t>CISA 004</t>
  </si>
  <si>
    <t>11001400303420140054500</t>
  </si>
  <si>
    <t>Auto requiere al Banco Agrario para expedir sabana de depositos judiciales</t>
  </si>
  <si>
    <t>CISA 023</t>
  </si>
  <si>
    <t>11001400304420150112500</t>
  </si>
  <si>
    <t xml:space="preserve">Auto dcreta medida cautelar y ordena oficiar. </t>
  </si>
  <si>
    <t>CISA 056</t>
  </si>
  <si>
    <t>11001400305920080132200</t>
  </si>
  <si>
    <t xml:space="preserve">Auto resuelve solicitud </t>
  </si>
  <si>
    <t>CISA 076</t>
  </si>
  <si>
    <t>11001400306720150085800</t>
  </si>
  <si>
    <t xml:space="preserve">Traslado liquidacion credito./ 10-05-2022 Al despacho. </t>
  </si>
  <si>
    <t>CISA 080</t>
  </si>
  <si>
    <t>11001400306920150144100</t>
  </si>
  <si>
    <t xml:space="preserve">Agreguese a autos/ 08-07-2022 Al despacho.  </t>
  </si>
  <si>
    <t>CISA 084</t>
  </si>
  <si>
    <t>11001400306920150097800</t>
  </si>
  <si>
    <t>Decreta medida cautelar</t>
  </si>
  <si>
    <t>CISA 110</t>
  </si>
  <si>
    <t>11001400300520160005000.</t>
  </si>
  <si>
    <t>termina proceso por pago</t>
  </si>
  <si>
    <t>CISA 189</t>
  </si>
  <si>
    <t>11001400303320150125100</t>
  </si>
  <si>
    <t xml:space="preserve">Auto resuelve renuncia poder./ 16/06/22 remitido escritos impulso/ 30-06-2022 Termina por desistimiento y auto estarse a lo resuelto. 05-07-2022 no estamos reconocidos. </t>
  </si>
  <si>
    <t>CISA 253</t>
  </si>
  <si>
    <t>11001400301320160008000</t>
  </si>
  <si>
    <t>Se requiere a la secretaria de ejecucion para que rinda un informe detallado de titulos existentes,</t>
  </si>
  <si>
    <t>CISA 278</t>
  </si>
  <si>
    <t>11001400307020150116400</t>
  </si>
  <si>
    <t>CISA 302</t>
  </si>
  <si>
    <t>11001400301320150141800</t>
  </si>
  <si>
    <t>Auto ordena oficiar Banco Agrario</t>
  </si>
  <si>
    <t>CISA 304</t>
  </si>
  <si>
    <t>11001400301320160064500</t>
  </si>
  <si>
    <t>CISA 308</t>
  </si>
  <si>
    <t>11001400300720160005900</t>
  </si>
  <si>
    <t xml:space="preserve">Traslado liquidacion credito/ 02-05-2022 Al despacho. </t>
  </si>
  <si>
    <t>CISA 316</t>
  </si>
  <si>
    <t>11001400302220150138600</t>
  </si>
  <si>
    <t>Auto pone en conocimiento</t>
  </si>
  <si>
    <t>CISA 357</t>
  </si>
  <si>
    <t>11001400305920070124400</t>
  </si>
  <si>
    <t>CISA 365</t>
  </si>
  <si>
    <t>11001400301320150074200</t>
  </si>
  <si>
    <t xml:space="preserve">Auto requiere </t>
  </si>
  <si>
    <t>CISA 384</t>
  </si>
  <si>
    <t>11001400301420160007800</t>
  </si>
  <si>
    <t>traslado liquidacion</t>
  </si>
  <si>
    <t>CISA 403</t>
  </si>
  <si>
    <t>11001400302720150105400</t>
  </si>
  <si>
    <t xml:space="preserve">Auto modifica liquidacion de credito 21-06-22 memorial bancos y entrega de titulos/ 30-06-2022 Termina por dessitimiento/ 06-07-2022 radicado memo reposicion </t>
  </si>
  <si>
    <t>CISA 433</t>
  </si>
  <si>
    <t>11001400304620080066100</t>
  </si>
  <si>
    <t>CISA 452</t>
  </si>
  <si>
    <t>11001400300320070126501</t>
  </si>
  <si>
    <t>Auto decreta medida cautelar embargo bancos</t>
  </si>
  <si>
    <t>CISA 477</t>
  </si>
  <si>
    <t>11001400308420180010500</t>
  </si>
  <si>
    <t>CISA 493</t>
  </si>
  <si>
    <t>11001400306120170087000</t>
  </si>
  <si>
    <t>Auto requiere (foto no legible)</t>
  </si>
  <si>
    <t>CISA 519</t>
  </si>
  <si>
    <t>11001400302820170134800</t>
  </si>
  <si>
    <t>Auto pone en conocmiento</t>
  </si>
  <si>
    <t>CISA 553</t>
  </si>
  <si>
    <t>11001400300820160024700</t>
  </si>
  <si>
    <t>LO ANTERIOR EN LO DISPUESTO EN AUTO VISIBLE A FOLIO 122 Y 136</t>
  </si>
  <si>
    <t>CISA 592</t>
  </si>
  <si>
    <t>11001400304820140072200</t>
  </si>
  <si>
    <t xml:space="preserve">17-01-2023 Radicada </t>
  </si>
  <si>
    <t>ordena oficiar</t>
  </si>
  <si>
    <t>IX 052</t>
  </si>
  <si>
    <t>11001400308220170096000</t>
  </si>
  <si>
    <t xml:space="preserve">Traslado liquidacion credito. </t>
  </si>
  <si>
    <t>IX 164</t>
  </si>
  <si>
    <t>11001400306620190143100</t>
  </si>
  <si>
    <t>Auto aprueba liquidacion.</t>
  </si>
  <si>
    <t>004 JUZGADO EJECUCIÓN</t>
  </si>
  <si>
    <t>C 369</t>
  </si>
  <si>
    <t>11001400300420050065900</t>
  </si>
  <si>
    <t>Auto resuelve solicitud</t>
  </si>
  <si>
    <t>CISA 066</t>
  </si>
  <si>
    <t>11001400306420150135300</t>
  </si>
  <si>
    <t>Auto de tramite.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</si>
  <si>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</si>
  <si>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</si>
  <si>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</si>
  <si>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</si>
  <si>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</si>
  <si>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</si>
  <si>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Decreta medida cautelar,ordena oficiar</t>
  </si>
  <si>
    <t>CISA 311</t>
  </si>
  <si>
    <t>11001400303120150145100</t>
  </si>
  <si>
    <t>Auto decide recurso.</t>
  </si>
  <si>
    <t>CISA 362</t>
  </si>
  <si>
    <t>11001400303220150089300</t>
  </si>
  <si>
    <t xml:space="preserve">TERMINADO DESISTIMIENTO </t>
  </si>
  <si>
    <t>Termina Proceso por Desistimiento Tácito</t>
  </si>
  <si>
    <t>CISA 439</t>
  </si>
  <si>
    <t>11001400306220070089500</t>
  </si>
  <si>
    <t>auto de tramite</t>
  </si>
  <si>
    <t>CISA 494</t>
  </si>
  <si>
    <t>11001400304520170156700</t>
  </si>
  <si>
    <t>Auto requiere</t>
  </si>
  <si>
    <t>CISA 584</t>
  </si>
  <si>
    <t>11001400303920190048600</t>
  </si>
  <si>
    <t xml:space="preserve">11-01-2022 Radicada </t>
  </si>
  <si>
    <t>CISA 630</t>
  </si>
  <si>
    <t>11001418901520180028800</t>
  </si>
  <si>
    <t>Auto requiere 5-05-22 Radicado No. 4151-2022, No. Reloj Radicador: 02095, Entidad o Señor(a): MONICA RODRIGUEZ - Tercer Interesado, Aportó Documento: Memorial, Con La Solucitud: Terminaciones</t>
  </si>
  <si>
    <t>IX 066</t>
  </si>
  <si>
    <t>11001400307320170121000</t>
  </si>
  <si>
    <t>2022-06-09 Radicado No. 5431-2022, No. Reloj Radicador: 08341, Entidad o Señor(a): MONICA RODRIGUEZ - Tercer Interesado, Aportó Documento: Memorial, Con La Solucitud: Terminaciones, Observaciones: X PAGO</t>
  </si>
  <si>
    <t>005 JUZGADO EJECUCIÓN</t>
  </si>
  <si>
    <t>C 199A</t>
  </si>
  <si>
    <t>11001400304520150026300</t>
  </si>
  <si>
    <t xml:space="preserve">Auto ordena oficiar. 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</si>
  <si>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</si>
  <si>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</si>
  <si>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</si>
  <si>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</si>
  <si>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</si>
  <si>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</si>
  <si>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</si>
  <si>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</si>
  <si>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</si>
  <si>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</si>
  <si>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 xml:space="preserve">Auto resuelve renuncia de poder </t>
  </si>
  <si>
    <t xml:space="preserve">IX 171 </t>
  </si>
  <si>
    <t>11001418901120190113000</t>
  </si>
  <si>
    <t xml:space="preserve">Auto no tiene titulos. </t>
  </si>
  <si>
    <t>006 JUZGADO EJECUCIÓN</t>
  </si>
  <si>
    <t>CISA 024</t>
  </si>
  <si>
    <t>11001400304520160006400</t>
  </si>
  <si>
    <t>CISA 065</t>
  </si>
  <si>
    <t>11001400306420160007600</t>
  </si>
  <si>
    <t>Auto decreta medida cautelar - embargo remanentes, requerir pagadores, niega respecto entidades que ya obran rta (FIL5007) (FIL543)</t>
  </si>
  <si>
    <t>CISA 077</t>
  </si>
  <si>
    <t>11001400306720150083900</t>
  </si>
  <si>
    <t xml:space="preserve">Auto reconoce personeria </t>
  </si>
  <si>
    <t>CISA 097</t>
  </si>
  <si>
    <t>11001400307220150172000</t>
  </si>
  <si>
    <t>Auto requiere acredite que se realizo solicitudes</t>
  </si>
  <si>
    <t>CISA 108</t>
  </si>
  <si>
    <t>11001400301420160005600</t>
  </si>
  <si>
    <t>CISA 113</t>
  </si>
  <si>
    <t>11001400304120150093200</t>
  </si>
  <si>
    <t>TERMINA DESISTIMIENTO</t>
  </si>
  <si>
    <t xml:space="preserve">Auto ordena enviar proceso/ Radicado memoriales digitalación, oficios y titulos   2022-07-08 Termina Proceso por Desistimiento Tácito/ 08-07-2022 Auto no tiene en cta no esta reconocido.	</t>
  </si>
  <si>
    <t>CISA 150</t>
  </si>
  <si>
    <t>11001400303920150167200</t>
  </si>
  <si>
    <t>Auto reconoce personeria apoderada REINTEGRA</t>
  </si>
  <si>
    <t>CISA 193</t>
  </si>
  <si>
    <t>11001400301920150114001</t>
  </si>
  <si>
    <t>CISA 426</t>
  </si>
  <si>
    <t>11001400303620030159900</t>
  </si>
  <si>
    <t>Auto resuelve solicitud modifica liquidacion de credito</t>
  </si>
  <si>
    <t>CISA 448</t>
  </si>
  <si>
    <t>11001400304920070051300</t>
  </si>
  <si>
    <t>Auto aclare obligaciones, acredite vigencia</t>
  </si>
  <si>
    <t>CISA 449</t>
  </si>
  <si>
    <t>11001400303620060143600</t>
  </si>
  <si>
    <t>Auto requiere aclara el numero de las obligaciones que pretenden ceder</t>
  </si>
  <si>
    <t>CISA 524</t>
  </si>
  <si>
    <t>11001400301620180007400</t>
  </si>
  <si>
    <t>CISA 587</t>
  </si>
  <si>
    <t>11001400307420190088700</t>
  </si>
  <si>
    <t>IX 034</t>
  </si>
  <si>
    <t>11001400303520170144700</t>
  </si>
  <si>
    <t>Auto resuelve no accede a la solicitud que precede</t>
  </si>
  <si>
    <t>IX 057</t>
  </si>
  <si>
    <t>11001400302620170088600</t>
  </si>
  <si>
    <t>IX 077</t>
  </si>
  <si>
    <t>11001400307220170077000</t>
  </si>
  <si>
    <t>Auto aprueba liquidacion costas</t>
  </si>
  <si>
    <t>007 JUZGADO EJECUCIÓN</t>
  </si>
  <si>
    <t>CISA 014</t>
  </si>
  <si>
    <t>11001400303720150044100</t>
  </si>
  <si>
    <t>Auto pone en conocimiento el informe de titulos que antecede</t>
  </si>
  <si>
    <t>CISA 015</t>
  </si>
  <si>
    <t>11001400304020150183700</t>
  </si>
  <si>
    <t xml:space="preserve">Auto de tramite/01-07-2022 Se enviaron memorial juzgado, el juzgado 05-07-2022 dio rta diciendo que los datos cn correspondia pero la accion continua contra pn y la pj se sue super </t>
  </si>
  <si>
    <t>CISA 127</t>
  </si>
  <si>
    <t>11001400300620150146700</t>
  </si>
  <si>
    <t xml:space="preserve">Reconoce heredero o cesionario a REINTEGRA/07-07-2022 Al despacho con reposicion </t>
  </si>
  <si>
    <t>CISA 140</t>
  </si>
  <si>
    <t>11001400305120160010700</t>
  </si>
  <si>
    <t>OFICIESE AL BANCO AGRARIO</t>
  </si>
  <si>
    <t>CISA 149</t>
  </si>
  <si>
    <t>11001400303720160000400</t>
  </si>
  <si>
    <t>Auto pone en conocimiento informe de titulos</t>
  </si>
  <si>
    <t>CISA 190</t>
  </si>
  <si>
    <t>11001400303720150104500</t>
  </si>
  <si>
    <t>CISA 262</t>
  </si>
  <si>
    <t>11001400300720160006100</t>
  </si>
  <si>
    <t>auto pone en conocimiento</t>
  </si>
  <si>
    <t>CISA 282</t>
  </si>
  <si>
    <t>11001400305720150090401</t>
  </si>
  <si>
    <t xml:space="preserve">Auto de tramite/ 06-07-2022 Se remitio memo terminacion cisa al juzgado. </t>
  </si>
  <si>
    <t>CISA 371</t>
  </si>
  <si>
    <t>11001400302220150085600</t>
  </si>
  <si>
    <t>Auto de tramite. 2019-10-07 REMITIDO POR EL J15CM DE O DE ESTA CIUDADA POR LA OFICINA DE EJECUCIÓN CM REMITASE DE MANERA INMEDIATA LA TOTALIDAD DE ESTE EXPEDIENTE</t>
  </si>
  <si>
    <t>CISA 382</t>
  </si>
  <si>
    <t>11001400302020150112300</t>
  </si>
  <si>
    <t xml:space="preserve">Auto de tramite/ 06-07-2022 Se remitio memo terminacion cisa al juzgado/ 06-07-2021 Terminado desistimiento.  </t>
  </si>
  <si>
    <t>CISA 392</t>
  </si>
  <si>
    <t>11001400300720070127300</t>
  </si>
  <si>
    <t>auto de tramit,ordena oficiar</t>
  </si>
  <si>
    <t>CISA 450</t>
  </si>
  <si>
    <t>11001400300720070135100</t>
  </si>
  <si>
    <t>CISA 454</t>
  </si>
  <si>
    <t>11001400302220070152301</t>
  </si>
  <si>
    <t>Auto estese dispuesto al auto anterior del 14 de mayo 2021</t>
  </si>
  <si>
    <t>CISA 595</t>
  </si>
  <si>
    <t>11001400305920130143900</t>
  </si>
  <si>
    <t>Auto reconoce personeria</t>
  </si>
  <si>
    <t>CISA 614</t>
  </si>
  <si>
    <t>11001400304120190104900</t>
  </si>
  <si>
    <t xml:space="preserve">AUTO APRUEBA LIQUIDACION </t>
  </si>
  <si>
    <t>CISA 652</t>
  </si>
  <si>
    <t>11001400305520170138400</t>
  </si>
  <si>
    <t>auto reconoce heredero</t>
  </si>
  <si>
    <t>IX 054</t>
  </si>
  <si>
    <t>11001400305620170080700</t>
  </si>
  <si>
    <t>se radico recurso repocision 26/10/22</t>
  </si>
  <si>
    <t>IX 087</t>
  </si>
  <si>
    <t>11001418902420190071100</t>
  </si>
  <si>
    <t xml:space="preserve">Auto apruebas liquidacion de costas </t>
  </si>
  <si>
    <t>008 JUZGADO EJECUCIÓN</t>
  </si>
  <si>
    <t>CISA 060</t>
  </si>
  <si>
    <t>11001400306320150112400</t>
  </si>
  <si>
    <t>CISA 098</t>
  </si>
  <si>
    <t>11001400308320160015400</t>
  </si>
  <si>
    <t>auto resuelve solicitud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</si>
  <si>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</si>
  <si>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</si>
  <si>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</si>
  <si>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</si>
  <si>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</si>
  <si>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</si>
  <si>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auto requiere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</si>
  <si>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</si>
  <si>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</si>
  <si>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</si>
  <si>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</si>
  <si>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</si>
  <si>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</si>
  <si>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 xml:space="preserve">Auto admite cesión </t>
  </si>
  <si>
    <t>CISA 613</t>
  </si>
  <si>
    <t>11001400302220190000300</t>
  </si>
  <si>
    <t xml:space="preserve">AUTO RESUELVE SOLICITUD ALLEGAR CERT EXISTENCIA </t>
  </si>
  <si>
    <t>CISA 655</t>
  </si>
  <si>
    <t>11001400303720170174000</t>
  </si>
  <si>
    <t>CISA 663</t>
  </si>
  <si>
    <t>11001400305920180015700</t>
  </si>
  <si>
    <t>Auto de Trámite, 22-11-22 radicada subrogacion</t>
  </si>
  <si>
    <t>IX 008</t>
  </si>
  <si>
    <t>11001400305620170098200</t>
  </si>
  <si>
    <t>IX 046</t>
  </si>
  <si>
    <t>11001400303520170115100</t>
  </si>
  <si>
    <t xml:space="preserve">Auto termina proceso por Pago / PASA CUENTA DE COBRO </t>
  </si>
  <si>
    <t>009 JUZGADO EJECUCIÓN</t>
  </si>
  <si>
    <t>CISA 025</t>
  </si>
  <si>
    <t>11001400304520160007300</t>
  </si>
  <si>
    <t>CISA 029</t>
  </si>
  <si>
    <t>11001400300520150148000</t>
  </si>
  <si>
    <t>decreta medidas cautelares remanentes</t>
  </si>
  <si>
    <t>CISA 160</t>
  </si>
  <si>
    <t>11001400300320150139700</t>
  </si>
  <si>
    <t>Auto aprueba liquidacion de costas</t>
  </si>
  <si>
    <t>CISA 410</t>
  </si>
  <si>
    <t>11001400300920070067800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</si>
  <si>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</si>
  <si>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</si>
  <si>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</si>
  <si>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</si>
  <si>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</si>
  <si>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</si>
  <si>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</si>
  <si>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</si>
  <si>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Auto resuelve solicitud ,aceptese la cesion allegada y reconoce personeria juridica</t>
  </si>
  <si>
    <t>CISA 503</t>
  </si>
  <si>
    <t>11001400307520170166000</t>
  </si>
  <si>
    <t xml:space="preserve">Auto resuleve solicitud </t>
  </si>
  <si>
    <t>CISA 562</t>
  </si>
  <si>
    <t>11001400304720170199800</t>
  </si>
  <si>
    <t>CISA 653</t>
  </si>
  <si>
    <t>11001400308320170144500</t>
  </si>
  <si>
    <t>IX 015</t>
  </si>
  <si>
    <t>11001400300420170101900</t>
  </si>
  <si>
    <t xml:space="preserve">Auto resuelve solicitud, ordena actualizar niega ampliacion medida </t>
  </si>
  <si>
    <t>IX 060</t>
  </si>
  <si>
    <t>11001400307420170078000</t>
  </si>
  <si>
    <t>Auto termina proceso por Pago</t>
  </si>
  <si>
    <t>IX 081</t>
  </si>
  <si>
    <t>11001400305320170097700</t>
  </si>
  <si>
    <t>Auto termina proceso por pago total entrega de titulos</t>
  </si>
  <si>
    <t>010 JUZGADO EJECUCIÓN</t>
  </si>
  <si>
    <t>C 343</t>
  </si>
  <si>
    <t>11001418902020190099100</t>
  </si>
  <si>
    <t>21-06-22 SOLICITUD ENTREGA DE TITULOS</t>
  </si>
  <si>
    <t>C 053</t>
  </si>
  <si>
    <t>11001400306620080091400</t>
  </si>
  <si>
    <t>Auto agreguese a autos y requiera las partes</t>
  </si>
  <si>
    <t>CISA 003</t>
  </si>
  <si>
    <t>11001400303420150120100</t>
  </si>
  <si>
    <t>auto ordena oficiar</t>
  </si>
  <si>
    <t>CISA 016</t>
  </si>
  <si>
    <t>11001400304020150143200</t>
  </si>
  <si>
    <t>CISA 032</t>
  </si>
  <si>
    <t>11001400305120150105700</t>
  </si>
  <si>
    <t>TERMINADO ART.317</t>
  </si>
  <si>
    <t>CISA 036</t>
  </si>
  <si>
    <t>11001400305320150114000</t>
  </si>
  <si>
    <t>CISA 039</t>
  </si>
  <si>
    <t>11001400305420150033000</t>
  </si>
  <si>
    <t>AUTO RESUELVE SOLICITUD,MODIFICA Y APRUEBA LIQUIDACION ,DECRETA MEDIDA CAUTELAR</t>
  </si>
  <si>
    <t>CISA 040</t>
  </si>
  <si>
    <t>11001400306520150045100</t>
  </si>
  <si>
    <t>CISA 103</t>
  </si>
  <si>
    <t>11001400305320150074900.</t>
  </si>
  <si>
    <t>CISA 151</t>
  </si>
  <si>
    <t>11001400304120150153100.</t>
  </si>
  <si>
    <t>auto requiere y ordena oficiar</t>
  </si>
  <si>
    <t>CISA 184</t>
  </si>
  <si>
    <t>11001400304920160004900</t>
  </si>
  <si>
    <t>reconoce heredero o cesionario.</t>
  </si>
  <si>
    <t>CISA 256</t>
  </si>
  <si>
    <t>11001400302720150130200</t>
  </si>
  <si>
    <t>Auto requiere parte demandante proceda adjuntar liquidacion legible</t>
  </si>
  <si>
    <t>CISA 283</t>
  </si>
  <si>
    <t>11001400305620160031200</t>
  </si>
  <si>
    <t>CISA 333</t>
  </si>
  <si>
    <t>11001400304120150111900</t>
  </si>
  <si>
    <t>Auto ordena enviar proceso</t>
  </si>
  <si>
    <t>CISA 409</t>
  </si>
  <si>
    <t>11001400300920020189400</t>
  </si>
  <si>
    <t>CISA 438</t>
  </si>
  <si>
    <t>11001400304020080160800</t>
  </si>
  <si>
    <t xml:space="preserve">Auto decreta medida cautelar/ 26-05-2022 Auto termina por desistimiento. 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</si>
  <si>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</si>
  <si>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</si>
  <si>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</si>
  <si>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</si>
  <si>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</si>
  <si>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</si>
  <si>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 xml:space="preserve">AUTO PONE EN CONOCIMIENTO </t>
  </si>
  <si>
    <t>CISA 645</t>
  </si>
  <si>
    <t>11001400304020180077000</t>
  </si>
  <si>
    <t xml:space="preserve">AUTO RECONOCE HEREDERO O CESIONARIO </t>
  </si>
  <si>
    <t>011 JUZGADO EJECUCIÓN</t>
  </si>
  <si>
    <t>C 325</t>
  </si>
  <si>
    <t>11001400307920180099200</t>
  </si>
  <si>
    <t>Auto requiere 21-06-22 REQUERIR PAGADOR - MEDIDA CAUTELAR</t>
  </si>
  <si>
    <t>CISA 031</t>
  </si>
  <si>
    <t>11001400305120150136800</t>
  </si>
  <si>
    <t>CISA 045</t>
  </si>
  <si>
    <t>CISA 112</t>
  </si>
  <si>
    <t>11001400307720160000900</t>
  </si>
  <si>
    <t xml:space="preserve">Auto pone en conocimiento informe </t>
  </si>
  <si>
    <t>CISA 161</t>
  </si>
  <si>
    <t>11001400304420150108400</t>
  </si>
  <si>
    <t xml:space="preserve">Auto decreta medida cautela, requiere a las partes. </t>
  </si>
  <si>
    <t>CISA 259</t>
  </si>
  <si>
    <t>11001400303120160003700</t>
  </si>
  <si>
    <t xml:space="preserve">traslado liquidacion credito, </t>
  </si>
  <si>
    <t>CISA 260</t>
  </si>
  <si>
    <t>11001400303220160004200</t>
  </si>
  <si>
    <t>CISA 285</t>
  </si>
  <si>
    <t>11001400305320150090200</t>
  </si>
  <si>
    <t>CISA 348</t>
  </si>
  <si>
    <t>11001400306220150074300</t>
  </si>
  <si>
    <t>CISA 363</t>
  </si>
  <si>
    <t>11001400303320150136800</t>
  </si>
  <si>
    <t>auto ordena entregar titulos</t>
  </si>
  <si>
    <t>CISA 476</t>
  </si>
  <si>
    <t>11001400307820170123300</t>
  </si>
  <si>
    <t>Auto aprueba liquidacion de credito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</si>
  <si>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</si>
  <si>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</si>
  <si>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</si>
  <si>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</si>
  <si>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</si>
  <si>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</si>
  <si>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</si>
  <si>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</si>
  <si>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 xml:space="preserve">Auto decide recurso no revoca </t>
  </si>
  <si>
    <t>IX 075</t>
  </si>
  <si>
    <t>11001400302020170115200</t>
  </si>
  <si>
    <t>auto aprueba liquidacion</t>
  </si>
  <si>
    <t>012 JUZGADO EJECUCIÓN</t>
  </si>
  <si>
    <t>C 291</t>
  </si>
  <si>
    <t>11001400300720180115100</t>
  </si>
  <si>
    <t>C 908</t>
  </si>
  <si>
    <t>11001400301219950102500</t>
  </si>
  <si>
    <t>CISA 061</t>
  </si>
  <si>
    <t>11001400306820090054900</t>
  </si>
  <si>
    <t>2022-04-01 Auto decreta medida cautelar</t>
  </si>
  <si>
    <t>CISA 064</t>
  </si>
  <si>
    <t>11001400306420150169100</t>
  </si>
  <si>
    <t>TERMINADO ART 317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</si>
  <si>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</si>
  <si>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</si>
  <si>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</si>
  <si>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</si>
  <si>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</si>
  <si>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</si>
  <si>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Auto ordena entregar titulos</t>
  </si>
  <si>
    <t>CISA 313</t>
  </si>
  <si>
    <t>11001400306820150080300</t>
  </si>
  <si>
    <t>Auto requiere Banco Agrario titulos</t>
  </si>
  <si>
    <t>CISA 337</t>
  </si>
  <si>
    <t>11001400302820150148700</t>
  </si>
  <si>
    <t>CISA 358</t>
  </si>
  <si>
    <t>11001400306820080024100</t>
  </si>
  <si>
    <t>Auto ordena practicar liquidacion y ordena comision</t>
  </si>
  <si>
    <t>CISA 376</t>
  </si>
  <si>
    <t>11001400300320150122100</t>
  </si>
  <si>
    <t>CISA 394</t>
  </si>
  <si>
    <t>11001400302720080052800</t>
  </si>
  <si>
    <t>Auto admite cesion de credito</t>
  </si>
  <si>
    <t>CISA 421</t>
  </si>
  <si>
    <t>11001400302720070082900</t>
  </si>
  <si>
    <t>CISA 427</t>
  </si>
  <si>
    <t>11001400303620050087300</t>
  </si>
  <si>
    <t>CISA 610</t>
  </si>
  <si>
    <t>11001400300220180021500</t>
  </si>
  <si>
    <t>AUTO SUSPENDE PROCESO</t>
  </si>
  <si>
    <t>CISA 621</t>
  </si>
  <si>
    <t>11001400305820190019700</t>
  </si>
  <si>
    <t>CISA 629</t>
  </si>
  <si>
    <t>11001400306820160108900</t>
  </si>
  <si>
    <t>FNA 020</t>
  </si>
  <si>
    <t>11001400303620120039800</t>
  </si>
  <si>
    <t>Auto ordena practicar liquidacion</t>
  </si>
  <si>
    <t>IX 053</t>
  </si>
  <si>
    <t>11001400303620170083900</t>
  </si>
  <si>
    <t>IX 219</t>
  </si>
  <si>
    <t>11001418900820190137600</t>
  </si>
  <si>
    <t>A la oficina de ejecucion por reparto</t>
  </si>
  <si>
    <t>013 JUZGADO EJECUCIÓN</t>
  </si>
  <si>
    <t>C 126 A</t>
  </si>
  <si>
    <t>11001400305120080069000</t>
  </si>
  <si>
    <t>Auto de tramite actualizar despacho comisorio</t>
  </si>
  <si>
    <t>CISA 012</t>
  </si>
  <si>
    <t>11001400303720150120700</t>
  </si>
  <si>
    <t>CISA 020</t>
  </si>
  <si>
    <t>11001400304220150054400</t>
  </si>
  <si>
    <t>CISA 082</t>
  </si>
  <si>
    <t>11001400306920150140700</t>
  </si>
  <si>
    <t>Auto termina proceso por pago,pago termina proceso parcial de la obligacion</t>
  </si>
  <si>
    <t>CISA 089</t>
  </si>
  <si>
    <t>11001400307220160012000</t>
  </si>
  <si>
    <t>CISA 139</t>
  </si>
  <si>
    <t>11001400306120150113000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</si>
  <si>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</si>
  <si>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</si>
  <si>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</si>
  <si>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</si>
  <si>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</si>
  <si>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</si>
  <si>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</si>
  <si>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</si>
  <si>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</si>
  <si>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</si>
  <si>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</si>
  <si>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</si>
  <si>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FNA 033</t>
  </si>
  <si>
    <t>11001400305120120062900</t>
  </si>
  <si>
    <t xml:space="preserve">24-05-2022 Proceso desarchivado - Pagar desglose garantias. / 08-07-2022 radicado memorial fredy </t>
  </si>
  <si>
    <t>IX 059</t>
  </si>
  <si>
    <t>11001400303120170074500</t>
  </si>
  <si>
    <t>TRASLADO RECURSO DE APELACION</t>
  </si>
  <si>
    <t>IX 029</t>
  </si>
  <si>
    <t>11001400302520170124300</t>
  </si>
  <si>
    <t>Auto modifica liquidacion de credito</t>
  </si>
  <si>
    <t>014 JUZGADO EJECUCIÓN</t>
  </si>
  <si>
    <t>C 311</t>
  </si>
  <si>
    <t>11001400306920180020000</t>
  </si>
  <si>
    <t>Elaboracion despacho comisorio 21-06-22 EVIADO MEMORIAL MEDIDA CAUTELAR INMUEBLE</t>
  </si>
  <si>
    <t>CA 004</t>
  </si>
  <si>
    <t>11001400302020170098800</t>
  </si>
  <si>
    <t>Auto aprueba liquidacion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</si>
  <si>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</si>
  <si>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</si>
  <si>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</si>
  <si>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</si>
  <si>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</si>
  <si>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</si>
  <si>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</si>
  <si>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</si>
  <si>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483</t>
  </si>
  <si>
    <t>11001400305520170139700</t>
  </si>
  <si>
    <t>CISA 600</t>
  </si>
  <si>
    <t>11001400303020160051700</t>
  </si>
  <si>
    <t>015 JUZGADO EJECUCIÓN</t>
  </si>
  <si>
    <t>CISA 010</t>
  </si>
  <si>
    <t>11001400303620160008800</t>
  </si>
  <si>
    <t>CISA 062</t>
  </si>
  <si>
    <t>11001400306320150073900</t>
  </si>
  <si>
    <t>Termina por desistimiento tacito. 13-06-22 AL DESPACHO CON REPOSICION</t>
  </si>
  <si>
    <t>CISA 063</t>
  </si>
  <si>
    <t>11001400306320150052300</t>
  </si>
  <si>
    <t>CISA 115</t>
  </si>
  <si>
    <t>11001400300620150069100</t>
  </si>
  <si>
    <t xml:space="preserve">Auto no tiene en cuenta liquidacion. </t>
  </si>
  <si>
    <t>CISA 142</t>
  </si>
  <si>
    <t>11001400305720150151900</t>
  </si>
  <si>
    <t xml:space="preserve">Termina por desistimiento tacito. </t>
  </si>
  <si>
    <t>CISA 275</t>
  </si>
  <si>
    <t>11001400307420160041000</t>
  </si>
  <si>
    <t>CISA 291</t>
  </si>
  <si>
    <t>11001400304020160001700</t>
  </si>
  <si>
    <t>resuelve renuncia poder</t>
  </si>
  <si>
    <t>CISA 299</t>
  </si>
  <si>
    <t>11001400302420150180000</t>
  </si>
  <si>
    <t>Reconoce personeria</t>
  </si>
  <si>
    <t>CISA 423</t>
  </si>
  <si>
    <t>11001400303020070033100</t>
  </si>
  <si>
    <t xml:space="preserve"> Auto reconoce personeria</t>
  </si>
  <si>
    <t>CISA 432</t>
  </si>
  <si>
    <t>11001400304520060154000</t>
  </si>
  <si>
    <t>CISA 434</t>
  </si>
  <si>
    <t>11001400304820050121300</t>
  </si>
  <si>
    <t>CISA 436</t>
  </si>
  <si>
    <t>11001400305220080099800</t>
  </si>
  <si>
    <t xml:space="preserve">Auto termina por dessitimiento. 14-06-2022 recurso reposicion y al despacho </t>
  </si>
  <si>
    <t>CISA 469</t>
  </si>
  <si>
    <t>11001400372020180014300</t>
  </si>
  <si>
    <t xml:space="preserve">Corrige auto cesión </t>
  </si>
  <si>
    <t>CISA 513</t>
  </si>
  <si>
    <t>11001400302220180020700</t>
  </si>
  <si>
    <t>IX 071</t>
  </si>
  <si>
    <t>11001400303220170095400</t>
  </si>
  <si>
    <t>NIEGA MEDIDAS CAUTELARES</t>
  </si>
  <si>
    <t>016 JUZGADO EJECUCIÓN</t>
  </si>
  <si>
    <t>C 190</t>
  </si>
  <si>
    <t>11001400301620140080800</t>
  </si>
  <si>
    <t xml:space="preserve">Archivo definitivo/ 07-07-2022 Se debe solicitar desarchive proceso judicial. </t>
  </si>
  <si>
    <t>CISA 002</t>
  </si>
  <si>
    <t>11001400303420150128400</t>
  </si>
  <si>
    <t>CISA 143</t>
  </si>
  <si>
    <t>11001400305720160008200</t>
  </si>
  <si>
    <t>CISA 188</t>
  </si>
  <si>
    <t>11001400300620150057100</t>
  </si>
  <si>
    <t>CISA 301</t>
  </si>
  <si>
    <t>11001400301620160000400</t>
  </si>
  <si>
    <t>decrteta medida cautelar</t>
  </si>
  <si>
    <t>CISA 373</t>
  </si>
  <si>
    <t>11001400302420150134100</t>
  </si>
  <si>
    <t>Traslado liquidacion de credito</t>
  </si>
  <si>
    <t>CISA 377</t>
  </si>
  <si>
    <t>11001400301020150099600</t>
  </si>
  <si>
    <t>CISA 406</t>
  </si>
  <si>
    <t>11001400300120060064500</t>
  </si>
  <si>
    <t>CISA 435</t>
  </si>
  <si>
    <t>11001400305220070039600</t>
  </si>
  <si>
    <t>CISA 523</t>
  </si>
  <si>
    <t>11001400304620170136300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</si>
  <si>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</si>
  <si>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</si>
  <si>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</si>
  <si>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</si>
  <si>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</si>
  <si>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</si>
  <si>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</si>
  <si>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</si>
  <si>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</si>
  <si>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</si>
  <si>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IX 004</t>
  </si>
  <si>
    <t>11001400302920170087700</t>
  </si>
  <si>
    <t>IX 076</t>
  </si>
  <si>
    <t>11001400307020170053200</t>
  </si>
  <si>
    <t>017 JUZGADO EJECUCIÓN</t>
  </si>
  <si>
    <t>C 317</t>
  </si>
  <si>
    <t>11001400308520180066200</t>
  </si>
  <si>
    <t>CISA 183</t>
  </si>
  <si>
    <t>11001400308120160023100</t>
  </si>
  <si>
    <t>se radico existencia titulos 25/10/2022</t>
  </si>
  <si>
    <t>CISA 398</t>
  </si>
  <si>
    <t>11001400302920150042301</t>
  </si>
  <si>
    <t>CISA 424</t>
  </si>
  <si>
    <t>11001400301120070191600</t>
  </si>
  <si>
    <t>CISA 440</t>
  </si>
  <si>
    <t>11001400306520050115700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</si>
  <si>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</si>
  <si>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</si>
  <si>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</si>
  <si>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</si>
  <si>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</si>
  <si>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</si>
  <si>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 xml:space="preserve">Auto pone en conocmiento. 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</si>
  <si>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</si>
  <si>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</si>
  <si>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</si>
  <si>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</si>
  <si>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</si>
  <si>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</si>
  <si>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Agreguese a autos</t>
  </si>
  <si>
    <t>CISA 578</t>
  </si>
  <si>
    <t>11001400302920180007700</t>
  </si>
  <si>
    <t xml:space="preserve">Auto admite cesión de credito </t>
  </si>
  <si>
    <t>CISA 581</t>
  </si>
  <si>
    <t>11001400304320190041400</t>
  </si>
  <si>
    <t>IX 017</t>
  </si>
  <si>
    <t>11001400302420170117600</t>
  </si>
  <si>
    <t>Auto de Trámite (FIL543) APORTAR NOTA DE VIGENCIA DE ESCRITURA/ SOLICITADA VIA WHATS APP</t>
  </si>
  <si>
    <t>IX 035</t>
  </si>
  <si>
    <t>11001400301520170134100</t>
  </si>
  <si>
    <t>IX 240</t>
  </si>
  <si>
    <t>11001400308020190130100</t>
  </si>
  <si>
    <t>018 JUZGADO EJECUCIÓN</t>
  </si>
  <si>
    <t>CISA 008</t>
  </si>
  <si>
    <t>11001400303520150085701</t>
  </si>
  <si>
    <t>CISA 058</t>
  </si>
  <si>
    <t>11001400306020150108800</t>
  </si>
  <si>
    <t>Auto ordena oficiar/ transito - Banco Agrario</t>
  </si>
  <si>
    <t>CISA 105</t>
  </si>
  <si>
    <t>11001400305220150104300</t>
  </si>
  <si>
    <t>CISA 294</t>
  </si>
  <si>
    <t>11001400303520160050100</t>
  </si>
  <si>
    <t>CISA 334</t>
  </si>
  <si>
    <t>11001400306820160004800</t>
  </si>
  <si>
    <t>CISA 356</t>
  </si>
  <si>
    <t>11001400304420080017000</t>
  </si>
  <si>
    <t>CISA 374</t>
  </si>
  <si>
    <t>11001400301120150169700</t>
  </si>
  <si>
    <t>CISA 385</t>
  </si>
  <si>
    <t>11001400303420160001200</t>
  </si>
  <si>
    <t>Aprueba liquidacion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</si>
  <si>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</si>
  <si>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</si>
  <si>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</si>
  <si>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</si>
  <si>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</si>
  <si>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</si>
  <si>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Auto resuleve solicitud</t>
  </si>
  <si>
    <t>CISA 550</t>
  </si>
  <si>
    <t>11001400301820180014600</t>
  </si>
  <si>
    <t>CISA 618</t>
  </si>
  <si>
    <t>11001400304120190102200</t>
  </si>
  <si>
    <t xml:space="preserve">AUTO APRUEBA LIQUIDACIÓN </t>
  </si>
  <si>
    <t>IX 007</t>
  </si>
  <si>
    <t>11001400306320170091300</t>
  </si>
  <si>
    <t>decretra memdiada cautelar</t>
  </si>
  <si>
    <t>019 JUZGADO EJECUCIÓN</t>
  </si>
  <si>
    <t>C 274</t>
  </si>
  <si>
    <t>11001400306620160129600</t>
  </si>
  <si>
    <t>CA 002</t>
  </si>
  <si>
    <t>11001400307520180028900</t>
  </si>
  <si>
    <t>REQUIERE CUMPLIR ART.43 NUM.3° CGP</t>
  </si>
  <si>
    <t>CISA 057</t>
  </si>
  <si>
    <t>11001400306020150053800</t>
  </si>
  <si>
    <t>Desestimiento tacito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</si>
  <si>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</si>
  <si>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</si>
  <si>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</si>
  <si>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</si>
  <si>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</si>
  <si>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</si>
  <si>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094</t>
  </si>
  <si>
    <t>11001400300920150047400</t>
  </si>
  <si>
    <t xml:space="preserve">Termina por desistmiento tacito. 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</si>
  <si>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</si>
  <si>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</si>
  <si>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</si>
  <si>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</si>
  <si>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</si>
  <si>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</si>
  <si>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</si>
  <si>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</si>
  <si>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</si>
  <si>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</si>
  <si>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Auto Ordena oficiar</t>
  </si>
  <si>
    <t>CISA 317</t>
  </si>
  <si>
    <t>11001400302220150169800</t>
  </si>
  <si>
    <t xml:space="preserve">Fija en listas para traslado credito/ 21-06-2022 Al despacho </t>
  </si>
  <si>
    <t>CISA 475</t>
  </si>
  <si>
    <t>11001400305720180015400</t>
  </si>
  <si>
    <t>PREVIO RESOLVER SOLICITUD REQUIERE ALLEGAR CERT.REP.LEGAL VIGENTE</t>
  </si>
  <si>
    <t>CISA 564</t>
  </si>
  <si>
    <t>11001400303320170053800</t>
  </si>
  <si>
    <t>Auto requiere	REQUIERE ACLARE PETICION</t>
  </si>
  <si>
    <t>CISA 579</t>
  </si>
  <si>
    <t>11001400302520180018700</t>
  </si>
  <si>
    <t xml:space="preserve">TERMINA DESISTIMIENTO </t>
  </si>
  <si>
    <t>CISA 599</t>
  </si>
  <si>
    <t>11001400303020180005100</t>
  </si>
  <si>
    <t>CISA 649</t>
  </si>
  <si>
    <t>11001400303520170130500</t>
  </si>
  <si>
    <t>ORDENA OFICIAR</t>
  </si>
  <si>
    <t>020 JUZGADO EJECUCIÓN</t>
  </si>
  <si>
    <t>CA 327</t>
  </si>
  <si>
    <t>11001400305620170045300</t>
  </si>
  <si>
    <t>Auto acepta renuncia Omar Luque</t>
  </si>
  <si>
    <t>CISA 011</t>
  </si>
  <si>
    <t>11001400303620150116800</t>
  </si>
  <si>
    <t>Auto decreta medida cautelar y ordena oficiar</t>
  </si>
  <si>
    <t>CISA 042</t>
  </si>
  <si>
    <t>11001400305420150045700</t>
  </si>
  <si>
    <t>CISA 067</t>
  </si>
  <si>
    <t xml:space="preserve">Auto ordena oficiar/ 06-06-2022 memorial digitalización, certificado existencia y representacion legal/ remitido correo electronico a cisa cesion y poder.  </t>
  </si>
  <si>
    <t>CISA 069</t>
  </si>
  <si>
    <t>11001400306520150052100</t>
  </si>
  <si>
    <t>Auto resuelve correcion de providencia</t>
  </si>
  <si>
    <t>CISA 070</t>
  </si>
  <si>
    <t>11001400306520150058700</t>
  </si>
  <si>
    <t>Auto estarse a lo dispuesto y ordena expedir copias</t>
  </si>
  <si>
    <t>CISA 073</t>
  </si>
  <si>
    <t>11001400306520150079700</t>
  </si>
  <si>
    <t>CISA 106</t>
  </si>
  <si>
    <t>11001400304620150148600</t>
  </si>
  <si>
    <t xml:space="preserve">Auto odena oficiar, decreta medida. </t>
  </si>
  <si>
    <t>CISA 121</t>
  </si>
  <si>
    <t>11001400303620160006800</t>
  </si>
  <si>
    <t>CISA 154</t>
  </si>
  <si>
    <t>11001400302620150115300</t>
  </si>
  <si>
    <t xml:space="preserve">Auto decide recurso, repone para revocar.  </t>
  </si>
  <si>
    <t>CISA 267</t>
  </si>
  <si>
    <t>11001400308220160005400</t>
  </si>
  <si>
    <t xml:space="preserve">Auto estarse a lo dispuesta auto anterior. </t>
  </si>
  <si>
    <t>CISA 415</t>
  </si>
  <si>
    <t>11001400301820070003100</t>
  </si>
  <si>
    <t>CISA 462</t>
  </si>
  <si>
    <t>11001400304320180042000</t>
  </si>
  <si>
    <t xml:space="preserve">Auto modifica liquidacion de credito </t>
  </si>
  <si>
    <t>CISA 603</t>
  </si>
  <si>
    <t>11001400301320150036600</t>
  </si>
  <si>
    <t>Auto estese a lo dispuesto en auto anterio</t>
  </si>
  <si>
    <t>IX 256</t>
  </si>
  <si>
    <t>11001400302920170092100</t>
  </si>
  <si>
    <t>CISA 586</t>
  </si>
  <si>
    <t>11001310300320190053000</t>
  </si>
  <si>
    <t>CISA 582</t>
  </si>
  <si>
    <t>11001310300220190024500</t>
  </si>
  <si>
    <t>11001310300220190066000</t>
  </si>
  <si>
    <t>11001310300720210007400</t>
  </si>
  <si>
    <t>CISA 617</t>
  </si>
  <si>
    <t>11001310302920220001000</t>
  </si>
  <si>
    <t>014 JUZGADO CIVIL CIRCUITO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</si>
  <si>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</si>
  <si>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</si>
  <si>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</si>
  <si>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</si>
  <si>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</si>
  <si>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</si>
  <si>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</si>
  <si>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</si>
  <si>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</si>
  <si>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>11001311000720180079900</t>
  </si>
  <si>
    <t>11001311000820160014000</t>
  </si>
  <si>
    <t>11001311001820180094300</t>
  </si>
  <si>
    <t>11001311001520050106800</t>
  </si>
  <si>
    <t>11001310501519940523500</t>
  </si>
  <si>
    <t>11001310500320190067200</t>
  </si>
  <si>
    <t>11001310502820190010700</t>
  </si>
  <si>
    <t>11001310503720180055600</t>
  </si>
  <si>
    <t>11001310503620170030500</t>
  </si>
  <si>
    <t>11001311000820190110800</t>
  </si>
  <si>
    <t>11001311001419930056100</t>
  </si>
  <si>
    <t>41001418900320210045800</t>
  </si>
  <si>
    <t>08296408900120190029100</t>
  </si>
  <si>
    <t>73001310300420200020800</t>
  </si>
  <si>
    <t>25307400300320110026900</t>
  </si>
  <si>
    <t>11001400305220200001900</t>
  </si>
  <si>
    <t>11001400307120170090700</t>
  </si>
  <si>
    <t>11001310301720180009000</t>
  </si>
  <si>
    <t>11001310300120150046100</t>
  </si>
  <si>
    <t>59 CIVIL MUNICIPAL DE BOGOTÁ D.C.</t>
  </si>
  <si>
    <t>CISA 050</t>
  </si>
  <si>
    <t>11001400305920150148900</t>
  </si>
  <si>
    <t>CISA 526</t>
  </si>
  <si>
    <t>11001310302120180007600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</si>
  <si>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</si>
  <si>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</si>
  <si>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</si>
  <si>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</si>
  <si>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</si>
  <si>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</si>
  <si>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11001400304220170100700</t>
  </si>
  <si>
    <t>CISA 551</t>
  </si>
  <si>
    <t>11001400304620190041300</t>
  </si>
  <si>
    <t>035 JUZGADO CIVIL CIRCUITO</t>
  </si>
  <si>
    <t>CISA 239</t>
  </si>
  <si>
    <t>11001310303520160011600</t>
  </si>
  <si>
    <t>CISA 675</t>
  </si>
  <si>
    <t>11001310303520190063800</t>
  </si>
  <si>
    <t>11001400303420210091100</t>
  </si>
  <si>
    <t>11001400302820200065000</t>
  </si>
  <si>
    <t>27 CIVIL MUNICIPAL DE BOGOTÁ D.C.</t>
  </si>
  <si>
    <t>CISA 404</t>
  </si>
  <si>
    <t>11001400302720150089800</t>
  </si>
  <si>
    <t>11001400306920180091300</t>
  </si>
  <si>
    <t>11001400306820170158500</t>
  </si>
  <si>
    <t>03 CIVIL MUNICIPAL DE BOGOTÁ D.C.</t>
  </si>
  <si>
    <t>CISA 345</t>
  </si>
  <si>
    <t>11001400300320150157200</t>
  </si>
  <si>
    <t>11001400300320170042700</t>
  </si>
  <si>
    <t>CISA 641</t>
  </si>
  <si>
    <t>11001400300320190015200</t>
  </si>
  <si>
    <t>CISA 661</t>
  </si>
  <si>
    <t>11001310302620170070900</t>
  </si>
  <si>
    <t>11001310302620220020500</t>
  </si>
  <si>
    <t>CISA 460</t>
  </si>
  <si>
    <t>11001310303120170063100</t>
  </si>
  <si>
    <t>CISA 473</t>
  </si>
  <si>
    <t>11001310303120180018500</t>
  </si>
  <si>
    <t>41 CIVIL DE CIRCUITO</t>
  </si>
  <si>
    <t>CISA 478</t>
  </si>
  <si>
    <t>11001310304120170065300</t>
  </si>
  <si>
    <t>CISA 639</t>
  </si>
  <si>
    <t>11001310304120180024200</t>
  </si>
  <si>
    <t>11001400306520220123800</t>
  </si>
  <si>
    <t>CISA 596</t>
  </si>
  <si>
    <t>11001310304020190034300</t>
  </si>
  <si>
    <t xml:space="preserve">050 CIVIL MUNICIPAL DE BOGOTÁ D.C. </t>
  </si>
  <si>
    <t>CISA 496</t>
  </si>
  <si>
    <t>11001400308620170116000</t>
  </si>
  <si>
    <t>CISA 640</t>
  </si>
  <si>
    <t>11001400305020190028700</t>
  </si>
  <si>
    <t>CISA 504</t>
  </si>
  <si>
    <t>11001310303720170049100</t>
  </si>
  <si>
    <t>CISA 569</t>
  </si>
  <si>
    <t>11001400307920190113100</t>
  </si>
  <si>
    <t>CISA 622</t>
  </si>
  <si>
    <t>11001418903320190035000</t>
  </si>
  <si>
    <t>11001418902420220040600</t>
  </si>
  <si>
    <t xml:space="preserve">017 CIVIL MUNICIPAL DE DESCONGESTION </t>
  </si>
  <si>
    <t>CISA 085</t>
  </si>
  <si>
    <t>11001400307020150006200</t>
  </si>
  <si>
    <t>11001418900720190017700</t>
  </si>
  <si>
    <t>11001418900720190076200</t>
  </si>
  <si>
    <t>11001418900720190035000</t>
  </si>
  <si>
    <t>11001418900720190128100</t>
  </si>
  <si>
    <t>CISA 615</t>
  </si>
  <si>
    <t>11001418900720190221400</t>
  </si>
  <si>
    <t>CISA 021</t>
  </si>
  <si>
    <t>CISA 041</t>
  </si>
  <si>
    <t>CISA 120</t>
  </si>
  <si>
    <t>CISA 240</t>
  </si>
  <si>
    <t>CISA 251</t>
  </si>
  <si>
    <t>CISA 465</t>
  </si>
  <si>
    <t>CISA 479</t>
  </si>
  <si>
    <t>CISA 489</t>
  </si>
  <si>
    <t>CISA 495</t>
  </si>
  <si>
    <t>CISA 497</t>
  </si>
  <si>
    <t>CISA 501</t>
  </si>
  <si>
    <t>CISA 506</t>
  </si>
  <si>
    <t>CISA 511</t>
  </si>
  <si>
    <t>CISA 520</t>
  </si>
  <si>
    <t>CISA 525</t>
  </si>
  <si>
    <t>CISA 531</t>
  </si>
  <si>
    <t>CISA 535</t>
  </si>
  <si>
    <t>CISA 536</t>
  </si>
  <si>
    <t>CISA 539</t>
  </si>
  <si>
    <t>CISA 541</t>
  </si>
  <si>
    <t>CISA 542</t>
  </si>
  <si>
    <t>CISA 543</t>
  </si>
  <si>
    <t>CISA 546</t>
  </si>
  <si>
    <t>CISA 548</t>
  </si>
  <si>
    <t>CISA 549</t>
  </si>
  <si>
    <t>CISA 575</t>
  </si>
  <si>
    <t>CISA 604</t>
  </si>
  <si>
    <t>CISA 611</t>
  </si>
  <si>
    <t>CISA 679</t>
  </si>
  <si>
    <t>CISA 680</t>
  </si>
  <si>
    <t>CISA 681</t>
  </si>
  <si>
    <t>CISA 682</t>
  </si>
  <si>
    <t>11001310300820150047900</t>
  </si>
  <si>
    <t>11001310302720170079900</t>
  </si>
  <si>
    <t>CISA 651</t>
  </si>
  <si>
    <t>Auto reconoce personería CARLOS ARTURO ARIZA MARIN</t>
  </si>
  <si>
    <t>Auto resuelve Solicitud AUTO NIEGA ACTUALZACION DE OFICIO</t>
  </si>
  <si>
    <t>se radico memorial 06/02/23</t>
  </si>
  <si>
    <t>SUPERINTENDENCIA DE SOCIEDADES AUTO RESUELVE SOLICITUD</t>
  </si>
  <si>
    <t>NO SE HA IMPULSADO OJO</t>
  </si>
  <si>
    <t>2022-12-14	Movimiento expediente</t>
  </si>
  <si>
    <t>Traslado liquidación de crédito Art.446 CGP</t>
  </si>
  <si>
    <t>2022-11-09 Recepción memorial</t>
  </si>
  <si>
    <t>2023-01-18 Al despacho</t>
  </si>
  <si>
    <t>2022-11-18 Recepción memorial</t>
  </si>
  <si>
    <t>73001312100120210023800</t>
  </si>
  <si>
    <t>Proceso Inactivo INACTIVO PAQUETE 4</t>
  </si>
  <si>
    <t xml:space="preserve">	ENTIDAD EXTERNA</t>
  </si>
  <si>
    <t>ARCHIVO</t>
  </si>
  <si>
    <t>Auto terminación por Desistimiento Tácito ley 1194/2008</t>
  </si>
  <si>
    <t>Auto Admite Cesion de Credito C.C</t>
  </si>
  <si>
    <t>AUTO DECLARA ILEGALIDAD DE PROVIDENCIA</t>
  </si>
  <si>
    <t>11001400306520210078500</t>
  </si>
  <si>
    <t>se envia a cisa solicitud</t>
  </si>
  <si>
    <t>AUTO RESULEVE RENUNCIA DE PODER</t>
  </si>
  <si>
    <t>ENTIDAD EXTERNA</t>
  </si>
  <si>
    <t>se radico memoriales 27/08/23</t>
  </si>
  <si>
    <t>SIN DOCUMENTOS CISA</t>
  </si>
  <si>
    <t>AUTO RESUELVE ACTUALIZACION DE CRÉDITO</t>
  </si>
  <si>
    <t>se radico memorial 16/03/23</t>
  </si>
  <si>
    <t>REQUIERE</t>
  </si>
  <si>
    <t>Auto modifica liquidación de crédito</t>
  </si>
  <si>
    <t>2023-02-14 Al despacho</t>
  </si>
  <si>
    <t>Auto de Trámite</t>
  </si>
  <si>
    <t>SE ACEPTA SUBROGACION</t>
  </si>
  <si>
    <t>Auto resuelve Solicitud	niega solicitud, liquide credito</t>
  </si>
  <si>
    <t xml:space="preserve">AUTO ESTARSE A LO DISPUESTO AUTO ANTERIOR </t>
  </si>
  <si>
    <t xml:space="preserve">AUTO RECONOCE PERSONERIA ALLEGAR COPIA LEGIBLE SUBROGACIÓN </t>
  </si>
  <si>
    <t xml:space="preserve">AUTO RESUELVE SOLICITUD REMANENTES 46 CTO </t>
  </si>
  <si>
    <t>AUTO PONE EN CONOCIMIENTO CERTIFICADO CAMARA DE COMERCIO AECSA S.A.S</t>
  </si>
  <si>
    <t>11001310300820140035800</t>
  </si>
  <si>
    <t>Auto decreta medida cautela</t>
  </si>
  <si>
    <t>11001310302920220038700</t>
  </si>
  <si>
    <t>11001400302120220021200</t>
  </si>
  <si>
    <t>11001418904220230010400</t>
  </si>
  <si>
    <t>NUMERO DE RADICACION</t>
  </si>
  <si>
    <t>JUZGADO</t>
  </si>
  <si>
    <t>16 CIVIL MUNICIPAL DE EJECUCIÓN DE SENTENCIAS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</si>
  <si>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</si>
  <si>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</si>
  <si>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</si>
  <si>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</si>
  <si>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</si>
  <si>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</si>
  <si>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11001400304320160017000</t>
  </si>
  <si>
    <t>08 CIVIL MUNICIPAL DE EJECUCIÓN DE SENTENCIAS</t>
  </si>
  <si>
    <t>el proceso esta terminado por pago a cisa pero aun sigue vigente se debe de sacar de la lista</t>
  </si>
  <si>
    <t>en base de terminados aparece que cisa solicito la terminacion el juzgado no ha dado respuesta hasta la fecha</t>
  </si>
  <si>
    <t>TERMINA DESISTIMIENTO-ELIMINAR DE BASE DE DATOS</t>
  </si>
  <si>
    <t>03 CIVIL MUNICIPAL DE EJECUCIÓN DE SENTENCIAS</t>
  </si>
  <si>
    <t>06 CIVIL MUNICIPAL DE EJECUCIÓN DE SENTENCIAS</t>
  </si>
  <si>
    <t>09 CIVIL MUNICIPAL DE EJECUCIÓN DE SENTENCIAS</t>
  </si>
  <si>
    <t>en la base de apoderados de cisa aparece el proceso a nombre de otra abogada , mandar a cisa correo para entregar proceso</t>
  </si>
  <si>
    <t>05 CIVIL MUNICIPAL DE EJECUCIÓN DE SENTENCIAS</t>
  </si>
  <si>
    <t xml:space="preserve">Auto resuelve Solicitud	</t>
  </si>
  <si>
    <t>14 CIVIL MUNICIPAL DE EJECUCIÓN DE SENTENCIAS</t>
  </si>
  <si>
    <t>11 CIVIL MUNICIPAL DE EJECUCIÓN DE SENTENCIAS</t>
  </si>
  <si>
    <t>CISA RADICO TERMINACION PERO NO SE A DADO CUMPLIMIENTO -YA PAGARON HONORARIOS</t>
  </si>
  <si>
    <t xml:space="preserve">02 CIVIL MUNICIPAL DE EJECUCIÓN DE SENTENCIAS </t>
  </si>
  <si>
    <t xml:space="preserve">CISA 040 </t>
  </si>
  <si>
    <t>02 CIVIL MUNICIPAL DE EJECUCIÓN DE SENTENCIAS</t>
  </si>
  <si>
    <t>01 CIVIL MUNICIPAL DE EJECUCIÓN DE SENTENCIAS</t>
  </si>
  <si>
    <t>11001400305320150074900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</si>
  <si>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</si>
  <si>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</si>
  <si>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</si>
  <si>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</si>
  <si>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</si>
  <si>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</si>
  <si>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</si>
  <si>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020 CIVIL MUNICIPAL DE EJECUCIÓN DE SENTENCIAS</t>
  </si>
  <si>
    <t>003 CIVIL MUNICIPAL DE EJECUCIÓN DE SENTENCIAS</t>
  </si>
  <si>
    <t>014 CIVIL MUNICIPAL DE EJECUCIÓN DE SENTENCIAS</t>
  </si>
  <si>
    <t>010 JCIVIL MUNICIPAL DE EJECUCIÓN DE SENTENCIAS</t>
  </si>
  <si>
    <t>011 CIVIL MUNICIPAL DE EJECUCIÓN DE SENTENCIAS</t>
  </si>
  <si>
    <t>002 CIVIL MUNICIPAL DE EJECUCIÓN DE SENTENCIAS</t>
  </si>
  <si>
    <t>005 CIVIL MUNICIPAL DE EJECUCIÓN DE SENTENCIAS</t>
  </si>
  <si>
    <t>11001400304220150155400</t>
  </si>
  <si>
    <t>016 CIVIL MUNICIPAL DE EJECUCIÓN DE SENTENCIAS</t>
  </si>
  <si>
    <t>010 CIVIL MUNICIPAL DE EJECUCIÓN DE SENTENCIAS</t>
  </si>
  <si>
    <t>013 CIVIL MUNICIPAL DE EJECUCIÓN DE SENTENCIAS</t>
  </si>
  <si>
    <t>17 CIVIL MUNICIPAL DE EJECUCIÓN DE SENTENCIAS</t>
  </si>
  <si>
    <t>007 CIVIL MUNICIPAL DE EJECUCIÓN DE SENTENCIAS</t>
  </si>
  <si>
    <t>11001310304320150126200</t>
  </si>
  <si>
    <t>001 CIVIL MUNICIPAL DE EJECUCIÓN DE SENTENCIAS</t>
  </si>
  <si>
    <t>017 CIVIL MUNICIPAL DE EJECUCIÓN DE SENTENCIAS</t>
  </si>
  <si>
    <t>009 CIVIL MUNICIPAL DE EJECUCIÓN DE SENTENCIAS</t>
  </si>
  <si>
    <t>11001400305120170122000</t>
  </si>
  <si>
    <t>11001400307820180085300</t>
  </si>
  <si>
    <t>11001310300220180006900</t>
  </si>
  <si>
    <t>SE CORRIGE # PROCESO ,REVISAR ACTUACIONES</t>
  </si>
  <si>
    <t>11001310303420170028700</t>
  </si>
  <si>
    <t>11001400302520180014000</t>
  </si>
  <si>
    <t>11001400305620180008900</t>
  </si>
  <si>
    <t>11001400306920180011600</t>
  </si>
  <si>
    <t xml:space="preserve">Auto resuelve solicitud remanentes	</t>
  </si>
  <si>
    <t>004 CIVIL DEL CIRCUITO DE EJECUCIÓN DE SENTENCIAS</t>
  </si>
  <si>
    <t>037 CIVIL DEL CIRCUITO</t>
  </si>
  <si>
    <t xml:space="preserve"> 003 CIVIL DEL CIRCUITO DE EJECUCIÓN DE SENTENCIAS</t>
  </si>
  <si>
    <t>11001400303620170057200</t>
  </si>
  <si>
    <t>005 CIVIL DEL CIRCUITO DE EJECUCIÓN DE SENTENCIAS</t>
  </si>
  <si>
    <t>11001400305620170113600</t>
  </si>
  <si>
    <t xml:space="preserve"> 020 CIVIL MUNICIPAL DE EJECUCIÓN DE SENTENCIAS</t>
  </si>
  <si>
    <t xml:space="preserve">CISA 512 </t>
  </si>
  <si>
    <t>11001400303920170062401</t>
  </si>
  <si>
    <t xml:space="preserve"> 001 CIVIL DEL CIRCUITO DE EJECUCIÓN DE SENTENCIAS</t>
  </si>
  <si>
    <t>11001400307720180038000</t>
  </si>
  <si>
    <t>11001400305920180002400</t>
  </si>
  <si>
    <t>007 CIVIL MUNICIPAL</t>
  </si>
  <si>
    <t>021 CIVIL DEL CIRCUITO</t>
  </si>
  <si>
    <t>001 CIVIL DEL CIRCUITO DE EJECUCIÓN DE SENTENCIAS</t>
  </si>
  <si>
    <t>11001310303020170063500</t>
  </si>
  <si>
    <t>002 CIVIL DEL CIRCUITO DE EJECUCIÓN DE SENTENCIAS</t>
  </si>
  <si>
    <t>014 CIVIL DEL CIRCUITO</t>
  </si>
  <si>
    <t>11001400301720180004900</t>
  </si>
  <si>
    <t>11001400307120180004900</t>
  </si>
  <si>
    <t xml:space="preserve">011 CIVIL MUNICIPAL DE EJECUCIÓN DE SENTENCIAS </t>
  </si>
  <si>
    <t>11001400307820180017000</t>
  </si>
  <si>
    <t>11001400305020170133100</t>
  </si>
  <si>
    <t>11001400303720170144800</t>
  </si>
  <si>
    <t>11001310302720170058400</t>
  </si>
  <si>
    <t>003 CIVIL DEL CIRCUITO DE EJECUCIÓN DE SENTENCIAS</t>
  </si>
  <si>
    <t>11001400305020180002300</t>
  </si>
  <si>
    <t>050 CIVIL MUNICIPAL</t>
  </si>
  <si>
    <t>11001400306720170181700</t>
  </si>
  <si>
    <t>11001400303820180011600</t>
  </si>
  <si>
    <t>038 CIVIL MUNICIPAL</t>
  </si>
  <si>
    <t>046 CIVIL MUNICIPAL</t>
  </si>
  <si>
    <t xml:space="preserve"> 003 CIVIL MUNICIPAL DE EJECUCIÓN DE SENTENCIAS</t>
  </si>
  <si>
    <t>079 CIVIL MUNICIPAL</t>
  </si>
  <si>
    <t>11001310301020190050600</t>
  </si>
  <si>
    <t>11001400304120190032900</t>
  </si>
  <si>
    <t xml:space="preserve"> 017 CIVIL MUNICIPAL DE EJECUCIÓN DE SENTENCIAS</t>
  </si>
  <si>
    <t>002 CIVIL DEL CIRCUITO</t>
  </si>
  <si>
    <t>003 CIVIL DEL CIRCUITO</t>
  </si>
  <si>
    <t xml:space="preserve"> 016 CIVIL MUNICIPAL DE EJECUCIÓN DE SENTENCIAS</t>
  </si>
  <si>
    <t>040 CIVIL DEL CIRCUITO</t>
  </si>
  <si>
    <t xml:space="preserve"> 014 CIVIL MUNICIPAL DE EJECUCIÓN DE SENTENCIAS</t>
  </si>
  <si>
    <t>001 PROMISCUO MUNICIPAL DE GALAPA</t>
  </si>
  <si>
    <t xml:space="preserve">008 CIVIL MUNICIPAL DE EJECUCIÓN DE SENTENCIAS </t>
  </si>
  <si>
    <t>11001400304820170128700</t>
  </si>
  <si>
    <t xml:space="preserve"> 002 CIVIL DEL CIRCUITO DE EJECUCIÓN DE SENTENCIAS</t>
  </si>
  <si>
    <t xml:space="preserve"> 008 CIVIL MUNICIPAL DE EJECUCIÓN DE SENTENCIAS</t>
  </si>
  <si>
    <t>007 DE PEQUEÑAS CAUSAS Y COMPETENCIA MÚLTIPLE</t>
  </si>
  <si>
    <t>29 CIVIL DEL CIRCUITO</t>
  </si>
  <si>
    <t>11001418902120200023600</t>
  </si>
  <si>
    <t xml:space="preserve"> 004 CIVIL DEL CIRCUITO DE EJECUCIÓN DE SENTENCIAS</t>
  </si>
  <si>
    <t>033 DE PEQUEÑAS CAUSAS Y COMPETENCIA MÚLTIPLE</t>
  </si>
  <si>
    <t xml:space="preserve"> 050 CIVIL MUNICIPAL</t>
  </si>
  <si>
    <t xml:space="preserve"> 019 CIVIL MUNICIPAL DE EJECUCIÓN DE SENTENCIAS</t>
  </si>
  <si>
    <t>11001400306920180053800</t>
  </si>
  <si>
    <t>026 CIVIL DEL CIRCUITO</t>
  </si>
  <si>
    <t>11001310302520230005000</t>
  </si>
  <si>
    <t>025 CIVIL DEL CIRCUITO</t>
  </si>
  <si>
    <t>11001310302520220044700</t>
  </si>
  <si>
    <t>25 CIVIL DEL CIRCUITO</t>
  </si>
  <si>
    <t>11001310303020220028500</t>
  </si>
  <si>
    <t>30 CIVIL DEL CIRCUITO</t>
  </si>
  <si>
    <t>11001400304120210101700</t>
  </si>
  <si>
    <t>41 CIVIL MUNICIPAL</t>
  </si>
  <si>
    <t>CISA 683</t>
  </si>
  <si>
    <t>25286310300220230023800</t>
  </si>
  <si>
    <t>002 CIVIL DEL CIRCUITO DE FUNZA</t>
  </si>
  <si>
    <t>CISA 684</t>
  </si>
  <si>
    <t>11001400304320210085100</t>
  </si>
  <si>
    <t>043 CIVIL MUNICIPAL</t>
  </si>
  <si>
    <t>CISA 685</t>
  </si>
  <si>
    <t>11001310302520220049300</t>
  </si>
  <si>
    <t xml:space="preserve"> 025 CIVIL DEL CIRCUITO</t>
  </si>
  <si>
    <t>CISA 688</t>
  </si>
  <si>
    <t>11001310301920220051200</t>
  </si>
  <si>
    <t>019 CIVIL DEL CIRCUITO</t>
  </si>
  <si>
    <t>CISA 689</t>
  </si>
  <si>
    <t>11001310304020230004900</t>
  </si>
  <si>
    <t>40 CIVIL DEL CIRCUITO</t>
  </si>
  <si>
    <t>11001310303520220039200</t>
  </si>
  <si>
    <t>035 CIVIL DEL CIRCUITO</t>
  </si>
  <si>
    <t>CISA 690</t>
  </si>
  <si>
    <t>CISA 691</t>
  </si>
  <si>
    <t>11001400304820220052100</t>
  </si>
  <si>
    <t>048 CIVIL MUNICIPAL</t>
  </si>
  <si>
    <t>CISA 693</t>
  </si>
  <si>
    <t>17 CIVIL MUNICIPAL</t>
  </si>
  <si>
    <t>11001400301720220100200</t>
  </si>
  <si>
    <t>CISA 694</t>
  </si>
  <si>
    <t>11001400300520210101600</t>
  </si>
  <si>
    <t>005 CIVIL MUNICIPAL</t>
  </si>
  <si>
    <t>CISA 695</t>
  </si>
  <si>
    <t>11001310304420230000600</t>
  </si>
  <si>
    <t>044 CIVIL DEL CIRCUITO</t>
  </si>
  <si>
    <t>CISA 696</t>
  </si>
  <si>
    <t>11001310300420220038000</t>
  </si>
  <si>
    <t>055 CIVIL DEL CIRCUITO</t>
  </si>
  <si>
    <t>CISA 697</t>
  </si>
  <si>
    <t>11001400305220210089600</t>
  </si>
  <si>
    <t>052 CIVIL MUNICIPAL</t>
  </si>
  <si>
    <t>CISA 698</t>
  </si>
  <si>
    <t>11001400303420220017200</t>
  </si>
  <si>
    <t xml:space="preserve"> 034 CIVIL MUNICIPAL</t>
  </si>
  <si>
    <t>CISA 700</t>
  </si>
  <si>
    <t>11001310304720220048400</t>
  </si>
  <si>
    <t>56 CIVIL DEL CIRCUITO</t>
  </si>
  <si>
    <t>CISA 701</t>
  </si>
  <si>
    <t>11001400307820220161300</t>
  </si>
  <si>
    <t xml:space="preserve"> 078 CIVIL MUNICIPAL</t>
  </si>
  <si>
    <t>CISA 702</t>
  </si>
  <si>
    <t>11001310304720210068800</t>
  </si>
  <si>
    <t>CISA 703</t>
  </si>
  <si>
    <t>11001400300520220051400</t>
  </si>
  <si>
    <t>CISA 704</t>
  </si>
  <si>
    <t xml:space="preserve">11001418901420220052600 </t>
  </si>
  <si>
    <t>014 DE PEQUEÑAS CAUSAS Y COMPETENCIA MÚLTIPLE</t>
  </si>
  <si>
    <t>CISA 706</t>
  </si>
  <si>
    <t>11001310303020230002200</t>
  </si>
  <si>
    <t>CISA 707</t>
  </si>
  <si>
    <t>11001310304220220000600</t>
  </si>
  <si>
    <t>CISA 708</t>
  </si>
  <si>
    <t>11001310300120220011200</t>
  </si>
  <si>
    <t>001 CIVIL DEL CIRCUITO</t>
  </si>
  <si>
    <t>CISA 709</t>
  </si>
  <si>
    <t>11001310300120220021600</t>
  </si>
  <si>
    <t>CISA 711</t>
  </si>
  <si>
    <t>11001310304120220048400</t>
  </si>
  <si>
    <t>CISA 712</t>
  </si>
  <si>
    <t>11001310304220230007300</t>
  </si>
  <si>
    <t>042 CIVIL DEL CIRCUITO</t>
  </si>
  <si>
    <t>CISA 713</t>
  </si>
  <si>
    <t>11001310304620220036500</t>
  </si>
  <si>
    <t>046 CIVIL DEL CIRCUITO</t>
  </si>
  <si>
    <t>CISA 714</t>
  </si>
  <si>
    <t>11001310302520230012000</t>
  </si>
  <si>
    <t>CISA 715</t>
  </si>
  <si>
    <t>11001310303020220041500</t>
  </si>
  <si>
    <t>030 CIVIL DEL CIRCUITO</t>
  </si>
  <si>
    <t>CISA 716</t>
  </si>
  <si>
    <t>11001310302820220035800</t>
  </si>
  <si>
    <t>028 CIVIL DEL CIRCUITO</t>
  </si>
  <si>
    <t>CISA 717</t>
  </si>
  <si>
    <t>11001310303720220043000</t>
  </si>
  <si>
    <t>CISA 718</t>
  </si>
  <si>
    <t>11001310304420230007300</t>
  </si>
  <si>
    <t xml:space="preserve"> 044 CIVIL DEL CIRCUITO</t>
  </si>
  <si>
    <t>CISA 719</t>
  </si>
  <si>
    <t>11001310302420220039900</t>
  </si>
  <si>
    <t>024 CIVIL DEL CIRCUITO</t>
  </si>
  <si>
    <t>CISA 720</t>
  </si>
  <si>
    <t>11001310302520220057300</t>
  </si>
  <si>
    <t>056 CIVIL DEL CIRCUITO</t>
  </si>
  <si>
    <t>CISA 721</t>
  </si>
  <si>
    <t>11001310304420220010000</t>
  </si>
  <si>
    <t>CISA 722</t>
  </si>
  <si>
    <t>11001310304720230002400</t>
  </si>
  <si>
    <t>CISA 723</t>
  </si>
  <si>
    <t>11001310304520230000600</t>
  </si>
  <si>
    <t>045 CIVIL DEL CIRCUITO</t>
  </si>
  <si>
    <t>CISA 724</t>
  </si>
  <si>
    <t>11001310300520220049800</t>
  </si>
  <si>
    <t>005 CIVIL DEL CIRCUITO</t>
  </si>
  <si>
    <t>CISA 725</t>
  </si>
  <si>
    <t>11001310304420230008900</t>
  </si>
  <si>
    <t>CISA 727</t>
  </si>
  <si>
    <t>11001310303620190031700</t>
  </si>
  <si>
    <t>CISA 728</t>
  </si>
  <si>
    <t>11001310300520210054100</t>
  </si>
  <si>
    <t xml:space="preserve"> 005 CIVIL DEL CIRCUITO</t>
  </si>
  <si>
    <t>CISA 730</t>
  </si>
  <si>
    <t>11001400300620210091200</t>
  </si>
  <si>
    <t>CISA 731</t>
  </si>
  <si>
    <t>11001310302120220000800</t>
  </si>
  <si>
    <t>CISA 732</t>
  </si>
  <si>
    <t>11001400303420220001100</t>
  </si>
  <si>
    <t>CISA 733</t>
  </si>
  <si>
    <t>11001310304220220007100</t>
  </si>
  <si>
    <t>CISA 735</t>
  </si>
  <si>
    <t xml:space="preserve">045 CIVIL DEL CIRCUITO </t>
  </si>
  <si>
    <t>11001310304520220008400</t>
  </si>
  <si>
    <t>CISA 736</t>
  </si>
  <si>
    <t>11001310301320220016100</t>
  </si>
  <si>
    <t>CISA 737</t>
  </si>
  <si>
    <t>11001310301020220017200</t>
  </si>
  <si>
    <t xml:space="preserve"> 010 CIVIL DEL CIRCUITO</t>
  </si>
  <si>
    <t>CISA 740</t>
  </si>
  <si>
    <t>11001310304420220020600</t>
  </si>
  <si>
    <t xml:space="preserve"> 044 CIVIL DEL CIRCUITO </t>
  </si>
  <si>
    <t>CISA 741</t>
  </si>
  <si>
    <t>11001310304020220021300</t>
  </si>
  <si>
    <t>CISA 744</t>
  </si>
  <si>
    <t>11001310301720220024300</t>
  </si>
  <si>
    <t>017 CIVIL DEL CIRCUITO</t>
  </si>
  <si>
    <t>CISA 745</t>
  </si>
  <si>
    <t>11001400301520220025700</t>
  </si>
  <si>
    <t xml:space="preserve"> 015 CIVIL MUNICIPAL</t>
  </si>
  <si>
    <t>CISA 746</t>
  </si>
  <si>
    <t>11001310301820220029600</t>
  </si>
  <si>
    <t xml:space="preserve"> 018 CIVIL DEL CIRCUITO</t>
  </si>
  <si>
    <t>CISA 748</t>
  </si>
  <si>
    <t>11001310300220220030400</t>
  </si>
  <si>
    <t>CISA 749</t>
  </si>
  <si>
    <t>11001310301520220034600</t>
  </si>
  <si>
    <t>015 CIVIL DEL CIRCUITO</t>
  </si>
  <si>
    <t>CISA 750</t>
  </si>
  <si>
    <t>11001400305020220036800</t>
  </si>
  <si>
    <t>CISA 751</t>
  </si>
  <si>
    <t>11001400304720220037200</t>
  </si>
  <si>
    <t>047 CIVIL MUNICIPAL</t>
  </si>
  <si>
    <t>CISA 753</t>
  </si>
  <si>
    <t>11001310302220220043900</t>
  </si>
  <si>
    <t>022 CIVIL DEL CIRCUITO</t>
  </si>
  <si>
    <t>CISA 754</t>
  </si>
  <si>
    <t>11001310304320220044400</t>
  </si>
  <si>
    <t>043 CIVIL DEL CIRCUITO</t>
  </si>
  <si>
    <t>CISA 755</t>
  </si>
  <si>
    <t>11001310300920220045200</t>
  </si>
  <si>
    <t xml:space="preserve"> 009 CIVIL DEL CIRCUITO</t>
  </si>
  <si>
    <t>CISA 756</t>
  </si>
  <si>
    <t>11001310302520220048400</t>
  </si>
  <si>
    <t xml:space="preserve">025 CIVIL DEL CIRCUITO </t>
  </si>
  <si>
    <t>CISA 758</t>
  </si>
  <si>
    <t>11001310304420220052400</t>
  </si>
  <si>
    <t>CISA 760</t>
  </si>
  <si>
    <t>11001310304520220054900</t>
  </si>
  <si>
    <t>CISA 761</t>
  </si>
  <si>
    <t>11001400304920220056800</t>
  </si>
  <si>
    <t>049 CIVIL MUNICIPAL</t>
  </si>
  <si>
    <t>CISA 762</t>
  </si>
  <si>
    <t>11001400302120220058500</t>
  </si>
  <si>
    <t xml:space="preserve"> 021 CIVIL MUNICIPAL</t>
  </si>
  <si>
    <t>CISA 763</t>
  </si>
  <si>
    <t>11001400302120220066000</t>
  </si>
  <si>
    <t>021 CIVIL MUNICIPAL</t>
  </si>
  <si>
    <t>CISA 765</t>
  </si>
  <si>
    <t>11001400304320220075900</t>
  </si>
  <si>
    <t>CISA 768</t>
  </si>
  <si>
    <t>11001400304020220081300</t>
  </si>
  <si>
    <t xml:space="preserve"> 001 CIVIL MUNICIPAL DE EJECUCIÓN DE SENTENCIAS</t>
  </si>
  <si>
    <t>CISA 770</t>
  </si>
  <si>
    <t>11001400304120220085700</t>
  </si>
  <si>
    <t>041 CIVIL MUNICIPAL</t>
  </si>
  <si>
    <t>CISA 771</t>
  </si>
  <si>
    <t>11001400305120220087800</t>
  </si>
  <si>
    <t>051 CIVIL MUNICIPAL</t>
  </si>
  <si>
    <t>CISA 773</t>
  </si>
  <si>
    <t>11001400301820220088900</t>
  </si>
  <si>
    <t>CISA 774</t>
  </si>
  <si>
    <t>11001400302120220089400</t>
  </si>
  <si>
    <t>CISA 775</t>
  </si>
  <si>
    <t>11001400300520220094100</t>
  </si>
  <si>
    <t>CISA 776</t>
  </si>
  <si>
    <t>11001400305620220094100</t>
  </si>
  <si>
    <t>CISA 778</t>
  </si>
  <si>
    <t>11001400302620220102100</t>
  </si>
  <si>
    <t>026 CIVIL MUNICIPAL</t>
  </si>
  <si>
    <t>CISA 779</t>
  </si>
  <si>
    <t>11001400301020220103900</t>
  </si>
  <si>
    <t>010 CIVIL MUNICIPAL</t>
  </si>
  <si>
    <t>CISA 780</t>
  </si>
  <si>
    <t>11001400303120220104100</t>
  </si>
  <si>
    <t xml:space="preserve"> 031 CIVIL MUNICIPAL</t>
  </si>
  <si>
    <t>CISA 782</t>
  </si>
  <si>
    <t>11001400305120220109900</t>
  </si>
  <si>
    <t>CISA 783</t>
  </si>
  <si>
    <t>11001400305720220114800</t>
  </si>
  <si>
    <t xml:space="preserve"> 057 CIVIL MUNICIPAL</t>
  </si>
  <si>
    <t>CISA 785</t>
  </si>
  <si>
    <t>11001400303320220115800</t>
  </si>
  <si>
    <t>033 CIVIL MUNICIPAL</t>
  </si>
  <si>
    <t>CISA 787</t>
  </si>
  <si>
    <t>11001400305220220118800</t>
  </si>
  <si>
    <t xml:space="preserve"> 052 CIVIL MUNICIPAL</t>
  </si>
  <si>
    <t>CISA 788</t>
  </si>
  <si>
    <t>11001400303420220124600</t>
  </si>
  <si>
    <t>034 CIVIL MUNICIPAL</t>
  </si>
  <si>
    <t>CISA 790</t>
  </si>
  <si>
    <t>11001400302120220125000</t>
  </si>
  <si>
    <t>CISA 791</t>
  </si>
  <si>
    <t>11001400302020220125100</t>
  </si>
  <si>
    <t xml:space="preserve"> 020 CIVIL MUNICIPAL</t>
  </si>
  <si>
    <t>CISA 792</t>
  </si>
  <si>
    <t>11001400305620220125200</t>
  </si>
  <si>
    <t>056 CIVIL MUNICIPAL</t>
  </si>
  <si>
    <t>CISA 793</t>
  </si>
  <si>
    <t>11001400302620220126200</t>
  </si>
  <si>
    <t>CISA 796</t>
  </si>
  <si>
    <t>11001400304120220135000</t>
  </si>
  <si>
    <t>CISA 797</t>
  </si>
  <si>
    <t>11001400304720220136900</t>
  </si>
  <si>
    <t>CISA 798</t>
  </si>
  <si>
    <t>11001400306020220170600</t>
  </si>
  <si>
    <t>044 DE PEQUEÑAS CAUSAS Y COMPETENCIA MÚLTIPLE</t>
  </si>
  <si>
    <t>CISA 799</t>
  </si>
  <si>
    <t>11001310302720230000900</t>
  </si>
  <si>
    <t>027 CIVIL DEL CIRCUITO</t>
  </si>
  <si>
    <t>CISA 802</t>
  </si>
  <si>
    <t>11001400304320230002800</t>
  </si>
  <si>
    <t>CISA 803</t>
  </si>
  <si>
    <t>11001310300820230003100</t>
  </si>
  <si>
    <t>008 CIVIL DEL CIRCUITO</t>
  </si>
  <si>
    <t>CISA 805</t>
  </si>
  <si>
    <t>11001310300520230004100</t>
  </si>
  <si>
    <t>054 CIVIL DEL CIRCUITO</t>
  </si>
  <si>
    <t>CISA 807</t>
  </si>
  <si>
    <t>11001310304920230005200</t>
  </si>
  <si>
    <t>049 CIVIL DEL CIRCUITO</t>
  </si>
  <si>
    <t>CISA 808</t>
  </si>
  <si>
    <t>11001310304220230005200</t>
  </si>
  <si>
    <t>CISA 809</t>
  </si>
  <si>
    <t>11001310303220230006900</t>
  </si>
  <si>
    <t>032 CIVIL DEL CIRCUITO</t>
  </si>
  <si>
    <t>CISA 810</t>
  </si>
  <si>
    <t>11001310301120230007400</t>
  </si>
  <si>
    <t>011 CIVIL DEL CIRCUITO</t>
  </si>
  <si>
    <t>CISA 812</t>
  </si>
  <si>
    <t>11001400303520230007900</t>
  </si>
  <si>
    <t>CISA 814</t>
  </si>
  <si>
    <t>11001310302920230009900</t>
  </si>
  <si>
    <t>029 CIVIL DEL CIRCUITO</t>
  </si>
  <si>
    <t>CISA 815</t>
  </si>
  <si>
    <t>11001310304420230010600</t>
  </si>
  <si>
    <t>CISA 816</t>
  </si>
  <si>
    <t>11001418902020230015200</t>
  </si>
  <si>
    <t>020 DE PEQUEÑAS CAUSAS Y COMPETENCIA MÚLTIPLE</t>
  </si>
  <si>
    <t>CISA 817</t>
  </si>
  <si>
    <t>11001418903620230015600</t>
  </si>
  <si>
    <t>036 DE PEQUEÑAS CAUSAS Y COMPETENCIA MÚLTIPLE</t>
  </si>
  <si>
    <t>053 CIVIL MUNICIPAL</t>
  </si>
  <si>
    <t>CISA 823</t>
  </si>
  <si>
    <t>11001310301420190006600</t>
  </si>
  <si>
    <t xml:space="preserve"> 014 CIVIL DEL CIRCUITO</t>
  </si>
  <si>
    <t>CISA 827</t>
  </si>
  <si>
    <t>11001400300520190100400</t>
  </si>
  <si>
    <t>CISA 828</t>
  </si>
  <si>
    <t>11001400301620190039200</t>
  </si>
  <si>
    <t>CISA 830</t>
  </si>
  <si>
    <t>11001400304020190015400</t>
  </si>
  <si>
    <t>CISA 831</t>
  </si>
  <si>
    <t>11001310301820190005300</t>
  </si>
  <si>
    <t>018 CIVIL DEL CIRCUITO</t>
  </si>
  <si>
    <t xml:space="preserve">CISA 832 </t>
  </si>
  <si>
    <t>11001310300920190038100</t>
  </si>
  <si>
    <t xml:space="preserve">009 CIVIL DEL CIRCUITO </t>
  </si>
  <si>
    <t>CISA 834</t>
  </si>
  <si>
    <t>11001310300420190066300</t>
  </si>
  <si>
    <t>CISA 835</t>
  </si>
  <si>
    <t>11001400303020190068400</t>
  </si>
  <si>
    <t>030 CIVIL MUNICIPAL</t>
  </si>
  <si>
    <t>CISA 836</t>
  </si>
  <si>
    <t>11001310302320190056200</t>
  </si>
  <si>
    <t>CISA 837</t>
  </si>
  <si>
    <t>11001310301120190037900</t>
  </si>
  <si>
    <t xml:space="preserve"> 011 CIVIL DEL CIRCUITO</t>
  </si>
  <si>
    <t>CISA 838</t>
  </si>
  <si>
    <t>11001310300520190039100</t>
  </si>
  <si>
    <t>CISA 839</t>
  </si>
  <si>
    <t>11001310304320190032500</t>
  </si>
  <si>
    <t>CISA 841</t>
  </si>
  <si>
    <t>11001400305220190053900</t>
  </si>
  <si>
    <t>CISA 842</t>
  </si>
  <si>
    <t>11001400303320190014300</t>
  </si>
  <si>
    <t>CISA 843</t>
  </si>
  <si>
    <t>11001310304320190036200</t>
  </si>
  <si>
    <t>CISA 844</t>
  </si>
  <si>
    <t>11001310301020190012900</t>
  </si>
  <si>
    <t>CISA 845</t>
  </si>
  <si>
    <t>11001400303920190010600</t>
  </si>
  <si>
    <t>039 CIVIL MUNICIPAL</t>
  </si>
  <si>
    <t>CISA 846</t>
  </si>
  <si>
    <t>11001400305220190027500</t>
  </si>
  <si>
    <t xml:space="preserve"> 005 CIVIL MUNICIPAL DE EJECUCIÓN DE SENTENCIAS</t>
  </si>
  <si>
    <t>CISA 847</t>
  </si>
  <si>
    <t>11001310300120190062700</t>
  </si>
  <si>
    <t xml:space="preserve"> 001 CIVIL DEL CIRCUITO</t>
  </si>
  <si>
    <t>CISA 848</t>
  </si>
  <si>
    <t>11001400300820190092500</t>
  </si>
  <si>
    <t>CISA 849</t>
  </si>
  <si>
    <t>11001400300220190018200</t>
  </si>
  <si>
    <t>CISA 850</t>
  </si>
  <si>
    <t>11001310304420190074600</t>
  </si>
  <si>
    <t xml:space="preserve">044 CIVIL DEL CIRCUITO </t>
  </si>
  <si>
    <t>CISA 851</t>
  </si>
  <si>
    <t>11001310304120200001600</t>
  </si>
  <si>
    <t>CISA 852</t>
  </si>
  <si>
    <t>11001400302420190092400</t>
  </si>
  <si>
    <t>CISA 853</t>
  </si>
  <si>
    <t>11001310302320190065700</t>
  </si>
  <si>
    <t>CISA 854</t>
  </si>
  <si>
    <t>11001400305320190084200</t>
  </si>
  <si>
    <t>CISA 855</t>
  </si>
  <si>
    <t>11001310303320190085600</t>
  </si>
  <si>
    <t>CISA 856</t>
  </si>
  <si>
    <t>11001400301120190079100</t>
  </si>
  <si>
    <t>CISA 857</t>
  </si>
  <si>
    <t>11001400303820190122500</t>
  </si>
  <si>
    <t>CISA 858</t>
  </si>
  <si>
    <t>11001310301020190066500</t>
  </si>
  <si>
    <t>010 CIVIL DEL CIRCUITO</t>
  </si>
  <si>
    <t>CISA 859</t>
  </si>
  <si>
    <t>11001400303420190068100</t>
  </si>
  <si>
    <t>CISA 860</t>
  </si>
  <si>
    <t>11001418900620200012000</t>
  </si>
  <si>
    <t>CISA 861</t>
  </si>
  <si>
    <t>11001400304120200021400</t>
  </si>
  <si>
    <t>CISA 862</t>
  </si>
  <si>
    <t>11001310301020190059000</t>
  </si>
  <si>
    <t>CISA 864</t>
  </si>
  <si>
    <t>11001310301620190056600</t>
  </si>
  <si>
    <t>016 CIVIL DEL CIRCUITO</t>
  </si>
  <si>
    <t>CISA 865</t>
  </si>
  <si>
    <t>11001400300420190046900</t>
  </si>
  <si>
    <t xml:space="preserve"> 004 CIVIL MUNICIPAL</t>
  </si>
  <si>
    <t>CISA 866</t>
  </si>
  <si>
    <t>11001400301320190018800</t>
  </si>
  <si>
    <t>013 CIVIL MUNICIPAL</t>
  </si>
  <si>
    <t>CISA 867</t>
  </si>
  <si>
    <t>11001310302520190037800</t>
  </si>
  <si>
    <t>CISA 869</t>
  </si>
  <si>
    <t>11001400307020180090900</t>
  </si>
  <si>
    <t>CISA 871</t>
  </si>
  <si>
    <t>11001310302920190048000</t>
  </si>
  <si>
    <t>CISA 872</t>
  </si>
  <si>
    <t>11001400301420190107100</t>
  </si>
  <si>
    <t>014 CIVIL MUNICIPAL</t>
  </si>
  <si>
    <t>CISA 873</t>
  </si>
  <si>
    <t>11001400303220190105600</t>
  </si>
  <si>
    <t>CISA 874</t>
  </si>
  <si>
    <t>11001310301620190067300</t>
  </si>
  <si>
    <t>CISA 875</t>
  </si>
  <si>
    <t>11001310300320190040400</t>
  </si>
  <si>
    <t>CISA 876</t>
  </si>
  <si>
    <t>11001310301320190060200</t>
  </si>
  <si>
    <t>013 CIVIL DEL CIRCUITO</t>
  </si>
  <si>
    <t>CISA 877</t>
  </si>
  <si>
    <t>11001310300720190052200</t>
  </si>
  <si>
    <t xml:space="preserve"> 005 CIVIL DEL CIRCUITO DE EJECUCIÓN DE SENTENCIAS</t>
  </si>
  <si>
    <t>CISA 878</t>
  </si>
  <si>
    <t>11001310301820190032600</t>
  </si>
  <si>
    <t>CISA 879</t>
  </si>
  <si>
    <t>11001400301720190051600</t>
  </si>
  <si>
    <t>CISA 881</t>
  </si>
  <si>
    <t>11001310302020180036500</t>
  </si>
  <si>
    <t>CISA 882</t>
  </si>
  <si>
    <t>11001310303820190061800</t>
  </si>
  <si>
    <t>CISA 883</t>
  </si>
  <si>
    <t>11001400302120190095500</t>
  </si>
  <si>
    <t>CISA 885</t>
  </si>
  <si>
    <t>11001310300220190000700</t>
  </si>
  <si>
    <t>CISA 886</t>
  </si>
  <si>
    <t>11001400305720190076100</t>
  </si>
  <si>
    <t>CISA 887</t>
  </si>
  <si>
    <t>11001310300920190062200</t>
  </si>
  <si>
    <t>CISA 888</t>
  </si>
  <si>
    <t>11001310301520190046900</t>
  </si>
  <si>
    <t>CISA 889</t>
  </si>
  <si>
    <t>11001310301620190069900</t>
  </si>
  <si>
    <t>CISA 890</t>
  </si>
  <si>
    <t>11001310304020190070600</t>
  </si>
  <si>
    <t>CISA 891</t>
  </si>
  <si>
    <t>11001400304620190089700</t>
  </si>
  <si>
    <t>CISA 893</t>
  </si>
  <si>
    <t>11001400302220190114200</t>
  </si>
  <si>
    <t xml:space="preserve"> 022 CIVIL MUNICIPAL</t>
  </si>
  <si>
    <t>CISA 896</t>
  </si>
  <si>
    <t>11001400302020190083200</t>
  </si>
  <si>
    <t>CISA 897</t>
  </si>
  <si>
    <t>11001400304920190084800</t>
  </si>
  <si>
    <t>CISA 898</t>
  </si>
  <si>
    <t>11001310304020200006400</t>
  </si>
  <si>
    <t>CISA 899</t>
  </si>
  <si>
    <t>11001400300420190088100</t>
  </si>
  <si>
    <t>CISA 900</t>
  </si>
  <si>
    <t>11001310304120210028000</t>
  </si>
  <si>
    <t xml:space="preserve">003 CIVIL DEL CIRCUITO DE EJECUCIÓN DE SENTENCIAS </t>
  </si>
  <si>
    <t>CISA 901</t>
  </si>
  <si>
    <t>11001400302820190084800</t>
  </si>
  <si>
    <t>CISA 902</t>
  </si>
  <si>
    <t>11001310301120190071000</t>
  </si>
  <si>
    <t>CISA 903</t>
  </si>
  <si>
    <t>11001310301520190064100</t>
  </si>
  <si>
    <t>CISA 905</t>
  </si>
  <si>
    <t>11001310303020200006600</t>
  </si>
  <si>
    <t>CISA 906</t>
  </si>
  <si>
    <t>11001400302720190075200</t>
  </si>
  <si>
    <t>CISA 907</t>
  </si>
  <si>
    <t>CISA 908</t>
  </si>
  <si>
    <t>CISA 909</t>
  </si>
  <si>
    <t>CISA 910</t>
  </si>
  <si>
    <t>CISA 911</t>
  </si>
  <si>
    <t>CISA 913</t>
  </si>
  <si>
    <t>CISA 914</t>
  </si>
  <si>
    <t>CISA 915</t>
  </si>
  <si>
    <t>CISA 916</t>
  </si>
  <si>
    <t>CISA 917</t>
  </si>
  <si>
    <t>CISA 918</t>
  </si>
  <si>
    <t>CISA 919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</si>
  <si>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</si>
  <si>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</si>
  <si>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</si>
  <si>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</si>
  <si>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</si>
  <si>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</si>
  <si>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</si>
  <si>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</si>
  <si>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</si>
  <si>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</si>
  <si>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</si>
  <si>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</si>
  <si>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</si>
  <si>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</si>
  <si>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</si>
  <si>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</si>
  <si>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</si>
  <si>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</si>
  <si>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</si>
  <si>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</si>
  <si>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</si>
  <si>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</si>
  <si>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</si>
  <si>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</si>
  <si>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</si>
  <si>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</si>
  <si>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</si>
  <si>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</si>
  <si>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</si>
  <si>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</si>
  <si>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</si>
  <si>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</si>
  <si>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954</t>
  </si>
  <si>
    <t>CISA 955</t>
  </si>
  <si>
    <t>CISA 956</t>
  </si>
  <si>
    <t>CISA 957</t>
  </si>
  <si>
    <t>CISA 958</t>
  </si>
  <si>
    <t>CISA 959</t>
  </si>
  <si>
    <t>CISA 961</t>
  </si>
  <si>
    <t>CISA 962</t>
  </si>
  <si>
    <t>CISA 964</t>
  </si>
  <si>
    <t>CISA 965</t>
  </si>
  <si>
    <t>CISA 966</t>
  </si>
  <si>
    <t>CISA 967</t>
  </si>
  <si>
    <t>CISA 968</t>
  </si>
  <si>
    <t>CISA 969</t>
  </si>
  <si>
    <t>CISA 970</t>
  </si>
  <si>
    <t>CISA 971</t>
  </si>
  <si>
    <t>CISA 972</t>
  </si>
  <si>
    <t>CISA 973</t>
  </si>
  <si>
    <t>CISA 974</t>
  </si>
  <si>
    <t>CISA 976</t>
  </si>
  <si>
    <t>CISA 977</t>
  </si>
  <si>
    <t>CISA 978</t>
  </si>
  <si>
    <t>CISA 979</t>
  </si>
  <si>
    <t>CISA 981</t>
  </si>
  <si>
    <t>CISA 982</t>
  </si>
  <si>
    <t>CISA 983</t>
  </si>
  <si>
    <t>CISA 984</t>
  </si>
  <si>
    <t>CISA 985</t>
  </si>
  <si>
    <t>CISA 988</t>
  </si>
  <si>
    <t>CISA 989</t>
  </si>
  <si>
    <t>CISA 990</t>
  </si>
  <si>
    <t>CISA 992</t>
  </si>
  <si>
    <t>CISA 993</t>
  </si>
  <si>
    <t>CISA 994</t>
  </si>
  <si>
    <t>CISA 995</t>
  </si>
  <si>
    <t>CISA 996</t>
  </si>
  <si>
    <t>CISA 999</t>
  </si>
  <si>
    <t>CISA 1000</t>
  </si>
  <si>
    <t>CISA 1001</t>
  </si>
  <si>
    <t>CISA 1002</t>
  </si>
  <si>
    <t>CISA 1003</t>
  </si>
  <si>
    <t>CISA 1004</t>
  </si>
  <si>
    <t>CISA 1006</t>
  </si>
  <si>
    <t>CISA 1007</t>
  </si>
  <si>
    <t>CISA 1010</t>
  </si>
  <si>
    <t>CISA 1011</t>
  </si>
  <si>
    <t>CISA 1012</t>
  </si>
  <si>
    <t>CISA 1013</t>
  </si>
  <si>
    <t>CISA 1014</t>
  </si>
  <si>
    <t>CISA 1016</t>
  </si>
  <si>
    <t>CISA 1017</t>
  </si>
  <si>
    <t>CISA 1018</t>
  </si>
  <si>
    <t>CISA 1019</t>
  </si>
  <si>
    <t>CISA 1020</t>
  </si>
  <si>
    <t>CISA 1021</t>
  </si>
  <si>
    <t>CISA 1022</t>
  </si>
  <si>
    <t>CISA 1023</t>
  </si>
  <si>
    <t>CISA 1024</t>
  </si>
  <si>
    <t>CISA 1025</t>
  </si>
  <si>
    <t>CISA 1027</t>
  </si>
  <si>
    <t>CISA 1028</t>
  </si>
  <si>
    <t>CISA 1029</t>
  </si>
  <si>
    <t>CISA 1030</t>
  </si>
  <si>
    <t>CISA 1031</t>
  </si>
  <si>
    <t>CISA 1032</t>
  </si>
  <si>
    <t>CISA 1033</t>
  </si>
  <si>
    <t>CISA 1034</t>
  </si>
  <si>
    <t>CISA 1035</t>
  </si>
  <si>
    <t>CISA 1037</t>
  </si>
  <si>
    <t>CISA 1038</t>
  </si>
  <si>
    <t>CISA 1040</t>
  </si>
  <si>
    <t>CISA 1041</t>
  </si>
  <si>
    <t>CISA 1045</t>
  </si>
  <si>
    <t>CISA 1047</t>
  </si>
  <si>
    <t>CISA 1050</t>
  </si>
  <si>
    <t>CISA 1051</t>
  </si>
  <si>
    <t>CISA 1052</t>
  </si>
  <si>
    <t>CISA 1053</t>
  </si>
  <si>
    <t>CISA 1054</t>
  </si>
  <si>
    <t>CISA 1055</t>
  </si>
  <si>
    <t>CISA 1056</t>
  </si>
  <si>
    <t>CISA 1057</t>
  </si>
  <si>
    <t>CISA 1058</t>
  </si>
  <si>
    <t>CISA 1059</t>
  </si>
  <si>
    <t>CISA 1060</t>
  </si>
  <si>
    <t>CISA 1063</t>
  </si>
  <si>
    <t>CISA 1064</t>
  </si>
  <si>
    <t>CISA 1065</t>
  </si>
  <si>
    <t>CISA 1066</t>
  </si>
  <si>
    <t>CISA 1068</t>
  </si>
  <si>
    <t>CISA 1069</t>
  </si>
  <si>
    <t>CISA 1070</t>
  </si>
  <si>
    <t>CISA 1071</t>
  </si>
  <si>
    <t>CISA 1072</t>
  </si>
  <si>
    <t>CISA 1073</t>
  </si>
  <si>
    <t>CISA 1074</t>
  </si>
  <si>
    <t>CISA 1075</t>
  </si>
  <si>
    <t>CISA 1076</t>
  </si>
  <si>
    <t>CISA 1077</t>
  </si>
  <si>
    <t>CISA 1078</t>
  </si>
  <si>
    <t>CISA 1079</t>
  </si>
  <si>
    <t>CISA 1080</t>
  </si>
  <si>
    <t>CISA 1081</t>
  </si>
  <si>
    <t>CISA 1082</t>
  </si>
  <si>
    <t>CISA 1083</t>
  </si>
  <si>
    <t>CISA 1085</t>
  </si>
  <si>
    <t>CISA 1086</t>
  </si>
  <si>
    <t>CISA 1087</t>
  </si>
  <si>
    <t>CISA 1088</t>
  </si>
  <si>
    <t>CISA 1089</t>
  </si>
  <si>
    <t>CISA 1090</t>
  </si>
  <si>
    <t>CISA 1091</t>
  </si>
  <si>
    <t>CISA 1092</t>
  </si>
  <si>
    <t>CISA 1093</t>
  </si>
  <si>
    <t>CISA 1094</t>
  </si>
  <si>
    <t>CISA 1095</t>
  </si>
  <si>
    <t>CISA 1096</t>
  </si>
  <si>
    <t>CISA 1097</t>
  </si>
  <si>
    <t>CISA 1098</t>
  </si>
  <si>
    <t>CISA 1099</t>
  </si>
  <si>
    <t>CISA 1100</t>
  </si>
  <si>
    <t>CISA 1101</t>
  </si>
  <si>
    <t>CISA 1102</t>
  </si>
  <si>
    <t>CISA 1103</t>
  </si>
  <si>
    <t>CISA 1104</t>
  </si>
  <si>
    <t>CISA 1105</t>
  </si>
  <si>
    <t>CISA 1106</t>
  </si>
  <si>
    <t>CISA 1107</t>
  </si>
  <si>
    <t>CISA 1108</t>
  </si>
  <si>
    <t>CISA 1109</t>
  </si>
  <si>
    <t>CISA 1110</t>
  </si>
  <si>
    <t>CISA 1112</t>
  </si>
  <si>
    <t>CISA 1113</t>
  </si>
  <si>
    <t>CISA 1114</t>
  </si>
  <si>
    <t>CISA 1115</t>
  </si>
  <si>
    <t>CISA 1116</t>
  </si>
  <si>
    <t>CISA 1117</t>
  </si>
  <si>
    <t>CISA 1118</t>
  </si>
  <si>
    <t>CISA 1119</t>
  </si>
  <si>
    <t>CISA 1120</t>
  </si>
  <si>
    <t>CISA 1121</t>
  </si>
  <si>
    <t>CISA 1122</t>
  </si>
  <si>
    <t>CISA 1123</t>
  </si>
  <si>
    <t>CISA 1124</t>
  </si>
  <si>
    <t>CISA 1125</t>
  </si>
  <si>
    <t>CISA 1126</t>
  </si>
  <si>
    <t>CISA 1127</t>
  </si>
  <si>
    <t>CISA 1128</t>
  </si>
  <si>
    <t>CISA 1129</t>
  </si>
  <si>
    <t>CISA 1130</t>
  </si>
  <si>
    <t>CISA 1131</t>
  </si>
  <si>
    <t>CISA 1132</t>
  </si>
  <si>
    <t>CISA 1133</t>
  </si>
  <si>
    <t>CISA 1134</t>
  </si>
  <si>
    <t>CISA 1135</t>
  </si>
  <si>
    <t>CISA 1136</t>
  </si>
  <si>
    <t>CISA 1137</t>
  </si>
  <si>
    <t>CISA 1138</t>
  </si>
  <si>
    <t>CISA 1139</t>
  </si>
  <si>
    <t>CISA 1140</t>
  </si>
  <si>
    <t>CISA 1141</t>
  </si>
  <si>
    <t>CISA 1142</t>
  </si>
  <si>
    <t>CISA 1143</t>
  </si>
  <si>
    <t>CISA 1144</t>
  </si>
  <si>
    <t>CISA 1145</t>
  </si>
  <si>
    <t>11001310303120190065700</t>
  </si>
  <si>
    <t>25899310300120190043100</t>
  </si>
  <si>
    <t>001 CIVIL DEL CIRCUITO DE ZIPAQUIRÁ</t>
  </si>
  <si>
    <t>11001310300520190052900</t>
  </si>
  <si>
    <t>11001400301220200005300</t>
  </si>
  <si>
    <t>11001310302320210010500</t>
  </si>
  <si>
    <t>11001400305520190086000</t>
  </si>
  <si>
    <t xml:space="preserve"> 013 CIVIL MUNICIPAL DE EJECUCIÓN DE SENTENCIAS</t>
  </si>
  <si>
    <t>11001310300220190061100</t>
  </si>
  <si>
    <t>11001310303320190082300</t>
  </si>
  <si>
    <t>11001310302820190008000</t>
  </si>
  <si>
    <t>11001310301720190065600</t>
  </si>
  <si>
    <t>11001400301520200005300</t>
  </si>
  <si>
    <t>11001400302220190105300</t>
  </si>
  <si>
    <t xml:space="preserve"> 010 CIVIL MUNICIPAL DE EJECUCIÓN DE SENTENCIAS</t>
  </si>
  <si>
    <t>11001310304020190088000</t>
  </si>
  <si>
    <t>11001310302420210018800</t>
  </si>
  <si>
    <t xml:space="preserve">001 CIVIL DEL CIRCUITO DE EJECUCIÓN DE SENTENCIAS </t>
  </si>
  <si>
    <t>11001310301220190090700</t>
  </si>
  <si>
    <t>012 CIVIL DEL CIRCUITO</t>
  </si>
  <si>
    <t>11001310302320190063100</t>
  </si>
  <si>
    <t xml:space="preserve"> 023 CIVIL DEL CIRCUITO</t>
  </si>
  <si>
    <t>11001400302120190141400</t>
  </si>
  <si>
    <t>11001400305120190108800</t>
  </si>
  <si>
    <t>11001310303520160054400</t>
  </si>
  <si>
    <t>11001310300420190035000</t>
  </si>
  <si>
    <t>11001310301920200009700</t>
  </si>
  <si>
    <t>11001310302920210022900</t>
  </si>
  <si>
    <t>11001310303220190058700</t>
  </si>
  <si>
    <t>11001310301020190034600</t>
  </si>
  <si>
    <t>11001310302820190074600</t>
  </si>
  <si>
    <t>11001400301620200012500</t>
  </si>
  <si>
    <t>11001310303320190097800</t>
  </si>
  <si>
    <t>033 CIVIL DEL CIRCUITO</t>
  </si>
  <si>
    <t>11001310303920190033700</t>
  </si>
  <si>
    <t>11001310302520200008000</t>
  </si>
  <si>
    <t>11001400303020190106100</t>
  </si>
  <si>
    <t>11001400303120190111000</t>
  </si>
  <si>
    <t>11001400304820190017000</t>
  </si>
  <si>
    <t>11001400304120190126000</t>
  </si>
  <si>
    <t>11001400301120180109900</t>
  </si>
  <si>
    <t>11001310301220210018900</t>
  </si>
  <si>
    <t>11001310302120190084300</t>
  </si>
  <si>
    <t>11001400304720190131800</t>
  </si>
  <si>
    <t>11001400305020190093400</t>
  </si>
  <si>
    <t>11001310301320200007100</t>
  </si>
  <si>
    <t>11001400304820220059900</t>
  </si>
  <si>
    <t>11001310304020200039800</t>
  </si>
  <si>
    <t>11001400302120210005000</t>
  </si>
  <si>
    <t>11001310304220220043100</t>
  </si>
  <si>
    <t>11001310303720210043300</t>
  </si>
  <si>
    <t>11001310300420220027400</t>
  </si>
  <si>
    <t>11001310303520220027300</t>
  </si>
  <si>
    <t>11001400300920220108400</t>
  </si>
  <si>
    <t>009 CIVIL MUNICIPAL</t>
  </si>
  <si>
    <t>11001400303220220092700</t>
  </si>
  <si>
    <t>032 CIVIL MUNICIPAL</t>
  </si>
  <si>
    <t>11001310303820220039000</t>
  </si>
  <si>
    <t>11001310303020220035000</t>
  </si>
  <si>
    <t>11001400302920220094900</t>
  </si>
  <si>
    <t>029 CIVIL MUNICIPAL</t>
  </si>
  <si>
    <t>11001310302020220023500</t>
  </si>
  <si>
    <t>020 CIVIL DEL CIRCUITO</t>
  </si>
  <si>
    <t>11001310304420220045200</t>
  </si>
  <si>
    <t>ESTADOS</t>
  </si>
  <si>
    <t>11001310304320220030700</t>
  </si>
  <si>
    <t>11001310300720220040700</t>
  </si>
  <si>
    <t>007 CIVIL DEL CIRCUITO</t>
  </si>
  <si>
    <t>11001310303020220016700</t>
  </si>
  <si>
    <t>11001310301920220049200</t>
  </si>
  <si>
    <t>11001400301420210055200</t>
  </si>
  <si>
    <t>11001310304920220045100</t>
  </si>
  <si>
    <t>11001310302720220021500</t>
  </si>
  <si>
    <t>11001310303620220032500</t>
  </si>
  <si>
    <t>036 CIVIL DEL CIRCUITO</t>
  </si>
  <si>
    <t>11001310300820220062700</t>
  </si>
  <si>
    <t>11001310300320220034700</t>
  </si>
  <si>
    <t xml:space="preserve"> 003 CIVIL DEL CIRCUITO</t>
  </si>
  <si>
    <t>11001310301220220054300</t>
  </si>
  <si>
    <t>11001310301220230003700</t>
  </si>
  <si>
    <t>11001310304120220058000</t>
  </si>
  <si>
    <t>041 CIVIL DEL CIRCUITO</t>
  </si>
  <si>
    <t>11001310305120230004800</t>
  </si>
  <si>
    <t>051 CIVIL DEL CIRCUITO</t>
  </si>
  <si>
    <t>11001310300520230007400</t>
  </si>
  <si>
    <t>11001310305020220048300</t>
  </si>
  <si>
    <t>050 CIVIL DEL CIRCUITO</t>
  </si>
  <si>
    <t>25286310300220230032200</t>
  </si>
  <si>
    <t xml:space="preserve"> 002 CIVIL DEL CIRCUITO DE FUNZA</t>
  </si>
  <si>
    <t>11001310302520210035000</t>
  </si>
  <si>
    <t>025 CIVIL DEL CIRCUIT</t>
  </si>
  <si>
    <t>11001400303420220084400</t>
  </si>
  <si>
    <t>11001310302020190064100</t>
  </si>
  <si>
    <t>20 CIVIL DEL CIRCUITO</t>
  </si>
  <si>
    <t>11001310302320220034900</t>
  </si>
  <si>
    <t>11001310304320220047500</t>
  </si>
  <si>
    <t>11001310304620220052000</t>
  </si>
  <si>
    <t xml:space="preserve">046 CIVIL DEL CIRCUITO </t>
  </si>
  <si>
    <t>11001310301920220045200</t>
  </si>
  <si>
    <t>11001310304920220021600</t>
  </si>
  <si>
    <t>11001400308420210098600</t>
  </si>
  <si>
    <t>084 CIVIL MUNICIPAL</t>
  </si>
  <si>
    <t>11001400303020220095000</t>
  </si>
  <si>
    <t>11001400300720220105800</t>
  </si>
  <si>
    <t>11001400304120220074100</t>
  </si>
  <si>
    <t>11001310304120220047500</t>
  </si>
  <si>
    <t>11001400304820220070900</t>
  </si>
  <si>
    <t>11001400308320220032800</t>
  </si>
  <si>
    <t>11001418900320220069200</t>
  </si>
  <si>
    <t>11001418903720220058600</t>
  </si>
  <si>
    <t>037 DE PEQUEÑAS CAUSAS Y COMPETENCIA MÚLTIPLE</t>
  </si>
  <si>
    <t>11001310302320220022800</t>
  </si>
  <si>
    <t>11001310302720220025000</t>
  </si>
  <si>
    <t>25402408900120210026200</t>
  </si>
  <si>
    <t>11001310302720220021100</t>
  </si>
  <si>
    <t>11001400304920220074200</t>
  </si>
  <si>
    <t>11001400301320220102900</t>
  </si>
  <si>
    <t xml:space="preserve"> 007 CIVIL MUNICIPAL DE EJECUCIÓN DE SENTENCIAS</t>
  </si>
  <si>
    <t xml:space="preserve"> 012 CIVIL MUNICIPAL DE EJECUCIÓN DE SENTENCIAS</t>
  </si>
  <si>
    <t>11001400303520210094100</t>
  </si>
  <si>
    <t>11001400300420210091200</t>
  </si>
  <si>
    <t>004 CIVIL MUNICIPAL</t>
  </si>
  <si>
    <t>11001310300420220017000</t>
  </si>
  <si>
    <t>25286310300220230021900</t>
  </si>
  <si>
    <t>11001418901220220149400</t>
  </si>
  <si>
    <t>012 DE PEQUEÑAS CAUSAS Y COMPETENCIA MÚLTIPLE</t>
  </si>
  <si>
    <t>25307400300120220046800</t>
  </si>
  <si>
    <t>25312408900120220015300</t>
  </si>
  <si>
    <t>11001310303520220026000</t>
  </si>
  <si>
    <t>11001400303820220113400</t>
  </si>
  <si>
    <t>25386400300120220029900</t>
  </si>
  <si>
    <t>11001310301220210053600</t>
  </si>
  <si>
    <t>11001400300520220045900</t>
  </si>
  <si>
    <t>11001310301520220016300</t>
  </si>
  <si>
    <t>11001400300620220099000</t>
  </si>
  <si>
    <t>006 CIVIL MUNICIPAL</t>
  </si>
  <si>
    <t>11001400302420220116600</t>
  </si>
  <si>
    <t>024 CIVIL MUNICIPAL</t>
  </si>
  <si>
    <t>11001310303320220054800</t>
  </si>
  <si>
    <t>25286310300220230021500</t>
  </si>
  <si>
    <t>11001400303920210120100</t>
  </si>
  <si>
    <t>11001400301820220081500</t>
  </si>
  <si>
    <t>11001400303720220082500</t>
  </si>
  <si>
    <t>11001400306920220161300</t>
  </si>
  <si>
    <t>069 CIVIL MUNICIPAL</t>
  </si>
  <si>
    <t>11001310301820220042400</t>
  </si>
  <si>
    <t>018 CIVIL DEL CIRCUIT</t>
  </si>
  <si>
    <t>11001310301020220025800</t>
  </si>
  <si>
    <t>11001400304220210086600</t>
  </si>
  <si>
    <t>11001310303320220043400</t>
  </si>
  <si>
    <t xml:space="preserve">033 CIVIL DEL CIRCUITO </t>
  </si>
  <si>
    <t>11001310304020220014400</t>
  </si>
  <si>
    <t>11001418901620210090000</t>
  </si>
  <si>
    <t>11001400305220220095500</t>
  </si>
  <si>
    <t>11001400303320220127700</t>
  </si>
  <si>
    <t>11001310304220220042100</t>
  </si>
  <si>
    <t>11001418902220220010100</t>
  </si>
  <si>
    <t>022 DE PEQUEÑAS CAUSAS Y COMPETENCIA MÚLTIPLE</t>
  </si>
  <si>
    <t>11001310304420220047500</t>
  </si>
  <si>
    <t>11001418902420220174100</t>
  </si>
  <si>
    <t>024 DE PEQUEÑAS CAUSAS Y COMPETENCIA MÚLTIPLE</t>
  </si>
  <si>
    <t>11001400306920220174100</t>
  </si>
  <si>
    <t xml:space="preserve"> 069 CIVIL MUNICIPAL</t>
  </si>
  <si>
    <t>11001400302320230005000</t>
  </si>
  <si>
    <t>059 CIVIL MUNICIPAL</t>
  </si>
  <si>
    <t>CISA 1146</t>
  </si>
  <si>
    <t>CISA 1147</t>
  </si>
  <si>
    <t>CISA 1148</t>
  </si>
  <si>
    <t>CISA 1149</t>
  </si>
  <si>
    <t>CISA 1150</t>
  </si>
  <si>
    <t>CISA 1151</t>
  </si>
  <si>
    <t>11001400303120220140700</t>
  </si>
  <si>
    <t>031 CIVIL MUNICIPAL</t>
  </si>
  <si>
    <t>11001400303420220092600</t>
  </si>
  <si>
    <t>11001400300420210097700</t>
  </si>
  <si>
    <t>11001310300720210039300</t>
  </si>
  <si>
    <t>11001400308620220102900</t>
  </si>
  <si>
    <t>086 CIVIL MUNICIPAL</t>
  </si>
  <si>
    <t>11001400303120230007500</t>
  </si>
  <si>
    <t>11001400303420200005100</t>
  </si>
  <si>
    <t>11001400302320200014300</t>
  </si>
  <si>
    <t>023 CIVIL MUNICIPAL</t>
  </si>
  <si>
    <t>11001310303320190083100</t>
  </si>
  <si>
    <t>11001400300820190096200</t>
  </si>
  <si>
    <t>008 CIVIL MUNICIPAL</t>
  </si>
  <si>
    <t>11001400300420190056200</t>
  </si>
  <si>
    <t>11001400304520200002400</t>
  </si>
  <si>
    <t>045 CIVIL MUNICIPAL</t>
  </si>
  <si>
    <t>11001400304520190098000</t>
  </si>
  <si>
    <t>11001310302020190045900</t>
  </si>
  <si>
    <t xml:space="preserve">020 CIVIL DEL CIRCUITO </t>
  </si>
  <si>
    <t>11001310300720200035700</t>
  </si>
  <si>
    <t>11001400300420210074600</t>
  </si>
  <si>
    <t>11001418902420220077600</t>
  </si>
  <si>
    <t>11001418901920220079800</t>
  </si>
  <si>
    <t xml:space="preserve">019 DE PEQUEÑAS CAUSAS Y COMPETENCIA MÚLTIPLE </t>
  </si>
  <si>
    <t>11001400303320210087700</t>
  </si>
  <si>
    <t>11001310304720220024000</t>
  </si>
  <si>
    <t>11001400303120220088000</t>
  </si>
  <si>
    <t>11001310302920220011400</t>
  </si>
  <si>
    <t xml:space="preserve"> 029 CIVIL DEL CIRCUITO</t>
  </si>
  <si>
    <t>11001310301920220022300</t>
  </si>
  <si>
    <t>11001400301620220089100</t>
  </si>
  <si>
    <t xml:space="preserve"> 016 CIVIL MUNICIPAL</t>
  </si>
  <si>
    <t>11001310300120220034100</t>
  </si>
  <si>
    <t>11001310300820220040600</t>
  </si>
  <si>
    <t>11001400303120220121600</t>
  </si>
  <si>
    <t>11001400305320220096500</t>
  </si>
  <si>
    <t>11001310301220220005900</t>
  </si>
  <si>
    <t>11001400304120220118000</t>
  </si>
  <si>
    <t>11001310303120210030000</t>
  </si>
  <si>
    <t>11001418901120220146600</t>
  </si>
  <si>
    <t>011 DE PEQUEÑAS CAUSAS Y COMPETENCIA MÚLTIPLE</t>
  </si>
  <si>
    <t>11001310301020220024500</t>
  </si>
  <si>
    <t>11001400301320220102400</t>
  </si>
  <si>
    <t>11001400301620220092000</t>
  </si>
  <si>
    <t xml:space="preserve"> 009 CIVIL MUNICIPAL DE EJECUCIÓN DE SENTENCIAS</t>
  </si>
  <si>
    <t>11001310302720220027800</t>
  </si>
  <si>
    <t xml:space="preserve">027 CIVIL DEL CIRCUITO </t>
  </si>
  <si>
    <t>11001310301420220029400</t>
  </si>
  <si>
    <t xml:space="preserve">014 CIVIL DEL CIRCUITO </t>
  </si>
  <si>
    <t>11001310303320220041600</t>
  </si>
  <si>
    <t>11001310305120220036600</t>
  </si>
  <si>
    <t>11001400300620220100000</t>
  </si>
  <si>
    <t xml:space="preserve"> 006 CIVIL MUNICIPAL</t>
  </si>
  <si>
    <t>11001310300920220016200</t>
  </si>
  <si>
    <t>009 CIVIL DEL CIRCUITO</t>
  </si>
  <si>
    <t>11001400305420220109900</t>
  </si>
  <si>
    <t xml:space="preserve">054 CIVIL MUNICIPAL </t>
  </si>
  <si>
    <t>11001400301320210072900</t>
  </si>
  <si>
    <t xml:space="preserve"> 013 CIVIL MUNICIPAL</t>
  </si>
  <si>
    <t>11001310301520220015900</t>
  </si>
  <si>
    <t xml:space="preserve"> 015 CIVIL DEL CIRCUITO</t>
  </si>
  <si>
    <t>11001310304420210018200</t>
  </si>
  <si>
    <t>11001310302620220013900</t>
  </si>
  <si>
    <t>11001410300220220046300</t>
  </si>
  <si>
    <t>002 DE PEQUEÑAS CAUSAS Y COMPETENCIA MÚLTIPLE</t>
  </si>
  <si>
    <t>11001400302020220091400</t>
  </si>
  <si>
    <t>020 CIVIL MUNICIPAL</t>
  </si>
  <si>
    <t>11001310301020210044800</t>
  </si>
  <si>
    <t>11001310302620220016700</t>
  </si>
  <si>
    <t>11001400305620220107800</t>
  </si>
  <si>
    <t xml:space="preserve"> 056 CIVIL MUNICIPAL</t>
  </si>
  <si>
    <t>11001310304120220044300</t>
  </si>
  <si>
    <t>11001310303920220024800</t>
  </si>
  <si>
    <t>039 CIVIL DEL CIRCUITO</t>
  </si>
  <si>
    <t>11001310304720220009900</t>
  </si>
  <si>
    <t>047 CIVIL DEL CIRCUITO</t>
  </si>
  <si>
    <t>11001418900720220146200</t>
  </si>
  <si>
    <t>11001310303220210012700</t>
  </si>
  <si>
    <t>11001310301820200042200</t>
  </si>
  <si>
    <t>11001310303220210015400</t>
  </si>
  <si>
    <t>11001310300820210021800</t>
  </si>
  <si>
    <t xml:space="preserve"> 008 CIVIL DEL CIRCUITO</t>
  </si>
  <si>
    <t>11001310300520210039300</t>
  </si>
  <si>
    <t>11001310301620220026600</t>
  </si>
  <si>
    <t>11001400304120210066000</t>
  </si>
  <si>
    <t xml:space="preserve"> 041 CIVIL MUNICIPAL</t>
  </si>
  <si>
    <t>11001310301220220012800</t>
  </si>
  <si>
    <t>11001400304220220120000</t>
  </si>
  <si>
    <t xml:space="preserve"> 042 CIVIL MUNICIPAL</t>
  </si>
  <si>
    <t>11001400300220220074200</t>
  </si>
  <si>
    <t xml:space="preserve"> 002 CIVIL MUNICIPAL</t>
  </si>
  <si>
    <t>11001310300120220037400</t>
  </si>
  <si>
    <t>11001400301020220123200</t>
  </si>
  <si>
    <t>11001400304220220133000</t>
  </si>
  <si>
    <t>042 CIVIL MUNICIPAL</t>
  </si>
  <si>
    <t>11001310304120220032500</t>
  </si>
  <si>
    <t>41 CIVIL DEL CIRCUITO</t>
  </si>
  <si>
    <t>11001400302820220106700</t>
  </si>
  <si>
    <t>028 CIVIL MUNICIPAL</t>
  </si>
  <si>
    <t>11001400304720220134200</t>
  </si>
  <si>
    <t>11001310304920210070000</t>
  </si>
  <si>
    <t>11001400302320210086300</t>
  </si>
  <si>
    <t xml:space="preserve"> 023 CIVIL MUNICIPAL</t>
  </si>
  <si>
    <t>11001310305120220015700</t>
  </si>
  <si>
    <t>11001400301320220031600</t>
  </si>
  <si>
    <t>11001310300520230004300</t>
  </si>
  <si>
    <t>11001310301820220044000</t>
  </si>
  <si>
    <t>18 CIVIL DEL CIRCUITO</t>
  </si>
  <si>
    <t>11001310305020220054900</t>
  </si>
  <si>
    <t>50 CIVIL DEL CIRCUITO</t>
  </si>
  <si>
    <t xml:space="preserve">11001311003120190014600 </t>
  </si>
  <si>
    <t>11001400302420220112800</t>
  </si>
  <si>
    <t>11001400300220230115600</t>
  </si>
  <si>
    <t>11001310303420230020500</t>
  </si>
  <si>
    <t>11001400303920180097400</t>
  </si>
  <si>
    <t>11001400304920070111800</t>
  </si>
  <si>
    <t>11001400303520150133600</t>
  </si>
  <si>
    <t>11001400303420140000300</t>
  </si>
  <si>
    <t>11001400307220120155500</t>
  </si>
  <si>
    <t>11001310304020100080200</t>
  </si>
  <si>
    <t>11001310302120000033301</t>
  </si>
  <si>
    <t>11001310302220000024401</t>
  </si>
  <si>
    <t>11001400300120080122400</t>
  </si>
  <si>
    <t>11001310301020080044000</t>
  </si>
  <si>
    <t>11001310301220050023300</t>
  </si>
  <si>
    <t>11001310301319990728001</t>
  </si>
  <si>
    <t>11001310301320040023401</t>
  </si>
  <si>
    <t>11001310302020050048700</t>
  </si>
  <si>
    <t>11001310302320060027000</t>
  </si>
  <si>
    <t>11001310302420040064301</t>
  </si>
  <si>
    <t>11001310302519940040401</t>
  </si>
  <si>
    <t>11001310303120050054200</t>
  </si>
  <si>
    <t>11001310303320050027101</t>
  </si>
  <si>
    <t>11001310303320060055000</t>
  </si>
  <si>
    <t>11001310303520020024001</t>
  </si>
  <si>
    <t>11001310300620040035201</t>
  </si>
  <si>
    <t>11001400300120040026400</t>
  </si>
  <si>
    <t>11001418901420190263200</t>
  </si>
  <si>
    <t>11001400306720190164100</t>
  </si>
  <si>
    <t>11001400306820110027900</t>
  </si>
  <si>
    <t>11001400301420080087900</t>
  </si>
  <si>
    <t>11001400305220090125500</t>
  </si>
  <si>
    <t>11001400301920130137800</t>
  </si>
  <si>
    <t>11001400300620140012800</t>
  </si>
  <si>
    <t>11001400300120140045400</t>
  </si>
  <si>
    <t>11001400302720150093500</t>
  </si>
  <si>
    <t>11001400302720150047300</t>
  </si>
  <si>
    <t>11001400303420150124600</t>
  </si>
  <si>
    <t>11001400301720150107400</t>
  </si>
  <si>
    <t>11001400301720150125300</t>
  </si>
  <si>
    <t>11001400307820160008100</t>
  </si>
  <si>
    <t>11001400305920130109700</t>
  </si>
  <si>
    <t>11001400305720140028700</t>
  </si>
  <si>
    <t>11001310301520160032900</t>
  </si>
  <si>
    <t>11001400301620150174800</t>
  </si>
  <si>
    <t>11001310303920170039700</t>
  </si>
  <si>
    <t>11001400303320150140500</t>
  </si>
  <si>
    <t>11001400302120160035100</t>
  </si>
  <si>
    <t>11001310303920130080500</t>
  </si>
  <si>
    <t>11001310302420160075300</t>
  </si>
  <si>
    <t>11001310304020180002400</t>
  </si>
  <si>
    <t>11001310304120170068900</t>
  </si>
  <si>
    <t>11001310302220170048100</t>
  </si>
  <si>
    <t>11001400307520170145300</t>
  </si>
  <si>
    <t>11001400308320170134600</t>
  </si>
  <si>
    <t>11001410308420170115100</t>
  </si>
  <si>
    <t>11001400303320170171100</t>
  </si>
  <si>
    <t>11001310301420170062400</t>
  </si>
  <si>
    <t>11001400304220170153300</t>
  </si>
  <si>
    <t>11001310300920160056700</t>
  </si>
  <si>
    <t>11001400300720170134800</t>
  </si>
  <si>
    <t>11001400307320180012700</t>
  </si>
  <si>
    <t>11001310302020180025600</t>
  </si>
  <si>
    <t>11001310301020180018900</t>
  </si>
  <si>
    <t>11001400303520180103000</t>
  </si>
  <si>
    <t>11001310304120220015100</t>
  </si>
  <si>
    <t>11001310301720160047500</t>
  </si>
  <si>
    <t>11001310304320170054800</t>
  </si>
  <si>
    <t>11001400304520020189500</t>
  </si>
  <si>
    <t>11001400302320090073400</t>
  </si>
  <si>
    <t>11001310303120100013300</t>
  </si>
  <si>
    <t>11001310304220120009400</t>
  </si>
  <si>
    <t>11001400306820150051400</t>
  </si>
  <si>
    <t>11001400300920150086600</t>
  </si>
  <si>
    <t>11001400305520150045700</t>
  </si>
  <si>
    <t>11001400307120160046100</t>
  </si>
  <si>
    <t>11001400305820160119000</t>
  </si>
  <si>
    <t>11001310301220160081700</t>
  </si>
  <si>
    <t>11001310303820150029100</t>
  </si>
  <si>
    <t>11001400303420140046700</t>
  </si>
  <si>
    <t>11001400300320170086600</t>
  </si>
  <si>
    <t>11001400308220170065200</t>
  </si>
  <si>
    <t>11001400307620170048100</t>
  </si>
  <si>
    <t>11001400305920170101000</t>
  </si>
  <si>
    <t>11001400300720170118200</t>
  </si>
  <si>
    <t>11001400300820170092700</t>
  </si>
  <si>
    <t>11001400301120170095800</t>
  </si>
  <si>
    <t>11001400300820170118800</t>
  </si>
  <si>
    <t>11001400302920170101700</t>
  </si>
  <si>
    <t>11001400302520170096800</t>
  </si>
  <si>
    <t>11001400308220170102500</t>
  </si>
  <si>
    <t>11001400307320170126700</t>
  </si>
  <si>
    <t>11001400306620170177100</t>
  </si>
  <si>
    <t>11001400303820170067800</t>
  </si>
  <si>
    <t>11001400306620170125400</t>
  </si>
  <si>
    <t>11001400303920170138601</t>
  </si>
  <si>
    <t>11001400301320170135900</t>
  </si>
  <si>
    <t>11001400307820170072000</t>
  </si>
  <si>
    <t>11001400304620140056200</t>
  </si>
  <si>
    <t>11001400305420150036000</t>
  </si>
  <si>
    <t>11001400306320170071500</t>
  </si>
  <si>
    <t>11001400304220170104200</t>
  </si>
  <si>
    <t>11001310300720170052400</t>
  </si>
  <si>
    <t>11001310304120130030500</t>
  </si>
  <si>
    <t>11001400301720130081000</t>
  </si>
  <si>
    <t>11001310302620170066500</t>
  </si>
  <si>
    <t>11001310303220180000900</t>
  </si>
  <si>
    <t>11001400307720170127100</t>
  </si>
  <si>
    <t>11001400304920170135200</t>
  </si>
  <si>
    <t>11001400304220170100400</t>
  </si>
  <si>
    <t>11001310303820180001300</t>
  </si>
  <si>
    <t>11001400306820170151200</t>
  </si>
  <si>
    <t>11001400307920170157500</t>
  </si>
  <si>
    <t>11001310301820170030900</t>
  </si>
  <si>
    <t>11001400302020170085900</t>
  </si>
  <si>
    <t>11001310304420180048700</t>
  </si>
  <si>
    <t>11001400301820040070600</t>
  </si>
  <si>
    <t>11001310302620170060800</t>
  </si>
  <si>
    <t>11001400305320150037700</t>
  </si>
  <si>
    <t>11001400307620190195700</t>
  </si>
  <si>
    <t>11001310300320180002800</t>
  </si>
  <si>
    <t>11001400301320070079200</t>
  </si>
  <si>
    <t>11001400301020040090400</t>
  </si>
  <si>
    <t>11001400301120020171400</t>
  </si>
  <si>
    <t>11001400301120020186100</t>
  </si>
  <si>
    <t>11001400301120040165200</t>
  </si>
  <si>
    <t>11001400301120060057200</t>
  </si>
  <si>
    <t>11001400301520050162701</t>
  </si>
  <si>
    <t>11001310301520050062500</t>
  </si>
  <si>
    <t>11001400301720030079200</t>
  </si>
  <si>
    <t>11001400301820060001500</t>
  </si>
  <si>
    <t>11001400300220010696700</t>
  </si>
  <si>
    <t>11001400302020030160500</t>
  </si>
  <si>
    <t>11001400302020060054400</t>
  </si>
  <si>
    <t>11001400302120030016300</t>
  </si>
  <si>
    <t>11001400302120030019300</t>
  </si>
  <si>
    <t>11001400302320020171100</t>
  </si>
  <si>
    <t>11001400302520060102500</t>
  </si>
  <si>
    <t>11001400302620060082800</t>
  </si>
  <si>
    <t>11001400302720020136600</t>
  </si>
  <si>
    <t>11001400302720060117400</t>
  </si>
  <si>
    <t>11001400303020030052500</t>
  </si>
  <si>
    <t>11001400303120040102700</t>
  </si>
  <si>
    <t>11001400303220060059600</t>
  </si>
  <si>
    <t>11001400303320040125500</t>
  </si>
  <si>
    <t>11001310300120220035600</t>
  </si>
  <si>
    <t>11001311000820240013500</t>
  </si>
  <si>
    <t>11001311001520240019700</t>
  </si>
  <si>
    <t>11001311002320230030200</t>
  </si>
  <si>
    <t>11001311002620220087100</t>
  </si>
  <si>
    <t>11001311003620240042300</t>
  </si>
  <si>
    <t>11001310303020180048300</t>
  </si>
  <si>
    <t>11001310303920240026400</t>
  </si>
  <si>
    <t>11001400306520240056300</t>
  </si>
  <si>
    <t>25286310300220230034200</t>
  </si>
  <si>
    <t>11001400306320160003300</t>
  </si>
  <si>
    <t>11001310304520230004900</t>
  </si>
  <si>
    <t>11001400304120150153100</t>
  </si>
  <si>
    <t>11001310304320220034500</t>
  </si>
  <si>
    <t>11001400300520160005000</t>
  </si>
  <si>
    <t>CISA 572</t>
  </si>
  <si>
    <t>11001310303120220027500</t>
  </si>
  <si>
    <t>11001310300120150083800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</si>
</sst>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[Color10]0\_xd83d_\_xdc4d_;[Color3]\-0\_xd83d_\_xdc4e_"/>
    <numFmt numFmtId="165" formatCode="m/d/yyyy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sz val="14"/>
      <name val="Helvetica World"/>
    </font>
    <font>
      <b/>
      <sz val="14"/>
      <name val="Helvetica World"/>
    </font>
    <font>
      <sz val="14"/>
      <color theme="1"/>
      <name val="Arial"/>
      <family val="2"/>
    </font>
    <font>
      <sz val="14"/>
      <color theme="1"/>
      <name val="Helvetica World"/>
    </font>
    <font>
      <sz val="14"/>
      <color rgb="FF000000"/>
      <name val="Helvetica world"/>
    </font>
    <font>
      <sz val="14"/>
      <color rgb="FF7030A0"/>
      <name val="Helvetica World"/>
    </font>
    <font>
      <sz val="14"/>
      <color rgb="FF18191B"/>
      <name val="Segoe UI"/>
      <family val="2"/>
    </font>
    <font>
      <sz val="14"/>
      <color theme="1"/>
      <name val="Avenir Next LT Pro"/>
      <family val="2"/>
    </font>
    <font>
      <sz val="11"/>
      <color theme="1"/>
      <name val="Arial"/>
      <family val="2"/>
    </font>
    <font>
      <sz val="12"/>
      <color theme="0"/>
      <name val="Helvetica World"/>
      <family val="2"/>
    </font>
    <font>
      <sz val="12"/>
      <color theme="1"/>
      <name val="Helvetica World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Helvetica World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1" fillId="0" borderId="0"/>
    <xf numFmtId="0" fontId="12" fillId="2" borderId="0" applyNumberFormat="0" applyBorder="0" applyAlignment="0" applyProtection="0"/>
    <xf numFmtId="0" fontId="1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20">
    <xf numFmtId="0" fontId="0" fillId="0" borderId="0" xfId="0"/>
    <xf numFmtId="0" fontId="11" fillId="0" borderId="1" xfId="0" applyFont="1" applyBorder="1" applyAlignment="1">
      <alignment horizontal="center"/>
    </xf>
    <xf numFmtId="49" fontId="4" fillId="0" borderId="8" xfId="1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14" fontId="4" fillId="0" borderId="8" xfId="0" applyNumberFormat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 shrinkToFit="1"/>
    </xf>
    <xf numFmtId="49" fontId="4" fillId="0" borderId="5" xfId="1" applyNumberFormat="1" applyFont="1" applyBorder="1" applyAlignment="1">
      <alignment horizontal="center" vertical="center" shrinkToFit="1"/>
    </xf>
    <xf numFmtId="1" fontId="4" fillId="0" borderId="5" xfId="1" applyNumberFormat="1" applyFont="1" applyBorder="1" applyAlignment="1">
      <alignment horizontal="center" vertical="center" shrinkToFit="1"/>
    </xf>
    <xf numFmtId="0" fontId="4" fillId="0" borderId="6" xfId="1" applyFont="1" applyBorder="1" applyAlignment="1">
      <alignment horizontal="center" vertical="top" shrinkToFit="1"/>
    </xf>
    <xf numFmtId="49" fontId="4" fillId="0" borderId="5" xfId="1" applyNumberFormat="1" applyFont="1" applyBorder="1" applyAlignment="1">
      <alignment horizontal="center" vertical="center"/>
    </xf>
    <xf numFmtId="49" fontId="4" fillId="0" borderId="6" xfId="1" applyNumberFormat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49" fontId="3" fillId="0" borderId="1" xfId="1" applyNumberFormat="1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>
      <alignment horizontal="center" vertical="top"/>
    </xf>
    <xf numFmtId="0" fontId="9" fillId="0" borderId="3" xfId="0" applyFont="1" applyBorder="1" applyAlignment="1">
      <alignment horizontal="center"/>
    </xf>
    <xf numFmtId="49" fontId="4" fillId="0" borderId="1" xfId="1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49" fontId="3" fillId="0" borderId="1" xfId="2" applyNumberFormat="1" applyFont="1" applyBorder="1" applyAlignment="1" applyProtection="1">
      <alignment horizontal="center" vertical="center"/>
      <protection locked="0" hidden="1"/>
    </xf>
    <xf numFmtId="14" fontId="6" fillId="0" borderId="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10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4" fontId="3" fillId="0" borderId="11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top"/>
    </xf>
    <xf numFmtId="49" fontId="3" fillId="0" borderId="7" xfId="0" applyNumberFormat="1" applyFont="1" applyBorder="1" applyAlignment="1">
      <alignment horizontal="center" vertical="center"/>
    </xf>
    <xf numFmtId="49" fontId="4" fillId="0" borderId="8" xfId="1" applyNumberFormat="1" applyFont="1" applyBorder="1" applyAlignment="1">
      <alignment horizontal="center" vertical="center" shrinkToFit="1"/>
    </xf>
    <xf numFmtId="49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1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 shrinkToFit="1"/>
    </xf>
    <xf numFmtId="14" fontId="4" fillId="0" borderId="8" xfId="0" applyNumberFormat="1" applyFont="1" applyBorder="1" applyAlignment="1">
      <alignment horizontal="center" vertical="center" shrinkToFit="1"/>
    </xf>
    <xf numFmtId="0" fontId="4" fillId="0" borderId="6" xfId="1" applyFont="1" applyBorder="1" applyAlignment="1">
      <alignment horizontal="left" vertical="top" shrinkToFit="1"/>
    </xf>
    <xf numFmtId="49" fontId="4" fillId="0" borderId="1" xfId="1" applyNumberFormat="1" applyFont="1" applyBorder="1" applyAlignment="1">
      <alignment horizontal="center" vertical="center" shrinkToFit="1"/>
    </xf>
    <xf numFmtId="0" fontId="3" fillId="0" borderId="2" xfId="1" applyFont="1" applyBorder="1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0" fontId="3" fillId="0" borderId="1" xfId="1" applyFont="1" applyBorder="1" applyAlignment="1">
      <alignment horizontal="center" vertical="center" shrinkToFit="1"/>
    </xf>
    <xf numFmtId="14" fontId="3" fillId="0" borderId="1" xfId="1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14" fontId="3" fillId="0" borderId="1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164" fontId="3" fillId="0" borderId="1" xfId="0" applyNumberFormat="1" applyFont="1" applyBorder="1" applyAlignment="1">
      <alignment horizontal="center" vertical="center" shrinkToFit="1"/>
    </xf>
    <xf numFmtId="0" fontId="3" fillId="0" borderId="3" xfId="0" applyFont="1" applyBorder="1" applyAlignment="1">
      <alignment horizontal="left" vertical="top" shrinkToFit="1"/>
    </xf>
    <xf numFmtId="49" fontId="8" fillId="0" borderId="1" xfId="0" applyNumberFormat="1" applyFont="1" applyBorder="1" applyAlignment="1">
      <alignment horizontal="center" vertical="center" shrinkToFit="1"/>
    </xf>
    <xf numFmtId="0" fontId="6" fillId="0" borderId="3" xfId="0" applyFont="1" applyBorder="1" applyAlignment="1">
      <alignment shrinkToFit="1"/>
    </xf>
    <xf numFmtId="49" fontId="3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3" fillId="0" borderId="1" xfId="2" applyNumberFormat="1" applyFont="1" applyBorder="1" applyAlignment="1">
      <alignment horizontal="center" vertical="center" shrinkToFit="1"/>
    </xf>
    <xf numFmtId="49" fontId="6" fillId="0" borderId="1" xfId="1" applyNumberFormat="1" applyFont="1" applyBorder="1" applyAlignment="1">
      <alignment horizontal="center" vertical="center" shrinkToFit="1"/>
    </xf>
    <xf numFmtId="0" fontId="7" fillId="0" borderId="3" xfId="0" applyFont="1" applyBorder="1" applyAlignment="1">
      <alignment horizontal="justify" vertical="center" shrinkToFit="1"/>
    </xf>
    <xf numFmtId="0" fontId="3" fillId="0" borderId="3" xfId="1" applyFont="1" applyBorder="1" applyAlignment="1">
      <alignment horizontal="left" vertical="center" shrinkToFit="1"/>
    </xf>
    <xf numFmtId="0" fontId="3" fillId="0" borderId="1" xfId="0" applyFont="1" applyBorder="1" applyAlignment="1">
      <alignment horizontal="left" vertical="top" shrinkToFit="1"/>
    </xf>
    <xf numFmtId="49" fontId="3" fillId="0" borderId="1" xfId="2" applyNumberFormat="1" applyFont="1" applyBorder="1" applyAlignment="1" applyProtection="1">
      <alignment horizontal="center" vertical="center" shrinkToFit="1"/>
      <protection locked="0" hidden="1"/>
    </xf>
    <xf numFmtId="165" fontId="3" fillId="0" borderId="1" xfId="0" applyNumberFormat="1" applyFont="1" applyBorder="1" applyAlignment="1">
      <alignment horizontal="center" vertical="center" shrinkToFit="1"/>
    </xf>
    <xf numFmtId="0" fontId="3" fillId="0" borderId="10" xfId="1" applyFont="1" applyBorder="1" applyAlignment="1">
      <alignment horizontal="center" vertical="center" shrinkToFit="1"/>
    </xf>
    <xf numFmtId="49" fontId="3" fillId="0" borderId="11" xfId="1" applyNumberFormat="1" applyFont="1" applyBorder="1" applyAlignment="1" applyProtection="1">
      <alignment horizontal="center" vertical="center" shrinkToFit="1"/>
      <protection locked="0" hidden="1"/>
    </xf>
    <xf numFmtId="0" fontId="3" fillId="0" borderId="11" xfId="0" applyFont="1" applyBorder="1" applyAlignment="1">
      <alignment horizontal="center" vertical="center" shrinkToFit="1"/>
    </xf>
    <xf numFmtId="14" fontId="3" fillId="0" borderId="11" xfId="0" applyNumberFormat="1" applyFont="1" applyBorder="1" applyAlignment="1">
      <alignment horizontal="center" vertical="center" shrinkToFit="1"/>
    </xf>
    <xf numFmtId="0" fontId="3" fillId="0" borderId="7" xfId="0" applyFont="1" applyBorder="1" applyAlignment="1">
      <alignment horizontal="left" vertical="top" shrinkToFit="1"/>
    </xf>
    <xf numFmtId="49" fontId="3" fillId="0" borderId="11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top"/>
    </xf>
    <xf numFmtId="14" fontId="3" fillId="0" borderId="11" xfId="1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1" fontId="3" fillId="0" borderId="1" xfId="1" applyNumberFormat="1" applyFont="1" applyBorder="1" applyAlignment="1">
      <alignment horizontal="center" vertical="center" shrinkToFit="1"/>
    </xf>
    <xf numFmtId="1" fontId="3" fillId="0" borderId="1" xfId="1" applyNumberFormat="1" applyFont="1" applyBorder="1" applyAlignment="1" applyProtection="1">
      <alignment horizontal="center" vertical="center" shrinkToFit="1"/>
      <protection locked="0" hidden="1"/>
    </xf>
    <xf numFmtId="1" fontId="3" fillId="0" borderId="1" xfId="2" applyNumberFormat="1" applyFont="1" applyBorder="1" applyAlignment="1">
      <alignment horizontal="center" vertical="center" shrinkToFit="1"/>
    </xf>
    <xf numFmtId="1" fontId="3" fillId="0" borderId="1" xfId="2" applyNumberFormat="1" applyFont="1" applyBorder="1" applyAlignment="1" applyProtection="1">
      <alignment horizontal="center" vertical="center" shrinkToFit="1"/>
      <protection locked="0" hidden="1"/>
    </xf>
    <xf numFmtId="1" fontId="3" fillId="0" borderId="11" xfId="1" applyNumberFormat="1" applyFont="1" applyBorder="1" applyAlignment="1" applyProtection="1">
      <alignment horizontal="center" vertical="center" shrinkToFit="1"/>
      <protection locked="0" hidden="1"/>
    </xf>
    <xf numFmtId="1" fontId="3" fillId="0" borderId="1" xfId="1" quotePrefix="1" applyNumberFormat="1" applyFont="1" applyBorder="1" applyAlignment="1">
      <alignment horizontal="center" vertical="center" shrinkToFit="1"/>
    </xf>
    <xf numFmtId="49" fontId="3" fillId="0" borderId="11" xfId="1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top" shrinkToFit="1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3" fillId="0" borderId="1" xfId="0" applyFont="1" applyBorder="1"/>
    <xf numFmtId="49" fontId="13" fillId="0" borderId="1" xfId="0" applyNumberFormat="1" applyFont="1" applyBorder="1" applyAlignment="1">
      <alignment horizontal="left"/>
    </xf>
    <xf numFmtId="0" fontId="0" fillId="0" borderId="5" xfId="0" applyBorder="1"/>
    <xf numFmtId="0" fontId="0" fillId="0" borderId="1" xfId="0" applyBorder="1"/>
    <xf numFmtId="49" fontId="13" fillId="0" borderId="1" xfId="1" applyNumberFormat="1" applyFont="1" applyBorder="1" applyAlignment="1" applyProtection="1">
      <alignment horizontal="left" shrinkToFit="1"/>
      <protection locked="0" hidden="1"/>
    </xf>
    <xf numFmtId="49" fontId="13" fillId="0" borderId="1" xfId="0" applyNumberFormat="1" applyFont="1" applyBorder="1" applyAlignment="1">
      <alignment horizontal="left" wrapText="1"/>
    </xf>
    <xf numFmtId="49" fontId="13" fillId="0" borderId="1" xfId="1" applyNumberFormat="1" applyFont="1" applyBorder="1" applyAlignment="1">
      <alignment horizontal="left"/>
    </xf>
    <xf numFmtId="49" fontId="13" fillId="0" borderId="1" xfId="1" applyNumberFormat="1" applyFont="1" applyBorder="1" applyAlignment="1" applyProtection="1">
      <alignment horizontal="left"/>
      <protection locked="0" hidden="1"/>
    </xf>
    <xf numFmtId="14" fontId="13" fillId="0" borderId="1" xfId="0" applyNumberFormat="1" applyFont="1" applyBorder="1"/>
    <xf numFmtId="49" fontId="13" fillId="0" borderId="1" xfId="0" quotePrefix="1" applyNumberFormat="1" applyFont="1" applyBorder="1" applyAlignment="1">
      <alignment horizontal="left"/>
    </xf>
    <xf numFmtId="0" fontId="0" fillId="0" borderId="11" xfId="0" applyBorder="1"/>
    <xf numFmtId="0" fontId="13" fillId="0" borderId="10" xfId="0" applyFont="1" applyBorder="1"/>
    <xf numFmtId="49" fontId="13" fillId="0" borderId="11" xfId="0" applyNumberFormat="1" applyFont="1" applyBorder="1" applyAlignment="1">
      <alignment horizontal="left"/>
    </xf>
    <xf numFmtId="0" fontId="13" fillId="0" borderId="11" xfId="0" applyFont="1" applyBorder="1"/>
    <xf numFmtId="0" fontId="13" fillId="0" borderId="0" xfId="0" applyFont="1"/>
    <xf numFmtId="49" fontId="13" fillId="0" borderId="11" xfId="0" applyNumberFormat="1" applyFont="1" applyBorder="1" applyAlignment="1">
      <alignment horizontal="left" wrapText="1"/>
    </xf>
    <xf numFmtId="14" fontId="13" fillId="0" borderId="11" xfId="0" applyNumberFormat="1" applyFont="1" applyBorder="1"/>
    <xf numFmtId="49" fontId="13" fillId="0" borderId="11" xfId="1" applyNumberFormat="1" applyFont="1" applyBorder="1" applyAlignment="1" applyProtection="1">
      <alignment horizontal="left" shrinkToFit="1"/>
      <protection locked="0" hidden="1"/>
    </xf>
    <xf numFmtId="49" fontId="13" fillId="0" borderId="11" xfId="0" applyNumberFormat="1" applyFont="1" applyBorder="1" applyAlignment="1" applyProtection="1">
      <alignment horizontal="left" shrinkToFit="1"/>
      <protection locked="0" hidden="1"/>
    </xf>
    <xf numFmtId="49" fontId="13" fillId="0" borderId="11" xfId="1" applyNumberFormat="1" applyFont="1" applyBorder="1" applyAlignment="1">
      <alignment horizontal="left" shrinkToFit="1"/>
    </xf>
    <xf numFmtId="49" fontId="13" fillId="0" borderId="11" xfId="2" applyNumberFormat="1" applyFont="1" applyBorder="1" applyAlignment="1">
      <alignment horizontal="left" shrinkToFit="1"/>
    </xf>
    <xf numFmtId="49" fontId="13" fillId="0" borderId="1" xfId="1" applyNumberFormat="1" applyFont="1" applyBorder="1" applyAlignment="1">
      <alignment horizontal="left" shrinkToFit="1"/>
    </xf>
    <xf numFmtId="49" fontId="13" fillId="0" borderId="1" xfId="2" applyNumberFormat="1" applyFont="1" applyBorder="1" applyAlignment="1">
      <alignment horizontal="left" shrinkToFit="1"/>
    </xf>
    <xf numFmtId="0" fontId="13" fillId="0" borderId="2" xfId="0" applyFont="1" applyBorder="1"/>
    <xf numFmtId="49" fontId="13" fillId="0" borderId="1" xfId="0" applyNumberFormat="1" applyFont="1" applyBorder="1" applyAlignment="1" applyProtection="1">
      <alignment horizontal="left" shrinkToFit="1"/>
      <protection locked="0" hidden="1"/>
    </xf>
    <xf numFmtId="49" fontId="13" fillId="0" borderId="1" xfId="2" applyNumberFormat="1" applyFont="1" applyBorder="1" applyAlignment="1" applyProtection="1">
      <alignment horizontal="left" shrinkToFit="1"/>
      <protection locked="0" hidden="1"/>
    </xf>
    <xf numFmtId="49" fontId="0" fillId="0" borderId="1" xfId="0" applyNumberFormat="1" applyBorder="1"/>
    <xf numFmtId="0" fontId="16" fillId="0" borderId="2" xfId="0" applyFont="1" applyBorder="1" applyAlignment="1" applyProtection="1">
      <alignment horizontal="left" shrinkToFit="1"/>
      <protection locked="0" hidden="1"/>
    </xf>
    <xf numFmtId="0" fontId="13" fillId="0" borderId="10" xfId="0" applyFont="1" applyFill="1" applyBorder="1"/>
    <xf numFmtId="49" fontId="13" fillId="0" borderId="11" xfId="0" applyNumberFormat="1" applyFont="1" applyFill="1" applyBorder="1" applyAlignment="1">
      <alignment horizontal="left"/>
    </xf>
    <xf numFmtId="0" fontId="13" fillId="0" borderId="11" xfId="0" applyFont="1" applyFill="1" applyBorder="1"/>
  </cellXfs>
  <cellStyles count="6">
    <cellStyle name="Énfasis2 2" xfId="3" xr:uid="{81C9CA0C-8349-4898-A71F-6146966098E1}"/>
    <cellStyle name="Hipervínculo 2" xfId="4" xr:uid="{671C0E7D-1482-4542-9E1D-D846D6B5E30B}"/>
    <cellStyle name="Moneda 2" xfId="5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</cellStyles>
  <dxfs count="67"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4" formatCode="[Color10]0\_xd83d_\_xdc4d_;[Color3]\-0\_xd83d_\_xdc4e_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A568D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482DA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568D2"/>
      <color rgb="FFB482DA"/>
      <color rgb="FF8F4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C08C4-9714-494B-916E-A0453556BF85}" name="Tabla32" displayName="Tabla32" ref="A3:L145" totalsRowShown="0" headerRowDxfId="52" dataDxfId="50" headerRowBorderDxfId="51" tableBorderDxfId="49" totalsRowBorderDxfId="48" headerRowCellStyle="Normal 3">
  <autoFilter ref="A3:L145" xr:uid="{2E0A0B79-A137-4EBF-AD38-F42E98785294}"/>
  <sortState xmlns:xlrd2="http://schemas.microsoft.com/office/spreadsheetml/2017/richdata2" ref="A4:L145">
    <sortCondition ref="I3:I145"/>
  </sortState>
  <tableColumns count="12">
    <tableColumn id="1" xr3:uid="{B32B3BFB-BAEB-417E-B266-94DF7D5AD966}" name="JUZGADOS" dataDxfId="47" dataCellStyle="Normal 3"/>
    <tableColumn id="2" xr3:uid="{E219A0EC-2AE5-41A3-B294-8798E511DE56}" name="CARPETA" dataDxfId="46" dataCellStyle="Normal 3"/>
    <tableColumn id="3" xr3:uid="{2EB1C178-D0EA-4D24-B9C7-66E0B6240745}" name="PROCESO" dataDxfId="45" dataCellStyle="Normal 3"/>
    <tableColumn id="4" xr3:uid="{1D4B1FCC-A323-4A2F-A476-4075A1FB4BB6}" name="FECHA ENVIO " dataDxfId="44"/>
    <tableColumn id="5" xr3:uid="{E54CC080-98A4-4AC4-B8DC-7477164372F4}" name="ULTIMO ESTADO" dataDxfId="43"/>
    <tableColumn id="6" xr3:uid="{2776286E-73BB-467C-B405-6982671AC143}" name="VENCE " dataDxfId="42"/>
    <tableColumn id="7" xr3:uid="{33C78B8F-4C42-48AD-93AF-775A3FCD272A}" name="VENCIMIENTO " dataDxfId="41">
      <calculatedColumnFormula>IF(Tabla32[[#This Row],[VENCE ]]="","",E4+F4)</calculatedColumnFormula>
    </tableColumn>
    <tableColumn id="8" xr3:uid="{C1A477FD-E163-4926-8CD9-098A9F8F4D64}" name="ALERTA " dataDxfId="40">
      <calculatedColumnFormula>IF(G4="","VACIO",IF(I4&lt;0,"Vencido hace "&amp;I4*-1&amp;" dias",IF(I4=0,"Vencido Hoy",IF(I4&lt;8,"Tiene "&amp; I4 &amp;" dias","Faltan "&amp;I4&amp;G4))))</calculatedColumnFormula>
    </tableColumn>
    <tableColumn id="9" xr3:uid="{2E1E2588-BC22-4607-AC6A-EEFB5C428005}" name="DIAS" dataDxfId="39">
      <calculatedColumnFormula>G4-$A$2</calculatedColumnFormula>
    </tableColumn>
    <tableColumn id="10" xr3:uid="{DF794602-0F88-4169-AA7B-A5B45A0F1E3F}" name="OBSERVACIONES " dataDxfId="38"/>
    <tableColumn id="11" xr3:uid="{AE71A929-2384-4501-8C77-72F2DF296048}" name="FECHA" dataDxfId="37"/>
    <tableColumn id="12" xr3:uid="{6700F719-2F67-40CB-A002-59F530693B72}" name="ACTUACIÓN " data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A0B79-A137-4EBF-AD38-F42E98785294}" name="Tabla3" displayName="Tabla3" ref="B3:L328" totalsRowShown="0" headerRowDxfId="20" dataDxfId="18" headerRowBorderDxfId="19" tableBorderDxfId="17" totalsRowBorderDxfId="16" headerRowCellStyle="Normal 3">
  <autoFilter ref="B3:L328" xr:uid="{2E0A0B79-A137-4EBF-AD38-F42E98785294}"/>
  <sortState xmlns:xlrd2="http://schemas.microsoft.com/office/spreadsheetml/2017/richdata2" ref="B4:L328">
    <sortCondition ref="B3:B328"/>
  </sortState>
  <tableColumns count="11">
    <tableColumn id="1" xr3:uid="{B06F5627-F2E7-4A4E-9106-C10F80F3A7A1}" name="JUZGADOS" dataDxfId="15" dataCellStyle="Normal 3"/>
    <tableColumn id="2" xr3:uid="{13D154DE-C62F-4D70-B7F4-9E7D6C9DE2B3}" name="CARPETA" dataDxfId="14" dataCellStyle="Normal 3"/>
    <tableColumn id="3" xr3:uid="{39FB530D-8F6C-4BEA-8580-CDFB9F449BF1}" name="PROCESO" dataDxfId="13" dataCellStyle="Normal 3"/>
    <tableColumn id="4" xr3:uid="{5DD41BC8-CCA0-40A0-89F8-50650366F88A}" name="FECHA ENVIO " dataDxfId="12"/>
    <tableColumn id="5" xr3:uid="{6338B4A9-BC0F-4E98-B956-EC6A9B088D98}" name="ULTIMO ESTADO" dataDxfId="11"/>
    <tableColumn id="6" xr3:uid="{D16904E9-31C0-4010-977E-103CB292AB57}" name="VENCE " dataDxfId="10"/>
    <tableColumn id="7" xr3:uid="{BD55EC89-D789-47E9-99FA-78570CC92AF7}" name="VENCIMIENTO " dataDxfId="9">
      <calculatedColumnFormula>F4+G4</calculatedColumnFormula>
    </tableColumn>
    <tableColumn id="8" xr3:uid="{F8BCD4D1-2307-405F-9E36-DFD8E8FB5850}" name="ALERTA " dataDxfId="8">
      <calculatedColumnFormula>IF(H4="","VACIO",IF(J4&lt;0,"Vencido hace "&amp;J4*-1&amp;" dias",IF(J4=0,"Vencido Hoy",IF(J4&lt;8,"Tiene "&amp; J4 &amp;" dias","Faltan "&amp;J4*1&amp;H4))))</calculatedColumnFormula>
    </tableColumn>
    <tableColumn id="9" xr3:uid="{6CD49BAE-8B6B-4A76-A6F4-B30D8C4F786C}" name="DIAS" dataDxfId="7">
      <calculatedColumnFormula>H4-$B$2</calculatedColumnFormula>
    </tableColumn>
    <tableColumn id="10" xr3:uid="{DE06937F-35AE-4781-A38D-6DD61EEC89FC}" name="OBSERVACIONES " dataDxfId="6"/>
    <tableColumn id="11" xr3:uid="{855E74BF-77BF-4AB3-A8E6-85DF3D25090E}" name="Columna1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C1008" totalsRowShown="0" headerRowDxfId="4" dataDxfId="3">
  <autoFilter ref="A1:C1008" xr:uid="{222BEDDD-4C2B-4A66-AE41-353843C95761}"/>
  <sortState xmlns:xlrd2="http://schemas.microsoft.com/office/spreadsheetml/2017/richdata2" ref="A2:C1007">
    <sortCondition ref="B1:B1007"/>
  </sortState>
  <tableColumns count="3">
    <tableColumn id="1" xr3:uid="{6D167436-983F-4A93-93E9-679BE1AE1CB1}" name="CARPETA" dataDxfId="2"/>
    <tableColumn id="2" xr3:uid="{67C078E8-77EC-47DB-B553-1E788FC86705}" name="NUMERO DE RADICACION" dataDxfId="1"/>
    <tableColumn id="3" xr3:uid="{A4845B3D-C593-4EE3-B6F2-B6EE96787A57}" name="JUZG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7932-3E0A-4EEF-9C80-8D31CC273BBB}">
  <sheetPr codeName="Hoja1"/>
  <dimension ref="A1:L145"/>
  <sheetViews>
    <sheetView showGridLines="0" topLeftCell="A105" zoomScale="90" zoomScaleNormal="90" workbookViewId="0">
      <selection activeCell="B121" sqref="B121"/>
    </sheetView>
  </sheetViews>
  <sheetFormatPr baseColWidth="10" defaultColWidth="30.88671875" defaultRowHeight="17.399999999999999"/>
  <cols>
    <col min="1" max="1" width="58" style="4" bestFit="1" customWidth="1"/>
    <col min="2" max="2" width="19" style="3" bestFit="1" customWidth="1"/>
    <col min="3" max="3" width="38.109375" style="4" bestFit="1" customWidth="1"/>
    <col min="4" max="4" width="39.5546875" style="4" bestFit="1" customWidth="1"/>
    <col min="5" max="5" width="29.109375" style="4" bestFit="1" customWidth="1"/>
    <col min="6" max="6" width="16.33203125" style="4" bestFit="1" customWidth="1"/>
    <col min="7" max="7" width="25.88671875" style="4" bestFit="1" customWidth="1"/>
    <col min="8" max="8" width="31" style="3" bestFit="1" customWidth="1"/>
    <col min="9" max="9" width="14" style="5" bestFit="1" customWidth="1"/>
    <col min="10" max="10" width="255.6640625" style="6" bestFit="1" customWidth="1"/>
    <col min="11" max="11" width="16.44140625" style="4" bestFit="1" customWidth="1"/>
    <col min="12" max="12" width="37" style="4" bestFit="1" customWidth="1"/>
    <col min="13" max="16384" width="30.88671875" style="4"/>
  </cols>
  <sheetData>
    <row r="1" spans="1:12" ht="18" thickBot="1">
      <c r="A1" s="2" t="s">
        <v>0</v>
      </c>
    </row>
    <row r="2" spans="1:12">
      <c r="A2" s="7">
        <f ca="1">TODAY()</f>
        <v>45582</v>
      </c>
    </row>
    <row r="3" spans="1:12">
      <c r="A3" s="8" t="s">
        <v>1</v>
      </c>
      <c r="B3" s="9" t="s">
        <v>2</v>
      </c>
      <c r="C3" s="9" t="s">
        <v>3</v>
      </c>
      <c r="D3" s="9" t="s">
        <v>4</v>
      </c>
      <c r="E3" s="9" t="s">
        <v>5</v>
      </c>
      <c r="F3" s="9" t="s">
        <v>6</v>
      </c>
      <c r="G3" s="9" t="s">
        <v>7</v>
      </c>
      <c r="H3" s="9" t="s">
        <v>8</v>
      </c>
      <c r="I3" s="10" t="s">
        <v>9</v>
      </c>
      <c r="J3" s="11" t="s">
        <v>10</v>
      </c>
      <c r="K3" s="12" t="s">
        <v>11</v>
      </c>
      <c r="L3" s="13" t="s">
        <v>12</v>
      </c>
    </row>
    <row r="4" spans="1:12">
      <c r="A4" s="14" t="s">
        <v>96</v>
      </c>
      <c r="B4" s="24" t="s">
        <v>105</v>
      </c>
      <c r="C4" s="24" t="s">
        <v>1407</v>
      </c>
      <c r="D4" s="16"/>
      <c r="E4" s="17">
        <v>45000</v>
      </c>
      <c r="F4" s="18">
        <v>730</v>
      </c>
      <c r="G4" s="19">
        <f>IF(Tabla32[[#This Row],[VENCE ]]="","",E4+F4)</f>
        <v>45730</v>
      </c>
      <c r="H4" s="20" t="str">
        <f t="shared" ref="H4:H35" ca="1" si="0">IF(G4="","VACIO",IF(I4&lt;0,"Vencido hace "&amp;I4*-1&amp;" dias",IF(I4=0,"Vencido Hoy",IF(I4&lt;8,"Tiene "&amp; I4 &amp;" dias","Faltan "&amp;I4&amp;G4))))</f>
        <v>Faltan 14845730</v>
      </c>
      <c r="I4" s="21">
        <f t="shared" ref="I4:I35" ca="1" si="1">G4-$A$2</f>
        <v>148</v>
      </c>
      <c r="J4" s="25" t="s">
        <v>106</v>
      </c>
      <c r="K4" s="20"/>
      <c r="L4" s="22"/>
    </row>
    <row r="5" spans="1:12">
      <c r="A5" s="14" t="s">
        <v>304</v>
      </c>
      <c r="B5" s="15" t="s">
        <v>311</v>
      </c>
      <c r="C5" s="15" t="s">
        <v>312</v>
      </c>
      <c r="D5" s="16"/>
      <c r="E5" s="17">
        <v>45099</v>
      </c>
      <c r="F5" s="18">
        <v>730</v>
      </c>
      <c r="G5" s="19">
        <f>IF(Tabla32[[#This Row],[VENCE ]]="","",E5+F5)</f>
        <v>45829</v>
      </c>
      <c r="H5" s="20" t="str">
        <f t="shared" ca="1" si="0"/>
        <v>Faltan 24745829</v>
      </c>
      <c r="I5" s="21">
        <f ca="1">G5-$A$2</f>
        <v>247</v>
      </c>
      <c r="J5" s="25" t="s">
        <v>179</v>
      </c>
      <c r="K5" s="20"/>
      <c r="L5" s="22"/>
    </row>
    <row r="6" spans="1:12">
      <c r="A6" s="14" t="s">
        <v>96</v>
      </c>
      <c r="B6" s="15" t="s">
        <v>136</v>
      </c>
      <c r="C6" s="15" t="s">
        <v>137</v>
      </c>
      <c r="D6" s="16" t="s">
        <v>1392</v>
      </c>
      <c r="E6" s="17">
        <v>43069</v>
      </c>
      <c r="F6" s="18">
        <v>730</v>
      </c>
      <c r="G6" s="19">
        <f>IF(Tabla32[[#This Row],[VENCE ]]="","",E6+F6)</f>
        <v>43799</v>
      </c>
      <c r="H6" s="20" t="str">
        <f t="shared" ca="1" si="0"/>
        <v>Vencido hace 1783 dias</v>
      </c>
      <c r="I6" s="21">
        <f t="shared" ca="1" si="1"/>
        <v>-1783</v>
      </c>
      <c r="J6" s="25" t="s">
        <v>138</v>
      </c>
      <c r="K6" s="20"/>
      <c r="L6" s="22"/>
    </row>
    <row r="7" spans="1:12">
      <c r="A7" s="14" t="s">
        <v>96</v>
      </c>
      <c r="B7" s="15" t="s">
        <v>112</v>
      </c>
      <c r="C7" s="15" t="s">
        <v>113</v>
      </c>
      <c r="D7" s="16" t="s">
        <v>114</v>
      </c>
      <c r="E7" s="17">
        <v>43125</v>
      </c>
      <c r="F7" s="18">
        <v>730</v>
      </c>
      <c r="G7" s="19">
        <f>IF(Tabla32[[#This Row],[VENCE ]]="","",E7+F7)</f>
        <v>43855</v>
      </c>
      <c r="H7" s="20" t="str">
        <f t="shared" ca="1" si="0"/>
        <v>Vencido hace 1727 dias</v>
      </c>
      <c r="I7" s="21">
        <f t="shared" ca="1" si="1"/>
        <v>-1727</v>
      </c>
      <c r="J7" s="25" t="s">
        <v>115</v>
      </c>
      <c r="K7" s="20"/>
      <c r="L7" s="22"/>
    </row>
    <row r="8" spans="1:12">
      <c r="A8" s="14" t="s">
        <v>304</v>
      </c>
      <c r="B8" s="24" t="s">
        <v>330</v>
      </c>
      <c r="C8" s="24" t="s">
        <v>331</v>
      </c>
      <c r="D8" s="16"/>
      <c r="E8" s="17">
        <v>45035</v>
      </c>
      <c r="F8" s="18">
        <v>730</v>
      </c>
      <c r="G8" s="19">
        <f>IF(Tabla32[[#This Row],[VENCE ]]="","",E8+F8)</f>
        <v>45765</v>
      </c>
      <c r="H8" s="20" t="str">
        <f t="shared" ca="1" si="0"/>
        <v>Faltan 18345765</v>
      </c>
      <c r="I8" s="21">
        <f t="shared" ca="1" si="1"/>
        <v>183</v>
      </c>
      <c r="J8" s="25" t="s">
        <v>1408</v>
      </c>
      <c r="K8" s="20"/>
      <c r="L8" s="22"/>
    </row>
    <row r="9" spans="1:12">
      <c r="A9" s="14" t="s">
        <v>304</v>
      </c>
      <c r="B9" s="15" t="s">
        <v>345</v>
      </c>
      <c r="C9" s="15" t="s">
        <v>346</v>
      </c>
      <c r="D9" s="16" t="s">
        <v>1392</v>
      </c>
      <c r="E9" s="17">
        <v>43413</v>
      </c>
      <c r="F9" s="18">
        <v>730</v>
      </c>
      <c r="G9" s="19">
        <f>IF(Tabla32[[#This Row],[VENCE ]]="","",E9+F9)</f>
        <v>44143</v>
      </c>
      <c r="H9" s="20" t="str">
        <f t="shared" ca="1" si="0"/>
        <v>Vencido hace 1439 dias</v>
      </c>
      <c r="I9" s="21">
        <f t="shared" ca="1" si="1"/>
        <v>-1439</v>
      </c>
      <c r="J9" s="25" t="s">
        <v>347</v>
      </c>
      <c r="K9" s="20"/>
      <c r="L9" s="22"/>
    </row>
    <row r="10" spans="1:12">
      <c r="A10" s="14" t="s">
        <v>172</v>
      </c>
      <c r="B10" s="23" t="s">
        <v>180</v>
      </c>
      <c r="C10" s="23" t="s">
        <v>181</v>
      </c>
      <c r="D10" s="16" t="s">
        <v>1376</v>
      </c>
      <c r="E10" s="17">
        <v>43488</v>
      </c>
      <c r="F10" s="18">
        <v>730</v>
      </c>
      <c r="G10" s="19">
        <f>IF(Tabla32[[#This Row],[VENCE ]]="","",E10+F10)</f>
        <v>44218</v>
      </c>
      <c r="H10" s="20" t="str">
        <f t="shared" ca="1" si="0"/>
        <v>Vencido hace 1364 dias</v>
      </c>
      <c r="I10" s="21">
        <f t="shared" ca="1" si="1"/>
        <v>-1364</v>
      </c>
      <c r="J10" s="25" t="s">
        <v>23</v>
      </c>
      <c r="K10" s="20"/>
      <c r="L10" s="29"/>
    </row>
    <row r="11" spans="1:12">
      <c r="A11" s="14" t="s">
        <v>172</v>
      </c>
      <c r="B11" s="24" t="s">
        <v>188</v>
      </c>
      <c r="C11" s="24" t="s">
        <v>189</v>
      </c>
      <c r="D11" s="16"/>
      <c r="E11" s="19">
        <v>44999</v>
      </c>
      <c r="F11" s="18">
        <v>730</v>
      </c>
      <c r="G11" s="19">
        <f>IF(Tabla32[[#This Row],[VENCE ]]="","",E11+F11)</f>
        <v>45729</v>
      </c>
      <c r="H11" s="20" t="str">
        <f t="shared" ca="1" si="0"/>
        <v>Faltan 14745729</v>
      </c>
      <c r="I11" s="21">
        <f t="shared" ca="1" si="1"/>
        <v>147</v>
      </c>
      <c r="J11" s="25" t="s">
        <v>295</v>
      </c>
      <c r="K11" s="20"/>
      <c r="L11" s="22" t="s">
        <v>1377</v>
      </c>
    </row>
    <row r="12" spans="1:12">
      <c r="A12" s="14" t="s">
        <v>172</v>
      </c>
      <c r="B12" s="24" t="s">
        <v>206</v>
      </c>
      <c r="C12" s="24" t="s">
        <v>207</v>
      </c>
      <c r="D12" s="16" t="s">
        <v>1393</v>
      </c>
      <c r="E12" s="17">
        <v>43609</v>
      </c>
      <c r="F12" s="18">
        <v>730</v>
      </c>
      <c r="G12" s="19">
        <f>IF(Tabla32[[#This Row],[VENCE ]]="","",E12+F12)</f>
        <v>44339</v>
      </c>
      <c r="H12" s="20" t="str">
        <f t="shared" ca="1" si="0"/>
        <v>Vencido hace 1243 dias</v>
      </c>
      <c r="I12" s="21">
        <f t="shared" ca="1" si="1"/>
        <v>-1243</v>
      </c>
      <c r="J12" s="25" t="s">
        <v>208</v>
      </c>
      <c r="K12" s="20"/>
      <c r="L12" s="22"/>
    </row>
    <row r="13" spans="1:12">
      <c r="A13" s="14" t="s">
        <v>304</v>
      </c>
      <c r="B13" s="24" t="s">
        <v>365</v>
      </c>
      <c r="C13" s="24" t="s">
        <v>366</v>
      </c>
      <c r="D13" s="18" t="s">
        <v>1394</v>
      </c>
      <c r="E13" s="19">
        <v>43626</v>
      </c>
      <c r="F13" s="18">
        <v>730</v>
      </c>
      <c r="G13" s="33">
        <f>IF(Tabla32[[#This Row],[VENCE ]]="","",E13+F13)</f>
        <v>44356</v>
      </c>
      <c r="H13" s="20" t="str">
        <f t="shared" ca="1" si="0"/>
        <v>Vencido hace 1226 dias</v>
      </c>
      <c r="I13" s="21">
        <f t="shared" ca="1" si="1"/>
        <v>-1226</v>
      </c>
      <c r="J13" s="25" t="s">
        <v>147</v>
      </c>
      <c r="K13" s="20"/>
      <c r="L13" s="22"/>
    </row>
    <row r="14" spans="1:12">
      <c r="A14" s="14" t="s">
        <v>235</v>
      </c>
      <c r="B14" s="24" t="s">
        <v>283</v>
      </c>
      <c r="C14" s="24" t="s">
        <v>284</v>
      </c>
      <c r="D14" s="16" t="s">
        <v>1396</v>
      </c>
      <c r="E14" s="17">
        <v>43872</v>
      </c>
      <c r="F14" s="18">
        <v>730</v>
      </c>
      <c r="G14" s="19">
        <f>IF(Tabla32[[#This Row],[VENCE ]]="","",E14+F14)</f>
        <v>44602</v>
      </c>
      <c r="H14" s="20" t="str">
        <f t="shared" ca="1" si="0"/>
        <v>Vencido hace 980 dias</v>
      </c>
      <c r="I14" s="21">
        <f t="shared" ca="1" si="1"/>
        <v>-980</v>
      </c>
      <c r="J14" s="25" t="s">
        <v>159</v>
      </c>
      <c r="K14" s="20"/>
      <c r="L14" s="22"/>
    </row>
    <row r="15" spans="1:12">
      <c r="A15" s="14" t="s">
        <v>96</v>
      </c>
      <c r="B15" s="15" t="s">
        <v>150</v>
      </c>
      <c r="C15" s="24" t="s">
        <v>151</v>
      </c>
      <c r="D15" s="16" t="s">
        <v>1392</v>
      </c>
      <c r="E15" s="17">
        <v>44097</v>
      </c>
      <c r="F15" s="18">
        <v>730</v>
      </c>
      <c r="G15" s="19">
        <f>IF(Tabla32[[#This Row],[VENCE ]]="","",E15+F15)</f>
        <v>44827</v>
      </c>
      <c r="H15" s="20" t="str">
        <f t="shared" ca="1" si="0"/>
        <v>Vencido hace 755 dias</v>
      </c>
      <c r="I15" s="21">
        <f t="shared" ca="1" si="1"/>
        <v>-755</v>
      </c>
      <c r="J15" s="25" t="s">
        <v>1375</v>
      </c>
      <c r="K15" s="20"/>
      <c r="L15" s="22"/>
    </row>
    <row r="16" spans="1:12">
      <c r="A16" s="14" t="s">
        <v>172</v>
      </c>
      <c r="B16" s="24" t="s">
        <v>214</v>
      </c>
      <c r="C16" s="24" t="s">
        <v>215</v>
      </c>
      <c r="D16" s="16"/>
      <c r="E16" s="17">
        <v>44124</v>
      </c>
      <c r="F16" s="18">
        <v>730</v>
      </c>
      <c r="G16" s="19">
        <f>IF(Tabla32[[#This Row],[VENCE ]]="","",E16+F16)</f>
        <v>44854</v>
      </c>
      <c r="H16" s="20" t="str">
        <f t="shared" ca="1" si="0"/>
        <v>Vencido hace 728 dias</v>
      </c>
      <c r="I16" s="21">
        <f t="shared" ca="1" si="1"/>
        <v>-728</v>
      </c>
      <c r="J16" s="25" t="s">
        <v>23</v>
      </c>
      <c r="K16" s="20"/>
      <c r="L16" s="22"/>
    </row>
    <row r="17" spans="1:12">
      <c r="A17" s="14" t="s">
        <v>96</v>
      </c>
      <c r="B17" s="15" t="s">
        <v>121</v>
      </c>
      <c r="C17" s="15" t="s">
        <v>122</v>
      </c>
      <c r="D17" s="16" t="s">
        <v>1374</v>
      </c>
      <c r="E17" s="17">
        <v>44224</v>
      </c>
      <c r="F17" s="18">
        <v>730</v>
      </c>
      <c r="G17" s="19">
        <f>IF(Tabla32[[#This Row],[VENCE ]]="","",E17+F17)</f>
        <v>44954</v>
      </c>
      <c r="H17" s="20" t="str">
        <f t="shared" ca="1" si="0"/>
        <v>Vencido hace 628 dias</v>
      </c>
      <c r="I17" s="21">
        <f t="shared" ca="1" si="1"/>
        <v>-628</v>
      </c>
      <c r="J17" s="25" t="s">
        <v>18</v>
      </c>
      <c r="K17" s="20"/>
      <c r="L17" s="22"/>
    </row>
    <row r="18" spans="1:12">
      <c r="A18" s="14" t="s">
        <v>304</v>
      </c>
      <c r="B18" s="24" t="s">
        <v>332</v>
      </c>
      <c r="C18" s="24" t="s">
        <v>333</v>
      </c>
      <c r="D18" s="16"/>
      <c r="E18" s="17">
        <v>44229</v>
      </c>
      <c r="F18" s="18">
        <v>730</v>
      </c>
      <c r="G18" s="19">
        <f>IF(Tabla32[[#This Row],[VENCE ]]="","",E18+F18)</f>
        <v>44959</v>
      </c>
      <c r="H18" s="20" t="str">
        <f t="shared" ca="1" si="0"/>
        <v>Vencido hace 623 dias</v>
      </c>
      <c r="I18" s="21">
        <f t="shared" ca="1" si="1"/>
        <v>-623</v>
      </c>
      <c r="J18" s="25" t="s">
        <v>89</v>
      </c>
      <c r="K18" s="17"/>
      <c r="L18" s="29"/>
    </row>
    <row r="19" spans="1:12">
      <c r="A19" s="14" t="s">
        <v>172</v>
      </c>
      <c r="B19" s="30" t="s">
        <v>201</v>
      </c>
      <c r="C19" s="30" t="s">
        <v>202</v>
      </c>
      <c r="D19" s="16"/>
      <c r="E19" s="17">
        <v>44232</v>
      </c>
      <c r="F19" s="18">
        <v>730</v>
      </c>
      <c r="G19" s="19">
        <f>IF(Tabla32[[#This Row],[VENCE ]]="","",E19+F19)</f>
        <v>44962</v>
      </c>
      <c r="H19" s="20" t="str">
        <f t="shared" ca="1" si="0"/>
        <v>Vencido hace 620 dias</v>
      </c>
      <c r="I19" s="21">
        <f t="shared" ca="1" si="1"/>
        <v>-620</v>
      </c>
      <c r="J19" s="25" t="s">
        <v>203</v>
      </c>
      <c r="K19" s="20"/>
      <c r="L19" s="22"/>
    </row>
    <row r="20" spans="1:12">
      <c r="A20" s="14" t="s">
        <v>96</v>
      </c>
      <c r="B20" s="27" t="s">
        <v>116</v>
      </c>
      <c r="C20" s="15" t="s">
        <v>117</v>
      </c>
      <c r="D20" s="16"/>
      <c r="E20" s="17">
        <v>44266</v>
      </c>
      <c r="F20" s="18">
        <v>730</v>
      </c>
      <c r="G20" s="19">
        <f>IF(Tabla32[[#This Row],[VENCE ]]="","",E20+F20)</f>
        <v>44996</v>
      </c>
      <c r="H20" s="20" t="str">
        <f t="shared" ca="1" si="0"/>
        <v>Vencido hace 586 dias</v>
      </c>
      <c r="I20" s="21">
        <f t="shared" ca="1" si="1"/>
        <v>-586</v>
      </c>
      <c r="J20" s="25" t="s">
        <v>111</v>
      </c>
      <c r="K20" s="20"/>
      <c r="L20" s="22"/>
    </row>
    <row r="21" spans="1:12">
      <c r="A21" s="14" t="s">
        <v>235</v>
      </c>
      <c r="B21" s="24" t="s">
        <v>247</v>
      </c>
      <c r="C21" s="24" t="s">
        <v>248</v>
      </c>
      <c r="D21" s="18"/>
      <c r="E21" s="19">
        <v>44271</v>
      </c>
      <c r="F21" s="18">
        <v>730</v>
      </c>
      <c r="G21" s="19">
        <f>IF(Tabla32[[#This Row],[VENCE ]]="","",E21+F21)</f>
        <v>45001</v>
      </c>
      <c r="H21" s="20" t="str">
        <f t="shared" ca="1" si="0"/>
        <v>Vencido hace 581 dias</v>
      </c>
      <c r="I21" s="21">
        <f t="shared" ca="1" si="1"/>
        <v>-581</v>
      </c>
      <c r="J21" s="25" t="s">
        <v>249</v>
      </c>
      <c r="K21" s="20"/>
      <c r="L21" s="22"/>
    </row>
    <row r="22" spans="1:12">
      <c r="A22" s="14" t="s">
        <v>304</v>
      </c>
      <c r="B22" s="15" t="s">
        <v>357</v>
      </c>
      <c r="C22" s="15" t="s">
        <v>358</v>
      </c>
      <c r="D22" s="18"/>
      <c r="E22" s="19">
        <v>44291</v>
      </c>
      <c r="F22" s="18">
        <v>730</v>
      </c>
      <c r="G22" s="19">
        <f>IF(Tabla32[[#This Row],[VENCE ]]="","",E22+F22)</f>
        <v>45021</v>
      </c>
      <c r="H22" s="20" t="str">
        <f t="shared" ca="1" si="0"/>
        <v>Vencido hace 561 dias</v>
      </c>
      <c r="I22" s="21">
        <f t="shared" ca="1" si="1"/>
        <v>-561</v>
      </c>
      <c r="J22" s="25" t="s">
        <v>359</v>
      </c>
      <c r="K22" s="20"/>
      <c r="L22" s="22"/>
    </row>
    <row r="23" spans="1:12">
      <c r="A23" s="14" t="s">
        <v>96</v>
      </c>
      <c r="B23" s="15" t="s">
        <v>118</v>
      </c>
      <c r="C23" s="15" t="s">
        <v>119</v>
      </c>
      <c r="D23" s="16"/>
      <c r="E23" s="17">
        <v>44314</v>
      </c>
      <c r="F23" s="18">
        <v>730</v>
      </c>
      <c r="G23" s="19">
        <f>IF(Tabla32[[#This Row],[VENCE ]]="","",E23+F23)</f>
        <v>45044</v>
      </c>
      <c r="H23" s="20" t="str">
        <f t="shared" ca="1" si="0"/>
        <v>Vencido hace 538 dias</v>
      </c>
      <c r="I23" s="21">
        <f t="shared" ca="1" si="1"/>
        <v>-538</v>
      </c>
      <c r="J23" s="25" t="s">
        <v>120</v>
      </c>
      <c r="K23" s="20"/>
      <c r="L23" s="22"/>
    </row>
    <row r="24" spans="1:12">
      <c r="A24" s="14" t="s">
        <v>304</v>
      </c>
      <c r="B24" s="15" t="s">
        <v>354</v>
      </c>
      <c r="C24" s="15" t="s">
        <v>355</v>
      </c>
      <c r="D24" s="16"/>
      <c r="E24" s="17">
        <v>44321</v>
      </c>
      <c r="F24" s="18">
        <v>730</v>
      </c>
      <c r="G24" s="19">
        <f>IF(Tabla32[[#This Row],[VENCE ]]="","",E24+F24)</f>
        <v>45051</v>
      </c>
      <c r="H24" s="20" t="str">
        <f t="shared" ca="1" si="0"/>
        <v>Vencido hace 531 dias</v>
      </c>
      <c r="I24" s="21">
        <f t="shared" ca="1" si="1"/>
        <v>-531</v>
      </c>
      <c r="J24" s="25" t="s">
        <v>356</v>
      </c>
      <c r="K24" s="20"/>
      <c r="L24" s="22"/>
    </row>
    <row r="25" spans="1:12">
      <c r="A25" s="14" t="s">
        <v>96</v>
      </c>
      <c r="B25" s="15" t="s">
        <v>152</v>
      </c>
      <c r="C25" s="15" t="s">
        <v>153</v>
      </c>
      <c r="D25" s="16"/>
      <c r="E25" s="17">
        <v>44322</v>
      </c>
      <c r="F25" s="18">
        <v>730</v>
      </c>
      <c r="G25" s="19">
        <f>IF(Tabla32[[#This Row],[VENCE ]]="","",E25+F25)</f>
        <v>45052</v>
      </c>
      <c r="H25" s="20" t="str">
        <f t="shared" ca="1" si="0"/>
        <v>Vencido hace 530 dias</v>
      </c>
      <c r="I25" s="21">
        <f t="shared" ca="1" si="1"/>
        <v>-530</v>
      </c>
      <c r="J25" s="25" t="s">
        <v>154</v>
      </c>
      <c r="K25" s="20"/>
      <c r="L25" s="22"/>
    </row>
    <row r="26" spans="1:12">
      <c r="A26" s="14" t="s">
        <v>96</v>
      </c>
      <c r="B26" s="15" t="s">
        <v>158</v>
      </c>
      <c r="C26" s="15" t="s">
        <v>153</v>
      </c>
      <c r="D26" s="16"/>
      <c r="E26" s="17">
        <v>44322</v>
      </c>
      <c r="F26" s="18">
        <v>730</v>
      </c>
      <c r="G26" s="19">
        <f>IF(Tabla32[[#This Row],[VENCE ]]="","",E26+F26)</f>
        <v>45052</v>
      </c>
      <c r="H26" s="20" t="str">
        <f t="shared" ca="1" si="0"/>
        <v>Vencido hace 530 dias</v>
      </c>
      <c r="I26" s="21">
        <f t="shared" ca="1" si="1"/>
        <v>-530</v>
      </c>
      <c r="J26" s="25" t="s">
        <v>159</v>
      </c>
      <c r="K26" s="20"/>
      <c r="L26" s="22"/>
    </row>
    <row r="27" spans="1:12">
      <c r="A27" s="14" t="s">
        <v>235</v>
      </c>
      <c r="B27" s="15" t="s">
        <v>300</v>
      </c>
      <c r="C27" s="15" t="s">
        <v>301</v>
      </c>
      <c r="D27" s="16"/>
      <c r="E27" s="31">
        <v>44326</v>
      </c>
      <c r="F27" s="18">
        <v>730</v>
      </c>
      <c r="G27" s="19">
        <f>IF(Tabla32[[#This Row],[VENCE ]]="","",E27+F27)</f>
        <v>45056</v>
      </c>
      <c r="H27" s="20" t="str">
        <f t="shared" ca="1" si="0"/>
        <v>Vencido hace 526 dias</v>
      </c>
      <c r="I27" s="21">
        <f t="shared" ca="1" si="1"/>
        <v>-526</v>
      </c>
      <c r="J27" s="25" t="s">
        <v>18</v>
      </c>
      <c r="K27" s="20"/>
      <c r="L27" s="22"/>
    </row>
    <row r="28" spans="1:12">
      <c r="A28" s="14" t="s">
        <v>235</v>
      </c>
      <c r="B28" s="15" t="s">
        <v>277</v>
      </c>
      <c r="C28" s="15" t="s">
        <v>278</v>
      </c>
      <c r="D28" s="16"/>
      <c r="E28" s="31">
        <v>45240</v>
      </c>
      <c r="F28" s="18">
        <v>730</v>
      </c>
      <c r="G28" s="19">
        <f>IF(Tabla32[[#This Row],[VENCE ]]="","",E28+F28)</f>
        <v>45970</v>
      </c>
      <c r="H28" s="20" t="str">
        <f t="shared" ca="1" si="0"/>
        <v>Faltan 38845970</v>
      </c>
      <c r="I28" s="21">
        <f ca="1">G28-$A$2</f>
        <v>388</v>
      </c>
      <c r="J28" s="25" t="s">
        <v>1472</v>
      </c>
      <c r="K28" s="20"/>
      <c r="L28" s="22"/>
    </row>
    <row r="29" spans="1:12">
      <c r="A29" s="14" t="s">
        <v>172</v>
      </c>
      <c r="B29" s="24" t="s">
        <v>204</v>
      </c>
      <c r="C29" s="24" t="s">
        <v>205</v>
      </c>
      <c r="D29" s="16"/>
      <c r="E29" s="17">
        <v>44341</v>
      </c>
      <c r="F29" s="18">
        <v>730</v>
      </c>
      <c r="G29" s="19">
        <f>IF(Tabla32[[#This Row],[VENCE ]]="","",E29+F29)</f>
        <v>45071</v>
      </c>
      <c r="H29" s="20" t="str">
        <f t="shared" ca="1" si="0"/>
        <v>Vencido hace 511 dias</v>
      </c>
      <c r="I29" s="21">
        <f t="shared" ca="1" si="1"/>
        <v>-511</v>
      </c>
      <c r="J29" s="25" t="s">
        <v>32</v>
      </c>
      <c r="K29" s="20"/>
      <c r="L29" s="22"/>
    </row>
    <row r="30" spans="1:12">
      <c r="A30" s="14" t="s">
        <v>96</v>
      </c>
      <c r="B30" s="15" t="s">
        <v>123</v>
      </c>
      <c r="C30" s="15" t="s">
        <v>124</v>
      </c>
      <c r="D30" s="16"/>
      <c r="E30" s="17">
        <v>44349</v>
      </c>
      <c r="F30" s="18">
        <v>730</v>
      </c>
      <c r="G30" s="19">
        <f>IF(Tabla32[[#This Row],[VENCE ]]="","",E30+F30)</f>
        <v>45079</v>
      </c>
      <c r="H30" s="20" t="str">
        <f t="shared" ca="1" si="0"/>
        <v>Vencido hace 503 dias</v>
      </c>
      <c r="I30" s="21">
        <f t="shared" ca="1" si="1"/>
        <v>-503</v>
      </c>
      <c r="J30" s="25" t="s">
        <v>125</v>
      </c>
      <c r="K30" s="20"/>
      <c r="L30" s="22"/>
    </row>
    <row r="31" spans="1:12">
      <c r="A31" s="14" t="s">
        <v>172</v>
      </c>
      <c r="B31" s="24" t="s">
        <v>225</v>
      </c>
      <c r="C31" s="24" t="s">
        <v>226</v>
      </c>
      <c r="D31" s="16"/>
      <c r="E31" s="17">
        <v>44362</v>
      </c>
      <c r="F31" s="18">
        <v>730</v>
      </c>
      <c r="G31" s="19">
        <f>IF(Tabla32[[#This Row],[VENCE ]]="","",E31+F31)</f>
        <v>45092</v>
      </c>
      <c r="H31" s="20" t="str">
        <f t="shared" ca="1" si="0"/>
        <v>Vencido hace 490 dias</v>
      </c>
      <c r="I31" s="21">
        <f t="shared" ca="1" si="1"/>
        <v>-490</v>
      </c>
      <c r="J31" s="25" t="s">
        <v>120</v>
      </c>
      <c r="K31" s="20"/>
      <c r="L31" s="22"/>
    </row>
    <row r="32" spans="1:12">
      <c r="A32" s="14" t="s">
        <v>304</v>
      </c>
      <c r="B32" s="24" t="s">
        <v>367</v>
      </c>
      <c r="C32" s="24" t="s">
        <v>368</v>
      </c>
      <c r="D32" s="18"/>
      <c r="E32" s="19">
        <v>44364</v>
      </c>
      <c r="F32" s="18">
        <v>730</v>
      </c>
      <c r="G32" s="33">
        <f>IF(Tabla32[[#This Row],[VENCE ]]="","",E32+F32)</f>
        <v>45094</v>
      </c>
      <c r="H32" s="20" t="str">
        <f t="shared" ca="1" si="0"/>
        <v>Vencido hace 488 dias</v>
      </c>
      <c r="I32" s="21">
        <f t="shared" ca="1" si="1"/>
        <v>-488</v>
      </c>
      <c r="J32" s="25" t="s">
        <v>92</v>
      </c>
      <c r="K32" s="20"/>
      <c r="L32" s="22"/>
    </row>
    <row r="33" spans="1:12">
      <c r="A33" s="14" t="s">
        <v>13</v>
      </c>
      <c r="B33" s="15" t="s">
        <v>68</v>
      </c>
      <c r="C33" s="24" t="s">
        <v>69</v>
      </c>
      <c r="D33" s="16"/>
      <c r="E33" s="17">
        <v>44365</v>
      </c>
      <c r="F33" s="18">
        <v>730</v>
      </c>
      <c r="G33" s="19">
        <f>IF(Tabla32[[#This Row],[VENCE ]]="","",E33+F33)</f>
        <v>45095</v>
      </c>
      <c r="H33" s="20" t="str">
        <f t="shared" ca="1" si="0"/>
        <v>Vencido hace 487 dias</v>
      </c>
      <c r="I33" s="21">
        <f t="shared" ca="1" si="1"/>
        <v>-487</v>
      </c>
      <c r="J33" s="25" t="s">
        <v>1404</v>
      </c>
      <c r="K33" s="20"/>
      <c r="L33" s="22"/>
    </row>
    <row r="34" spans="1:12">
      <c r="A34" s="14" t="s">
        <v>172</v>
      </c>
      <c r="B34" s="24" t="s">
        <v>227</v>
      </c>
      <c r="C34" s="24" t="s">
        <v>228</v>
      </c>
      <c r="D34" s="16"/>
      <c r="E34" s="17">
        <v>44369</v>
      </c>
      <c r="F34" s="18">
        <v>730</v>
      </c>
      <c r="G34" s="19">
        <f>IF(Tabla32[[#This Row],[VENCE ]]="","",E34+F34)</f>
        <v>45099</v>
      </c>
      <c r="H34" s="20" t="str">
        <f t="shared" ca="1" si="0"/>
        <v>Vencido hace 483 dias</v>
      </c>
      <c r="I34" s="21">
        <f t="shared" ca="1" si="1"/>
        <v>-483</v>
      </c>
      <c r="J34" s="25" t="s">
        <v>229</v>
      </c>
      <c r="K34" s="20"/>
      <c r="L34" s="22"/>
    </row>
    <row r="35" spans="1:12">
      <c r="A35" s="14" t="s">
        <v>304</v>
      </c>
      <c r="B35" s="24" t="s">
        <v>342</v>
      </c>
      <c r="C35" s="24" t="s">
        <v>343</v>
      </c>
      <c r="D35" s="17"/>
      <c r="E35" s="17">
        <v>44372</v>
      </c>
      <c r="F35" s="18">
        <v>730</v>
      </c>
      <c r="G35" s="19">
        <f>IF(Tabla32[[#This Row],[VENCE ]]="","",E35+F35)</f>
        <v>45102</v>
      </c>
      <c r="H35" s="20" t="str">
        <f t="shared" ca="1" si="0"/>
        <v>Vencido hace 480 dias</v>
      </c>
      <c r="I35" s="21">
        <f t="shared" ca="1" si="1"/>
        <v>-480</v>
      </c>
      <c r="J35" s="25" t="s">
        <v>344</v>
      </c>
      <c r="K35" s="20"/>
      <c r="L35" s="22"/>
    </row>
    <row r="36" spans="1:12">
      <c r="A36" s="14" t="s">
        <v>96</v>
      </c>
      <c r="B36" s="15" t="s">
        <v>132</v>
      </c>
      <c r="C36" s="15" t="s">
        <v>133</v>
      </c>
      <c r="D36" s="16"/>
      <c r="E36" s="17">
        <v>44396</v>
      </c>
      <c r="F36" s="18">
        <v>730</v>
      </c>
      <c r="G36" s="19">
        <f>IF(Tabla32[[#This Row],[VENCE ]]="","",E36+F36)</f>
        <v>45126</v>
      </c>
      <c r="H36" s="20" t="str">
        <f t="shared" ref="H36:H67" ca="1" si="2">IF(G36="","VACIO",IF(I36&lt;0,"Vencido hace "&amp;I36*-1&amp;" dias",IF(I36=0,"Vencido Hoy",IF(I36&lt;8,"Tiene "&amp; I36 &amp;" dias","Faltan "&amp;I36&amp;G36))))</f>
        <v>Vencido hace 456 dias</v>
      </c>
      <c r="I36" s="21">
        <f t="shared" ref="I36:I67" ca="1" si="3">G36-$A$2</f>
        <v>-456</v>
      </c>
      <c r="J36" s="25" t="s">
        <v>111</v>
      </c>
      <c r="K36" s="20"/>
      <c r="L36" s="22"/>
    </row>
    <row r="37" spans="1:12">
      <c r="A37" s="14" t="s">
        <v>235</v>
      </c>
      <c r="B37" s="15" t="s">
        <v>274</v>
      </c>
      <c r="C37" s="15" t="s">
        <v>275</v>
      </c>
      <c r="D37" s="16"/>
      <c r="E37" s="17">
        <v>44398</v>
      </c>
      <c r="F37" s="18">
        <v>730</v>
      </c>
      <c r="G37" s="19">
        <f>IF(Tabla32[[#This Row],[VENCE ]]="","",E37+F37)</f>
        <v>45128</v>
      </c>
      <c r="H37" s="20" t="str">
        <f t="shared" ca="1" si="2"/>
        <v>Vencido hace 454 dias</v>
      </c>
      <c r="I37" s="21">
        <f t="shared" ca="1" si="3"/>
        <v>-454</v>
      </c>
      <c r="J37" s="25" t="s">
        <v>276</v>
      </c>
      <c r="K37" s="20"/>
      <c r="L37" s="22"/>
    </row>
    <row r="38" spans="1:12">
      <c r="A38" s="14" t="s">
        <v>13</v>
      </c>
      <c r="B38" s="23" t="s">
        <v>80</v>
      </c>
      <c r="C38" s="23" t="s">
        <v>81</v>
      </c>
      <c r="D38" s="16"/>
      <c r="E38" s="17">
        <v>44405</v>
      </c>
      <c r="F38" s="18">
        <v>730</v>
      </c>
      <c r="G38" s="19">
        <f>IF(Tabla32[[#This Row],[VENCE ]]="","",E38+F38)</f>
        <v>45135</v>
      </c>
      <c r="H38" s="20" t="str">
        <f t="shared" ca="1" si="2"/>
        <v>Vencido hace 447 dias</v>
      </c>
      <c r="I38" s="21">
        <f t="shared" ca="1" si="3"/>
        <v>-447</v>
      </c>
      <c r="J38" s="25" t="s">
        <v>72</v>
      </c>
      <c r="K38" s="20"/>
      <c r="L38" s="22"/>
    </row>
    <row r="39" spans="1:12">
      <c r="A39" s="14" t="s">
        <v>96</v>
      </c>
      <c r="B39" s="24" t="s">
        <v>155</v>
      </c>
      <c r="C39" s="24" t="s">
        <v>156</v>
      </c>
      <c r="D39" s="16"/>
      <c r="E39" s="17">
        <v>44413</v>
      </c>
      <c r="F39" s="18">
        <v>730</v>
      </c>
      <c r="G39" s="19">
        <f>IF(Tabla32[[#This Row],[VENCE ]]="","",E39+F39)</f>
        <v>45143</v>
      </c>
      <c r="H39" s="20" t="str">
        <f t="shared" ca="1" si="2"/>
        <v>Vencido hace 439 dias</v>
      </c>
      <c r="I39" s="21">
        <f t="shared" ca="1" si="3"/>
        <v>-439</v>
      </c>
      <c r="J39" s="25" t="s">
        <v>157</v>
      </c>
      <c r="K39" s="20"/>
      <c r="L39" s="22"/>
    </row>
    <row r="40" spans="1:12">
      <c r="A40" s="14" t="s">
        <v>13</v>
      </c>
      <c r="B40" s="15" t="s">
        <v>30</v>
      </c>
      <c r="C40" s="15" t="s">
        <v>31</v>
      </c>
      <c r="D40" s="16"/>
      <c r="E40" s="17">
        <v>44417</v>
      </c>
      <c r="F40" s="18">
        <v>730</v>
      </c>
      <c r="G40" s="19">
        <f>IF(Tabla32[[#This Row],[VENCE ]]="","",E40+F40)</f>
        <v>45147</v>
      </c>
      <c r="H40" s="20" t="str">
        <f t="shared" ca="1" si="2"/>
        <v>Vencido hace 435 dias</v>
      </c>
      <c r="I40" s="21">
        <f t="shared" ca="1" si="3"/>
        <v>-435</v>
      </c>
      <c r="J40" s="25" t="s">
        <v>32</v>
      </c>
      <c r="K40" s="20"/>
      <c r="L40" s="22"/>
    </row>
    <row r="41" spans="1:12">
      <c r="A41" s="14" t="s">
        <v>235</v>
      </c>
      <c r="B41" s="24" t="s">
        <v>240</v>
      </c>
      <c r="C41" s="24" t="s">
        <v>241</v>
      </c>
      <c r="D41" s="16"/>
      <c r="E41" s="17">
        <v>44426</v>
      </c>
      <c r="F41" s="18">
        <v>730</v>
      </c>
      <c r="G41" s="19">
        <f>IF(Tabla32[[#This Row],[VENCE ]]="","",E41+F41)</f>
        <v>45156</v>
      </c>
      <c r="H41" s="20" t="str">
        <f t="shared" ca="1" si="2"/>
        <v>Vencido hace 426 dias</v>
      </c>
      <c r="I41" s="21">
        <f t="shared" ca="1" si="3"/>
        <v>-426</v>
      </c>
      <c r="J41" s="25" t="s">
        <v>242</v>
      </c>
      <c r="K41" s="20"/>
      <c r="L41" s="22"/>
    </row>
    <row r="42" spans="1:12">
      <c r="A42" s="14" t="s">
        <v>235</v>
      </c>
      <c r="B42" s="15" t="s">
        <v>266</v>
      </c>
      <c r="C42" s="15" t="s">
        <v>267</v>
      </c>
      <c r="D42" s="16"/>
      <c r="E42" s="17">
        <v>44426</v>
      </c>
      <c r="F42" s="18">
        <v>730</v>
      </c>
      <c r="G42" s="19">
        <f>IF(Tabla32[[#This Row],[VENCE ]]="","",E42+F42)</f>
        <v>45156</v>
      </c>
      <c r="H42" s="20" t="str">
        <f t="shared" ca="1" si="2"/>
        <v>Vencido hace 426 dias</v>
      </c>
      <c r="I42" s="21">
        <f t="shared" ca="1" si="3"/>
        <v>-426</v>
      </c>
      <c r="J42" s="25" t="s">
        <v>268</v>
      </c>
      <c r="K42" s="20"/>
      <c r="L42" s="22"/>
    </row>
    <row r="43" spans="1:12">
      <c r="A43" s="14" t="s">
        <v>235</v>
      </c>
      <c r="B43" s="24" t="s">
        <v>282</v>
      </c>
      <c r="C43" s="24" t="s">
        <v>241</v>
      </c>
      <c r="D43" s="17"/>
      <c r="E43" s="17">
        <v>44426</v>
      </c>
      <c r="F43" s="18">
        <v>730</v>
      </c>
      <c r="G43" s="19">
        <f>IF(Tabla32[[#This Row],[VENCE ]]="","",E43+F43)</f>
        <v>45156</v>
      </c>
      <c r="H43" s="20" t="str">
        <f t="shared" ca="1" si="2"/>
        <v>Vencido hace 426 dias</v>
      </c>
      <c r="I43" s="21">
        <f t="shared" ca="1" si="3"/>
        <v>-426</v>
      </c>
      <c r="J43" s="25" t="s">
        <v>159</v>
      </c>
      <c r="K43" s="20"/>
      <c r="L43" s="22"/>
    </row>
    <row r="44" spans="1:12">
      <c r="A44" s="14" t="s">
        <v>304</v>
      </c>
      <c r="B44" s="15" t="s">
        <v>363</v>
      </c>
      <c r="C44" s="15" t="s">
        <v>364</v>
      </c>
      <c r="D44" s="18"/>
      <c r="E44" s="19">
        <v>44447</v>
      </c>
      <c r="F44" s="18">
        <v>730</v>
      </c>
      <c r="G44" s="19">
        <f>IF(Tabla32[[#This Row],[VENCE ]]="","",E44+F44)</f>
        <v>45177</v>
      </c>
      <c r="H44" s="20" t="str">
        <f t="shared" ca="1" si="2"/>
        <v>Vencido hace 405 dias</v>
      </c>
      <c r="I44" s="21">
        <f t="shared" ca="1" si="3"/>
        <v>-405</v>
      </c>
      <c r="J44" s="25" t="s">
        <v>32</v>
      </c>
      <c r="K44" s="20"/>
      <c r="L44" s="22"/>
    </row>
    <row r="45" spans="1:12">
      <c r="A45" s="14" t="s">
        <v>235</v>
      </c>
      <c r="B45" s="24" t="s">
        <v>250</v>
      </c>
      <c r="C45" s="24" t="s">
        <v>251</v>
      </c>
      <c r="D45" s="18"/>
      <c r="E45" s="19">
        <v>44494</v>
      </c>
      <c r="F45" s="18">
        <v>730</v>
      </c>
      <c r="G45" s="19">
        <f>IF(Tabla32[[#This Row],[VENCE ]]="","",E45+F45)</f>
        <v>45224</v>
      </c>
      <c r="H45" s="20" t="str">
        <f t="shared" ca="1" si="2"/>
        <v>Vencido hace 358 dias</v>
      </c>
      <c r="I45" s="21">
        <f t="shared" ca="1" si="3"/>
        <v>-358</v>
      </c>
      <c r="J45" s="25" t="s">
        <v>23</v>
      </c>
      <c r="K45" s="20"/>
      <c r="L45" s="22"/>
    </row>
    <row r="46" spans="1:12">
      <c r="A46" s="14" t="s">
        <v>96</v>
      </c>
      <c r="B46" s="15" t="s">
        <v>129</v>
      </c>
      <c r="C46" s="15" t="s">
        <v>130</v>
      </c>
      <c r="D46" s="16"/>
      <c r="E46" s="17">
        <v>44502</v>
      </c>
      <c r="F46" s="18">
        <v>730</v>
      </c>
      <c r="G46" s="19">
        <f>IF(Tabla32[[#This Row],[VENCE ]]="","",E46+F46)</f>
        <v>45232</v>
      </c>
      <c r="H46" s="20" t="str">
        <f t="shared" ca="1" si="2"/>
        <v>Vencido hace 350 dias</v>
      </c>
      <c r="I46" s="21">
        <f t="shared" ca="1" si="3"/>
        <v>-350</v>
      </c>
      <c r="J46" s="25" t="s">
        <v>131</v>
      </c>
      <c r="K46" s="20"/>
      <c r="L46" s="22"/>
    </row>
    <row r="47" spans="1:12">
      <c r="A47" s="14" t="s">
        <v>172</v>
      </c>
      <c r="B47" s="15" t="s">
        <v>190</v>
      </c>
      <c r="C47" s="24" t="s">
        <v>191</v>
      </c>
      <c r="D47" s="16"/>
      <c r="E47" s="17">
        <v>44512</v>
      </c>
      <c r="F47" s="18">
        <v>730</v>
      </c>
      <c r="G47" s="19">
        <f>IF(Tabla32[[#This Row],[VENCE ]]="","",E47+F47)</f>
        <v>45242</v>
      </c>
      <c r="H47" s="20" t="str">
        <f t="shared" ca="1" si="2"/>
        <v>Vencido hace 340 dias</v>
      </c>
      <c r="I47" s="21">
        <f t="shared" ca="1" si="3"/>
        <v>-340</v>
      </c>
      <c r="J47" s="25" t="s">
        <v>125</v>
      </c>
      <c r="K47" s="20"/>
      <c r="L47" s="22"/>
    </row>
    <row r="48" spans="1:12">
      <c r="A48" s="14" t="s">
        <v>172</v>
      </c>
      <c r="B48" s="24" t="s">
        <v>196</v>
      </c>
      <c r="C48" s="24" t="s">
        <v>197</v>
      </c>
      <c r="D48" s="16"/>
      <c r="E48" s="17">
        <v>44517</v>
      </c>
      <c r="F48" s="18">
        <v>730</v>
      </c>
      <c r="G48" s="19">
        <f>IF(Tabla32[[#This Row],[VENCE ]]="","",E48+F48)</f>
        <v>45247</v>
      </c>
      <c r="H48" s="20" t="str">
        <f t="shared" ca="1" si="2"/>
        <v>Vencido hace 335 dias</v>
      </c>
      <c r="I48" s="21">
        <f t="shared" ca="1" si="3"/>
        <v>-335</v>
      </c>
      <c r="J48" s="25" t="s">
        <v>23</v>
      </c>
      <c r="K48" s="20"/>
      <c r="L48" s="22"/>
    </row>
    <row r="49" spans="1:12">
      <c r="A49" s="14" t="s">
        <v>13</v>
      </c>
      <c r="B49" s="15" t="s">
        <v>84</v>
      </c>
      <c r="C49" s="15" t="s">
        <v>85</v>
      </c>
      <c r="D49" s="16"/>
      <c r="E49" s="17">
        <v>44523</v>
      </c>
      <c r="F49" s="18">
        <v>730</v>
      </c>
      <c r="G49" s="19">
        <f>IF(Tabla32[[#This Row],[VENCE ]]="","",E49+F49)</f>
        <v>45253</v>
      </c>
      <c r="H49" s="20" t="str">
        <f t="shared" ca="1" si="2"/>
        <v>Vencido hace 329 dias</v>
      </c>
      <c r="I49" s="21">
        <f t="shared" ca="1" si="3"/>
        <v>-329</v>
      </c>
      <c r="J49" s="25" t="s">
        <v>86</v>
      </c>
      <c r="K49" s="20"/>
      <c r="L49" s="22"/>
    </row>
    <row r="50" spans="1:12">
      <c r="A50" s="14" t="s">
        <v>96</v>
      </c>
      <c r="B50" s="15" t="s">
        <v>142</v>
      </c>
      <c r="C50" s="15" t="s">
        <v>143</v>
      </c>
      <c r="D50" s="16"/>
      <c r="E50" s="17">
        <v>44525</v>
      </c>
      <c r="F50" s="18">
        <v>730</v>
      </c>
      <c r="G50" s="19">
        <f>IF(Tabla32[[#This Row],[VENCE ]]="","",E50+F50)</f>
        <v>45255</v>
      </c>
      <c r="H50" s="20" t="str">
        <f t="shared" ca="1" si="2"/>
        <v>Vencido hace 327 dias</v>
      </c>
      <c r="I50" s="21">
        <f t="shared" ca="1" si="3"/>
        <v>-327</v>
      </c>
      <c r="J50" s="25" t="s">
        <v>144</v>
      </c>
      <c r="K50" s="20"/>
      <c r="L50" s="22"/>
    </row>
    <row r="51" spans="1:12">
      <c r="A51" s="14" t="s">
        <v>172</v>
      </c>
      <c r="B51" s="30" t="s">
        <v>194</v>
      </c>
      <c r="C51" s="30" t="s">
        <v>195</v>
      </c>
      <c r="D51" s="16"/>
      <c r="E51" s="17">
        <v>44529</v>
      </c>
      <c r="F51" s="18">
        <v>730</v>
      </c>
      <c r="G51" s="19">
        <f>IF(Tabla32[[#This Row],[VENCE ]]="","",E51+F51)</f>
        <v>45259</v>
      </c>
      <c r="H51" s="20" t="str">
        <f t="shared" ca="1" si="2"/>
        <v>Vencido hace 323 dias</v>
      </c>
      <c r="I51" s="21">
        <f t="shared" ca="1" si="3"/>
        <v>-323</v>
      </c>
      <c r="J51" s="25" t="s">
        <v>23</v>
      </c>
      <c r="K51" s="20"/>
      <c r="L51" s="22"/>
    </row>
    <row r="52" spans="1:12">
      <c r="A52" s="14" t="s">
        <v>235</v>
      </c>
      <c r="B52" s="15" t="s">
        <v>259</v>
      </c>
      <c r="C52" s="15" t="s">
        <v>260</v>
      </c>
      <c r="D52" s="16"/>
      <c r="E52" s="17">
        <v>44530</v>
      </c>
      <c r="F52" s="18">
        <v>730</v>
      </c>
      <c r="G52" s="19">
        <f>IF(Tabla32[[#This Row],[VENCE ]]="","",E52+F52)</f>
        <v>45260</v>
      </c>
      <c r="H52" s="20" t="str">
        <f t="shared" ca="1" si="2"/>
        <v>Vencido hace 322 dias</v>
      </c>
      <c r="I52" s="21">
        <f t="shared" ca="1" si="3"/>
        <v>-322</v>
      </c>
      <c r="J52" s="25" t="s">
        <v>32</v>
      </c>
      <c r="K52" s="20"/>
      <c r="L52" s="22"/>
    </row>
    <row r="53" spans="1:12">
      <c r="A53" s="14" t="s">
        <v>235</v>
      </c>
      <c r="B53" s="15" t="s">
        <v>272</v>
      </c>
      <c r="C53" s="15" t="s">
        <v>1466</v>
      </c>
      <c r="D53" s="16" t="s">
        <v>1467</v>
      </c>
      <c r="E53" s="17">
        <v>44572</v>
      </c>
      <c r="F53" s="18">
        <v>730</v>
      </c>
      <c r="G53" s="19">
        <f>IF(Tabla32[[#This Row],[VENCE ]]="","",E53+F53)</f>
        <v>45302</v>
      </c>
      <c r="H53" s="20" t="str">
        <f t="shared" ca="1" si="2"/>
        <v>Vencido hace 280 dias</v>
      </c>
      <c r="I53" s="21">
        <f t="shared" ca="1" si="3"/>
        <v>-280</v>
      </c>
      <c r="J53" s="25" t="s">
        <v>273</v>
      </c>
      <c r="K53" s="20"/>
      <c r="L53" s="22"/>
    </row>
    <row r="54" spans="1:12">
      <c r="A54" s="14" t="s">
        <v>235</v>
      </c>
      <c r="B54" s="24" t="s">
        <v>285</v>
      </c>
      <c r="C54" s="24" t="s">
        <v>286</v>
      </c>
      <c r="D54" s="17"/>
      <c r="E54" s="17">
        <v>44575</v>
      </c>
      <c r="F54" s="18">
        <v>730</v>
      </c>
      <c r="G54" s="19">
        <f>IF(Tabla32[[#This Row],[VENCE ]]="","",E54+F54)</f>
        <v>45305</v>
      </c>
      <c r="H54" s="20" t="str">
        <f t="shared" ca="1" si="2"/>
        <v>Vencido hace 277 dias</v>
      </c>
      <c r="I54" s="21">
        <f t="shared" ca="1" si="3"/>
        <v>-277</v>
      </c>
      <c r="J54" s="25" t="s">
        <v>287</v>
      </c>
      <c r="K54" s="20"/>
      <c r="L54" s="22"/>
    </row>
    <row r="55" spans="1:12">
      <c r="A55" s="14" t="s">
        <v>96</v>
      </c>
      <c r="B55" s="15" t="s">
        <v>139</v>
      </c>
      <c r="C55" s="15" t="s">
        <v>140</v>
      </c>
      <c r="D55" s="16"/>
      <c r="E55" s="17">
        <v>44579</v>
      </c>
      <c r="F55" s="18">
        <v>730</v>
      </c>
      <c r="G55" s="19">
        <f>IF(Tabla32[[#This Row],[VENCE ]]="","",E55+F55)</f>
        <v>45309</v>
      </c>
      <c r="H55" s="20" t="str">
        <f t="shared" ca="1" si="2"/>
        <v>Vencido hace 273 dias</v>
      </c>
      <c r="I55" s="21">
        <f t="shared" ca="1" si="3"/>
        <v>-273</v>
      </c>
      <c r="J55" s="25" t="s">
        <v>141</v>
      </c>
      <c r="K55" s="20"/>
      <c r="L55" s="22"/>
    </row>
    <row r="56" spans="1:12" ht="18">
      <c r="A56" s="14" t="s">
        <v>235</v>
      </c>
      <c r="B56" s="15" t="s">
        <v>256</v>
      </c>
      <c r="C56" s="15" t="s">
        <v>257</v>
      </c>
      <c r="D56" s="16"/>
      <c r="E56" s="17">
        <v>44588</v>
      </c>
      <c r="F56" s="18">
        <v>730</v>
      </c>
      <c r="G56" s="19">
        <f>IF(Tabla32[[#This Row],[VENCE ]]="","",E56+F56)</f>
        <v>45318</v>
      </c>
      <c r="H56" s="20" t="str">
        <f t="shared" ca="1" si="2"/>
        <v>Vencido hace 264 dias</v>
      </c>
      <c r="I56" s="21">
        <f t="shared" ca="1" si="3"/>
        <v>-264</v>
      </c>
      <c r="J56" s="25" t="s">
        <v>258</v>
      </c>
      <c r="K56" s="31"/>
      <c r="L56" s="32"/>
    </row>
    <row r="57" spans="1:12">
      <c r="A57" s="14" t="s">
        <v>235</v>
      </c>
      <c r="B57" s="15" t="s">
        <v>279</v>
      </c>
      <c r="C57" s="15" t="s">
        <v>280</v>
      </c>
      <c r="D57" s="17"/>
      <c r="E57" s="17">
        <v>44588</v>
      </c>
      <c r="F57" s="18">
        <v>730</v>
      </c>
      <c r="G57" s="19">
        <f>IF(Tabla32[[#This Row],[VENCE ]]="","",E57+F57)</f>
        <v>45318</v>
      </c>
      <c r="H57" s="20" t="str">
        <f t="shared" ca="1" si="2"/>
        <v>Vencido hace 264 dias</v>
      </c>
      <c r="I57" s="21">
        <f t="shared" ca="1" si="3"/>
        <v>-264</v>
      </c>
      <c r="J57" s="1" t="s">
        <v>281</v>
      </c>
      <c r="K57" s="20"/>
      <c r="L57" s="22"/>
    </row>
    <row r="58" spans="1:12">
      <c r="A58" s="14" t="s">
        <v>13</v>
      </c>
      <c r="B58" s="15" t="s">
        <v>90</v>
      </c>
      <c r="C58" s="24" t="s">
        <v>91</v>
      </c>
      <c r="D58" s="16"/>
      <c r="E58" s="17">
        <v>44593</v>
      </c>
      <c r="F58" s="18">
        <v>730</v>
      </c>
      <c r="G58" s="19">
        <f>IF(Tabla32[[#This Row],[VENCE ]]="","",E58+F58)</f>
        <v>45323</v>
      </c>
      <c r="H58" s="20" t="str">
        <f t="shared" ca="1" si="2"/>
        <v>Vencido hace 259 dias</v>
      </c>
      <c r="I58" s="21">
        <f t="shared" ca="1" si="3"/>
        <v>-259</v>
      </c>
      <c r="J58" s="25" t="s">
        <v>92</v>
      </c>
      <c r="K58" s="20"/>
      <c r="L58" s="22"/>
    </row>
    <row r="59" spans="1:12">
      <c r="A59" s="14" t="s">
        <v>96</v>
      </c>
      <c r="B59" s="15" t="s">
        <v>164</v>
      </c>
      <c r="C59" s="15" t="s">
        <v>165</v>
      </c>
      <c r="D59" s="16"/>
      <c r="E59" s="17">
        <v>44601</v>
      </c>
      <c r="F59" s="18">
        <v>730</v>
      </c>
      <c r="G59" s="19">
        <f>IF(Tabla32[[#This Row],[VENCE ]]="","",E59+F59)</f>
        <v>45331</v>
      </c>
      <c r="H59" s="20" t="str">
        <f t="shared" ca="1" si="2"/>
        <v>Vencido hace 251 dias</v>
      </c>
      <c r="I59" s="21">
        <f t="shared" ca="1" si="3"/>
        <v>-251</v>
      </c>
      <c r="J59" s="25" t="s">
        <v>166</v>
      </c>
      <c r="K59" s="20"/>
      <c r="L59" s="22"/>
    </row>
    <row r="60" spans="1:12">
      <c r="A60" s="14" t="s">
        <v>172</v>
      </c>
      <c r="B60" s="24" t="s">
        <v>222</v>
      </c>
      <c r="C60" s="24" t="s">
        <v>223</v>
      </c>
      <c r="D60" s="16"/>
      <c r="E60" s="17">
        <v>44601</v>
      </c>
      <c r="F60" s="18">
        <v>730</v>
      </c>
      <c r="G60" s="19">
        <f>IF(Tabla32[[#This Row],[VENCE ]]="","",E60+F60)</f>
        <v>45331</v>
      </c>
      <c r="H60" s="20" t="str">
        <f t="shared" ca="1" si="2"/>
        <v>Vencido hace 251 dias</v>
      </c>
      <c r="I60" s="21">
        <f t="shared" ca="1" si="3"/>
        <v>-251</v>
      </c>
      <c r="J60" s="25" t="s">
        <v>224</v>
      </c>
      <c r="K60" s="20"/>
      <c r="L60" s="22"/>
    </row>
    <row r="61" spans="1:12">
      <c r="A61" s="14" t="s">
        <v>304</v>
      </c>
      <c r="B61" s="30" t="s">
        <v>334</v>
      </c>
      <c r="C61" s="30" t="s">
        <v>335</v>
      </c>
      <c r="D61" s="16"/>
      <c r="E61" s="17">
        <v>44610</v>
      </c>
      <c r="F61" s="18">
        <v>730</v>
      </c>
      <c r="G61" s="19">
        <f>IF(Tabla32[[#This Row],[VENCE ]]="","",E61+F61)</f>
        <v>45340</v>
      </c>
      <c r="H61" s="20" t="str">
        <f t="shared" ca="1" si="2"/>
        <v>Vencido hace 242 dias</v>
      </c>
      <c r="I61" s="21">
        <f t="shared" ca="1" si="3"/>
        <v>-242</v>
      </c>
      <c r="J61" s="25" t="s">
        <v>23</v>
      </c>
      <c r="K61" s="20"/>
      <c r="L61" s="22"/>
    </row>
    <row r="62" spans="1:12">
      <c r="A62" s="14" t="s">
        <v>13</v>
      </c>
      <c r="B62" s="15" t="s">
        <v>38</v>
      </c>
      <c r="C62" s="15" t="s">
        <v>39</v>
      </c>
      <c r="D62" s="16"/>
      <c r="E62" s="17">
        <v>44613</v>
      </c>
      <c r="F62" s="18">
        <v>730</v>
      </c>
      <c r="G62" s="19">
        <f>IF(Tabla32[[#This Row],[VENCE ]]="","",E62+F62)</f>
        <v>45343</v>
      </c>
      <c r="H62" s="20" t="str">
        <f t="shared" ca="1" si="2"/>
        <v>Vencido hace 239 dias</v>
      </c>
      <c r="I62" s="21">
        <f t="shared" ca="1" si="3"/>
        <v>-239</v>
      </c>
      <c r="J62" s="34" t="s">
        <v>40</v>
      </c>
      <c r="K62" s="20"/>
      <c r="L62" s="22"/>
    </row>
    <row r="63" spans="1:12">
      <c r="A63" s="14" t="s">
        <v>13</v>
      </c>
      <c r="B63" s="15" t="s">
        <v>27</v>
      </c>
      <c r="C63" s="15" t="s">
        <v>28</v>
      </c>
      <c r="D63" s="18"/>
      <c r="E63" s="19">
        <v>44617</v>
      </c>
      <c r="F63" s="18">
        <v>730</v>
      </c>
      <c r="G63" s="19">
        <f>IF(Tabla32[[#This Row],[VENCE ]]="","",E63+F63)</f>
        <v>45347</v>
      </c>
      <c r="H63" s="20" t="str">
        <f t="shared" ca="1" si="2"/>
        <v>Vencido hace 235 dias</v>
      </c>
      <c r="I63" s="21">
        <f t="shared" ca="1" si="3"/>
        <v>-235</v>
      </c>
      <c r="J63" s="25" t="s">
        <v>29</v>
      </c>
      <c r="K63" s="20"/>
      <c r="L63" s="22"/>
    </row>
    <row r="64" spans="1:12">
      <c r="A64" s="14" t="s">
        <v>304</v>
      </c>
      <c r="B64" s="24" t="s">
        <v>318</v>
      </c>
      <c r="C64" s="24" t="s">
        <v>319</v>
      </c>
      <c r="D64" s="16"/>
      <c r="E64" s="17">
        <v>44622</v>
      </c>
      <c r="F64" s="18">
        <v>730</v>
      </c>
      <c r="G64" s="19">
        <f>IF(Tabla32[[#This Row],[VENCE ]]="","",E64+F64)</f>
        <v>45352</v>
      </c>
      <c r="H64" s="20" t="str">
        <f t="shared" ca="1" si="2"/>
        <v>Vencido hace 230 dias</v>
      </c>
      <c r="I64" s="21">
        <f t="shared" ca="1" si="3"/>
        <v>-230</v>
      </c>
      <c r="J64" s="25" t="s">
        <v>310</v>
      </c>
      <c r="K64" s="17"/>
      <c r="L64" s="29"/>
    </row>
    <row r="65" spans="1:12">
      <c r="A65" s="14" t="s">
        <v>13</v>
      </c>
      <c r="B65" s="15" t="s">
        <v>65</v>
      </c>
      <c r="C65" s="15" t="s">
        <v>66</v>
      </c>
      <c r="D65" s="16"/>
      <c r="E65" s="17">
        <v>44623</v>
      </c>
      <c r="F65" s="18">
        <v>730</v>
      </c>
      <c r="G65" s="19">
        <f>IF(Tabla32[[#This Row],[VENCE ]]="","",E65+F65)</f>
        <v>45353</v>
      </c>
      <c r="H65" s="20" t="str">
        <f t="shared" ca="1" si="2"/>
        <v>Vencido hace 229 dias</v>
      </c>
      <c r="I65" s="21">
        <f t="shared" ca="1" si="3"/>
        <v>-229</v>
      </c>
      <c r="J65" s="25" t="s">
        <v>67</v>
      </c>
      <c r="K65" s="20"/>
      <c r="L65" s="22"/>
    </row>
    <row r="66" spans="1:12">
      <c r="A66" s="14" t="s">
        <v>235</v>
      </c>
      <c r="B66" s="24" t="s">
        <v>245</v>
      </c>
      <c r="C66" s="24" t="s">
        <v>246</v>
      </c>
      <c r="D66" s="16"/>
      <c r="E66" s="17">
        <v>44627</v>
      </c>
      <c r="F66" s="18">
        <v>730</v>
      </c>
      <c r="G66" s="19">
        <f>IF(Tabla32[[#This Row],[VENCE ]]="","",E66+F66)</f>
        <v>45357</v>
      </c>
      <c r="H66" s="20" t="str">
        <f t="shared" ca="1" si="2"/>
        <v>Vencido hace 225 dias</v>
      </c>
      <c r="I66" s="21">
        <f t="shared" ca="1" si="3"/>
        <v>-225</v>
      </c>
      <c r="J66" s="25" t="s">
        <v>23</v>
      </c>
      <c r="K66" s="20"/>
      <c r="L66" s="22"/>
    </row>
    <row r="67" spans="1:12" ht="20.399999999999999">
      <c r="A67" s="14" t="s">
        <v>96</v>
      </c>
      <c r="B67" s="15" t="s">
        <v>103</v>
      </c>
      <c r="C67" s="15" t="s">
        <v>104</v>
      </c>
      <c r="D67" s="16"/>
      <c r="E67" s="17">
        <v>44631</v>
      </c>
      <c r="F67" s="18">
        <v>730</v>
      </c>
      <c r="G67" s="19">
        <f>IF(Tabla32[[#This Row],[VENCE ]]="","",E67+F67)</f>
        <v>45361</v>
      </c>
      <c r="H67" s="20" t="str">
        <f t="shared" ca="1" si="2"/>
        <v>Vencido hace 221 dias</v>
      </c>
      <c r="I67" s="21">
        <f t="shared" ca="1" si="3"/>
        <v>-221</v>
      </c>
      <c r="J67" s="25" t="s">
        <v>32</v>
      </c>
      <c r="K67" s="20"/>
      <c r="L67" s="26"/>
    </row>
    <row r="68" spans="1:12">
      <c r="A68" s="14" t="s">
        <v>96</v>
      </c>
      <c r="B68" s="15" t="s">
        <v>167</v>
      </c>
      <c r="C68" s="24" t="s">
        <v>168</v>
      </c>
      <c r="D68" s="16"/>
      <c r="E68" s="17">
        <v>44631</v>
      </c>
      <c r="F68" s="18">
        <v>730</v>
      </c>
      <c r="G68" s="19">
        <f>IF(Tabla32[[#This Row],[VENCE ]]="","",E68+F68)</f>
        <v>45361</v>
      </c>
      <c r="H68" s="20" t="str">
        <f t="shared" ref="H68:H99" ca="1" si="4">IF(G68="","VACIO",IF(I68&lt;0,"Vencido hace "&amp;I68*-1&amp;" dias",IF(I68=0,"Vencido Hoy",IF(I68&lt;8,"Tiene "&amp; I68 &amp;" dias","Faltan "&amp;I68&amp;G68))))</f>
        <v>Vencido hace 221 dias</v>
      </c>
      <c r="I68" s="21">
        <f t="shared" ref="I68:I99" ca="1" si="5">G68-$A$2</f>
        <v>-221</v>
      </c>
      <c r="J68" s="25" t="s">
        <v>169</v>
      </c>
      <c r="K68" s="20"/>
      <c r="L68" s="22"/>
    </row>
    <row r="69" spans="1:12">
      <c r="A69" s="14" t="s">
        <v>304</v>
      </c>
      <c r="B69" s="24" t="s">
        <v>316</v>
      </c>
      <c r="C69" s="24" t="s">
        <v>317</v>
      </c>
      <c r="D69" s="16"/>
      <c r="E69" s="17">
        <v>44638</v>
      </c>
      <c r="F69" s="18">
        <v>730</v>
      </c>
      <c r="G69" s="19">
        <f>IF(Tabla32[[#This Row],[VENCE ]]="","",E69+F69)</f>
        <v>45368</v>
      </c>
      <c r="H69" s="20" t="str">
        <f t="shared" ca="1" si="4"/>
        <v>Vencido hace 214 dias</v>
      </c>
      <c r="I69" s="21">
        <f t="shared" ca="1" si="5"/>
        <v>-214</v>
      </c>
      <c r="J69" s="25" t="s">
        <v>310</v>
      </c>
      <c r="K69" s="17"/>
      <c r="L69" s="29"/>
    </row>
    <row r="70" spans="1:12">
      <c r="A70" s="14" t="s">
        <v>304</v>
      </c>
      <c r="B70" s="15" t="s">
        <v>308</v>
      </c>
      <c r="C70" s="23" t="s">
        <v>309</v>
      </c>
      <c r="D70" s="16"/>
      <c r="E70" s="17">
        <v>44651</v>
      </c>
      <c r="F70" s="18">
        <v>730</v>
      </c>
      <c r="G70" s="19">
        <f>IF(Tabla32[[#This Row],[VENCE ]]="","",E70+F70)</f>
        <v>45381</v>
      </c>
      <c r="H70" s="20" t="str">
        <f t="shared" ca="1" si="4"/>
        <v>Vencido hace 201 dias</v>
      </c>
      <c r="I70" s="21">
        <f t="shared" ca="1" si="5"/>
        <v>-201</v>
      </c>
      <c r="J70" s="25" t="s">
        <v>310</v>
      </c>
      <c r="K70" s="20"/>
      <c r="L70" s="22"/>
    </row>
    <row r="71" spans="1:12">
      <c r="A71" s="14" t="s">
        <v>13</v>
      </c>
      <c r="B71" s="23" t="s">
        <v>77</v>
      </c>
      <c r="C71" s="23" t="s">
        <v>78</v>
      </c>
      <c r="D71" s="16"/>
      <c r="E71" s="17">
        <v>44656</v>
      </c>
      <c r="F71" s="18">
        <v>730</v>
      </c>
      <c r="G71" s="19">
        <f>IF(Tabla32[[#This Row],[VENCE ]]="","",E71+F71)</f>
        <v>45386</v>
      </c>
      <c r="H71" s="20" t="str">
        <f t="shared" ca="1" si="4"/>
        <v>Vencido hace 196 dias</v>
      </c>
      <c r="I71" s="21">
        <f t="shared" ca="1" si="5"/>
        <v>-196</v>
      </c>
      <c r="J71" s="25" t="s">
        <v>79</v>
      </c>
      <c r="K71" s="20"/>
      <c r="L71" s="22"/>
    </row>
    <row r="72" spans="1:12">
      <c r="A72" s="14" t="s">
        <v>96</v>
      </c>
      <c r="B72" s="15" t="s">
        <v>160</v>
      </c>
      <c r="C72" s="24" t="s">
        <v>161</v>
      </c>
      <c r="D72" s="16"/>
      <c r="E72" s="17">
        <v>44656</v>
      </c>
      <c r="F72" s="18">
        <v>730</v>
      </c>
      <c r="G72" s="19">
        <f>IF(Tabla32[[#This Row],[VENCE ]]="","",E72+F72)</f>
        <v>45386</v>
      </c>
      <c r="H72" s="20" t="str">
        <f t="shared" ca="1" si="4"/>
        <v>Vencido hace 196 dias</v>
      </c>
      <c r="I72" s="21">
        <f t="shared" ca="1" si="5"/>
        <v>-196</v>
      </c>
      <c r="J72" s="25" t="s">
        <v>23</v>
      </c>
      <c r="K72" s="20"/>
      <c r="L72" s="22"/>
    </row>
    <row r="73" spans="1:12">
      <c r="A73" s="14" t="s">
        <v>13</v>
      </c>
      <c r="B73" s="15" t="s">
        <v>44</v>
      </c>
      <c r="C73" s="15" t="s">
        <v>45</v>
      </c>
      <c r="D73" s="16"/>
      <c r="E73" s="17">
        <v>44677</v>
      </c>
      <c r="F73" s="18">
        <v>730</v>
      </c>
      <c r="G73" s="19">
        <f>IF(Tabla32[[#This Row],[VENCE ]]="","",E73+F73)</f>
        <v>45407</v>
      </c>
      <c r="H73" s="20" t="str">
        <f t="shared" ca="1" si="4"/>
        <v>Vencido hace 175 dias</v>
      </c>
      <c r="I73" s="21">
        <f t="shared" ca="1" si="5"/>
        <v>-175</v>
      </c>
      <c r="J73" s="25" t="s">
        <v>46</v>
      </c>
      <c r="K73" s="20"/>
      <c r="L73" s="22"/>
    </row>
    <row r="74" spans="1:12">
      <c r="A74" s="14" t="s">
        <v>304</v>
      </c>
      <c r="B74" s="15" t="s">
        <v>351</v>
      </c>
      <c r="C74" s="15" t="s">
        <v>352</v>
      </c>
      <c r="D74" s="16"/>
      <c r="E74" s="17">
        <v>44680</v>
      </c>
      <c r="F74" s="18">
        <v>730</v>
      </c>
      <c r="G74" s="19">
        <f>IF(Tabla32[[#This Row],[VENCE ]]="","",E74+F74)</f>
        <v>45410</v>
      </c>
      <c r="H74" s="20" t="str">
        <f t="shared" ca="1" si="4"/>
        <v>Vencido hace 172 dias</v>
      </c>
      <c r="I74" s="21">
        <f t="shared" ca="1" si="5"/>
        <v>-172</v>
      </c>
      <c r="J74" s="25" t="s">
        <v>353</v>
      </c>
      <c r="K74" s="20"/>
      <c r="L74" s="22"/>
    </row>
    <row r="75" spans="1:12">
      <c r="A75" s="14" t="s">
        <v>172</v>
      </c>
      <c r="B75" s="15" t="s">
        <v>209</v>
      </c>
      <c r="C75" s="24" t="s">
        <v>210</v>
      </c>
      <c r="D75" s="16"/>
      <c r="E75" s="17">
        <v>44687</v>
      </c>
      <c r="F75" s="18">
        <v>730</v>
      </c>
      <c r="G75" s="19">
        <f>IF(Tabla32[[#This Row],[VENCE ]]="","",E75+F75)</f>
        <v>45417</v>
      </c>
      <c r="H75" s="20" t="str">
        <f t="shared" ca="1" si="4"/>
        <v>Vencido hace 165 dias</v>
      </c>
      <c r="I75" s="21">
        <f t="shared" ca="1" si="5"/>
        <v>-165</v>
      </c>
      <c r="J75" s="25" t="s">
        <v>32</v>
      </c>
      <c r="K75" s="20"/>
      <c r="L75" s="22"/>
    </row>
    <row r="76" spans="1:12">
      <c r="A76" s="14" t="s">
        <v>235</v>
      </c>
      <c r="B76" s="15" t="s">
        <v>290</v>
      </c>
      <c r="C76" s="24" t="s">
        <v>291</v>
      </c>
      <c r="D76" s="16"/>
      <c r="E76" s="17">
        <v>44687</v>
      </c>
      <c r="F76" s="18">
        <v>730</v>
      </c>
      <c r="G76" s="19">
        <f>IF(Tabla32[[#This Row],[VENCE ]]="","",E76+F76)</f>
        <v>45417</v>
      </c>
      <c r="H76" s="20" t="str">
        <f t="shared" ca="1" si="4"/>
        <v>Vencido hace 165 dias</v>
      </c>
      <c r="I76" s="21">
        <f t="shared" ca="1" si="5"/>
        <v>-165</v>
      </c>
      <c r="J76" s="25" t="s">
        <v>292</v>
      </c>
      <c r="K76" s="20"/>
      <c r="L76" s="22"/>
    </row>
    <row r="77" spans="1:12">
      <c r="A77" s="14" t="s">
        <v>235</v>
      </c>
      <c r="B77" s="15" t="s">
        <v>293</v>
      </c>
      <c r="C77" s="15" t="s">
        <v>294</v>
      </c>
      <c r="D77" s="16"/>
      <c r="E77" s="31">
        <v>44687</v>
      </c>
      <c r="F77" s="18">
        <v>730</v>
      </c>
      <c r="G77" s="19">
        <f>IF(Tabla32[[#This Row],[VENCE ]]="","",E77+F77)</f>
        <v>45417</v>
      </c>
      <c r="H77" s="20" t="str">
        <f t="shared" ca="1" si="4"/>
        <v>Vencido hace 165 dias</v>
      </c>
      <c r="I77" s="21">
        <f t="shared" ca="1" si="5"/>
        <v>-165</v>
      </c>
      <c r="J77" s="25" t="s">
        <v>295</v>
      </c>
      <c r="K77" s="20"/>
      <c r="L77" s="22"/>
    </row>
    <row r="78" spans="1:12">
      <c r="A78" s="14" t="s">
        <v>304</v>
      </c>
      <c r="B78" s="23" t="s">
        <v>305</v>
      </c>
      <c r="C78" s="23" t="s">
        <v>306</v>
      </c>
      <c r="D78" s="16" t="s">
        <v>1434</v>
      </c>
      <c r="E78" s="17">
        <v>44690</v>
      </c>
      <c r="F78" s="18">
        <v>730</v>
      </c>
      <c r="G78" s="19">
        <f>IF(Tabla32[[#This Row],[VENCE ]]="","",E78+F78)</f>
        <v>45420</v>
      </c>
      <c r="H78" s="20" t="str">
        <f t="shared" ca="1" si="4"/>
        <v>Vencido hace 162 dias</v>
      </c>
      <c r="I78" s="21">
        <f t="shared" ca="1" si="5"/>
        <v>-162</v>
      </c>
      <c r="J78" s="25" t="s">
        <v>307</v>
      </c>
      <c r="K78" s="17"/>
      <c r="L78" s="29"/>
    </row>
    <row r="79" spans="1:12">
      <c r="A79" s="14" t="s">
        <v>235</v>
      </c>
      <c r="B79" s="15" t="s">
        <v>288</v>
      </c>
      <c r="C79" s="15" t="s">
        <v>289</v>
      </c>
      <c r="D79" s="16"/>
      <c r="E79" s="17">
        <v>44693</v>
      </c>
      <c r="F79" s="18">
        <v>730</v>
      </c>
      <c r="G79" s="19">
        <f>IF(Tabla32[[#This Row],[VENCE ]]="","",E79+F79)</f>
        <v>45423</v>
      </c>
      <c r="H79" s="20" t="str">
        <f t="shared" ca="1" si="4"/>
        <v>Vencido hace 159 dias</v>
      </c>
      <c r="I79" s="21">
        <f t="shared" ca="1" si="5"/>
        <v>-159</v>
      </c>
      <c r="J79" s="25" t="s">
        <v>208</v>
      </c>
      <c r="K79" s="20"/>
      <c r="L79" s="22"/>
    </row>
    <row r="80" spans="1:12">
      <c r="A80" s="14" t="s">
        <v>172</v>
      </c>
      <c r="B80" s="15" t="s">
        <v>192</v>
      </c>
      <c r="C80" s="24" t="s">
        <v>193</v>
      </c>
      <c r="D80" s="16"/>
      <c r="E80" s="17">
        <v>44701</v>
      </c>
      <c r="F80" s="18">
        <v>730</v>
      </c>
      <c r="G80" s="19">
        <f>IF(Tabla32[[#This Row],[VENCE ]]="","",E80+F80)</f>
        <v>45431</v>
      </c>
      <c r="H80" s="20" t="str">
        <f t="shared" ca="1" si="4"/>
        <v>Vencido hace 151 dias</v>
      </c>
      <c r="I80" s="21">
        <f t="shared" ca="1" si="5"/>
        <v>-151</v>
      </c>
      <c r="J80" s="25" t="s">
        <v>23</v>
      </c>
      <c r="K80" s="17"/>
      <c r="L80" s="29"/>
    </row>
    <row r="81" spans="1:12">
      <c r="A81" s="14" t="s">
        <v>96</v>
      </c>
      <c r="B81" s="15" t="s">
        <v>109</v>
      </c>
      <c r="C81" s="15" t="s">
        <v>110</v>
      </c>
      <c r="D81" s="16"/>
      <c r="E81" s="17">
        <v>44707</v>
      </c>
      <c r="F81" s="18">
        <v>730</v>
      </c>
      <c r="G81" s="19">
        <f>IF(Tabla32[[#This Row],[VENCE ]]="","",E81+F81)</f>
        <v>45437</v>
      </c>
      <c r="H81" s="20" t="str">
        <f t="shared" ca="1" si="4"/>
        <v>Vencido hace 145 dias</v>
      </c>
      <c r="I81" s="21">
        <f t="shared" ca="1" si="5"/>
        <v>-145</v>
      </c>
      <c r="J81" s="25" t="s">
        <v>111</v>
      </c>
      <c r="K81" s="20"/>
      <c r="L81" s="22"/>
    </row>
    <row r="82" spans="1:12">
      <c r="A82" s="14" t="s">
        <v>13</v>
      </c>
      <c r="B82" s="15" t="s">
        <v>16</v>
      </c>
      <c r="C82" s="15" t="s">
        <v>17</v>
      </c>
      <c r="D82" s="16"/>
      <c r="E82" s="17">
        <v>44712</v>
      </c>
      <c r="F82" s="18">
        <v>730</v>
      </c>
      <c r="G82" s="19">
        <f>IF(Tabla32[[#This Row],[VENCE ]]="","",E82+F82)</f>
        <v>45442</v>
      </c>
      <c r="H82" s="20" t="str">
        <f t="shared" ca="1" si="4"/>
        <v>Vencido hace 140 dias</v>
      </c>
      <c r="I82" s="21">
        <f t="shared" ca="1" si="5"/>
        <v>-140</v>
      </c>
      <c r="J82" s="74" t="s">
        <v>18</v>
      </c>
      <c r="K82" s="20"/>
      <c r="L82" s="22"/>
    </row>
    <row r="83" spans="1:12">
      <c r="A83" s="14" t="s">
        <v>304</v>
      </c>
      <c r="B83" s="15" t="s">
        <v>360</v>
      </c>
      <c r="C83" s="15" t="s">
        <v>361</v>
      </c>
      <c r="D83" s="18"/>
      <c r="E83" s="19">
        <v>44715</v>
      </c>
      <c r="F83" s="18">
        <v>730</v>
      </c>
      <c r="G83" s="19">
        <f>IF(Tabla32[[#This Row],[VENCE ]]="","",E83+F83)</f>
        <v>45445</v>
      </c>
      <c r="H83" s="20" t="str">
        <f t="shared" ca="1" si="4"/>
        <v>Vencido hace 137 dias</v>
      </c>
      <c r="I83" s="21">
        <f t="shared" ca="1" si="5"/>
        <v>-137</v>
      </c>
      <c r="J83" s="25" t="s">
        <v>362</v>
      </c>
      <c r="K83" s="20"/>
      <c r="L83" s="22"/>
    </row>
    <row r="84" spans="1:12">
      <c r="A84" s="14" t="s">
        <v>96</v>
      </c>
      <c r="B84" s="15" t="s">
        <v>101</v>
      </c>
      <c r="C84" s="15" t="s">
        <v>102</v>
      </c>
      <c r="D84" s="17">
        <v>44727</v>
      </c>
      <c r="E84" s="17">
        <v>44726</v>
      </c>
      <c r="F84" s="18">
        <v>730</v>
      </c>
      <c r="G84" s="19">
        <f>IF(Tabla32[[#This Row],[VENCE ]]="","",E84+F84)</f>
        <v>45456</v>
      </c>
      <c r="H84" s="20" t="str">
        <f t="shared" ca="1" si="4"/>
        <v>Vencido hace 126 dias</v>
      </c>
      <c r="I84" s="21">
        <f t="shared" ca="1" si="5"/>
        <v>-126</v>
      </c>
      <c r="J84" s="25" t="s">
        <v>32</v>
      </c>
      <c r="K84" s="20"/>
      <c r="L84" s="22"/>
    </row>
    <row r="85" spans="1:12">
      <c r="A85" s="14" t="s">
        <v>13</v>
      </c>
      <c r="B85" s="15" t="s">
        <v>41</v>
      </c>
      <c r="C85" s="15" t="s">
        <v>42</v>
      </c>
      <c r="D85" s="17">
        <v>44727</v>
      </c>
      <c r="E85" s="17">
        <v>44728</v>
      </c>
      <c r="F85" s="18">
        <v>730</v>
      </c>
      <c r="G85" s="19">
        <f>IF(Tabla32[[#This Row],[VENCE ]]="","",E85+F85)</f>
        <v>45458</v>
      </c>
      <c r="H85" s="20" t="str">
        <f t="shared" ca="1" si="4"/>
        <v>Vencido hace 124 dias</v>
      </c>
      <c r="I85" s="21">
        <f t="shared" ca="1" si="5"/>
        <v>-124</v>
      </c>
      <c r="J85" s="25" t="s">
        <v>43</v>
      </c>
      <c r="K85" s="20"/>
      <c r="L85" s="22"/>
    </row>
    <row r="86" spans="1:12">
      <c r="A86" s="14" t="s">
        <v>172</v>
      </c>
      <c r="B86" s="24" t="s">
        <v>233</v>
      </c>
      <c r="C86" s="24" t="s">
        <v>234</v>
      </c>
      <c r="D86" s="16"/>
      <c r="E86" s="17">
        <v>44728</v>
      </c>
      <c r="F86" s="18">
        <v>730</v>
      </c>
      <c r="G86" s="19">
        <f>IF(Tabla32[[#This Row],[VENCE ]]="","",E86+F86)</f>
        <v>45458</v>
      </c>
      <c r="H86" s="20" t="str">
        <f t="shared" ca="1" si="4"/>
        <v>Vencido hace 124 dias</v>
      </c>
      <c r="I86" s="21">
        <f t="shared" ca="1" si="5"/>
        <v>-124</v>
      </c>
      <c r="J86" s="25" t="s">
        <v>144</v>
      </c>
      <c r="K86" s="20"/>
      <c r="L86" s="22"/>
    </row>
    <row r="87" spans="1:12">
      <c r="A87" s="14" t="s">
        <v>304</v>
      </c>
      <c r="B87" s="24" t="s">
        <v>327</v>
      </c>
      <c r="C87" s="24" t="s">
        <v>328</v>
      </c>
      <c r="D87" s="16"/>
      <c r="E87" s="17">
        <v>44729</v>
      </c>
      <c r="F87" s="18">
        <v>730</v>
      </c>
      <c r="G87" s="19">
        <f>IF(Tabla32[[#This Row],[VENCE ]]="","",E87+F87)</f>
        <v>45459</v>
      </c>
      <c r="H87" s="20" t="str">
        <f t="shared" ca="1" si="4"/>
        <v>Vencido hace 123 dias</v>
      </c>
      <c r="I87" s="21">
        <f t="shared" ca="1" si="5"/>
        <v>-123</v>
      </c>
      <c r="J87" s="25" t="s">
        <v>329</v>
      </c>
      <c r="K87" s="20"/>
      <c r="L87" s="22"/>
    </row>
    <row r="88" spans="1:12">
      <c r="A88" s="14" t="s">
        <v>13</v>
      </c>
      <c r="B88" s="15" t="s">
        <v>62</v>
      </c>
      <c r="C88" s="15" t="s">
        <v>63</v>
      </c>
      <c r="D88" s="16"/>
      <c r="E88" s="17">
        <v>44735</v>
      </c>
      <c r="F88" s="18">
        <v>730</v>
      </c>
      <c r="G88" s="19">
        <f>IF(Tabla32[[#This Row],[VENCE ]]="","",E88+F88)</f>
        <v>45465</v>
      </c>
      <c r="H88" s="20" t="str">
        <f t="shared" ca="1" si="4"/>
        <v>Vencido hace 117 dias</v>
      </c>
      <c r="I88" s="21">
        <f t="shared" ca="1" si="5"/>
        <v>-117</v>
      </c>
      <c r="J88" s="25" t="s">
        <v>64</v>
      </c>
      <c r="K88" s="20"/>
      <c r="L88" s="22"/>
    </row>
    <row r="89" spans="1:12">
      <c r="A89" s="14" t="s">
        <v>96</v>
      </c>
      <c r="B89" s="15" t="s">
        <v>134</v>
      </c>
      <c r="C89" s="15" t="s">
        <v>135</v>
      </c>
      <c r="D89" s="17">
        <v>44735</v>
      </c>
      <c r="E89" s="17">
        <v>44735</v>
      </c>
      <c r="F89" s="18">
        <v>730</v>
      </c>
      <c r="G89" s="19">
        <f>IF(Tabla32[[#This Row],[VENCE ]]="","",E89+F89)</f>
        <v>45465</v>
      </c>
      <c r="H89" s="20" t="str">
        <f t="shared" ca="1" si="4"/>
        <v>Vencido hace 117 dias</v>
      </c>
      <c r="I89" s="21">
        <f t="shared" ca="1" si="5"/>
        <v>-117</v>
      </c>
      <c r="J89" s="34" t="s">
        <v>40</v>
      </c>
      <c r="K89" s="20"/>
      <c r="L89" s="22"/>
    </row>
    <row r="90" spans="1:12">
      <c r="A90" s="14" t="s">
        <v>172</v>
      </c>
      <c r="B90" s="24" t="s">
        <v>218</v>
      </c>
      <c r="C90" s="24" t="s">
        <v>219</v>
      </c>
      <c r="D90" s="17">
        <v>44740</v>
      </c>
      <c r="E90" s="17">
        <v>44740</v>
      </c>
      <c r="F90" s="18">
        <v>730</v>
      </c>
      <c r="G90" s="19">
        <f>IF(Tabla32[[#This Row],[VENCE ]]="","",E90+F90)</f>
        <v>45470</v>
      </c>
      <c r="H90" s="20" t="str">
        <f t="shared" ca="1" si="4"/>
        <v>Vencido hace 112 dias</v>
      </c>
      <c r="I90" s="21">
        <f t="shared" ca="1" si="5"/>
        <v>-112</v>
      </c>
      <c r="J90" s="25" t="s">
        <v>18</v>
      </c>
      <c r="K90" s="20"/>
      <c r="L90" s="22"/>
    </row>
    <row r="91" spans="1:12">
      <c r="A91" s="14" t="s">
        <v>172</v>
      </c>
      <c r="B91" s="24" t="s">
        <v>220</v>
      </c>
      <c r="C91" s="24" t="s">
        <v>221</v>
      </c>
      <c r="D91" s="17">
        <v>44754</v>
      </c>
      <c r="E91" s="17">
        <v>44753</v>
      </c>
      <c r="F91" s="18">
        <v>730</v>
      </c>
      <c r="G91" s="19">
        <f>IF(Tabla32[[#This Row],[VENCE ]]="","",E91+F91)</f>
        <v>45483</v>
      </c>
      <c r="H91" s="20" t="str">
        <f t="shared" ca="1" si="4"/>
        <v>Vencido hace 99 dias</v>
      </c>
      <c r="I91" s="21">
        <f t="shared" ca="1" si="5"/>
        <v>-99</v>
      </c>
      <c r="J91" s="25" t="s">
        <v>18</v>
      </c>
      <c r="K91" s="20"/>
      <c r="L91" s="22"/>
    </row>
    <row r="92" spans="1:12">
      <c r="A92" s="14" t="s">
        <v>172</v>
      </c>
      <c r="B92" s="24" t="s">
        <v>173</v>
      </c>
      <c r="C92" s="24" t="s">
        <v>174</v>
      </c>
      <c r="D92" s="17" t="s">
        <v>175</v>
      </c>
      <c r="E92" s="17">
        <v>44754</v>
      </c>
      <c r="F92" s="18">
        <v>730</v>
      </c>
      <c r="G92" s="19">
        <f>IF(Tabla32[[#This Row],[VENCE ]]="","",E92+F92)</f>
        <v>45484</v>
      </c>
      <c r="H92" s="20" t="str">
        <f t="shared" ca="1" si="4"/>
        <v>Vencido hace 98 dias</v>
      </c>
      <c r="I92" s="21">
        <f t="shared" ca="1" si="5"/>
        <v>-98</v>
      </c>
      <c r="J92" s="25" t="s">
        <v>176</v>
      </c>
      <c r="K92" s="20"/>
      <c r="L92" s="22"/>
    </row>
    <row r="93" spans="1:12">
      <c r="A93" s="14" t="s">
        <v>172</v>
      </c>
      <c r="B93" s="30" t="s">
        <v>211</v>
      </c>
      <c r="C93" s="30" t="s">
        <v>212</v>
      </c>
      <c r="D93" s="16"/>
      <c r="E93" s="17">
        <v>44761</v>
      </c>
      <c r="F93" s="18">
        <v>730</v>
      </c>
      <c r="G93" s="19">
        <f>IF(Tabla32[[#This Row],[VENCE ]]="","",E93+F93)</f>
        <v>45491</v>
      </c>
      <c r="H93" s="20" t="str">
        <f t="shared" ca="1" si="4"/>
        <v>Vencido hace 91 dias</v>
      </c>
      <c r="I93" s="21">
        <f t="shared" ca="1" si="5"/>
        <v>-91</v>
      </c>
      <c r="J93" s="25" t="s">
        <v>213</v>
      </c>
      <c r="K93" s="20"/>
      <c r="L93" s="22"/>
    </row>
    <row r="94" spans="1:12">
      <c r="A94" s="14" t="s">
        <v>304</v>
      </c>
      <c r="B94" s="15" t="s">
        <v>371</v>
      </c>
      <c r="C94" s="15" t="s">
        <v>372</v>
      </c>
      <c r="D94" s="18" t="s">
        <v>373</v>
      </c>
      <c r="E94" s="19">
        <v>44767</v>
      </c>
      <c r="F94" s="18">
        <v>730</v>
      </c>
      <c r="G94" s="19">
        <f>IF(Tabla32[[#This Row],[VENCE ]]="","",E94+F94)</f>
        <v>45497</v>
      </c>
      <c r="H94" s="20" t="str">
        <f t="shared" ca="1" si="4"/>
        <v>Vencido hace 85 dias</v>
      </c>
      <c r="I94" s="21">
        <f t="shared" ca="1" si="5"/>
        <v>-85</v>
      </c>
      <c r="J94" s="25" t="s">
        <v>159</v>
      </c>
      <c r="K94" s="20"/>
      <c r="L94" s="22"/>
    </row>
    <row r="95" spans="1:12">
      <c r="A95" s="14" t="s">
        <v>304</v>
      </c>
      <c r="B95" s="30" t="s">
        <v>336</v>
      </c>
      <c r="C95" s="30" t="s">
        <v>337</v>
      </c>
      <c r="D95" s="17">
        <v>44769</v>
      </c>
      <c r="E95" s="17">
        <v>44769</v>
      </c>
      <c r="F95" s="18">
        <v>730</v>
      </c>
      <c r="G95" s="19">
        <f>IF(Tabla32[[#This Row],[VENCE ]]="","",E95+F95)</f>
        <v>45499</v>
      </c>
      <c r="H95" s="20" t="str">
        <f t="shared" ca="1" si="4"/>
        <v>Vencido hace 83 dias</v>
      </c>
      <c r="I95" s="21">
        <f t="shared" ca="1" si="5"/>
        <v>-83</v>
      </c>
      <c r="J95" s="25" t="s">
        <v>338</v>
      </c>
      <c r="K95" s="20"/>
      <c r="L95" s="22"/>
    </row>
    <row r="96" spans="1:12">
      <c r="A96" s="14" t="s">
        <v>235</v>
      </c>
      <c r="B96" s="15" t="s">
        <v>269</v>
      </c>
      <c r="C96" s="24" t="s">
        <v>270</v>
      </c>
      <c r="D96" s="16"/>
      <c r="E96" s="17">
        <v>44774</v>
      </c>
      <c r="F96" s="18">
        <v>730</v>
      </c>
      <c r="G96" s="19">
        <f>IF(Tabla32[[#This Row],[VENCE ]]="","",E96+F96)</f>
        <v>45504</v>
      </c>
      <c r="H96" s="20" t="str">
        <f t="shared" ca="1" si="4"/>
        <v>Vencido hace 78 dias</v>
      </c>
      <c r="I96" s="21">
        <f t="shared" ca="1" si="5"/>
        <v>-78</v>
      </c>
      <c r="J96" s="25" t="s">
        <v>271</v>
      </c>
      <c r="K96" s="20"/>
      <c r="L96" s="22"/>
    </row>
    <row r="97" spans="1:12">
      <c r="A97" s="14" t="s">
        <v>304</v>
      </c>
      <c r="B97" s="30" t="s">
        <v>339</v>
      </c>
      <c r="C97" s="30" t="s">
        <v>340</v>
      </c>
      <c r="D97" s="16"/>
      <c r="E97" s="17">
        <v>44792</v>
      </c>
      <c r="F97" s="18">
        <v>730</v>
      </c>
      <c r="G97" s="19">
        <f>IF(Tabla32[[#This Row],[VENCE ]]="","",E97+F97)</f>
        <v>45522</v>
      </c>
      <c r="H97" s="20" t="str">
        <f t="shared" ca="1" si="4"/>
        <v>Vencido hace 60 dias</v>
      </c>
      <c r="I97" s="21">
        <f t="shared" ca="1" si="5"/>
        <v>-60</v>
      </c>
      <c r="J97" s="25" t="s">
        <v>341</v>
      </c>
      <c r="K97" s="20"/>
      <c r="L97" s="22"/>
    </row>
    <row r="98" spans="1:12">
      <c r="A98" s="14" t="s">
        <v>96</v>
      </c>
      <c r="B98" s="15" t="s">
        <v>145</v>
      </c>
      <c r="C98" s="24" t="s">
        <v>146</v>
      </c>
      <c r="D98" s="16"/>
      <c r="E98" s="17">
        <v>44796</v>
      </c>
      <c r="F98" s="18">
        <v>730</v>
      </c>
      <c r="G98" s="19">
        <f>IF(Tabla32[[#This Row],[VENCE ]]="","",E98+F98)</f>
        <v>45526</v>
      </c>
      <c r="H98" s="20" t="str">
        <f t="shared" ca="1" si="4"/>
        <v>Vencido hace 56 dias</v>
      </c>
      <c r="I98" s="28">
        <f t="shared" ca="1" si="5"/>
        <v>-56</v>
      </c>
      <c r="J98" s="25" t="s">
        <v>147</v>
      </c>
      <c r="K98" s="20"/>
      <c r="L98" s="22"/>
    </row>
    <row r="99" spans="1:12">
      <c r="A99" s="14" t="s">
        <v>304</v>
      </c>
      <c r="B99" s="15" t="s">
        <v>348</v>
      </c>
      <c r="C99" s="15" t="s">
        <v>349</v>
      </c>
      <c r="D99" s="16"/>
      <c r="E99" s="17">
        <v>44810</v>
      </c>
      <c r="F99" s="18">
        <v>730</v>
      </c>
      <c r="G99" s="19">
        <f>IF(Tabla32[[#This Row],[VENCE ]]="","",E99+F99)</f>
        <v>45540</v>
      </c>
      <c r="H99" s="20" t="str">
        <f t="shared" ca="1" si="4"/>
        <v>Vencido hace 42 dias</v>
      </c>
      <c r="I99" s="21">
        <f t="shared" ca="1" si="5"/>
        <v>-42</v>
      </c>
      <c r="J99" s="25" t="s">
        <v>350</v>
      </c>
      <c r="K99" s="20"/>
      <c r="L99" s="22"/>
    </row>
    <row r="100" spans="1:12">
      <c r="A100" s="14" t="s">
        <v>235</v>
      </c>
      <c r="B100" s="24" t="s">
        <v>243</v>
      </c>
      <c r="C100" s="24" t="s">
        <v>244</v>
      </c>
      <c r="D100" s="16"/>
      <c r="E100" s="17">
        <v>44813</v>
      </c>
      <c r="F100" s="18">
        <v>730</v>
      </c>
      <c r="G100" s="19">
        <f>IF(Tabla32[[#This Row],[VENCE ]]="","",E100+F100)</f>
        <v>45543</v>
      </c>
      <c r="H100" s="20" t="str">
        <f t="shared" ref="H100:H131" ca="1" si="6">IF(G100="","VACIO",IF(I100&lt;0,"Vencido hace "&amp;I100*-1&amp;" dias",IF(I100=0,"Vencido Hoy",IF(I100&lt;8,"Tiene "&amp; I100 &amp;" dias","Faltan "&amp;I100&amp;G100))))</f>
        <v>Vencido hace 39 dias</v>
      </c>
      <c r="I100" s="21">
        <f t="shared" ref="I100:I131" ca="1" si="7">G100-$A$2</f>
        <v>-39</v>
      </c>
      <c r="J100" s="25" t="s">
        <v>23</v>
      </c>
      <c r="K100" s="20"/>
      <c r="L100" s="22"/>
    </row>
    <row r="101" spans="1:12">
      <c r="A101" s="14" t="s">
        <v>304</v>
      </c>
      <c r="B101" s="15" t="s">
        <v>376</v>
      </c>
      <c r="C101" s="15" t="s">
        <v>377</v>
      </c>
      <c r="D101" s="18"/>
      <c r="E101" s="17">
        <v>44816</v>
      </c>
      <c r="F101" s="18">
        <v>730</v>
      </c>
      <c r="G101" s="19">
        <f>IF(Tabla32[[#This Row],[VENCE ]]="","",E101+F101)</f>
        <v>45546</v>
      </c>
      <c r="H101" s="20" t="str">
        <f t="shared" ca="1" si="6"/>
        <v>Vencido hace 36 dias</v>
      </c>
      <c r="I101" s="21">
        <f t="shared" ca="1" si="7"/>
        <v>-36</v>
      </c>
      <c r="J101" s="25" t="s">
        <v>111</v>
      </c>
      <c r="K101" s="20"/>
      <c r="L101" s="22"/>
    </row>
    <row r="102" spans="1:12">
      <c r="A102" s="14" t="s">
        <v>172</v>
      </c>
      <c r="B102" s="24" t="s">
        <v>230</v>
      </c>
      <c r="C102" s="24" t="s">
        <v>231</v>
      </c>
      <c r="D102" s="16"/>
      <c r="E102" s="17">
        <v>44841</v>
      </c>
      <c r="F102" s="18">
        <v>730</v>
      </c>
      <c r="G102" s="19">
        <f>IF(Tabla32[[#This Row],[VENCE ]]="","",E102+F102)</f>
        <v>45571</v>
      </c>
      <c r="H102" s="20" t="str">
        <f t="shared" ca="1" si="6"/>
        <v>Vencido hace 11 dias</v>
      </c>
      <c r="I102" s="21">
        <f t="shared" ca="1" si="7"/>
        <v>-11</v>
      </c>
      <c r="J102" s="25" t="s">
        <v>232</v>
      </c>
      <c r="K102" s="20"/>
      <c r="L102" s="22"/>
    </row>
    <row r="103" spans="1:12">
      <c r="A103" s="14" t="s">
        <v>96</v>
      </c>
      <c r="B103" s="15" t="s">
        <v>162</v>
      </c>
      <c r="C103" s="15" t="s">
        <v>163</v>
      </c>
      <c r="D103" s="16"/>
      <c r="E103" s="17">
        <v>44855</v>
      </c>
      <c r="F103" s="18">
        <v>730</v>
      </c>
      <c r="G103" s="19">
        <f>IF(Tabla32[[#This Row],[VENCE ]]="","",E103+F103)</f>
        <v>45585</v>
      </c>
      <c r="H103" s="20" t="str">
        <f t="shared" ca="1" si="6"/>
        <v>Tiene 3 dias</v>
      </c>
      <c r="I103" s="21">
        <f t="shared" ca="1" si="7"/>
        <v>3</v>
      </c>
      <c r="J103" s="25" t="s">
        <v>67</v>
      </c>
      <c r="K103" s="20"/>
      <c r="L103" s="22"/>
    </row>
    <row r="104" spans="1:12">
      <c r="A104" s="14" t="s">
        <v>13</v>
      </c>
      <c r="B104" s="15" t="s">
        <v>24</v>
      </c>
      <c r="C104" s="15" t="s">
        <v>25</v>
      </c>
      <c r="D104" s="19">
        <v>44859</v>
      </c>
      <c r="E104" s="19">
        <v>44859</v>
      </c>
      <c r="F104" s="18">
        <v>730</v>
      </c>
      <c r="G104" s="19">
        <f>IF(Tabla32[[#This Row],[VENCE ]]="","",E104+F104)</f>
        <v>45589</v>
      </c>
      <c r="H104" s="20" t="str">
        <f t="shared" ca="1" si="6"/>
        <v>Tiene 7 dias</v>
      </c>
      <c r="I104" s="21">
        <f t="shared" ca="1" si="7"/>
        <v>7</v>
      </c>
      <c r="J104" s="25" t="s">
        <v>26</v>
      </c>
      <c r="K104" s="20"/>
      <c r="L104" s="22"/>
    </row>
    <row r="105" spans="1:12">
      <c r="A105" s="14" t="s">
        <v>304</v>
      </c>
      <c r="B105" s="15" t="s">
        <v>374</v>
      </c>
      <c r="C105" s="15" t="s">
        <v>375</v>
      </c>
      <c r="D105" s="16"/>
      <c r="E105" s="17">
        <v>44859</v>
      </c>
      <c r="F105" s="18">
        <v>730</v>
      </c>
      <c r="G105" s="19">
        <f>IF(Tabla32[[#This Row],[VENCE ]]="","",E105+F105)</f>
        <v>45589</v>
      </c>
      <c r="H105" s="20" t="str">
        <f t="shared" ca="1" si="6"/>
        <v>Tiene 7 dias</v>
      </c>
      <c r="I105" s="21">
        <f t="shared" ca="1" si="7"/>
        <v>7</v>
      </c>
      <c r="J105" s="25" t="s">
        <v>32</v>
      </c>
      <c r="K105" s="20"/>
      <c r="L105" s="22"/>
    </row>
    <row r="106" spans="1:12">
      <c r="A106" s="14" t="s">
        <v>172</v>
      </c>
      <c r="B106" s="24" t="s">
        <v>198</v>
      </c>
      <c r="C106" s="24" t="s">
        <v>199</v>
      </c>
      <c r="D106" s="16"/>
      <c r="E106" s="17">
        <v>44860</v>
      </c>
      <c r="F106" s="18">
        <v>730</v>
      </c>
      <c r="G106" s="19">
        <f>IF(Tabla32[[#This Row],[VENCE ]]="","",E106+F106)</f>
        <v>45590</v>
      </c>
      <c r="H106" s="20" t="str">
        <f t="shared" ca="1" si="6"/>
        <v>Faltan 845590</v>
      </c>
      <c r="I106" s="21">
        <f t="shared" ca="1" si="7"/>
        <v>8</v>
      </c>
      <c r="J106" s="25" t="s">
        <v>200</v>
      </c>
      <c r="K106" s="20"/>
      <c r="L106" s="22"/>
    </row>
    <row r="107" spans="1:12">
      <c r="A107" s="14" t="s">
        <v>235</v>
      </c>
      <c r="B107" s="15" t="s">
        <v>261</v>
      </c>
      <c r="C107" s="24" t="s">
        <v>262</v>
      </c>
      <c r="D107" s="16"/>
      <c r="E107" s="17">
        <v>44860</v>
      </c>
      <c r="F107" s="18">
        <v>730</v>
      </c>
      <c r="G107" s="19">
        <f>IF(Tabla32[[#This Row],[VENCE ]]="","",E107+F107)</f>
        <v>45590</v>
      </c>
      <c r="H107" s="20" t="str">
        <f t="shared" ca="1" si="6"/>
        <v>Faltan 845590</v>
      </c>
      <c r="I107" s="21">
        <f t="shared" ca="1" si="7"/>
        <v>8</v>
      </c>
      <c r="J107" s="25" t="s">
        <v>23</v>
      </c>
      <c r="K107" s="20"/>
      <c r="L107" s="22"/>
    </row>
    <row r="108" spans="1:12">
      <c r="A108" s="14" t="s">
        <v>235</v>
      </c>
      <c r="B108" s="15" t="s">
        <v>263</v>
      </c>
      <c r="C108" s="15" t="s">
        <v>264</v>
      </c>
      <c r="D108" s="17">
        <v>44860</v>
      </c>
      <c r="E108" s="31">
        <v>44860</v>
      </c>
      <c r="F108" s="18">
        <v>730</v>
      </c>
      <c r="G108" s="19">
        <f>IF(Tabla32[[#This Row],[VENCE ]]="","",E108+F108)</f>
        <v>45590</v>
      </c>
      <c r="H108" s="20" t="str">
        <f t="shared" ca="1" si="6"/>
        <v>Faltan 845590</v>
      </c>
      <c r="I108" s="21">
        <f t="shared" ca="1" si="7"/>
        <v>8</v>
      </c>
      <c r="J108" s="25" t="s">
        <v>265</v>
      </c>
      <c r="K108" s="20"/>
      <c r="L108" s="22"/>
    </row>
    <row r="109" spans="1:12">
      <c r="A109" s="14" t="s">
        <v>172</v>
      </c>
      <c r="B109" s="24" t="s">
        <v>177</v>
      </c>
      <c r="C109" s="24" t="s">
        <v>178</v>
      </c>
      <c r="D109" s="17">
        <v>44866</v>
      </c>
      <c r="E109" s="17">
        <v>44862</v>
      </c>
      <c r="F109" s="18">
        <v>730</v>
      </c>
      <c r="G109" s="19">
        <f>IF(Tabla32[[#This Row],[VENCE ]]="","",E109+F109)</f>
        <v>45592</v>
      </c>
      <c r="H109" s="20" t="str">
        <f t="shared" ca="1" si="6"/>
        <v>Faltan 1045592</v>
      </c>
      <c r="I109" s="21">
        <f t="shared" ca="1" si="7"/>
        <v>10</v>
      </c>
      <c r="J109" s="25" t="s">
        <v>179</v>
      </c>
      <c r="K109" s="20"/>
      <c r="L109" s="22"/>
    </row>
    <row r="110" spans="1:12">
      <c r="A110" s="14" t="s">
        <v>13</v>
      </c>
      <c r="B110" s="15" t="s">
        <v>33</v>
      </c>
      <c r="C110" s="15" t="s">
        <v>34</v>
      </c>
      <c r="D110" s="17">
        <v>44866</v>
      </c>
      <c r="E110" s="17">
        <v>44865</v>
      </c>
      <c r="F110" s="18">
        <v>730</v>
      </c>
      <c r="G110" s="19">
        <f>IF(Tabla32[[#This Row],[VENCE ]]="","",E110+F110)</f>
        <v>45595</v>
      </c>
      <c r="H110" s="20" t="str">
        <f t="shared" ca="1" si="6"/>
        <v>Faltan 1345595</v>
      </c>
      <c r="I110" s="21">
        <f t="shared" ca="1" si="7"/>
        <v>13</v>
      </c>
      <c r="J110" s="25" t="s">
        <v>35</v>
      </c>
      <c r="K110" s="20" t="s">
        <v>36</v>
      </c>
      <c r="L110" s="22" t="s">
        <v>37</v>
      </c>
    </row>
    <row r="111" spans="1:12">
      <c r="A111" s="14" t="s">
        <v>96</v>
      </c>
      <c r="B111" s="15" t="s">
        <v>126</v>
      </c>
      <c r="C111" s="15" t="s">
        <v>127</v>
      </c>
      <c r="D111" s="17">
        <v>44866</v>
      </c>
      <c r="E111" s="17">
        <v>44865</v>
      </c>
      <c r="F111" s="18">
        <v>730</v>
      </c>
      <c r="G111" s="19">
        <f>IF(Tabla32[[#This Row],[VENCE ]]="","",E111+F111)</f>
        <v>45595</v>
      </c>
      <c r="H111" s="20" t="str">
        <f t="shared" ca="1" si="6"/>
        <v>Faltan 1345595</v>
      </c>
      <c r="I111" s="21">
        <f t="shared" ca="1" si="7"/>
        <v>13</v>
      </c>
      <c r="J111" s="25" t="s">
        <v>128</v>
      </c>
      <c r="K111" s="20"/>
      <c r="L111" s="22"/>
    </row>
    <row r="112" spans="1:12">
      <c r="A112" s="14" t="s">
        <v>172</v>
      </c>
      <c r="B112" s="24" t="s">
        <v>182</v>
      </c>
      <c r="C112" s="24" t="s">
        <v>183</v>
      </c>
      <c r="D112" s="17">
        <v>44866</v>
      </c>
      <c r="E112" s="17">
        <v>44866</v>
      </c>
      <c r="F112" s="18">
        <v>730</v>
      </c>
      <c r="G112" s="19">
        <f>IF(Tabla32[[#This Row],[VENCE ]]="","",E112+F112)</f>
        <v>45596</v>
      </c>
      <c r="H112" s="20" t="str">
        <f t="shared" ca="1" si="6"/>
        <v>Faltan 1445596</v>
      </c>
      <c r="I112" s="21">
        <f t="shared" ca="1" si="7"/>
        <v>14</v>
      </c>
      <c r="J112" s="25" t="s">
        <v>184</v>
      </c>
      <c r="K112" s="20"/>
      <c r="L112" s="22"/>
    </row>
    <row r="113" spans="1:12">
      <c r="A113" s="14" t="s">
        <v>13</v>
      </c>
      <c r="B113" s="23" t="s">
        <v>47</v>
      </c>
      <c r="C113" s="23" t="s">
        <v>48</v>
      </c>
      <c r="D113" s="17">
        <v>44868</v>
      </c>
      <c r="E113" s="17">
        <v>44867</v>
      </c>
      <c r="F113" s="18">
        <v>730</v>
      </c>
      <c r="G113" s="19">
        <f>IF(Tabla32[[#This Row],[VENCE ]]="","",E113+F113)</f>
        <v>45597</v>
      </c>
      <c r="H113" s="20" t="str">
        <f t="shared" ca="1" si="6"/>
        <v>Faltan 1545597</v>
      </c>
      <c r="I113" s="21">
        <f t="shared" ca="1" si="7"/>
        <v>15</v>
      </c>
      <c r="J113" s="25" t="s">
        <v>49</v>
      </c>
      <c r="K113" s="20"/>
      <c r="L113" s="22"/>
    </row>
    <row r="114" spans="1:12">
      <c r="A114" s="14" t="s">
        <v>13</v>
      </c>
      <c r="B114" s="15" t="s">
        <v>59</v>
      </c>
      <c r="C114" s="15" t="s">
        <v>60</v>
      </c>
      <c r="D114" s="16"/>
      <c r="E114" s="17">
        <v>44867</v>
      </c>
      <c r="F114" s="18">
        <v>730</v>
      </c>
      <c r="G114" s="19">
        <f>IF(Tabla32[[#This Row],[VENCE ]]="","",E114+F114)</f>
        <v>45597</v>
      </c>
      <c r="H114" s="20" t="str">
        <f t="shared" ca="1" si="6"/>
        <v>Faltan 1545597</v>
      </c>
      <c r="I114" s="21">
        <f t="shared" ca="1" si="7"/>
        <v>15</v>
      </c>
      <c r="J114" s="25" t="s">
        <v>61</v>
      </c>
      <c r="K114" s="20"/>
      <c r="L114" s="22"/>
    </row>
    <row r="115" spans="1:12">
      <c r="A115" s="14" t="s">
        <v>172</v>
      </c>
      <c r="B115" s="24" t="s">
        <v>185</v>
      </c>
      <c r="C115" s="24" t="s">
        <v>186</v>
      </c>
      <c r="D115" s="17">
        <v>44868</v>
      </c>
      <c r="E115" s="19">
        <v>44868</v>
      </c>
      <c r="F115" s="18">
        <v>730</v>
      </c>
      <c r="G115" s="19">
        <f>IF(Tabla32[[#This Row],[VENCE ]]="","",E115+F115)</f>
        <v>45598</v>
      </c>
      <c r="H115" s="20" t="str">
        <f t="shared" ca="1" si="6"/>
        <v>Faltan 1645598</v>
      </c>
      <c r="I115" s="21">
        <f t="shared" ca="1" si="7"/>
        <v>16</v>
      </c>
      <c r="J115" s="25" t="s">
        <v>187</v>
      </c>
      <c r="K115" s="20"/>
      <c r="L115" s="22"/>
    </row>
    <row r="116" spans="1:12">
      <c r="A116" s="14" t="s">
        <v>13</v>
      </c>
      <c r="B116" s="15" t="s">
        <v>56</v>
      </c>
      <c r="C116" s="15" t="s">
        <v>57</v>
      </c>
      <c r="D116" s="17">
        <v>44869</v>
      </c>
      <c r="E116" s="17">
        <v>44869</v>
      </c>
      <c r="F116" s="18">
        <v>730</v>
      </c>
      <c r="G116" s="19">
        <f>IF(Tabla32[[#This Row],[VENCE ]]="","",E116+F116)</f>
        <v>45599</v>
      </c>
      <c r="H116" s="20" t="str">
        <f t="shared" ca="1" si="6"/>
        <v>Faltan 1745599</v>
      </c>
      <c r="I116" s="21">
        <f t="shared" ca="1" si="7"/>
        <v>17</v>
      </c>
      <c r="J116" s="25" t="s">
        <v>58</v>
      </c>
      <c r="K116" s="20"/>
      <c r="L116" s="22"/>
    </row>
    <row r="117" spans="1:12">
      <c r="A117" s="14" t="s">
        <v>96</v>
      </c>
      <c r="B117" s="15" t="s">
        <v>148</v>
      </c>
      <c r="C117" s="24" t="s">
        <v>149</v>
      </c>
      <c r="D117" s="16"/>
      <c r="E117" s="17">
        <v>44873</v>
      </c>
      <c r="F117" s="18">
        <v>730</v>
      </c>
      <c r="G117" s="19">
        <f>IF(Tabla32[[#This Row],[VENCE ]]="","",E117+F117)</f>
        <v>45603</v>
      </c>
      <c r="H117" s="20" t="str">
        <f t="shared" ca="1" si="6"/>
        <v>Faltan 2145603</v>
      </c>
      <c r="I117" s="21">
        <f t="shared" ca="1" si="7"/>
        <v>21</v>
      </c>
      <c r="J117" s="25" t="s">
        <v>23</v>
      </c>
      <c r="K117" s="20"/>
      <c r="L117" s="22"/>
    </row>
    <row r="118" spans="1:12">
      <c r="A118" s="14" t="s">
        <v>13</v>
      </c>
      <c r="B118" s="23" t="s">
        <v>50</v>
      </c>
      <c r="C118" s="23" t="s">
        <v>51</v>
      </c>
      <c r="D118" s="16"/>
      <c r="E118" s="17">
        <v>44874</v>
      </c>
      <c r="F118" s="18">
        <v>730</v>
      </c>
      <c r="G118" s="19">
        <f>IF(Tabla32[[#This Row],[VENCE ]]="","",E118+F118)</f>
        <v>45604</v>
      </c>
      <c r="H118" s="20" t="str">
        <f t="shared" ca="1" si="6"/>
        <v>Faltan 2245604</v>
      </c>
      <c r="I118" s="21">
        <f t="shared" ca="1" si="7"/>
        <v>22</v>
      </c>
      <c r="J118" s="25" t="s">
        <v>52</v>
      </c>
      <c r="K118" s="20"/>
      <c r="L118" s="22"/>
    </row>
    <row r="119" spans="1:12">
      <c r="A119" s="14" t="s">
        <v>13</v>
      </c>
      <c r="B119" s="23" t="s">
        <v>53</v>
      </c>
      <c r="C119" s="24"/>
      <c r="D119" s="16"/>
      <c r="E119" s="17">
        <v>44876</v>
      </c>
      <c r="F119" s="18">
        <v>730</v>
      </c>
      <c r="G119" s="19">
        <f>IF(Tabla32[[#This Row],[VENCE ]]="","",E119+F119)</f>
        <v>45606</v>
      </c>
      <c r="H119" s="20" t="str">
        <f t="shared" ca="1" si="6"/>
        <v>Faltan 2445606</v>
      </c>
      <c r="I119" s="21">
        <f t="shared" ca="1" si="7"/>
        <v>24</v>
      </c>
      <c r="J119" s="25" t="s">
        <v>55</v>
      </c>
      <c r="K119" s="20"/>
      <c r="L119" s="22"/>
    </row>
    <row r="120" spans="1:12">
      <c r="A120" s="14" t="s">
        <v>304</v>
      </c>
      <c r="B120" s="15" t="s">
        <v>313</v>
      </c>
      <c r="C120" s="15" t="s">
        <v>314</v>
      </c>
      <c r="D120" s="16"/>
      <c r="E120" s="17">
        <v>44876</v>
      </c>
      <c r="F120" s="18">
        <v>730</v>
      </c>
      <c r="G120" s="19">
        <f>IF(Tabla32[[#This Row],[VENCE ]]="","",E120+F120)</f>
        <v>45606</v>
      </c>
      <c r="H120" s="20" t="str">
        <f t="shared" ca="1" si="6"/>
        <v>Faltan 2445606</v>
      </c>
      <c r="I120" s="21">
        <f t="shared" ca="1" si="7"/>
        <v>24</v>
      </c>
      <c r="J120" s="25" t="s">
        <v>315</v>
      </c>
      <c r="K120" s="17"/>
      <c r="L120" s="29"/>
    </row>
    <row r="121" spans="1:12">
      <c r="A121" s="14" t="s">
        <v>235</v>
      </c>
      <c r="B121" s="15" t="s">
        <v>302</v>
      </c>
      <c r="C121" s="15" t="s">
        <v>303</v>
      </c>
      <c r="D121" s="16"/>
      <c r="E121" s="31">
        <v>44880</v>
      </c>
      <c r="F121" s="18">
        <v>730</v>
      </c>
      <c r="G121" s="19">
        <f>IF(Tabla32[[#This Row],[VENCE ]]="","",E121+F121)</f>
        <v>45610</v>
      </c>
      <c r="H121" s="20" t="str">
        <f t="shared" ca="1" si="6"/>
        <v>Faltan 2845610</v>
      </c>
      <c r="I121" s="21">
        <f t="shared" ca="1" si="7"/>
        <v>28</v>
      </c>
      <c r="J121" s="25" t="s">
        <v>295</v>
      </c>
      <c r="K121" s="20"/>
      <c r="L121" s="22"/>
    </row>
    <row r="122" spans="1:12">
      <c r="A122" s="14" t="s">
        <v>304</v>
      </c>
      <c r="B122" s="24" t="s">
        <v>323</v>
      </c>
      <c r="C122" s="24" t="s">
        <v>324</v>
      </c>
      <c r="D122" s="16"/>
      <c r="E122" s="19">
        <v>44881</v>
      </c>
      <c r="F122" s="18">
        <v>730</v>
      </c>
      <c r="G122" s="19">
        <f>IF(Tabla32[[#This Row],[VENCE ]]="","",E122+F122)</f>
        <v>45611</v>
      </c>
      <c r="H122" s="20" t="str">
        <f t="shared" ca="1" si="6"/>
        <v>Faltan 2945611</v>
      </c>
      <c r="I122" s="21">
        <f t="shared" ca="1" si="7"/>
        <v>29</v>
      </c>
      <c r="J122" s="25" t="s">
        <v>23</v>
      </c>
      <c r="K122" s="20"/>
      <c r="L122" s="22"/>
    </row>
    <row r="123" spans="1:12">
      <c r="A123" s="14" t="s">
        <v>235</v>
      </c>
      <c r="B123" s="15" t="s">
        <v>296</v>
      </c>
      <c r="C123" s="15" t="s">
        <v>297</v>
      </c>
      <c r="D123" s="16"/>
      <c r="E123" s="31">
        <v>44882</v>
      </c>
      <c r="F123" s="18">
        <v>730</v>
      </c>
      <c r="G123" s="19">
        <f>IF(Tabla32[[#This Row],[VENCE ]]="","",E123+F123)</f>
        <v>45612</v>
      </c>
      <c r="H123" s="20" t="str">
        <f t="shared" ca="1" si="6"/>
        <v>Faltan 3045612</v>
      </c>
      <c r="I123" s="21">
        <f t="shared" ca="1" si="7"/>
        <v>30</v>
      </c>
      <c r="J123" s="25" t="s">
        <v>111</v>
      </c>
      <c r="K123" s="20"/>
      <c r="L123" s="22"/>
    </row>
    <row r="124" spans="1:12">
      <c r="A124" s="14" t="s">
        <v>304</v>
      </c>
      <c r="B124" s="15" t="s">
        <v>369</v>
      </c>
      <c r="C124" s="15" t="s">
        <v>370</v>
      </c>
      <c r="D124" s="18"/>
      <c r="E124" s="19">
        <v>44883</v>
      </c>
      <c r="F124" s="18">
        <v>730</v>
      </c>
      <c r="G124" s="19">
        <f>IF(Tabla32[[#This Row],[VENCE ]]="","",E124+F124)</f>
        <v>45613</v>
      </c>
      <c r="H124" s="20" t="str">
        <f t="shared" ca="1" si="6"/>
        <v>Faltan 3145613</v>
      </c>
      <c r="I124" s="21">
        <f t="shared" ca="1" si="7"/>
        <v>31</v>
      </c>
      <c r="J124" s="25" t="s">
        <v>23</v>
      </c>
      <c r="K124" s="20"/>
      <c r="L124" s="22"/>
    </row>
    <row r="125" spans="1:12">
      <c r="A125" s="14" t="s">
        <v>235</v>
      </c>
      <c r="B125" s="24" t="s">
        <v>236</v>
      </c>
      <c r="C125" s="24" t="s">
        <v>237</v>
      </c>
      <c r="D125" s="17"/>
      <c r="E125" s="17">
        <v>44886</v>
      </c>
      <c r="F125" s="18">
        <v>730</v>
      </c>
      <c r="G125" s="19">
        <f>IF(Tabla32[[#This Row],[VENCE ]]="","",E125+F125)</f>
        <v>45616</v>
      </c>
      <c r="H125" s="20" t="str">
        <f t="shared" ca="1" si="6"/>
        <v>Faltan 3445616</v>
      </c>
      <c r="I125" s="21">
        <f t="shared" ca="1" si="7"/>
        <v>34</v>
      </c>
      <c r="J125" s="25" t="s">
        <v>232</v>
      </c>
      <c r="K125" s="20"/>
      <c r="L125" s="22"/>
    </row>
    <row r="126" spans="1:12">
      <c r="A126" s="14" t="s">
        <v>235</v>
      </c>
      <c r="B126" s="15" t="s">
        <v>254</v>
      </c>
      <c r="C126" s="15" t="s">
        <v>255</v>
      </c>
      <c r="D126" s="16"/>
      <c r="E126" s="17">
        <v>44890</v>
      </c>
      <c r="F126" s="18">
        <v>730</v>
      </c>
      <c r="G126" s="19">
        <f>IF(Tabla32[[#This Row],[VENCE ]]="","",E126+F126)</f>
        <v>45620</v>
      </c>
      <c r="H126" s="20" t="str">
        <f t="shared" ca="1" si="6"/>
        <v>Faltan 3845620</v>
      </c>
      <c r="I126" s="21">
        <f t="shared" ca="1" si="7"/>
        <v>38</v>
      </c>
      <c r="J126" s="25" t="s">
        <v>23</v>
      </c>
      <c r="K126" s="17"/>
      <c r="L126" s="22"/>
    </row>
    <row r="127" spans="1:12">
      <c r="A127" s="14" t="s">
        <v>235</v>
      </c>
      <c r="B127" s="15" t="s">
        <v>298</v>
      </c>
      <c r="C127" s="15" t="s">
        <v>299</v>
      </c>
      <c r="D127" s="16"/>
      <c r="E127" s="31">
        <v>44890</v>
      </c>
      <c r="F127" s="18">
        <v>730</v>
      </c>
      <c r="G127" s="19">
        <f>IF(Tabla32[[#This Row],[VENCE ]]="","",E127+F127)</f>
        <v>45620</v>
      </c>
      <c r="H127" s="20" t="str">
        <f t="shared" ca="1" si="6"/>
        <v>Faltan 3845620</v>
      </c>
      <c r="I127" s="21">
        <f t="shared" ca="1" si="7"/>
        <v>38</v>
      </c>
      <c r="J127" s="25" t="s">
        <v>295</v>
      </c>
      <c r="K127" s="20"/>
      <c r="L127" s="22"/>
    </row>
    <row r="128" spans="1:12">
      <c r="A128" s="14" t="s">
        <v>96</v>
      </c>
      <c r="B128" s="24" t="s">
        <v>107</v>
      </c>
      <c r="C128" s="24" t="s">
        <v>108</v>
      </c>
      <c r="D128" s="16"/>
      <c r="E128" s="17">
        <v>44895</v>
      </c>
      <c r="F128" s="18">
        <v>730</v>
      </c>
      <c r="G128" s="19">
        <f>IF(Tabla32[[#This Row],[VENCE ]]="","",E128+F128)</f>
        <v>45625</v>
      </c>
      <c r="H128" s="20" t="str">
        <f t="shared" ca="1" si="6"/>
        <v>Faltan 4345625</v>
      </c>
      <c r="I128" s="21">
        <f t="shared" ca="1" si="7"/>
        <v>43</v>
      </c>
      <c r="J128" s="25" t="s">
        <v>95</v>
      </c>
      <c r="K128" s="20"/>
      <c r="L128" s="22"/>
    </row>
    <row r="129" spans="1:12">
      <c r="A129" s="14" t="s">
        <v>172</v>
      </c>
      <c r="B129" s="24" t="s">
        <v>216</v>
      </c>
      <c r="C129" s="24" t="s">
        <v>217</v>
      </c>
      <c r="D129" s="16"/>
      <c r="E129" s="17">
        <v>44902</v>
      </c>
      <c r="F129" s="18">
        <v>730</v>
      </c>
      <c r="G129" s="19">
        <f>IF(Tabla32[[#This Row],[VENCE ]]="","",E129+F129)</f>
        <v>45632</v>
      </c>
      <c r="H129" s="20" t="str">
        <f t="shared" ca="1" si="6"/>
        <v>Faltan 5045632</v>
      </c>
      <c r="I129" s="21">
        <f t="shared" ca="1" si="7"/>
        <v>50</v>
      </c>
      <c r="J129" s="25" t="s">
        <v>64</v>
      </c>
      <c r="K129" s="20"/>
      <c r="L129" s="22"/>
    </row>
    <row r="130" spans="1:12">
      <c r="A130" s="14" t="s">
        <v>13</v>
      </c>
      <c r="B130" s="15" t="s">
        <v>21</v>
      </c>
      <c r="C130" s="15" t="s">
        <v>22</v>
      </c>
      <c r="D130" s="16"/>
      <c r="E130" s="17">
        <v>44904</v>
      </c>
      <c r="F130" s="18">
        <v>730</v>
      </c>
      <c r="G130" s="19">
        <f>IF(Tabla32[[#This Row],[VENCE ]]="","",E130+F130)</f>
        <v>45634</v>
      </c>
      <c r="H130" s="20" t="str">
        <f t="shared" ca="1" si="6"/>
        <v>Faltan 5245634</v>
      </c>
      <c r="I130" s="21">
        <f t="shared" ca="1" si="7"/>
        <v>52</v>
      </c>
      <c r="J130" s="25" t="s">
        <v>23</v>
      </c>
      <c r="K130" s="20"/>
      <c r="L130" s="22"/>
    </row>
    <row r="131" spans="1:12">
      <c r="A131" s="14" t="s">
        <v>235</v>
      </c>
      <c r="B131" s="24" t="s">
        <v>238</v>
      </c>
      <c r="C131" s="24" t="s">
        <v>239</v>
      </c>
      <c r="D131" s="16"/>
      <c r="E131" s="17">
        <v>44907</v>
      </c>
      <c r="F131" s="18">
        <v>730</v>
      </c>
      <c r="G131" s="19">
        <f>IF(Tabla32[[#This Row],[VENCE ]]="","",E131+F131)</f>
        <v>45637</v>
      </c>
      <c r="H131" s="20" t="str">
        <f t="shared" ca="1" si="6"/>
        <v>Faltan 5545637</v>
      </c>
      <c r="I131" s="21">
        <f t="shared" ca="1" si="7"/>
        <v>55</v>
      </c>
      <c r="J131" s="25" t="s">
        <v>111</v>
      </c>
      <c r="K131" s="20"/>
      <c r="L131" s="22"/>
    </row>
    <row r="132" spans="1:12">
      <c r="A132" s="14" t="s">
        <v>13</v>
      </c>
      <c r="B132" s="15" t="s">
        <v>87</v>
      </c>
      <c r="C132" s="15" t="s">
        <v>88</v>
      </c>
      <c r="D132" s="16"/>
      <c r="E132" s="17">
        <v>44910</v>
      </c>
      <c r="F132" s="18">
        <v>730</v>
      </c>
      <c r="G132" s="19">
        <f>IF(Tabla32[[#This Row],[VENCE ]]="","",E132+F132)</f>
        <v>45640</v>
      </c>
      <c r="H132" s="20" t="str">
        <f t="shared" ref="H132:H145" ca="1" si="8">IF(G132="","VACIO",IF(I132&lt;0,"Vencido hace "&amp;I132*-1&amp;" dias",IF(I132=0,"Vencido Hoy",IF(I132&lt;8,"Tiene "&amp; I132 &amp;" dias","Faltan "&amp;I132&amp;G132))))</f>
        <v>Faltan 5845640</v>
      </c>
      <c r="I132" s="21">
        <f t="shared" ref="I132:I145" ca="1" si="9">G132-$A$2</f>
        <v>58</v>
      </c>
      <c r="J132" s="25" t="s">
        <v>89</v>
      </c>
      <c r="K132" s="20"/>
      <c r="L132" s="22"/>
    </row>
    <row r="133" spans="1:12">
      <c r="A133" s="14" t="s">
        <v>304</v>
      </c>
      <c r="B133" s="24" t="s">
        <v>320</v>
      </c>
      <c r="C133" s="24" t="s">
        <v>321</v>
      </c>
      <c r="D133" s="16"/>
      <c r="E133" s="19">
        <v>44914</v>
      </c>
      <c r="F133" s="18">
        <v>730</v>
      </c>
      <c r="G133" s="19">
        <f>IF(Tabla32[[#This Row],[VENCE ]]="","",E133+F133)</f>
        <v>45644</v>
      </c>
      <c r="H133" s="20" t="str">
        <f t="shared" ca="1" si="8"/>
        <v>Faltan 6245644</v>
      </c>
      <c r="I133" s="21">
        <f t="shared" ca="1" si="9"/>
        <v>62</v>
      </c>
      <c r="J133" s="25" t="s">
        <v>322</v>
      </c>
      <c r="K133" s="20"/>
      <c r="L133" s="22"/>
    </row>
    <row r="134" spans="1:12">
      <c r="A134" s="14" t="s">
        <v>304</v>
      </c>
      <c r="B134" s="24" t="s">
        <v>325</v>
      </c>
      <c r="C134" s="24" t="s">
        <v>326</v>
      </c>
      <c r="D134" s="16"/>
      <c r="E134" s="17">
        <v>44942</v>
      </c>
      <c r="F134" s="18">
        <v>730</v>
      </c>
      <c r="G134" s="19">
        <f>IF(Tabla32[[#This Row],[VENCE ]]="","",E134+F134)</f>
        <v>45672</v>
      </c>
      <c r="H134" s="20" t="str">
        <f t="shared" ca="1" si="8"/>
        <v>Faltan 9045672</v>
      </c>
      <c r="I134" s="21">
        <f t="shared" ca="1" si="9"/>
        <v>90</v>
      </c>
      <c r="J134" s="25" t="s">
        <v>295</v>
      </c>
      <c r="K134" s="17"/>
      <c r="L134" s="22"/>
    </row>
    <row r="135" spans="1:12">
      <c r="A135" s="14" t="s">
        <v>235</v>
      </c>
      <c r="B135" s="24" t="s">
        <v>252</v>
      </c>
      <c r="C135" s="24" t="s">
        <v>253</v>
      </c>
      <c r="D135" s="18"/>
      <c r="E135" s="19">
        <v>44943</v>
      </c>
      <c r="F135" s="18">
        <v>730</v>
      </c>
      <c r="G135" s="19">
        <f>IF(Tabla32[[#This Row],[VENCE ]]="","",E135+F135)</f>
        <v>45673</v>
      </c>
      <c r="H135" s="20" t="str">
        <f t="shared" ca="1" si="8"/>
        <v>Faltan 9145673</v>
      </c>
      <c r="I135" s="21">
        <f t="shared" ca="1" si="9"/>
        <v>91</v>
      </c>
      <c r="J135" s="25" t="s">
        <v>1378</v>
      </c>
      <c r="K135" s="20"/>
      <c r="L135" s="22"/>
    </row>
    <row r="136" spans="1:12">
      <c r="A136" s="14" t="s">
        <v>13</v>
      </c>
      <c r="B136" s="15" t="s">
        <v>73</v>
      </c>
      <c r="C136" s="15" t="s">
        <v>74</v>
      </c>
      <c r="D136" s="16"/>
      <c r="E136" s="17">
        <v>44957</v>
      </c>
      <c r="F136" s="18">
        <v>730</v>
      </c>
      <c r="G136" s="19">
        <f>IF(Tabla32[[#This Row],[VENCE ]]="","",E136+F136)</f>
        <v>45687</v>
      </c>
      <c r="H136" s="20" t="str">
        <f t="shared" ca="1" si="8"/>
        <v>Faltan 10545687</v>
      </c>
      <c r="I136" s="21">
        <f t="shared" ca="1" si="9"/>
        <v>105</v>
      </c>
      <c r="J136" s="25" t="s">
        <v>1405</v>
      </c>
      <c r="K136" s="20"/>
      <c r="L136" s="22"/>
    </row>
    <row r="137" spans="1:12">
      <c r="A137" s="14" t="s">
        <v>13</v>
      </c>
      <c r="B137" s="15" t="s">
        <v>70</v>
      </c>
      <c r="C137" s="24" t="s">
        <v>71</v>
      </c>
      <c r="D137" s="16"/>
      <c r="E137" s="17">
        <v>44957</v>
      </c>
      <c r="F137" s="18">
        <v>730</v>
      </c>
      <c r="G137" s="19">
        <f>IF(Tabla32[[#This Row],[VENCE ]]="","",E137+F137)</f>
        <v>45687</v>
      </c>
      <c r="H137" s="20" t="str">
        <f t="shared" ca="1" si="8"/>
        <v>Faltan 10545687</v>
      </c>
      <c r="I137" s="21">
        <f t="shared" ca="1" si="9"/>
        <v>105</v>
      </c>
      <c r="J137" s="25" t="s">
        <v>1372</v>
      </c>
      <c r="K137" s="20"/>
      <c r="L137" s="22"/>
    </row>
    <row r="138" spans="1:12">
      <c r="A138" s="14" t="s">
        <v>13</v>
      </c>
      <c r="B138" s="23" t="s">
        <v>82</v>
      </c>
      <c r="C138" s="23" t="s">
        <v>83</v>
      </c>
      <c r="D138" s="16"/>
      <c r="E138" s="17">
        <v>44959</v>
      </c>
      <c r="F138" s="18">
        <v>730</v>
      </c>
      <c r="G138" s="19">
        <f>IF(Tabla32[[#This Row],[VENCE ]]="","",E138+F138)</f>
        <v>45689</v>
      </c>
      <c r="H138" s="20" t="str">
        <f t="shared" ca="1" si="8"/>
        <v>Faltan 10745689</v>
      </c>
      <c r="I138" s="21">
        <f t="shared" ca="1" si="9"/>
        <v>107</v>
      </c>
      <c r="J138" s="25" t="s">
        <v>425</v>
      </c>
      <c r="K138" s="20"/>
      <c r="L138" s="22"/>
    </row>
    <row r="139" spans="1:12">
      <c r="A139" s="14" t="s">
        <v>96</v>
      </c>
      <c r="B139" s="15" t="s">
        <v>97</v>
      </c>
      <c r="C139" s="15" t="s">
        <v>98</v>
      </c>
      <c r="D139" s="16"/>
      <c r="E139" s="17">
        <v>44963</v>
      </c>
      <c r="F139" s="18">
        <v>730</v>
      </c>
      <c r="G139" s="19">
        <f>IF(Tabla32[[#This Row],[VENCE ]]="","",E139+F139)</f>
        <v>45693</v>
      </c>
      <c r="H139" s="20" t="str">
        <f t="shared" ca="1" si="8"/>
        <v>Faltan 11145693</v>
      </c>
      <c r="I139" s="21">
        <f t="shared" ca="1" si="9"/>
        <v>111</v>
      </c>
      <c r="J139" s="25" t="s">
        <v>1373</v>
      </c>
      <c r="K139" s="20"/>
      <c r="L139" s="22"/>
    </row>
    <row r="140" spans="1:12">
      <c r="A140" s="14" t="s">
        <v>13</v>
      </c>
      <c r="B140" s="23" t="s">
        <v>75</v>
      </c>
      <c r="C140" s="23" t="s">
        <v>76</v>
      </c>
      <c r="D140" s="16"/>
      <c r="E140" s="17">
        <v>44967</v>
      </c>
      <c r="F140" s="18">
        <v>730</v>
      </c>
      <c r="G140" s="19">
        <f>IF(Tabla32[[#This Row],[VENCE ]]="","",E140+F140)</f>
        <v>45697</v>
      </c>
      <c r="H140" s="20" t="str">
        <f t="shared" ca="1" si="8"/>
        <v>Faltan 11545697</v>
      </c>
      <c r="I140" s="21">
        <f t="shared" ca="1" si="9"/>
        <v>115</v>
      </c>
      <c r="J140" s="25" t="s">
        <v>224</v>
      </c>
      <c r="K140" s="20"/>
      <c r="L140" s="22"/>
    </row>
    <row r="141" spans="1:12">
      <c r="A141" s="14" t="s">
        <v>96</v>
      </c>
      <c r="B141" s="15" t="s">
        <v>170</v>
      </c>
      <c r="C141" s="24" t="s">
        <v>171</v>
      </c>
      <c r="D141" s="16"/>
      <c r="E141" s="17">
        <v>44980</v>
      </c>
      <c r="F141" s="18">
        <v>730</v>
      </c>
      <c r="G141" s="19">
        <f>IF(Tabla32[[#This Row],[VENCE ]]="","",E141+F141)</f>
        <v>45710</v>
      </c>
      <c r="H141" s="20" t="str">
        <f t="shared" ca="1" si="8"/>
        <v>Faltan 12845710</v>
      </c>
      <c r="I141" s="21">
        <f t="shared" ca="1" si="9"/>
        <v>128</v>
      </c>
      <c r="J141" s="25" t="s">
        <v>1397</v>
      </c>
      <c r="K141" s="20"/>
      <c r="L141" s="22"/>
    </row>
    <row r="142" spans="1:12">
      <c r="A142" s="14" t="s">
        <v>96</v>
      </c>
      <c r="B142" s="15" t="s">
        <v>99</v>
      </c>
      <c r="C142" s="15" t="s">
        <v>100</v>
      </c>
      <c r="D142" s="16"/>
      <c r="E142" s="17">
        <v>44995</v>
      </c>
      <c r="F142" s="18">
        <v>730</v>
      </c>
      <c r="G142" s="19">
        <f>IF(Tabla32[[#This Row],[VENCE ]]="","",E142+F142)</f>
        <v>45725</v>
      </c>
      <c r="H142" s="20" t="str">
        <f t="shared" ca="1" si="8"/>
        <v>Faltan 14345725</v>
      </c>
      <c r="I142" s="21">
        <f t="shared" ca="1" si="9"/>
        <v>143</v>
      </c>
      <c r="J142" s="25" t="s">
        <v>1395</v>
      </c>
      <c r="K142" s="20"/>
      <c r="L142" s="22"/>
    </row>
    <row r="143" spans="1:12">
      <c r="A143" s="14" t="s">
        <v>13</v>
      </c>
      <c r="B143" s="15" t="s">
        <v>14</v>
      </c>
      <c r="C143" s="15" t="s">
        <v>15</v>
      </c>
      <c r="D143" s="16"/>
      <c r="E143" s="17">
        <v>45008</v>
      </c>
      <c r="F143" s="18">
        <v>730</v>
      </c>
      <c r="G143" s="19">
        <f>IF(Tabla32[[#This Row],[VENCE ]]="","",E143+F143)</f>
        <v>45738</v>
      </c>
      <c r="H143" s="20" t="str">
        <f t="shared" ca="1" si="8"/>
        <v>Faltan 15645738</v>
      </c>
      <c r="I143" s="21">
        <f t="shared" ca="1" si="9"/>
        <v>156</v>
      </c>
      <c r="J143" s="25" t="s">
        <v>315</v>
      </c>
      <c r="K143" s="20"/>
      <c r="L143" s="22"/>
    </row>
    <row r="144" spans="1:12">
      <c r="A144" s="14" t="s">
        <v>13</v>
      </c>
      <c r="B144" s="15" t="s">
        <v>93</v>
      </c>
      <c r="C144" s="24" t="s">
        <v>94</v>
      </c>
      <c r="D144" s="16"/>
      <c r="E144" s="17">
        <v>45027</v>
      </c>
      <c r="F144" s="18">
        <v>730</v>
      </c>
      <c r="G144" s="19">
        <f>IF(Tabla32[[#This Row],[VENCE ]]="","",E144+F144)</f>
        <v>45757</v>
      </c>
      <c r="H144" s="20" t="str">
        <f t="shared" ca="1" si="8"/>
        <v>Faltan 17545757</v>
      </c>
      <c r="I144" s="21">
        <f t="shared" ca="1" si="9"/>
        <v>175</v>
      </c>
      <c r="J144" s="25" t="s">
        <v>1403</v>
      </c>
      <c r="K144" s="20"/>
      <c r="L144" s="22"/>
    </row>
    <row r="145" spans="1:12">
      <c r="A145" s="35" t="s">
        <v>13</v>
      </c>
      <c r="B145" s="84" t="s">
        <v>19</v>
      </c>
      <c r="C145" s="84" t="s">
        <v>20</v>
      </c>
      <c r="D145" s="77"/>
      <c r="E145" s="75">
        <v>45035</v>
      </c>
      <c r="F145" s="36">
        <v>730</v>
      </c>
      <c r="G145" s="37">
        <f>IF(Tabla32[[#This Row],[VENCE ]]="","",E145+F145)</f>
        <v>45765</v>
      </c>
      <c r="H145" s="38" t="str">
        <f t="shared" ca="1" si="8"/>
        <v>Faltan 18345765</v>
      </c>
      <c r="I145" s="76">
        <f t="shared" ca="1" si="9"/>
        <v>183</v>
      </c>
      <c r="J145" s="39" t="s">
        <v>1406</v>
      </c>
      <c r="K145" s="38"/>
      <c r="L145" s="40"/>
    </row>
  </sheetData>
  <conditionalFormatting sqref="I4:I145">
    <cfRule type="containsText" dxfId="66" priority="11" operator="containsText" text="VENCIDO">
      <formula>NOT(ISERROR(SEARCH("VENCIDO",I4)))</formula>
    </cfRule>
  </conditionalFormatting>
  <conditionalFormatting sqref="F4:F145">
    <cfRule type="containsText" dxfId="65" priority="10" stopIfTrue="1" operator="containsText" text="VENCIDO">
      <formula>NOT(ISERROR(SEARCH("VENCIDO",F4)))</formula>
    </cfRule>
  </conditionalFormatting>
  <conditionalFormatting sqref="H4:H145">
    <cfRule type="expression" dxfId="64" priority="9" stopIfTrue="1">
      <formula>H4&lt;0</formula>
    </cfRule>
  </conditionalFormatting>
  <conditionalFormatting sqref="I141">
    <cfRule type="containsText" dxfId="63" priority="7" operator="containsText" text="VENCIDO">
      <formula>NOT(ISERROR(SEARCH("VENCIDO",I141)))</formula>
    </cfRule>
  </conditionalFormatting>
  <conditionalFormatting sqref="H140">
    <cfRule type="expression" dxfId="62" priority="6" stopIfTrue="1">
      <formula>H140&lt;0</formula>
    </cfRule>
  </conditionalFormatting>
  <conditionalFormatting sqref="I140">
    <cfRule type="containsText" dxfId="61" priority="5" operator="containsText" text="VENCIDO">
      <formula>NOT(ISERROR(SEARCH("VENCIDO",I140)))</formula>
    </cfRule>
  </conditionalFormatting>
  <conditionalFormatting sqref="H4:H145">
    <cfRule type="expression" dxfId="60" priority="39">
      <formula>$I4&gt;=8</formula>
    </cfRule>
    <cfRule type="expression" dxfId="59" priority="40" stopIfTrue="1">
      <formula>AND($I4&gt;0,$I4&lt;90)</formula>
    </cfRule>
    <cfRule type="expression" dxfId="58" priority="41">
      <formula>$I4=0</formula>
    </cfRule>
    <cfRule type="expression" dxfId="57" priority="42">
      <formula>$I4&lt;0</formula>
    </cfRule>
    <cfRule type="expression" dxfId="56" priority="43" stopIfTrue="1">
      <formula>$H4=0</formula>
    </cfRule>
    <cfRule type="expression" dxfId="55" priority="44" stopIfTrue="1">
      <formula>$H4&lt;0</formula>
    </cfRule>
    <cfRule type="expression" dxfId="54" priority="45" stopIfTrue="1">
      <formula>#REF!&lt;0</formula>
    </cfRule>
  </conditionalFormatting>
  <conditionalFormatting sqref="A1:XFD1048576">
    <cfRule type="expression" dxfId="53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6657-2ADF-4C19-A2FF-BBE29807516A}">
  <sheetPr codeName="Hoja3"/>
  <dimension ref="B1:L328"/>
  <sheetViews>
    <sheetView showGridLines="0" topLeftCell="A245" zoomScale="89" zoomScaleNormal="89" workbookViewId="0">
      <selection activeCell="C263" sqref="C263"/>
    </sheetView>
  </sheetViews>
  <sheetFormatPr baseColWidth="10" defaultColWidth="19.33203125" defaultRowHeight="17.399999999999999"/>
  <cols>
    <col min="1" max="1" width="19.33203125" style="43"/>
    <col min="2" max="2" width="37.109375" style="43" bestFit="1" customWidth="1"/>
    <col min="3" max="3" width="19.109375" style="42" bestFit="1" customWidth="1"/>
    <col min="4" max="4" width="38.88671875" style="44" bestFit="1" customWidth="1"/>
    <col min="5" max="5" width="36.6640625" style="43" customWidth="1"/>
    <col min="6" max="6" width="29.109375" style="43" bestFit="1" customWidth="1"/>
    <col min="7" max="7" width="16.5546875" style="43" bestFit="1" customWidth="1"/>
    <col min="8" max="8" width="25.88671875" style="43" bestFit="1" customWidth="1"/>
    <col min="9" max="9" width="31" style="42" bestFit="1" customWidth="1"/>
    <col min="10" max="10" width="12.6640625" style="44" bestFit="1" customWidth="1"/>
    <col min="11" max="11" width="255.6640625" style="45" bestFit="1" customWidth="1"/>
    <col min="12" max="12" width="19.33203125" style="53"/>
    <col min="13" max="16384" width="19.33203125" style="43"/>
  </cols>
  <sheetData>
    <row r="1" spans="2:12" ht="18" thickBot="1">
      <c r="B1" s="41" t="s">
        <v>0</v>
      </c>
      <c r="L1" s="43"/>
    </row>
    <row r="2" spans="2:12">
      <c r="B2" s="46">
        <f ca="1">TODAY()</f>
        <v>45582</v>
      </c>
      <c r="L2" s="43"/>
    </row>
    <row r="3" spans="2:12">
      <c r="B3" s="8" t="s">
        <v>1</v>
      </c>
      <c r="C3" s="9" t="s">
        <v>2</v>
      </c>
      <c r="D3" s="10" t="s">
        <v>3</v>
      </c>
      <c r="E3" s="9" t="s">
        <v>4</v>
      </c>
      <c r="F3" s="9" t="s">
        <v>5</v>
      </c>
      <c r="G3" s="9" t="s">
        <v>6</v>
      </c>
      <c r="H3" s="9" t="s">
        <v>7</v>
      </c>
      <c r="I3" s="9" t="s">
        <v>8</v>
      </c>
      <c r="J3" s="10" t="s">
        <v>9</v>
      </c>
      <c r="K3" s="47" t="s">
        <v>10</v>
      </c>
      <c r="L3" s="48" t="s">
        <v>378</v>
      </c>
    </row>
    <row r="4" spans="2:12">
      <c r="B4" s="49" t="s">
        <v>379</v>
      </c>
      <c r="C4" s="50" t="s">
        <v>380</v>
      </c>
      <c r="D4" s="78" t="s">
        <v>381</v>
      </c>
      <c r="E4" s="51"/>
      <c r="F4" s="52">
        <v>44753</v>
      </c>
      <c r="G4" s="53">
        <v>730</v>
      </c>
      <c r="H4" s="54">
        <f t="shared" ref="H4:H67" si="0">F4+G4</f>
        <v>45483</v>
      </c>
      <c r="I4" s="55" t="str">
        <f t="shared" ref="I4:I17" ca="1" si="1">IF(H4="","VACIO",IF(J4&lt;0,"Vencido hace "&amp;J4*-1&amp;" dias",IF(J4=0,"Vencido Hoy",IF(J4&lt;8,"Tiene "&amp; J4 &amp;" dias","Faltan "&amp;J4&amp;H4))))</f>
        <v>Vencido hace 99 dias</v>
      </c>
      <c r="J4" s="56">
        <f t="shared" ref="J4:J67" ca="1" si="2">H4-$B$2</f>
        <v>-99</v>
      </c>
      <c r="K4" s="57" t="s">
        <v>382</v>
      </c>
      <c r="L4" s="58"/>
    </row>
    <row r="5" spans="2:12">
      <c r="B5" s="49" t="s">
        <v>379</v>
      </c>
      <c r="C5" s="50" t="s">
        <v>383</v>
      </c>
      <c r="D5" s="78" t="s">
        <v>384</v>
      </c>
      <c r="E5" s="51"/>
      <c r="F5" s="52">
        <v>44697</v>
      </c>
      <c r="G5" s="53">
        <v>730</v>
      </c>
      <c r="H5" s="54">
        <f t="shared" si="0"/>
        <v>45427</v>
      </c>
      <c r="I5" s="55" t="str">
        <f t="shared" ca="1" si="1"/>
        <v>Vencido hace 155 dias</v>
      </c>
      <c r="J5" s="56">
        <f t="shared" ca="1" si="2"/>
        <v>-155</v>
      </c>
      <c r="K5" s="57" t="s">
        <v>385</v>
      </c>
      <c r="L5" s="55"/>
    </row>
    <row r="6" spans="2:12">
      <c r="B6" s="49" t="s">
        <v>379</v>
      </c>
      <c r="C6" s="50" t="s">
        <v>386</v>
      </c>
      <c r="D6" s="78" t="s">
        <v>387</v>
      </c>
      <c r="E6" s="51" t="s">
        <v>1379</v>
      </c>
      <c r="F6" s="52">
        <v>44125</v>
      </c>
      <c r="G6" s="53">
        <v>730</v>
      </c>
      <c r="H6" s="54">
        <f t="shared" si="0"/>
        <v>44855</v>
      </c>
      <c r="I6" s="55" t="str">
        <f t="shared" ca="1" si="1"/>
        <v>Vencido hace 727 dias</v>
      </c>
      <c r="J6" s="56">
        <f t="shared" ca="1" si="2"/>
        <v>-727</v>
      </c>
      <c r="K6" s="57" t="s">
        <v>388</v>
      </c>
      <c r="L6" s="55"/>
    </row>
    <row r="7" spans="2:12">
      <c r="B7" s="49" t="s">
        <v>379</v>
      </c>
      <c r="C7" s="50" t="s">
        <v>389</v>
      </c>
      <c r="D7" s="78" t="s">
        <v>390</v>
      </c>
      <c r="E7" s="51"/>
      <c r="F7" s="52">
        <v>44319</v>
      </c>
      <c r="G7" s="53">
        <v>730</v>
      </c>
      <c r="H7" s="54">
        <f t="shared" si="0"/>
        <v>45049</v>
      </c>
      <c r="I7" s="55" t="str">
        <f t="shared" ca="1" si="1"/>
        <v>Vencido hace 533 dias</v>
      </c>
      <c r="J7" s="56">
        <f t="shared" ca="1" si="2"/>
        <v>-533</v>
      </c>
      <c r="K7" s="57" t="s">
        <v>391</v>
      </c>
      <c r="L7" s="55"/>
    </row>
    <row r="8" spans="2:12">
      <c r="B8" s="49" t="s">
        <v>379</v>
      </c>
      <c r="C8" s="50" t="s">
        <v>392</v>
      </c>
      <c r="D8" s="78" t="s">
        <v>393</v>
      </c>
      <c r="E8" s="51"/>
      <c r="F8" s="52">
        <v>44754</v>
      </c>
      <c r="G8" s="53">
        <v>730</v>
      </c>
      <c r="H8" s="54">
        <f t="shared" si="0"/>
        <v>45484</v>
      </c>
      <c r="I8" s="55" t="str">
        <f t="shared" ca="1" si="1"/>
        <v>Vencido hace 98 dias</v>
      </c>
      <c r="J8" s="56">
        <f t="shared" ca="1" si="2"/>
        <v>-98</v>
      </c>
      <c r="K8" s="85" t="s">
        <v>394</v>
      </c>
      <c r="L8" s="58"/>
    </row>
    <row r="9" spans="2:12">
      <c r="B9" s="49" t="s">
        <v>379</v>
      </c>
      <c r="C9" s="50" t="s">
        <v>395</v>
      </c>
      <c r="D9" s="78" t="s">
        <v>396</v>
      </c>
      <c r="E9" s="51"/>
      <c r="F9" s="52">
        <v>44963</v>
      </c>
      <c r="G9" s="53">
        <v>730</v>
      </c>
      <c r="H9" s="54">
        <f t="shared" si="0"/>
        <v>45693</v>
      </c>
      <c r="I9" s="55" t="str">
        <f t="shared" ca="1" si="1"/>
        <v>Faltan 11145693</v>
      </c>
      <c r="J9" s="56">
        <f t="shared" ca="1" si="2"/>
        <v>111</v>
      </c>
      <c r="K9" s="57" t="s">
        <v>1391</v>
      </c>
      <c r="L9" s="55"/>
    </row>
    <row r="10" spans="2:12">
      <c r="B10" s="49" t="s">
        <v>379</v>
      </c>
      <c r="C10" s="50" t="s">
        <v>397</v>
      </c>
      <c r="D10" s="78" t="s">
        <v>398</v>
      </c>
      <c r="E10" s="51"/>
      <c r="F10" s="52">
        <v>44742</v>
      </c>
      <c r="G10" s="53">
        <v>730</v>
      </c>
      <c r="H10" s="54">
        <f t="shared" si="0"/>
        <v>45472</v>
      </c>
      <c r="I10" s="55" t="str">
        <f t="shared" ca="1" si="1"/>
        <v>Vencido hace 110 dias</v>
      </c>
      <c r="J10" s="56">
        <f t="shared" ca="1" si="2"/>
        <v>-110</v>
      </c>
      <c r="K10" s="57" t="s">
        <v>399</v>
      </c>
      <c r="L10" s="55"/>
    </row>
    <row r="11" spans="2:12">
      <c r="B11" s="49" t="s">
        <v>379</v>
      </c>
      <c r="C11" s="50" t="s">
        <v>400</v>
      </c>
      <c r="D11" s="78" t="s">
        <v>401</v>
      </c>
      <c r="E11" s="51"/>
      <c r="F11" s="52">
        <v>44729</v>
      </c>
      <c r="G11" s="53">
        <v>730</v>
      </c>
      <c r="H11" s="54">
        <f t="shared" si="0"/>
        <v>45459</v>
      </c>
      <c r="I11" s="55" t="str">
        <f t="shared" ca="1" si="1"/>
        <v>Vencido hace 123 dias</v>
      </c>
      <c r="J11" s="56">
        <f t="shared" ca="1" si="2"/>
        <v>-123</v>
      </c>
      <c r="K11" s="57" t="s">
        <v>402</v>
      </c>
      <c r="L11" s="55"/>
    </row>
    <row r="12" spans="2:12">
      <c r="B12" s="49" t="s">
        <v>379</v>
      </c>
      <c r="C12" s="50" t="s">
        <v>403</v>
      </c>
      <c r="D12" s="83" t="s">
        <v>404</v>
      </c>
      <c r="E12" s="51" t="s">
        <v>1383</v>
      </c>
      <c r="F12" s="52">
        <v>40696</v>
      </c>
      <c r="G12" s="53">
        <v>730</v>
      </c>
      <c r="H12" s="54">
        <f t="shared" si="0"/>
        <v>41426</v>
      </c>
      <c r="I12" s="55" t="str">
        <f t="shared" ca="1" si="1"/>
        <v>Vencido hace 4156 dias</v>
      </c>
      <c r="J12" s="56">
        <f t="shared" ca="1" si="2"/>
        <v>-4156</v>
      </c>
      <c r="K12" s="57" t="s">
        <v>405</v>
      </c>
      <c r="L12" s="55"/>
    </row>
    <row r="13" spans="2:12">
      <c r="B13" s="49" t="s">
        <v>379</v>
      </c>
      <c r="C13" s="50" t="s">
        <v>406</v>
      </c>
      <c r="D13" s="78" t="s">
        <v>407</v>
      </c>
      <c r="E13" s="51"/>
      <c r="F13" s="52">
        <v>44298</v>
      </c>
      <c r="G13" s="53">
        <v>730</v>
      </c>
      <c r="H13" s="54">
        <f t="shared" si="0"/>
        <v>45028</v>
      </c>
      <c r="I13" s="55" t="str">
        <f t="shared" ca="1" si="1"/>
        <v>Vencido hace 554 dias</v>
      </c>
      <c r="J13" s="56">
        <f t="shared" ca="1" si="2"/>
        <v>-554</v>
      </c>
      <c r="K13" s="57" t="s">
        <v>408</v>
      </c>
      <c r="L13" s="55"/>
    </row>
    <row r="14" spans="2:12">
      <c r="B14" s="49" t="s">
        <v>379</v>
      </c>
      <c r="C14" s="50" t="s">
        <v>409</v>
      </c>
      <c r="D14" s="78" t="s">
        <v>410</v>
      </c>
      <c r="E14" s="51"/>
      <c r="F14" s="52">
        <v>44639</v>
      </c>
      <c r="G14" s="53">
        <v>730</v>
      </c>
      <c r="H14" s="54">
        <f t="shared" si="0"/>
        <v>45369</v>
      </c>
      <c r="I14" s="55" t="str">
        <f t="shared" ca="1" si="1"/>
        <v>Vencido hace 213 dias</v>
      </c>
      <c r="J14" s="56">
        <f t="shared" ca="1" si="2"/>
        <v>-213</v>
      </c>
      <c r="K14" s="57" t="s">
        <v>411</v>
      </c>
      <c r="L14" s="55"/>
    </row>
    <row r="15" spans="2:12">
      <c r="B15" s="49" t="s">
        <v>379</v>
      </c>
      <c r="C15" s="50" t="s">
        <v>412</v>
      </c>
      <c r="D15" s="78" t="s">
        <v>413</v>
      </c>
      <c r="E15" s="51"/>
      <c r="F15" s="52">
        <v>44697</v>
      </c>
      <c r="G15" s="53">
        <v>730</v>
      </c>
      <c r="H15" s="54">
        <f t="shared" si="0"/>
        <v>45427</v>
      </c>
      <c r="I15" s="55" t="str">
        <f t="shared" ca="1" si="1"/>
        <v>Vencido hace 155 dias</v>
      </c>
      <c r="J15" s="56">
        <f t="shared" ca="1" si="2"/>
        <v>-155</v>
      </c>
      <c r="K15" s="57" t="s">
        <v>385</v>
      </c>
      <c r="L15" s="55"/>
    </row>
    <row r="16" spans="2:12">
      <c r="B16" s="49" t="s">
        <v>379</v>
      </c>
      <c r="C16" s="50" t="s">
        <v>414</v>
      </c>
      <c r="D16" s="78" t="s">
        <v>415</v>
      </c>
      <c r="E16" s="51" t="s">
        <v>416</v>
      </c>
      <c r="F16" s="52">
        <v>44733</v>
      </c>
      <c r="G16" s="53">
        <v>730</v>
      </c>
      <c r="H16" s="54">
        <f t="shared" si="0"/>
        <v>45463</v>
      </c>
      <c r="I16" s="55" t="str">
        <f t="shared" ca="1" si="1"/>
        <v>Vencido hace 119 dias</v>
      </c>
      <c r="J16" s="56">
        <f t="shared" ca="1" si="2"/>
        <v>-119</v>
      </c>
      <c r="K16" s="57" t="s">
        <v>417</v>
      </c>
      <c r="L16" s="55"/>
    </row>
    <row r="17" spans="2:12">
      <c r="B17" s="49" t="s">
        <v>379</v>
      </c>
      <c r="C17" s="50" t="s">
        <v>418</v>
      </c>
      <c r="D17" s="78" t="s">
        <v>419</v>
      </c>
      <c r="E17" s="51"/>
      <c r="F17" s="52">
        <v>44410</v>
      </c>
      <c r="G17" s="53">
        <v>730</v>
      </c>
      <c r="H17" s="54">
        <f t="shared" si="0"/>
        <v>45140</v>
      </c>
      <c r="I17" s="55" t="str">
        <f t="shared" ca="1" si="1"/>
        <v>Vencido hace 442 dias</v>
      </c>
      <c r="J17" s="56">
        <f t="shared" ca="1" si="2"/>
        <v>-442</v>
      </c>
      <c r="K17" s="57" t="s">
        <v>420</v>
      </c>
      <c r="L17" s="55"/>
    </row>
    <row r="18" spans="2:12">
      <c r="B18" s="49" t="s">
        <v>379</v>
      </c>
      <c r="C18" s="50" t="s">
        <v>421</v>
      </c>
      <c r="D18" s="78" t="s">
        <v>422</v>
      </c>
      <c r="E18" s="51"/>
      <c r="F18" s="52">
        <v>45002</v>
      </c>
      <c r="G18" s="53">
        <v>730</v>
      </c>
      <c r="H18" s="54">
        <f t="shared" si="0"/>
        <v>45732</v>
      </c>
      <c r="I18" s="55" t="str">
        <f ca="1">IF(H18="","VACIO",IF(J18&lt;0,"Vencido hace "&amp;J18*-1&amp;" dias",IF(J18=0,"Vencido Hoy",IF(J18&lt;8,"Tiene "&amp; J18 &amp;" dias","Faltan "&amp;J18*1&amp;H18))))</f>
        <v>Faltan 15045732</v>
      </c>
      <c r="J18" s="56">
        <f t="shared" ca="1" si="2"/>
        <v>150</v>
      </c>
      <c r="K18" s="57" t="s">
        <v>581</v>
      </c>
      <c r="L18" s="55"/>
    </row>
    <row r="19" spans="2:12">
      <c r="B19" s="49" t="s">
        <v>379</v>
      </c>
      <c r="C19" s="50" t="s">
        <v>423</v>
      </c>
      <c r="D19" s="78" t="s">
        <v>424</v>
      </c>
      <c r="E19" s="51"/>
      <c r="F19" s="52">
        <v>44859</v>
      </c>
      <c r="G19" s="53">
        <v>730</v>
      </c>
      <c r="H19" s="54">
        <f t="shared" si="0"/>
        <v>45589</v>
      </c>
      <c r="I19" s="55" t="str">
        <f ca="1">IF(H19="","VACIO",IF(J19&lt;0,"Vencido hace "&amp;J19*-1&amp;" dias",IF(J19=0,"Vencido Hoy",IF(J19&lt;8,"Tiene "&amp; J19 &amp;" dias","Faltan "&amp;J19*1&amp;H19))))</f>
        <v>Tiene 7 dias</v>
      </c>
      <c r="J19" s="56">
        <f t="shared" ca="1" si="2"/>
        <v>7</v>
      </c>
      <c r="K19" s="57" t="s">
        <v>425</v>
      </c>
      <c r="L19" s="55"/>
    </row>
    <row r="20" spans="2:12">
      <c r="B20" s="49" t="s">
        <v>426</v>
      </c>
      <c r="C20" s="50" t="s">
        <v>427</v>
      </c>
      <c r="D20" s="78" t="s">
        <v>428</v>
      </c>
      <c r="E20" s="53" t="s">
        <v>429</v>
      </c>
      <c r="F20" s="54">
        <v>43756</v>
      </c>
      <c r="G20" s="53">
        <v>730</v>
      </c>
      <c r="H20" s="54">
        <f t="shared" si="0"/>
        <v>44486</v>
      </c>
      <c r="I20" s="55" t="str">
        <f t="shared" ref="I20:I40" ca="1" si="3">IF(H20="","VACIO",IF(J20&lt;0,"Vencido hace "&amp;J20*-1&amp;" dias",IF(J20=0,"Vencido Hoy",IF(J20&lt;8,"Tiene "&amp; J20 &amp;" dias","Faltan "&amp;J20&amp;H20))))</f>
        <v>Vencido hace 1096 dias</v>
      </c>
      <c r="J20" s="56">
        <f t="shared" ca="1" si="2"/>
        <v>-1096</v>
      </c>
      <c r="K20" s="57" t="s">
        <v>430</v>
      </c>
      <c r="L20" s="55"/>
    </row>
    <row r="21" spans="2:12">
      <c r="B21" s="49" t="s">
        <v>426</v>
      </c>
      <c r="C21" s="50" t="s">
        <v>431</v>
      </c>
      <c r="D21" s="78" t="s">
        <v>432</v>
      </c>
      <c r="E21" s="52"/>
      <c r="F21" s="52">
        <v>44680</v>
      </c>
      <c r="G21" s="53">
        <v>730</v>
      </c>
      <c r="H21" s="54">
        <f t="shared" si="0"/>
        <v>45410</v>
      </c>
      <c r="I21" s="55" t="str">
        <f t="shared" ca="1" si="3"/>
        <v>Vencido hace 172 dias</v>
      </c>
      <c r="J21" s="56">
        <f t="shared" ca="1" si="2"/>
        <v>-172</v>
      </c>
      <c r="K21" s="57" t="s">
        <v>433</v>
      </c>
      <c r="L21" s="55"/>
    </row>
    <row r="22" spans="2:12">
      <c r="B22" s="49" t="s">
        <v>426</v>
      </c>
      <c r="C22" s="50" t="s">
        <v>434</v>
      </c>
      <c r="D22" s="78" t="s">
        <v>435</v>
      </c>
      <c r="E22" s="51" t="s">
        <v>1424</v>
      </c>
      <c r="F22" s="52">
        <v>44347</v>
      </c>
      <c r="G22" s="53">
        <v>730</v>
      </c>
      <c r="H22" s="54">
        <f t="shared" si="0"/>
        <v>45077</v>
      </c>
      <c r="I22" s="55" t="str">
        <f t="shared" ca="1" si="3"/>
        <v>Vencido hace 505 dias</v>
      </c>
      <c r="J22" s="56">
        <f t="shared" ca="1" si="2"/>
        <v>-505</v>
      </c>
      <c r="K22" s="57"/>
      <c r="L22" s="55"/>
    </row>
    <row r="23" spans="2:12">
      <c r="B23" s="49" t="s">
        <v>426</v>
      </c>
      <c r="C23" s="50" t="s">
        <v>436</v>
      </c>
      <c r="D23" s="78" t="s">
        <v>437</v>
      </c>
      <c r="E23" s="51" t="s">
        <v>1384</v>
      </c>
      <c r="F23" s="52">
        <v>43160</v>
      </c>
      <c r="G23" s="53">
        <v>730</v>
      </c>
      <c r="H23" s="54">
        <f t="shared" si="0"/>
        <v>43890</v>
      </c>
      <c r="I23" s="55" t="str">
        <f t="shared" ca="1" si="3"/>
        <v>Vencido hace 1692 dias</v>
      </c>
      <c r="J23" s="56">
        <f t="shared" ca="1" si="2"/>
        <v>-1692</v>
      </c>
      <c r="K23" s="57" t="s">
        <v>438</v>
      </c>
      <c r="L23" s="55"/>
    </row>
    <row r="24" spans="2:12">
      <c r="B24" s="49" t="s">
        <v>426</v>
      </c>
      <c r="C24" s="50" t="s">
        <v>439</v>
      </c>
      <c r="D24" s="78" t="s">
        <v>440</v>
      </c>
      <c r="E24" s="53"/>
      <c r="F24" s="54">
        <v>44706</v>
      </c>
      <c r="G24" s="53">
        <v>730</v>
      </c>
      <c r="H24" s="54">
        <f t="shared" si="0"/>
        <v>45436</v>
      </c>
      <c r="I24" s="55" t="str">
        <f t="shared" ca="1" si="3"/>
        <v>Vencido hace 146 dias</v>
      </c>
      <c r="J24" s="56">
        <f t="shared" ca="1" si="2"/>
        <v>-146</v>
      </c>
      <c r="K24" s="57" t="s">
        <v>441</v>
      </c>
      <c r="L24" s="55"/>
    </row>
    <row r="25" spans="2:12">
      <c r="B25" s="49" t="s">
        <v>426</v>
      </c>
      <c r="C25" s="50" t="s">
        <v>442</v>
      </c>
      <c r="D25" s="78" t="s">
        <v>443</v>
      </c>
      <c r="E25" s="53"/>
      <c r="F25" s="54">
        <v>44727</v>
      </c>
      <c r="G25" s="53">
        <v>730</v>
      </c>
      <c r="H25" s="54">
        <f t="shared" si="0"/>
        <v>45457</v>
      </c>
      <c r="I25" s="55" t="str">
        <f t="shared" ca="1" si="3"/>
        <v>Vencido hace 125 dias</v>
      </c>
      <c r="J25" s="56">
        <f t="shared" ca="1" si="2"/>
        <v>-125</v>
      </c>
      <c r="K25" s="45" t="s">
        <v>444</v>
      </c>
      <c r="L25" s="55"/>
    </row>
    <row r="26" spans="2:12">
      <c r="B26" s="49" t="s">
        <v>426</v>
      </c>
      <c r="C26" s="50" t="s">
        <v>445</v>
      </c>
      <c r="D26" s="78" t="s">
        <v>446</v>
      </c>
      <c r="E26" s="53"/>
      <c r="F26" s="54">
        <v>44684</v>
      </c>
      <c r="G26" s="53">
        <v>730</v>
      </c>
      <c r="H26" s="54">
        <f t="shared" si="0"/>
        <v>45414</v>
      </c>
      <c r="I26" s="55" t="str">
        <f t="shared" ca="1" si="3"/>
        <v>Vencido hace 168 dias</v>
      </c>
      <c r="J26" s="56">
        <f t="shared" ca="1" si="2"/>
        <v>-168</v>
      </c>
      <c r="K26" s="57" t="s">
        <v>447</v>
      </c>
      <c r="L26" s="55"/>
    </row>
    <row r="27" spans="2:12">
      <c r="B27" s="49" t="s">
        <v>426</v>
      </c>
      <c r="C27" s="50" t="s">
        <v>448</v>
      </c>
      <c r="D27" s="78" t="s">
        <v>449</v>
      </c>
      <c r="E27" s="54"/>
      <c r="F27" s="54">
        <v>44676</v>
      </c>
      <c r="G27" s="53">
        <v>730</v>
      </c>
      <c r="H27" s="54">
        <f t="shared" si="0"/>
        <v>45406</v>
      </c>
      <c r="I27" s="55" t="str">
        <f t="shared" ca="1" si="3"/>
        <v>Vencido hace 176 dias</v>
      </c>
      <c r="J27" s="56">
        <f t="shared" ca="1" si="2"/>
        <v>-176</v>
      </c>
      <c r="K27" s="59" t="s">
        <v>450</v>
      </c>
      <c r="L27" s="55"/>
    </row>
    <row r="28" spans="2:12">
      <c r="B28" s="49" t="s">
        <v>426</v>
      </c>
      <c r="C28" s="50" t="s">
        <v>451</v>
      </c>
      <c r="D28" s="78" t="s">
        <v>452</v>
      </c>
      <c r="E28" s="53"/>
      <c r="F28" s="54">
        <v>44684</v>
      </c>
      <c r="G28" s="53">
        <v>730</v>
      </c>
      <c r="H28" s="54">
        <f t="shared" si="0"/>
        <v>45414</v>
      </c>
      <c r="I28" s="55" t="str">
        <f t="shared" ca="1" si="3"/>
        <v>Vencido hace 168 dias</v>
      </c>
      <c r="J28" s="56">
        <f t="shared" ca="1" si="2"/>
        <v>-168</v>
      </c>
      <c r="K28" s="57" t="s">
        <v>447</v>
      </c>
      <c r="L28" s="55"/>
    </row>
    <row r="29" spans="2:12">
      <c r="B29" s="49" t="s">
        <v>426</v>
      </c>
      <c r="C29" s="50" t="s">
        <v>453</v>
      </c>
      <c r="D29" s="78" t="s">
        <v>454</v>
      </c>
      <c r="E29" s="53"/>
      <c r="F29" s="54">
        <v>44704</v>
      </c>
      <c r="G29" s="53">
        <v>730</v>
      </c>
      <c r="H29" s="54">
        <f t="shared" si="0"/>
        <v>45434</v>
      </c>
      <c r="I29" s="55" t="str">
        <f t="shared" ca="1" si="3"/>
        <v>Vencido hace 148 dias</v>
      </c>
      <c r="J29" s="56">
        <f t="shared" ca="1" si="2"/>
        <v>-148</v>
      </c>
      <c r="K29" s="57" t="s">
        <v>455</v>
      </c>
      <c r="L29" s="55"/>
    </row>
    <row r="30" spans="2:12">
      <c r="B30" s="49" t="s">
        <v>426</v>
      </c>
      <c r="C30" s="50" t="s">
        <v>456</v>
      </c>
      <c r="D30" s="78" t="s">
        <v>457</v>
      </c>
      <c r="E30" s="53"/>
      <c r="F30" s="54">
        <v>44678</v>
      </c>
      <c r="G30" s="53">
        <v>730</v>
      </c>
      <c r="H30" s="54">
        <f t="shared" si="0"/>
        <v>45408</v>
      </c>
      <c r="I30" s="55" t="str">
        <f t="shared" ca="1" si="3"/>
        <v>Vencido hace 174 dias</v>
      </c>
      <c r="J30" s="56">
        <f t="shared" ca="1" si="2"/>
        <v>-174</v>
      </c>
      <c r="K30" s="57" t="s">
        <v>458</v>
      </c>
      <c r="L30" s="55"/>
    </row>
    <row r="31" spans="2:12">
      <c r="B31" s="49" t="s">
        <v>426</v>
      </c>
      <c r="C31" s="50" t="s">
        <v>459</v>
      </c>
      <c r="D31" s="78" t="s">
        <v>460</v>
      </c>
      <c r="E31" s="54"/>
      <c r="F31" s="54">
        <v>44680</v>
      </c>
      <c r="G31" s="53">
        <v>730</v>
      </c>
      <c r="H31" s="54">
        <f t="shared" si="0"/>
        <v>45410</v>
      </c>
      <c r="I31" s="55" t="str">
        <f t="shared" ca="1" si="3"/>
        <v>Vencido hace 172 dias</v>
      </c>
      <c r="J31" s="56">
        <f t="shared" ca="1" si="2"/>
        <v>-172</v>
      </c>
      <c r="K31" s="57" t="s">
        <v>461</v>
      </c>
      <c r="L31" s="55"/>
    </row>
    <row r="32" spans="2:12">
      <c r="B32" s="49" t="s">
        <v>426</v>
      </c>
      <c r="C32" s="50" t="s">
        <v>462</v>
      </c>
      <c r="D32" s="78" t="s">
        <v>463</v>
      </c>
      <c r="E32" s="53"/>
      <c r="F32" s="54">
        <v>44686</v>
      </c>
      <c r="G32" s="53">
        <v>730</v>
      </c>
      <c r="H32" s="54">
        <f t="shared" si="0"/>
        <v>45416</v>
      </c>
      <c r="I32" s="55" t="str">
        <f t="shared" ca="1" si="3"/>
        <v>Vencido hace 166 dias</v>
      </c>
      <c r="J32" s="56">
        <f t="shared" ca="1" si="2"/>
        <v>-166</v>
      </c>
      <c r="K32" s="57" t="s">
        <v>464</v>
      </c>
      <c r="L32" s="55"/>
    </row>
    <row r="33" spans="2:12">
      <c r="B33" s="49" t="s">
        <v>426</v>
      </c>
      <c r="C33" s="50" t="s">
        <v>465</v>
      </c>
      <c r="D33" s="78" t="s">
        <v>466</v>
      </c>
      <c r="E33" s="53"/>
      <c r="F33" s="54">
        <v>44368</v>
      </c>
      <c r="G33" s="53">
        <v>730</v>
      </c>
      <c r="H33" s="54">
        <f t="shared" si="0"/>
        <v>45098</v>
      </c>
      <c r="I33" s="55" t="str">
        <f t="shared" ca="1" si="3"/>
        <v>Vencido hace 484 dias</v>
      </c>
      <c r="J33" s="56">
        <f t="shared" ca="1" si="2"/>
        <v>-484</v>
      </c>
      <c r="K33" s="57" t="s">
        <v>467</v>
      </c>
      <c r="L33" s="55"/>
    </row>
    <row r="34" spans="2:12" ht="18" customHeight="1">
      <c r="B34" s="49" t="s">
        <v>426</v>
      </c>
      <c r="C34" s="50" t="s">
        <v>468</v>
      </c>
      <c r="D34" s="78" t="s">
        <v>469</v>
      </c>
      <c r="E34" s="54"/>
      <c r="F34" s="54">
        <v>44694</v>
      </c>
      <c r="G34" s="53">
        <v>730</v>
      </c>
      <c r="H34" s="54">
        <f t="shared" si="0"/>
        <v>45424</v>
      </c>
      <c r="I34" s="55" t="str">
        <f t="shared" ca="1" si="3"/>
        <v>Vencido hace 158 dias</v>
      </c>
      <c r="J34" s="56">
        <f t="shared" ca="1" si="2"/>
        <v>-158</v>
      </c>
      <c r="K34" s="57" t="s">
        <v>470</v>
      </c>
      <c r="L34" s="55"/>
    </row>
    <row r="35" spans="2:12">
      <c r="B35" s="49" t="s">
        <v>426</v>
      </c>
      <c r="C35" s="50" t="s">
        <v>471</v>
      </c>
      <c r="D35" s="78" t="s">
        <v>472</v>
      </c>
      <c r="E35" s="53"/>
      <c r="F35" s="54">
        <v>44795</v>
      </c>
      <c r="G35" s="53">
        <v>730</v>
      </c>
      <c r="H35" s="54">
        <f t="shared" si="0"/>
        <v>45525</v>
      </c>
      <c r="I35" s="55" t="str">
        <f t="shared" ca="1" si="3"/>
        <v>Vencido hace 57 dias</v>
      </c>
      <c r="J35" s="56">
        <f t="shared" ca="1" si="2"/>
        <v>-57</v>
      </c>
      <c r="K35" s="57" t="s">
        <v>473</v>
      </c>
      <c r="L35" s="55"/>
    </row>
    <row r="36" spans="2:12">
      <c r="B36" s="49" t="s">
        <v>426</v>
      </c>
      <c r="C36" s="50" t="s">
        <v>474</v>
      </c>
      <c r="D36" s="78" t="s">
        <v>475</v>
      </c>
      <c r="E36" s="53"/>
      <c r="F36" s="54">
        <v>44678</v>
      </c>
      <c r="G36" s="53">
        <v>730</v>
      </c>
      <c r="H36" s="54">
        <f t="shared" si="0"/>
        <v>45408</v>
      </c>
      <c r="I36" s="55" t="str">
        <f t="shared" ca="1" si="3"/>
        <v>Vencido hace 174 dias</v>
      </c>
      <c r="J36" s="56">
        <f t="shared" ca="1" si="2"/>
        <v>-174</v>
      </c>
      <c r="K36" s="57" t="s">
        <v>476</v>
      </c>
      <c r="L36" s="55"/>
    </row>
    <row r="37" spans="2:12">
      <c r="B37" s="49" t="s">
        <v>426</v>
      </c>
      <c r="C37" s="50" t="s">
        <v>477</v>
      </c>
      <c r="D37" s="78" t="s">
        <v>478</v>
      </c>
      <c r="E37" s="54"/>
      <c r="F37" s="54">
        <v>44680</v>
      </c>
      <c r="G37" s="53">
        <v>730</v>
      </c>
      <c r="H37" s="54">
        <f t="shared" si="0"/>
        <v>45410</v>
      </c>
      <c r="I37" s="55" t="str">
        <f t="shared" ca="1" si="3"/>
        <v>Vencido hace 172 dias</v>
      </c>
      <c r="J37" s="56">
        <f t="shared" ca="1" si="2"/>
        <v>-172</v>
      </c>
      <c r="K37" s="57" t="s">
        <v>344</v>
      </c>
      <c r="L37" s="55"/>
    </row>
    <row r="38" spans="2:12">
      <c r="B38" s="49" t="s">
        <v>426</v>
      </c>
      <c r="C38" s="50" t="s">
        <v>479</v>
      </c>
      <c r="D38" s="78" t="s">
        <v>480</v>
      </c>
      <c r="E38" s="53"/>
      <c r="F38" s="54">
        <v>44421</v>
      </c>
      <c r="G38" s="53">
        <v>730</v>
      </c>
      <c r="H38" s="54">
        <f t="shared" si="0"/>
        <v>45151</v>
      </c>
      <c r="I38" s="55" t="str">
        <f t="shared" ca="1" si="3"/>
        <v>Vencido hace 431 dias</v>
      </c>
      <c r="J38" s="56">
        <f t="shared" ca="1" si="2"/>
        <v>-431</v>
      </c>
      <c r="K38" s="57" t="s">
        <v>481</v>
      </c>
      <c r="L38" s="55"/>
    </row>
    <row r="39" spans="2:12">
      <c r="B39" s="49" t="s">
        <v>426</v>
      </c>
      <c r="C39" s="50" t="s">
        <v>482</v>
      </c>
      <c r="D39" s="78" t="s">
        <v>483</v>
      </c>
      <c r="E39" s="53"/>
      <c r="F39" s="54">
        <v>44690</v>
      </c>
      <c r="G39" s="53">
        <v>730</v>
      </c>
      <c r="H39" s="54">
        <f t="shared" si="0"/>
        <v>45420</v>
      </c>
      <c r="I39" s="55" t="str">
        <f t="shared" ca="1" si="3"/>
        <v>Vencido hace 162 dias</v>
      </c>
      <c r="J39" s="56">
        <f t="shared" ca="1" si="2"/>
        <v>-162</v>
      </c>
      <c r="K39" s="57" t="s">
        <v>484</v>
      </c>
      <c r="L39" s="55"/>
    </row>
    <row r="40" spans="2:12">
      <c r="B40" s="49" t="s">
        <v>426</v>
      </c>
      <c r="C40" s="50" t="s">
        <v>485</v>
      </c>
      <c r="D40" s="78" t="s">
        <v>486</v>
      </c>
      <c r="E40" s="53"/>
      <c r="F40" s="54">
        <v>44678</v>
      </c>
      <c r="G40" s="53">
        <v>730</v>
      </c>
      <c r="H40" s="54">
        <f t="shared" si="0"/>
        <v>45408</v>
      </c>
      <c r="I40" s="55" t="str">
        <f t="shared" ca="1" si="3"/>
        <v>Vencido hace 174 dias</v>
      </c>
      <c r="J40" s="56">
        <f t="shared" ca="1" si="2"/>
        <v>-174</v>
      </c>
      <c r="K40" s="57" t="s">
        <v>487</v>
      </c>
      <c r="L40" s="55"/>
    </row>
    <row r="41" spans="2:12">
      <c r="B41" s="49" t="s">
        <v>426</v>
      </c>
      <c r="C41" s="60" t="s">
        <v>488</v>
      </c>
      <c r="D41" s="79" t="s">
        <v>489</v>
      </c>
      <c r="E41" s="53"/>
      <c r="F41" s="54">
        <v>44319</v>
      </c>
      <c r="G41" s="53">
        <v>730</v>
      </c>
      <c r="H41" s="54">
        <f t="shared" si="0"/>
        <v>45049</v>
      </c>
      <c r="I41" s="55" t="str">
        <f ca="1">IF(H41="","VACIO",IF(J41&lt;0,"Vencido hace "&amp;J41*-1&amp;" dias",IF(J41=0,"Vencido Hoy",IF(J41&lt;8,"Tiene "&amp; J41 &amp;" dias","Faltan "&amp;J41*1&amp;H41))))</f>
        <v>Vencido hace 533 dias</v>
      </c>
      <c r="J41" s="56">
        <f t="shared" ca="1" si="2"/>
        <v>-533</v>
      </c>
      <c r="K41" s="57" t="s">
        <v>490</v>
      </c>
      <c r="L41" s="55"/>
    </row>
    <row r="42" spans="2:12">
      <c r="B42" s="49" t="s">
        <v>426</v>
      </c>
      <c r="C42" s="60" t="s">
        <v>1138</v>
      </c>
      <c r="D42" s="79" t="s">
        <v>1139</v>
      </c>
      <c r="E42" s="51"/>
      <c r="F42" s="52">
        <v>45007</v>
      </c>
      <c r="G42" s="53">
        <v>730</v>
      </c>
      <c r="H42" s="67">
        <f t="shared" si="0"/>
        <v>45737</v>
      </c>
      <c r="I42" s="55" t="str">
        <f ca="1">IF(H42="","VACIO",IF(J42&lt;0,"Vencido hace "&amp;J42*-1&amp;" dias",IF(J42=0,"Vencido Hoy",IF(J42&lt;8,"Tiene "&amp; J42 &amp;" dias","Faltan "&amp;J42*1&amp;H42))))</f>
        <v>Faltan 15545737</v>
      </c>
      <c r="J42" s="56">
        <f t="shared" ca="1" si="2"/>
        <v>155</v>
      </c>
      <c r="K42" s="57" t="s">
        <v>1401</v>
      </c>
      <c r="L42" s="55"/>
    </row>
    <row r="43" spans="2:12">
      <c r="B43" s="49" t="s">
        <v>426</v>
      </c>
      <c r="C43" s="50" t="s">
        <v>491</v>
      </c>
      <c r="D43" s="78" t="s">
        <v>492</v>
      </c>
      <c r="E43" s="53"/>
      <c r="F43" s="54">
        <v>44533</v>
      </c>
      <c r="G43" s="53">
        <v>730</v>
      </c>
      <c r="H43" s="54">
        <f t="shared" si="0"/>
        <v>45263</v>
      </c>
      <c r="I43" s="55" t="str">
        <f t="shared" ref="I43:I67" ca="1" si="4">IF(H43="","VACIO",IF(J43&lt;0,"Vencido hace "&amp;J43*-1&amp;" dias",IF(J43=0,"Vencido Hoy",IF(J43&lt;8,"Tiene "&amp; J43 &amp;" dias","Faltan "&amp;J43&amp;H43))))</f>
        <v>Vencido hace 319 dias</v>
      </c>
      <c r="J43" s="56">
        <f t="shared" ca="1" si="2"/>
        <v>-319</v>
      </c>
      <c r="K43" s="57" t="s">
        <v>493</v>
      </c>
      <c r="L43" s="55"/>
    </row>
    <row r="44" spans="2:12">
      <c r="B44" s="49" t="s">
        <v>426</v>
      </c>
      <c r="C44" s="50" t="s">
        <v>494</v>
      </c>
      <c r="D44" s="78" t="s">
        <v>495</v>
      </c>
      <c r="E44" s="54"/>
      <c r="F44" s="54">
        <v>44694</v>
      </c>
      <c r="G44" s="53">
        <v>730</v>
      </c>
      <c r="H44" s="54">
        <f t="shared" si="0"/>
        <v>45424</v>
      </c>
      <c r="I44" s="55" t="str">
        <f t="shared" ca="1" si="4"/>
        <v>Vencido hace 158 dias</v>
      </c>
      <c r="J44" s="56">
        <f t="shared" ca="1" si="2"/>
        <v>-158</v>
      </c>
      <c r="K44" s="57" t="s">
        <v>496</v>
      </c>
      <c r="L44" s="55"/>
    </row>
    <row r="45" spans="2:12">
      <c r="B45" s="49" t="s">
        <v>497</v>
      </c>
      <c r="C45" s="61" t="s">
        <v>498</v>
      </c>
      <c r="D45" s="79" t="s">
        <v>499</v>
      </c>
      <c r="E45" s="51"/>
      <c r="F45" s="52">
        <v>44728</v>
      </c>
      <c r="G45" s="53">
        <v>730</v>
      </c>
      <c r="H45" s="54">
        <f t="shared" si="0"/>
        <v>45458</v>
      </c>
      <c r="I45" s="55" t="str">
        <f t="shared" ca="1" si="4"/>
        <v>Vencido hace 124 dias</v>
      </c>
      <c r="J45" s="56">
        <f t="shared" ca="1" si="2"/>
        <v>-124</v>
      </c>
      <c r="K45" s="57" t="s">
        <v>500</v>
      </c>
      <c r="L45" s="55"/>
    </row>
    <row r="46" spans="2:12">
      <c r="B46" s="49" t="s">
        <v>497</v>
      </c>
      <c r="C46" s="62" t="s">
        <v>501</v>
      </c>
      <c r="D46" s="78" t="s">
        <v>502</v>
      </c>
      <c r="E46" s="51" t="s">
        <v>1423</v>
      </c>
      <c r="F46" s="52">
        <v>44650</v>
      </c>
      <c r="G46" s="53">
        <v>730</v>
      </c>
      <c r="H46" s="54">
        <f t="shared" si="0"/>
        <v>45380</v>
      </c>
      <c r="I46" s="55" t="str">
        <f t="shared" ca="1" si="4"/>
        <v>Vencido hace 202 dias</v>
      </c>
      <c r="J46" s="56">
        <f t="shared" ca="1" si="2"/>
        <v>-202</v>
      </c>
      <c r="K46" s="57" t="s">
        <v>503</v>
      </c>
      <c r="L46" s="55"/>
    </row>
    <row r="47" spans="2:12">
      <c r="B47" s="49" t="s">
        <v>497</v>
      </c>
      <c r="C47" s="50" t="s">
        <v>504</v>
      </c>
      <c r="D47" s="78" t="s">
        <v>505</v>
      </c>
      <c r="E47" s="51"/>
      <c r="F47" s="52">
        <v>44757</v>
      </c>
      <c r="G47" s="53">
        <v>730</v>
      </c>
      <c r="H47" s="54">
        <f t="shared" si="0"/>
        <v>45487</v>
      </c>
      <c r="I47" s="55" t="str">
        <f t="shared" ca="1" si="4"/>
        <v>Vencido hace 95 dias</v>
      </c>
      <c r="J47" s="56">
        <f t="shared" ca="1" si="2"/>
        <v>-95</v>
      </c>
      <c r="K47" s="57" t="s">
        <v>506</v>
      </c>
      <c r="L47" s="55"/>
    </row>
    <row r="48" spans="2:12">
      <c r="B48" s="49" t="s">
        <v>497</v>
      </c>
      <c r="C48" s="50" t="s">
        <v>507</v>
      </c>
      <c r="D48" s="78" t="s">
        <v>508</v>
      </c>
      <c r="E48" s="51"/>
      <c r="F48" s="52">
        <v>44740</v>
      </c>
      <c r="G48" s="53">
        <v>730</v>
      </c>
      <c r="H48" s="54">
        <f t="shared" si="0"/>
        <v>45470</v>
      </c>
      <c r="I48" s="55" t="str">
        <f t="shared" ca="1" si="4"/>
        <v>Vencido hace 112 dias</v>
      </c>
      <c r="J48" s="56">
        <f t="shared" ca="1" si="2"/>
        <v>-112</v>
      </c>
      <c r="K48" s="45" t="s">
        <v>509</v>
      </c>
      <c r="L48" s="55"/>
    </row>
    <row r="49" spans="2:12">
      <c r="B49" s="49" t="s">
        <v>497</v>
      </c>
      <c r="C49" s="50" t="s">
        <v>510</v>
      </c>
      <c r="D49" s="78" t="s">
        <v>511</v>
      </c>
      <c r="E49" s="51"/>
      <c r="F49" s="52">
        <v>44685</v>
      </c>
      <c r="G49" s="53">
        <v>730</v>
      </c>
      <c r="H49" s="54">
        <f t="shared" si="0"/>
        <v>45415</v>
      </c>
      <c r="I49" s="55" t="str">
        <f t="shared" ca="1" si="4"/>
        <v>Vencido hace 167 dias</v>
      </c>
      <c r="J49" s="56">
        <f t="shared" ca="1" si="2"/>
        <v>-167</v>
      </c>
      <c r="K49" s="57" t="s">
        <v>512</v>
      </c>
      <c r="L49" s="55"/>
    </row>
    <row r="50" spans="2:12">
      <c r="B50" s="49" t="s">
        <v>497</v>
      </c>
      <c r="C50" s="50" t="s">
        <v>513</v>
      </c>
      <c r="D50" s="78" t="s">
        <v>514</v>
      </c>
      <c r="E50" s="51"/>
      <c r="F50" s="52">
        <v>44714</v>
      </c>
      <c r="G50" s="53">
        <v>730</v>
      </c>
      <c r="H50" s="54">
        <f t="shared" si="0"/>
        <v>45444</v>
      </c>
      <c r="I50" s="55" t="str">
        <f t="shared" ca="1" si="4"/>
        <v>Vencido hace 138 dias</v>
      </c>
      <c r="J50" s="56">
        <f t="shared" ca="1" si="2"/>
        <v>-138</v>
      </c>
      <c r="K50" s="57" t="s">
        <v>515</v>
      </c>
      <c r="L50" s="55"/>
    </row>
    <row r="51" spans="2:12">
      <c r="B51" s="49" t="s">
        <v>497</v>
      </c>
      <c r="C51" s="50" t="s">
        <v>516</v>
      </c>
      <c r="D51" s="78" t="s">
        <v>517</v>
      </c>
      <c r="E51" s="52">
        <v>44819</v>
      </c>
      <c r="F51" s="52">
        <v>44819</v>
      </c>
      <c r="G51" s="53">
        <v>730</v>
      </c>
      <c r="H51" s="54">
        <f t="shared" si="0"/>
        <v>45549</v>
      </c>
      <c r="I51" s="55" t="str">
        <f t="shared" ca="1" si="4"/>
        <v>Vencido hace 33 dias</v>
      </c>
      <c r="J51" s="56">
        <f t="shared" ca="1" si="2"/>
        <v>-33</v>
      </c>
      <c r="K51" s="59" t="s">
        <v>518</v>
      </c>
      <c r="L51" s="55"/>
    </row>
    <row r="52" spans="2:12">
      <c r="B52" s="49" t="s">
        <v>497</v>
      </c>
      <c r="C52" s="50" t="s">
        <v>519</v>
      </c>
      <c r="D52" s="78" t="s">
        <v>520</v>
      </c>
      <c r="E52" s="51"/>
      <c r="F52" s="52">
        <v>44417</v>
      </c>
      <c r="G52" s="53">
        <v>730</v>
      </c>
      <c r="H52" s="54">
        <f t="shared" si="0"/>
        <v>45147</v>
      </c>
      <c r="I52" s="55" t="str">
        <f t="shared" ca="1" si="4"/>
        <v>Vencido hace 435 dias</v>
      </c>
      <c r="J52" s="56">
        <f t="shared" ca="1" si="2"/>
        <v>-435</v>
      </c>
      <c r="K52" s="57" t="s">
        <v>521</v>
      </c>
      <c r="L52" s="55"/>
    </row>
    <row r="53" spans="2:12">
      <c r="B53" s="49" t="s">
        <v>497</v>
      </c>
      <c r="C53" s="50" t="s">
        <v>522</v>
      </c>
      <c r="D53" s="78" t="s">
        <v>523</v>
      </c>
      <c r="E53" s="51"/>
      <c r="F53" s="52">
        <v>44742</v>
      </c>
      <c r="G53" s="53">
        <v>730</v>
      </c>
      <c r="H53" s="54">
        <f t="shared" si="0"/>
        <v>45472</v>
      </c>
      <c r="I53" s="55" t="str">
        <f t="shared" ca="1" si="4"/>
        <v>Vencido hace 110 dias</v>
      </c>
      <c r="J53" s="56">
        <f t="shared" ca="1" si="2"/>
        <v>-110</v>
      </c>
      <c r="K53" s="57" t="s">
        <v>524</v>
      </c>
      <c r="L53" s="55"/>
    </row>
    <row r="54" spans="2:12">
      <c r="B54" s="49" t="s">
        <v>497</v>
      </c>
      <c r="C54" s="50" t="s">
        <v>525</v>
      </c>
      <c r="D54" s="78" t="s">
        <v>526</v>
      </c>
      <c r="E54" s="51"/>
      <c r="F54" s="52">
        <v>44650</v>
      </c>
      <c r="G54" s="53">
        <v>730</v>
      </c>
      <c r="H54" s="54">
        <f t="shared" si="0"/>
        <v>45380</v>
      </c>
      <c r="I54" s="55" t="str">
        <f t="shared" ca="1" si="4"/>
        <v>Vencido hace 202 dias</v>
      </c>
      <c r="J54" s="56">
        <f t="shared" ca="1" si="2"/>
        <v>-202</v>
      </c>
      <c r="K54" s="57" t="s">
        <v>527</v>
      </c>
      <c r="L54" s="55"/>
    </row>
    <row r="55" spans="2:12">
      <c r="B55" s="49" t="s">
        <v>497</v>
      </c>
      <c r="C55" s="50" t="s">
        <v>528</v>
      </c>
      <c r="D55" s="78" t="s">
        <v>529</v>
      </c>
      <c r="E55" s="51"/>
      <c r="F55" s="52">
        <v>45012</v>
      </c>
      <c r="G55" s="53">
        <v>730</v>
      </c>
      <c r="H55" s="54">
        <f t="shared" si="0"/>
        <v>45742</v>
      </c>
      <c r="I55" s="55" t="str">
        <f t="shared" ca="1" si="4"/>
        <v>Faltan 16045742</v>
      </c>
      <c r="J55" s="56">
        <f t="shared" ca="1" si="2"/>
        <v>160</v>
      </c>
      <c r="K55" s="57" t="s">
        <v>1398</v>
      </c>
      <c r="L55" s="55"/>
    </row>
    <row r="56" spans="2:12">
      <c r="B56" s="49" t="s">
        <v>497</v>
      </c>
      <c r="C56" s="50" t="s">
        <v>530</v>
      </c>
      <c r="D56" s="78" t="s">
        <v>531</v>
      </c>
      <c r="E56" s="51"/>
      <c r="F56" s="52">
        <v>44532</v>
      </c>
      <c r="G56" s="53">
        <v>730</v>
      </c>
      <c r="H56" s="54">
        <f t="shared" si="0"/>
        <v>45262</v>
      </c>
      <c r="I56" s="55" t="str">
        <f t="shared" ca="1" si="4"/>
        <v>Vencido hace 320 dias</v>
      </c>
      <c r="J56" s="56">
        <f t="shared" ca="1" si="2"/>
        <v>-320</v>
      </c>
      <c r="K56" s="57" t="s">
        <v>532</v>
      </c>
      <c r="L56" s="55"/>
    </row>
    <row r="57" spans="2:12">
      <c r="B57" s="49" t="s">
        <v>497</v>
      </c>
      <c r="C57" s="50" t="s">
        <v>533</v>
      </c>
      <c r="D57" s="78" t="s">
        <v>534</v>
      </c>
      <c r="E57" s="51"/>
      <c r="F57" s="52">
        <v>44603</v>
      </c>
      <c r="G57" s="53">
        <v>730</v>
      </c>
      <c r="H57" s="54">
        <f t="shared" si="0"/>
        <v>45333</v>
      </c>
      <c r="I57" s="55" t="str">
        <f t="shared" ca="1" si="4"/>
        <v>Vencido hace 249 dias</v>
      </c>
      <c r="J57" s="56">
        <f t="shared" ca="1" si="2"/>
        <v>-249</v>
      </c>
      <c r="K57" s="57" t="s">
        <v>157</v>
      </c>
      <c r="L57" s="55"/>
    </row>
    <row r="58" spans="2:12">
      <c r="B58" s="49" t="s">
        <v>497</v>
      </c>
      <c r="C58" s="50" t="s">
        <v>535</v>
      </c>
      <c r="D58" s="78" t="s">
        <v>536</v>
      </c>
      <c r="E58" s="51"/>
      <c r="F58" s="52">
        <v>44676</v>
      </c>
      <c r="G58" s="53">
        <v>730</v>
      </c>
      <c r="H58" s="54">
        <f t="shared" si="0"/>
        <v>45406</v>
      </c>
      <c r="I58" s="55" t="str">
        <f t="shared" ca="1" si="4"/>
        <v>Vencido hace 176 dias</v>
      </c>
      <c r="J58" s="56">
        <f t="shared" ca="1" si="2"/>
        <v>-176</v>
      </c>
      <c r="K58" s="45" t="s">
        <v>537</v>
      </c>
      <c r="L58" s="55"/>
    </row>
    <row r="59" spans="2:12">
      <c r="B59" s="49" t="s">
        <v>497</v>
      </c>
      <c r="C59" s="50" t="s">
        <v>538</v>
      </c>
      <c r="D59" s="78" t="s">
        <v>539</v>
      </c>
      <c r="E59" s="51"/>
      <c r="F59" s="52">
        <v>44593</v>
      </c>
      <c r="G59" s="53">
        <v>730</v>
      </c>
      <c r="H59" s="54">
        <f t="shared" si="0"/>
        <v>45323</v>
      </c>
      <c r="I59" s="55" t="str">
        <f t="shared" ca="1" si="4"/>
        <v>Vencido hace 259 dias</v>
      </c>
      <c r="J59" s="56">
        <f t="shared" ca="1" si="2"/>
        <v>-259</v>
      </c>
      <c r="K59" s="57" t="s">
        <v>540</v>
      </c>
      <c r="L59" s="55"/>
    </row>
    <row r="60" spans="2:12">
      <c r="B60" s="49" t="s">
        <v>497</v>
      </c>
      <c r="C60" s="50" t="s">
        <v>541</v>
      </c>
      <c r="D60" s="78" t="s">
        <v>542</v>
      </c>
      <c r="E60" s="51"/>
      <c r="F60" s="52">
        <v>44483</v>
      </c>
      <c r="G60" s="53">
        <v>730</v>
      </c>
      <c r="H60" s="54">
        <f t="shared" si="0"/>
        <v>45213</v>
      </c>
      <c r="I60" s="55" t="str">
        <f t="shared" ca="1" si="4"/>
        <v>Vencido hace 369 dias</v>
      </c>
      <c r="J60" s="56">
        <f t="shared" ca="1" si="2"/>
        <v>-369</v>
      </c>
      <c r="K60" s="57" t="s">
        <v>157</v>
      </c>
      <c r="L60" s="55"/>
    </row>
    <row r="61" spans="2:12">
      <c r="B61" s="49" t="s">
        <v>497</v>
      </c>
      <c r="C61" s="50" t="s">
        <v>543</v>
      </c>
      <c r="D61" s="78" t="s">
        <v>544</v>
      </c>
      <c r="E61" s="51"/>
      <c r="F61" s="52">
        <v>44740</v>
      </c>
      <c r="G61" s="53">
        <v>730</v>
      </c>
      <c r="H61" s="54">
        <f t="shared" si="0"/>
        <v>45470</v>
      </c>
      <c r="I61" s="55" t="str">
        <f t="shared" ca="1" si="4"/>
        <v>Vencido hace 112 dias</v>
      </c>
      <c r="J61" s="56">
        <f t="shared" ca="1" si="2"/>
        <v>-112</v>
      </c>
      <c r="K61" s="63" t="s">
        <v>545</v>
      </c>
      <c r="L61" s="55"/>
    </row>
    <row r="62" spans="2:12">
      <c r="B62" s="49" t="s">
        <v>497</v>
      </c>
      <c r="C62" s="50" t="s">
        <v>546</v>
      </c>
      <c r="D62" s="78" t="s">
        <v>547</v>
      </c>
      <c r="E62" s="51"/>
      <c r="F62" s="52">
        <v>44810</v>
      </c>
      <c r="G62" s="53">
        <v>730</v>
      </c>
      <c r="H62" s="54">
        <f t="shared" si="0"/>
        <v>45540</v>
      </c>
      <c r="I62" s="55" t="str">
        <f t="shared" ca="1" si="4"/>
        <v>Vencido hace 42 dias</v>
      </c>
      <c r="J62" s="56">
        <f t="shared" ca="1" si="2"/>
        <v>-42</v>
      </c>
      <c r="K62" s="57" t="s">
        <v>548</v>
      </c>
      <c r="L62" s="55"/>
    </row>
    <row r="63" spans="2:12">
      <c r="B63" s="49" t="s">
        <v>497</v>
      </c>
      <c r="C63" s="50" t="s">
        <v>549</v>
      </c>
      <c r="D63" s="78" t="s">
        <v>550</v>
      </c>
      <c r="E63" s="51"/>
      <c r="F63" s="52">
        <v>44742</v>
      </c>
      <c r="G63" s="53">
        <v>730</v>
      </c>
      <c r="H63" s="54">
        <f t="shared" si="0"/>
        <v>45472</v>
      </c>
      <c r="I63" s="55" t="str">
        <f t="shared" ca="1" si="4"/>
        <v>Vencido hace 110 dias</v>
      </c>
      <c r="J63" s="56">
        <f t="shared" ca="1" si="2"/>
        <v>-110</v>
      </c>
      <c r="K63" s="57" t="s">
        <v>551</v>
      </c>
      <c r="L63" s="55"/>
    </row>
    <row r="64" spans="2:12">
      <c r="B64" s="49" t="s">
        <v>497</v>
      </c>
      <c r="C64" s="61" t="s">
        <v>552</v>
      </c>
      <c r="D64" s="80" t="s">
        <v>553</v>
      </c>
      <c r="E64" s="52">
        <v>44782</v>
      </c>
      <c r="F64" s="52">
        <v>44782</v>
      </c>
      <c r="G64" s="53">
        <v>730</v>
      </c>
      <c r="H64" s="54">
        <f t="shared" si="0"/>
        <v>45512</v>
      </c>
      <c r="I64" s="55" t="str">
        <f t="shared" ca="1" si="4"/>
        <v>Vencido hace 70 dias</v>
      </c>
      <c r="J64" s="56">
        <f t="shared" ca="1" si="2"/>
        <v>-70</v>
      </c>
      <c r="K64" s="57" t="s">
        <v>518</v>
      </c>
      <c r="L64" s="55"/>
    </row>
    <row r="65" spans="2:12">
      <c r="B65" s="49" t="s">
        <v>497</v>
      </c>
      <c r="C65" s="61" t="s">
        <v>554</v>
      </c>
      <c r="D65" s="80" t="s">
        <v>555</v>
      </c>
      <c r="E65" s="52"/>
      <c r="F65" s="52">
        <v>44669</v>
      </c>
      <c r="G65" s="53">
        <v>730</v>
      </c>
      <c r="H65" s="54">
        <f t="shared" si="0"/>
        <v>45399</v>
      </c>
      <c r="I65" s="55" t="str">
        <f t="shared" ca="1" si="4"/>
        <v>Vencido hace 183 dias</v>
      </c>
      <c r="J65" s="56">
        <f t="shared" ca="1" si="2"/>
        <v>-183</v>
      </c>
      <c r="K65" s="57" t="s">
        <v>556</v>
      </c>
      <c r="L65" s="55"/>
    </row>
    <row r="66" spans="2:12">
      <c r="B66" s="49" t="s">
        <v>497</v>
      </c>
      <c r="C66" s="61" t="s">
        <v>557</v>
      </c>
      <c r="D66" s="80" t="s">
        <v>558</v>
      </c>
      <c r="E66" s="52"/>
      <c r="F66" s="52">
        <v>44827</v>
      </c>
      <c r="G66" s="53">
        <v>730</v>
      </c>
      <c r="H66" s="54">
        <f t="shared" si="0"/>
        <v>45557</v>
      </c>
      <c r="I66" s="55" t="str">
        <f t="shared" ca="1" si="4"/>
        <v>Vencido hace 25 dias</v>
      </c>
      <c r="J66" s="56">
        <f t="shared" ca="1" si="2"/>
        <v>-25</v>
      </c>
      <c r="K66" s="57" t="s">
        <v>518</v>
      </c>
      <c r="L66" s="55"/>
    </row>
    <row r="67" spans="2:12">
      <c r="B67" s="49" t="s">
        <v>497</v>
      </c>
      <c r="C67" s="61" t="s">
        <v>559</v>
      </c>
      <c r="D67" s="80" t="s">
        <v>560</v>
      </c>
      <c r="E67" s="52"/>
      <c r="F67" s="52">
        <v>44735</v>
      </c>
      <c r="G67" s="53">
        <v>730</v>
      </c>
      <c r="H67" s="54">
        <f t="shared" si="0"/>
        <v>45465</v>
      </c>
      <c r="I67" s="55" t="str">
        <f t="shared" ca="1" si="4"/>
        <v>Vencido hace 117 dias</v>
      </c>
      <c r="J67" s="56">
        <f t="shared" ca="1" si="2"/>
        <v>-117</v>
      </c>
      <c r="K67" s="57" t="s">
        <v>561</v>
      </c>
      <c r="L67" s="55"/>
    </row>
    <row r="68" spans="2:12">
      <c r="B68" s="49" t="s">
        <v>497</v>
      </c>
      <c r="C68" s="61" t="s">
        <v>562</v>
      </c>
      <c r="D68" s="79" t="s">
        <v>563</v>
      </c>
      <c r="E68" s="52" t="s">
        <v>1380</v>
      </c>
      <c r="F68" s="52">
        <v>44166</v>
      </c>
      <c r="G68" s="53">
        <v>730</v>
      </c>
      <c r="H68" s="54">
        <f t="shared" ref="H68:H131" si="5">F68+G68</f>
        <v>44896</v>
      </c>
      <c r="I68" s="55" t="str">
        <f ca="1">IF(H68="","VACIO",IF(J68&lt;0,"Vencido hace "&amp;J68*-1&amp;" dias",IF(J68=0,"Vencido Hoy",IF(J68&lt;8,"Tiene "&amp; J68 &amp;" dias","Faltan "&amp;J68*1&amp;H68))))</f>
        <v>Vencido hace 686 dias</v>
      </c>
      <c r="J68" s="56">
        <f t="shared" ref="J68:J131" ca="1" si="6">H68-$B$2</f>
        <v>-686</v>
      </c>
      <c r="K68" s="57" t="s">
        <v>564</v>
      </c>
      <c r="L68" s="55"/>
    </row>
    <row r="69" spans="2:12">
      <c r="B69" s="49" t="s">
        <v>497</v>
      </c>
      <c r="C69" s="61" t="s">
        <v>565</v>
      </c>
      <c r="D69" s="80" t="s">
        <v>566</v>
      </c>
      <c r="E69" s="51" t="s">
        <v>1399</v>
      </c>
      <c r="F69" s="52">
        <v>43748</v>
      </c>
      <c r="G69" s="53">
        <v>730</v>
      </c>
      <c r="H69" s="54">
        <f t="shared" si="5"/>
        <v>44478</v>
      </c>
      <c r="I69" s="55" t="str">
        <f t="shared" ref="I69:I81" ca="1" si="7">IF(H69="","VACIO",IF(J69&lt;0,"Vencido hace "&amp;J69*-1&amp;" dias",IF(J69=0,"Vencido Hoy",IF(J69&lt;8,"Tiene "&amp; J69 &amp;" dias","Faltan "&amp;J69&amp;H69))))</f>
        <v>Vencido hace 1104 dias</v>
      </c>
      <c r="J69" s="56">
        <f t="shared" ca="1" si="6"/>
        <v>-1104</v>
      </c>
      <c r="K69" s="57" t="s">
        <v>567</v>
      </c>
      <c r="L69" s="55"/>
    </row>
    <row r="70" spans="2:12">
      <c r="B70" s="49" t="s">
        <v>497</v>
      </c>
      <c r="C70" s="61" t="s">
        <v>568</v>
      </c>
      <c r="D70" s="80" t="s">
        <v>569</v>
      </c>
      <c r="E70" s="52" t="s">
        <v>570</v>
      </c>
      <c r="F70" s="52">
        <v>44799</v>
      </c>
      <c r="G70" s="53">
        <v>730</v>
      </c>
      <c r="H70" s="54">
        <f t="shared" si="5"/>
        <v>45529</v>
      </c>
      <c r="I70" s="55" t="str">
        <f t="shared" ca="1" si="7"/>
        <v>Vencido hace 53 dias</v>
      </c>
      <c r="J70" s="56">
        <f t="shared" ca="1" si="6"/>
        <v>-53</v>
      </c>
      <c r="K70" s="57" t="s">
        <v>571</v>
      </c>
      <c r="L70" s="55"/>
    </row>
    <row r="71" spans="2:12">
      <c r="B71" s="49" t="s">
        <v>497</v>
      </c>
      <c r="C71" s="61" t="s">
        <v>572</v>
      </c>
      <c r="D71" s="79" t="s">
        <v>573</v>
      </c>
      <c r="E71" s="51"/>
      <c r="F71" s="52">
        <v>44753</v>
      </c>
      <c r="G71" s="53">
        <v>730</v>
      </c>
      <c r="H71" s="54">
        <f t="shared" si="5"/>
        <v>45483</v>
      </c>
      <c r="I71" s="55" t="str">
        <f t="shared" ca="1" si="7"/>
        <v>Vencido hace 99 dias</v>
      </c>
      <c r="J71" s="56">
        <f t="shared" ca="1" si="6"/>
        <v>-99</v>
      </c>
      <c r="K71" s="57" t="s">
        <v>574</v>
      </c>
      <c r="L71" s="55"/>
    </row>
    <row r="72" spans="2:12">
      <c r="B72" s="49" t="s">
        <v>497</v>
      </c>
      <c r="C72" s="61" t="s">
        <v>575</v>
      </c>
      <c r="D72" s="79" t="s">
        <v>576</v>
      </c>
      <c r="E72" s="51"/>
      <c r="F72" s="52">
        <v>44593</v>
      </c>
      <c r="G72" s="53">
        <v>730</v>
      </c>
      <c r="H72" s="54">
        <f t="shared" si="5"/>
        <v>45323</v>
      </c>
      <c r="I72" s="55" t="str">
        <f t="shared" ca="1" si="7"/>
        <v>Vencido hace 259 dias</v>
      </c>
      <c r="J72" s="56">
        <f t="shared" ca="1" si="6"/>
        <v>-259</v>
      </c>
      <c r="K72" s="57" t="s">
        <v>577</v>
      </c>
      <c r="L72" s="55"/>
    </row>
    <row r="73" spans="2:12">
      <c r="B73" s="49" t="s">
        <v>578</v>
      </c>
      <c r="C73" s="50" t="s">
        <v>579</v>
      </c>
      <c r="D73" s="78" t="s">
        <v>580</v>
      </c>
      <c r="E73" s="51"/>
      <c r="F73" s="52">
        <v>44248</v>
      </c>
      <c r="G73" s="53">
        <v>730</v>
      </c>
      <c r="H73" s="54">
        <f t="shared" si="5"/>
        <v>44978</v>
      </c>
      <c r="I73" s="55" t="str">
        <f t="shared" ca="1" si="7"/>
        <v>Vencido hace 604 dias</v>
      </c>
      <c r="J73" s="56">
        <f t="shared" ca="1" si="6"/>
        <v>-604</v>
      </c>
      <c r="K73" s="57" t="s">
        <v>581</v>
      </c>
      <c r="L73" s="55"/>
    </row>
    <row r="74" spans="2:12">
      <c r="B74" s="49" t="s">
        <v>578</v>
      </c>
      <c r="C74" s="50" t="s">
        <v>582</v>
      </c>
      <c r="D74" s="78" t="s">
        <v>583</v>
      </c>
      <c r="E74" s="51"/>
      <c r="F74" s="52">
        <v>44431</v>
      </c>
      <c r="G74" s="53">
        <v>730</v>
      </c>
      <c r="H74" s="54">
        <f t="shared" si="5"/>
        <v>45161</v>
      </c>
      <c r="I74" s="55" t="str">
        <f t="shared" ca="1" si="7"/>
        <v>Vencido hace 421 dias</v>
      </c>
      <c r="J74" s="56">
        <f t="shared" ca="1" si="6"/>
        <v>-421</v>
      </c>
      <c r="K74" s="57" t="s">
        <v>584</v>
      </c>
      <c r="L74" s="55"/>
    </row>
    <row r="75" spans="2:12">
      <c r="B75" s="49" t="s">
        <v>578</v>
      </c>
      <c r="C75" s="50" t="s">
        <v>585</v>
      </c>
      <c r="D75" s="78" t="s">
        <v>586</v>
      </c>
      <c r="E75" s="52">
        <v>44781</v>
      </c>
      <c r="F75" s="52">
        <v>44781</v>
      </c>
      <c r="G75" s="53">
        <v>730</v>
      </c>
      <c r="H75" s="54">
        <f t="shared" si="5"/>
        <v>45511</v>
      </c>
      <c r="I75" s="55" t="str">
        <f t="shared" ca="1" si="7"/>
        <v>Vencido hace 71 dias</v>
      </c>
      <c r="J75" s="56">
        <f t="shared" ca="1" si="6"/>
        <v>-71</v>
      </c>
      <c r="K75" s="57" t="s">
        <v>518</v>
      </c>
      <c r="L75" s="55"/>
    </row>
    <row r="76" spans="2:12">
      <c r="B76" s="49" t="s">
        <v>578</v>
      </c>
      <c r="C76" s="50" t="s">
        <v>587</v>
      </c>
      <c r="D76" s="78" t="s">
        <v>588</v>
      </c>
      <c r="E76" s="52">
        <v>44802</v>
      </c>
      <c r="F76" s="52">
        <v>44802</v>
      </c>
      <c r="G76" s="53">
        <v>730</v>
      </c>
      <c r="H76" s="54">
        <f t="shared" si="5"/>
        <v>45532</v>
      </c>
      <c r="I76" s="55" t="str">
        <f t="shared" ca="1" si="7"/>
        <v>Vencido hace 50 dias</v>
      </c>
      <c r="J76" s="56">
        <f t="shared" ca="1" si="6"/>
        <v>-50</v>
      </c>
      <c r="K76" s="57" t="s">
        <v>518</v>
      </c>
      <c r="L76" s="55"/>
    </row>
    <row r="77" spans="2:12">
      <c r="B77" s="49" t="s">
        <v>578</v>
      </c>
      <c r="C77" s="50" t="s">
        <v>589</v>
      </c>
      <c r="D77" s="78" t="s">
        <v>590</v>
      </c>
      <c r="E77" s="52">
        <v>44785</v>
      </c>
      <c r="F77" s="52">
        <v>44785</v>
      </c>
      <c r="G77" s="53">
        <v>730</v>
      </c>
      <c r="H77" s="54">
        <f t="shared" si="5"/>
        <v>45515</v>
      </c>
      <c r="I77" s="55" t="str">
        <f t="shared" ca="1" si="7"/>
        <v>Vencido hace 67 dias</v>
      </c>
      <c r="J77" s="56">
        <f t="shared" ca="1" si="6"/>
        <v>-67</v>
      </c>
      <c r="K77" s="57" t="s">
        <v>591</v>
      </c>
      <c r="L77" s="55"/>
    </row>
    <row r="78" spans="2:12">
      <c r="B78" s="49" t="s">
        <v>578</v>
      </c>
      <c r="C78" s="50" t="s">
        <v>592</v>
      </c>
      <c r="D78" s="78" t="s">
        <v>593</v>
      </c>
      <c r="E78" s="51"/>
      <c r="F78" s="52">
        <v>44245</v>
      </c>
      <c r="G78" s="53">
        <v>730</v>
      </c>
      <c r="H78" s="54">
        <f t="shared" si="5"/>
        <v>44975</v>
      </c>
      <c r="I78" s="55" t="str">
        <f t="shared" ca="1" si="7"/>
        <v>Vencido hace 607 dias</v>
      </c>
      <c r="J78" s="56">
        <f t="shared" ca="1" si="6"/>
        <v>-607</v>
      </c>
      <c r="K78" s="57" t="s">
        <v>594</v>
      </c>
      <c r="L78" s="55"/>
    </row>
    <row r="79" spans="2:12">
      <c r="B79" s="49" t="s">
        <v>578</v>
      </c>
      <c r="C79" s="50" t="s">
        <v>595</v>
      </c>
      <c r="D79" s="78" t="s">
        <v>596</v>
      </c>
      <c r="E79" s="51" t="s">
        <v>597</v>
      </c>
      <c r="F79" s="52">
        <v>44645</v>
      </c>
      <c r="G79" s="53">
        <v>730</v>
      </c>
      <c r="H79" s="54">
        <f t="shared" si="5"/>
        <v>45375</v>
      </c>
      <c r="I79" s="55" t="str">
        <f t="shared" ca="1" si="7"/>
        <v>Vencido hace 207 dias</v>
      </c>
      <c r="J79" s="56">
        <f t="shared" ca="1" si="6"/>
        <v>-207</v>
      </c>
      <c r="K79" s="57" t="s">
        <v>598</v>
      </c>
      <c r="L79" s="55"/>
    </row>
    <row r="80" spans="2:12">
      <c r="B80" s="49" t="s">
        <v>578</v>
      </c>
      <c r="C80" s="61" t="s">
        <v>599</v>
      </c>
      <c r="D80" s="80" t="s">
        <v>600</v>
      </c>
      <c r="E80" s="52">
        <v>44802</v>
      </c>
      <c r="F80" s="52">
        <v>44802</v>
      </c>
      <c r="G80" s="53">
        <v>730</v>
      </c>
      <c r="H80" s="54">
        <f t="shared" si="5"/>
        <v>45532</v>
      </c>
      <c r="I80" s="55" t="str">
        <f t="shared" ca="1" si="7"/>
        <v>Vencido hace 50 dias</v>
      </c>
      <c r="J80" s="56">
        <f t="shared" ca="1" si="6"/>
        <v>-50</v>
      </c>
      <c r="K80" s="57" t="s">
        <v>601</v>
      </c>
      <c r="L80" s="55"/>
    </row>
    <row r="81" spans="2:12">
      <c r="B81" s="49" t="s">
        <v>578</v>
      </c>
      <c r="C81" s="61" t="s">
        <v>602</v>
      </c>
      <c r="D81" s="80" t="s">
        <v>603</v>
      </c>
      <c r="E81" s="51"/>
      <c r="F81" s="52">
        <v>44396</v>
      </c>
      <c r="G81" s="53">
        <v>730</v>
      </c>
      <c r="H81" s="54">
        <f t="shared" si="5"/>
        <v>45126</v>
      </c>
      <c r="I81" s="55" t="str">
        <f t="shared" ca="1" si="7"/>
        <v>Vencido hace 456 dias</v>
      </c>
      <c r="J81" s="56">
        <f t="shared" ca="1" si="6"/>
        <v>-456</v>
      </c>
      <c r="K81" s="57" t="s">
        <v>604</v>
      </c>
      <c r="L81" s="55"/>
    </row>
    <row r="82" spans="2:12">
      <c r="B82" s="49" t="s">
        <v>578</v>
      </c>
      <c r="C82" s="61" t="s">
        <v>605</v>
      </c>
      <c r="D82" s="80" t="s">
        <v>606</v>
      </c>
      <c r="E82" s="51" t="s">
        <v>607</v>
      </c>
      <c r="F82" s="52">
        <v>44708</v>
      </c>
      <c r="G82" s="53">
        <v>730</v>
      </c>
      <c r="H82" s="54">
        <f t="shared" si="5"/>
        <v>45438</v>
      </c>
      <c r="I82" s="55" t="str">
        <f ca="1">IF(H82="","VACIO",IF(J82&lt;0,"Vencido hace "&amp;J82*-1&amp;" dias",IF(J82=0,"Vencido Hoy",IF(J82&lt;8,"Tiene "&amp; J82 &amp;" dias","Faltan "&amp;J82*1&amp;H82))))</f>
        <v>Vencido hace 144 dias</v>
      </c>
      <c r="J82" s="56">
        <f t="shared" ca="1" si="6"/>
        <v>-144</v>
      </c>
      <c r="K82" s="57" t="s">
        <v>385</v>
      </c>
      <c r="L82" s="55"/>
    </row>
    <row r="83" spans="2:12">
      <c r="B83" s="49" t="s">
        <v>578</v>
      </c>
      <c r="C83" s="61" t="s">
        <v>608</v>
      </c>
      <c r="D83" s="80" t="s">
        <v>609</v>
      </c>
      <c r="E83" s="51"/>
      <c r="F83" s="52">
        <v>44721</v>
      </c>
      <c r="G83" s="53">
        <v>730</v>
      </c>
      <c r="H83" s="54">
        <f t="shared" si="5"/>
        <v>45451</v>
      </c>
      <c r="I83" s="55" t="str">
        <f t="shared" ref="I83:I89" ca="1" si="8">IF(H83="","VACIO",IF(J83&lt;0,"Vencido hace "&amp;J83*-1&amp;" dias",IF(J83=0,"Vencido Hoy",IF(J83&lt;8,"Tiene "&amp; J83 &amp;" dias","Faltan "&amp;J83&amp;H83))))</f>
        <v>Vencido hace 131 dias</v>
      </c>
      <c r="J83" s="56">
        <f t="shared" ca="1" si="6"/>
        <v>-131</v>
      </c>
      <c r="K83" s="57" t="s">
        <v>610</v>
      </c>
      <c r="L83" s="55"/>
    </row>
    <row r="84" spans="2:12">
      <c r="B84" s="49" t="s">
        <v>578</v>
      </c>
      <c r="C84" s="50" t="s">
        <v>611</v>
      </c>
      <c r="D84" s="78" t="s">
        <v>612</v>
      </c>
      <c r="E84" s="51" t="s">
        <v>597</v>
      </c>
      <c r="F84" s="52">
        <v>44505</v>
      </c>
      <c r="G84" s="53">
        <v>730</v>
      </c>
      <c r="H84" s="54">
        <f t="shared" si="5"/>
        <v>45235</v>
      </c>
      <c r="I84" s="55" t="str">
        <f t="shared" ca="1" si="8"/>
        <v>Vencido hace 347 dias</v>
      </c>
      <c r="J84" s="56">
        <f t="shared" ca="1" si="6"/>
        <v>-347</v>
      </c>
      <c r="K84" s="57" t="s">
        <v>613</v>
      </c>
      <c r="L84" s="55"/>
    </row>
    <row r="85" spans="2:12">
      <c r="B85" s="49" t="s">
        <v>614</v>
      </c>
      <c r="C85" s="61" t="s">
        <v>615</v>
      </c>
      <c r="D85" s="80" t="s">
        <v>616</v>
      </c>
      <c r="E85" s="51"/>
      <c r="F85" s="52">
        <v>44755</v>
      </c>
      <c r="G85" s="53">
        <v>730</v>
      </c>
      <c r="H85" s="54">
        <f t="shared" si="5"/>
        <v>45485</v>
      </c>
      <c r="I85" s="55" t="str">
        <f t="shared" ca="1" si="8"/>
        <v>Vencido hace 97 dias</v>
      </c>
      <c r="J85" s="56">
        <f t="shared" ca="1" si="6"/>
        <v>-97</v>
      </c>
      <c r="K85" s="57" t="s">
        <v>617</v>
      </c>
      <c r="L85" s="55"/>
    </row>
    <row r="86" spans="2:12">
      <c r="B86" s="49" t="s">
        <v>614</v>
      </c>
      <c r="C86" s="50" t="s">
        <v>618</v>
      </c>
      <c r="D86" s="78" t="s">
        <v>619</v>
      </c>
      <c r="E86" s="51"/>
      <c r="F86" s="52">
        <v>44880</v>
      </c>
      <c r="G86" s="53">
        <v>730</v>
      </c>
      <c r="H86" s="54">
        <f t="shared" si="5"/>
        <v>45610</v>
      </c>
      <c r="I86" s="55" t="str">
        <f t="shared" ca="1" si="8"/>
        <v>Faltan 2845610</v>
      </c>
      <c r="J86" s="56">
        <f t="shared" ca="1" si="6"/>
        <v>28</v>
      </c>
      <c r="K86" s="57" t="s">
        <v>581</v>
      </c>
      <c r="L86" s="55"/>
    </row>
    <row r="87" spans="2:12">
      <c r="B87" s="49" t="s">
        <v>614</v>
      </c>
      <c r="C87" s="50" t="s">
        <v>620</v>
      </c>
      <c r="D87" s="78" t="s">
        <v>621</v>
      </c>
      <c r="E87" s="51"/>
      <c r="F87" s="52">
        <v>44396</v>
      </c>
      <c r="G87" s="53">
        <v>730</v>
      </c>
      <c r="H87" s="54">
        <f t="shared" si="5"/>
        <v>45126</v>
      </c>
      <c r="I87" s="55" t="str">
        <f t="shared" ca="1" si="8"/>
        <v>Vencido hace 456 dias</v>
      </c>
      <c r="J87" s="56">
        <f t="shared" ca="1" si="6"/>
        <v>-456</v>
      </c>
      <c r="K87" s="57" t="s">
        <v>295</v>
      </c>
      <c r="L87" s="55"/>
    </row>
    <row r="88" spans="2:12">
      <c r="B88" s="49" t="s">
        <v>614</v>
      </c>
      <c r="C88" s="50" t="s">
        <v>622</v>
      </c>
      <c r="D88" s="78" t="s">
        <v>623</v>
      </c>
      <c r="E88" s="51"/>
      <c r="F88" s="52">
        <v>44755</v>
      </c>
      <c r="G88" s="53">
        <v>730</v>
      </c>
      <c r="H88" s="54">
        <f t="shared" si="5"/>
        <v>45485</v>
      </c>
      <c r="I88" s="55" t="str">
        <f t="shared" ca="1" si="8"/>
        <v>Vencido hace 97 dias</v>
      </c>
      <c r="J88" s="56">
        <f t="shared" ca="1" si="6"/>
        <v>-97</v>
      </c>
      <c r="K88" s="57" t="s">
        <v>574</v>
      </c>
      <c r="L88" s="55"/>
    </row>
    <row r="89" spans="2:12">
      <c r="B89" s="49" t="s">
        <v>614</v>
      </c>
      <c r="C89" s="50" t="s">
        <v>624</v>
      </c>
      <c r="D89" s="78" t="s">
        <v>625</v>
      </c>
      <c r="E89" s="51"/>
      <c r="F89" s="52">
        <v>44488</v>
      </c>
      <c r="G89" s="53">
        <v>730</v>
      </c>
      <c r="H89" s="54">
        <f t="shared" si="5"/>
        <v>45218</v>
      </c>
      <c r="I89" s="55" t="str">
        <f t="shared" ca="1" si="8"/>
        <v>Vencido hace 364 dias</v>
      </c>
      <c r="J89" s="56">
        <f t="shared" ca="1" si="6"/>
        <v>-364</v>
      </c>
      <c r="K89" s="57" t="s">
        <v>540</v>
      </c>
      <c r="L89" s="55"/>
    </row>
    <row r="90" spans="2:12">
      <c r="B90" s="49" t="s">
        <v>614</v>
      </c>
      <c r="C90" s="61" t="s">
        <v>626</v>
      </c>
      <c r="D90" s="80" t="s">
        <v>627</v>
      </c>
      <c r="E90" s="51"/>
      <c r="F90" s="52">
        <v>44658</v>
      </c>
      <c r="G90" s="53">
        <v>730</v>
      </c>
      <c r="H90" s="54">
        <f t="shared" si="5"/>
        <v>45388</v>
      </c>
      <c r="I90" s="55" t="str">
        <f ca="1">IF(H90="","VACIO",IF(J90&lt;0,"Vencido hace "&amp;J90*-1&amp;" dias",IF(J90=0,"Vencido Hoy",IF(J90&lt;8,"Tiene "&amp; J90 &amp;" dias","Faltan "&amp;J90*1&amp;H90))))</f>
        <v>Vencido hace 194 dias</v>
      </c>
      <c r="J90" s="56">
        <f t="shared" ca="1" si="6"/>
        <v>-194</v>
      </c>
      <c r="K90" s="57" t="s">
        <v>628</v>
      </c>
      <c r="L90" s="55"/>
    </row>
    <row r="91" spans="2:12">
      <c r="B91" s="49" t="s">
        <v>614</v>
      </c>
      <c r="C91" s="61" t="s">
        <v>629</v>
      </c>
      <c r="D91" s="80" t="s">
        <v>630</v>
      </c>
      <c r="E91" s="51"/>
      <c r="F91" s="52">
        <v>44686</v>
      </c>
      <c r="G91" s="53">
        <v>730</v>
      </c>
      <c r="H91" s="54">
        <f t="shared" si="5"/>
        <v>45416</v>
      </c>
      <c r="I91" s="55" t="str">
        <f t="shared" ref="I91:I102" ca="1" si="9">IF(H91="","VACIO",IF(J91&lt;0,"Vencido hace "&amp;J91*-1&amp;" dias",IF(J91=0,"Vencido Hoy",IF(J91&lt;8,"Tiene "&amp; J91 &amp;" dias","Faltan "&amp;J91&amp;H91))))</f>
        <v>Vencido hace 166 dias</v>
      </c>
      <c r="J91" s="56">
        <f t="shared" ca="1" si="6"/>
        <v>-166</v>
      </c>
      <c r="K91" s="57" t="s">
        <v>631</v>
      </c>
      <c r="L91" s="55"/>
    </row>
    <row r="92" spans="2:12">
      <c r="B92" s="49" t="s">
        <v>632</v>
      </c>
      <c r="C92" s="50" t="s">
        <v>633</v>
      </c>
      <c r="D92" s="78" t="s">
        <v>634</v>
      </c>
      <c r="E92" s="51"/>
      <c r="F92" s="52">
        <v>45002</v>
      </c>
      <c r="G92" s="53">
        <v>730</v>
      </c>
      <c r="H92" s="54">
        <f t="shared" si="5"/>
        <v>45732</v>
      </c>
      <c r="I92" s="55" t="str">
        <f t="shared" ca="1" si="9"/>
        <v>Faltan 15045732</v>
      </c>
      <c r="J92" s="56">
        <f t="shared" ca="1" si="6"/>
        <v>150</v>
      </c>
      <c r="K92" s="57" t="s">
        <v>287</v>
      </c>
      <c r="L92" s="55"/>
    </row>
    <row r="93" spans="2:12">
      <c r="B93" s="49" t="s">
        <v>632</v>
      </c>
      <c r="C93" s="50" t="s">
        <v>635</v>
      </c>
      <c r="D93" s="78" t="s">
        <v>636</v>
      </c>
      <c r="E93" s="51"/>
      <c r="F93" s="52">
        <v>44645</v>
      </c>
      <c r="G93" s="53">
        <v>730</v>
      </c>
      <c r="H93" s="54">
        <f t="shared" si="5"/>
        <v>45375</v>
      </c>
      <c r="I93" s="55" t="str">
        <f t="shared" ca="1" si="9"/>
        <v>Vencido hace 207 dias</v>
      </c>
      <c r="J93" s="56">
        <f t="shared" ca="1" si="6"/>
        <v>-207</v>
      </c>
      <c r="K93" s="57" t="s">
        <v>637</v>
      </c>
      <c r="L93" s="55"/>
    </row>
    <row r="94" spans="2:12">
      <c r="B94" s="49" t="s">
        <v>632</v>
      </c>
      <c r="C94" s="50" t="s">
        <v>638</v>
      </c>
      <c r="D94" s="78" t="s">
        <v>639</v>
      </c>
      <c r="E94" s="51"/>
      <c r="F94" s="52">
        <v>44235</v>
      </c>
      <c r="G94" s="53">
        <v>730</v>
      </c>
      <c r="H94" s="54">
        <f t="shared" si="5"/>
        <v>44965</v>
      </c>
      <c r="I94" s="55" t="str">
        <f t="shared" ca="1" si="9"/>
        <v>Vencido hace 617 dias</v>
      </c>
      <c r="J94" s="56">
        <f t="shared" ca="1" si="6"/>
        <v>-617</v>
      </c>
      <c r="K94" s="57" t="s">
        <v>640</v>
      </c>
      <c r="L94" s="55"/>
    </row>
    <row r="95" spans="2:12">
      <c r="B95" s="49" t="s">
        <v>632</v>
      </c>
      <c r="C95" s="50" t="s">
        <v>641</v>
      </c>
      <c r="D95" s="78" t="s">
        <v>642</v>
      </c>
      <c r="E95" s="51"/>
      <c r="F95" s="52">
        <v>44456</v>
      </c>
      <c r="G95" s="53">
        <v>730</v>
      </c>
      <c r="H95" s="54">
        <f t="shared" si="5"/>
        <v>45186</v>
      </c>
      <c r="I95" s="55" t="str">
        <f t="shared" ca="1" si="9"/>
        <v>Vencido hace 396 dias</v>
      </c>
      <c r="J95" s="56">
        <f t="shared" ca="1" si="6"/>
        <v>-396</v>
      </c>
      <c r="K95" s="57" t="s">
        <v>643</v>
      </c>
      <c r="L95" s="55"/>
    </row>
    <row r="96" spans="2:12">
      <c r="B96" s="49" t="s">
        <v>632</v>
      </c>
      <c r="C96" s="50" t="s">
        <v>644</v>
      </c>
      <c r="D96" s="78" t="s">
        <v>645</v>
      </c>
      <c r="E96" s="51"/>
      <c r="F96" s="52">
        <v>44978</v>
      </c>
      <c r="G96" s="53">
        <v>730</v>
      </c>
      <c r="H96" s="54">
        <f t="shared" si="5"/>
        <v>45708</v>
      </c>
      <c r="I96" s="55" t="str">
        <f t="shared" ca="1" si="9"/>
        <v>Faltan 12645708</v>
      </c>
      <c r="J96" s="56">
        <f t="shared" ca="1" si="6"/>
        <v>126</v>
      </c>
      <c r="K96" s="57" t="s">
        <v>604</v>
      </c>
      <c r="L96" s="55"/>
    </row>
    <row r="97" spans="2:12">
      <c r="B97" s="49" t="s">
        <v>632</v>
      </c>
      <c r="C97" s="50" t="s">
        <v>646</v>
      </c>
      <c r="D97" s="79" t="s">
        <v>647</v>
      </c>
      <c r="E97" s="51" t="s">
        <v>648</v>
      </c>
      <c r="F97" s="52">
        <v>44750</v>
      </c>
      <c r="G97" s="53">
        <v>730</v>
      </c>
      <c r="H97" s="54">
        <f t="shared" si="5"/>
        <v>45480</v>
      </c>
      <c r="I97" s="55" t="str">
        <f t="shared" ca="1" si="9"/>
        <v>Vencido hace 102 dias</v>
      </c>
      <c r="J97" s="56">
        <f t="shared" ca="1" si="6"/>
        <v>-102</v>
      </c>
      <c r="K97" s="57" t="s">
        <v>649</v>
      </c>
      <c r="L97" s="55"/>
    </row>
    <row r="98" spans="2:12">
      <c r="B98" s="49" t="s">
        <v>632</v>
      </c>
      <c r="C98" s="50" t="s">
        <v>650</v>
      </c>
      <c r="D98" s="78" t="s">
        <v>651</v>
      </c>
      <c r="E98" s="51"/>
      <c r="F98" s="52">
        <v>44624</v>
      </c>
      <c r="G98" s="53">
        <v>730</v>
      </c>
      <c r="H98" s="54">
        <f t="shared" si="5"/>
        <v>45354</v>
      </c>
      <c r="I98" s="55" t="str">
        <f t="shared" ca="1" si="9"/>
        <v>Vencido hace 228 dias</v>
      </c>
      <c r="J98" s="56">
        <f t="shared" ca="1" si="6"/>
        <v>-228</v>
      </c>
      <c r="K98" s="57" t="s">
        <v>652</v>
      </c>
      <c r="L98" s="55"/>
    </row>
    <row r="99" spans="2:12">
      <c r="B99" s="49" t="s">
        <v>632</v>
      </c>
      <c r="C99" s="50" t="s">
        <v>653</v>
      </c>
      <c r="D99" s="78" t="s">
        <v>654</v>
      </c>
      <c r="E99" s="51"/>
      <c r="F99" s="52">
        <v>44984</v>
      </c>
      <c r="G99" s="53">
        <v>730</v>
      </c>
      <c r="H99" s="54">
        <f t="shared" si="5"/>
        <v>45714</v>
      </c>
      <c r="I99" s="55" t="str">
        <f t="shared" ca="1" si="9"/>
        <v>Faltan 13245714</v>
      </c>
      <c r="J99" s="56">
        <f t="shared" ca="1" si="6"/>
        <v>132</v>
      </c>
      <c r="K99" s="57" t="s">
        <v>1402</v>
      </c>
      <c r="L99" s="55"/>
    </row>
    <row r="100" spans="2:12">
      <c r="B100" s="49" t="s">
        <v>632</v>
      </c>
      <c r="C100" s="61" t="s">
        <v>655</v>
      </c>
      <c r="D100" s="80" t="s">
        <v>656</v>
      </c>
      <c r="E100" s="51"/>
      <c r="F100" s="52">
        <v>44334</v>
      </c>
      <c r="G100" s="53">
        <v>730</v>
      </c>
      <c r="H100" s="54">
        <f t="shared" si="5"/>
        <v>45064</v>
      </c>
      <c r="I100" s="55" t="str">
        <f t="shared" ca="1" si="9"/>
        <v>Vencido hace 518 dias</v>
      </c>
      <c r="J100" s="56">
        <f t="shared" ca="1" si="6"/>
        <v>-518</v>
      </c>
      <c r="K100" s="57" t="s">
        <v>657</v>
      </c>
      <c r="L100" s="55"/>
    </row>
    <row r="101" spans="2:12">
      <c r="B101" s="49" t="s">
        <v>632</v>
      </c>
      <c r="C101" s="61" t="s">
        <v>658</v>
      </c>
      <c r="D101" s="80" t="s">
        <v>659</v>
      </c>
      <c r="E101" s="51"/>
      <c r="F101" s="52">
        <v>44273</v>
      </c>
      <c r="G101" s="53">
        <v>730</v>
      </c>
      <c r="H101" s="54">
        <f t="shared" si="5"/>
        <v>45003</v>
      </c>
      <c r="I101" s="55" t="str">
        <f t="shared" ca="1" si="9"/>
        <v>Vencido hace 579 dias</v>
      </c>
      <c r="J101" s="56">
        <f t="shared" ca="1" si="6"/>
        <v>-579</v>
      </c>
      <c r="K101" s="57" t="s">
        <v>660</v>
      </c>
      <c r="L101" s="55"/>
    </row>
    <row r="102" spans="2:12">
      <c r="B102" s="49" t="s">
        <v>632</v>
      </c>
      <c r="C102" s="61" t="s">
        <v>661</v>
      </c>
      <c r="D102" s="80" t="s">
        <v>662</v>
      </c>
      <c r="E102" s="51" t="s">
        <v>1381</v>
      </c>
      <c r="F102" s="52">
        <v>44068</v>
      </c>
      <c r="G102" s="53">
        <v>730</v>
      </c>
      <c r="H102" s="54">
        <f t="shared" si="5"/>
        <v>44798</v>
      </c>
      <c r="I102" s="55" t="str">
        <f t="shared" ca="1" si="9"/>
        <v>Vencido hace 784 dias</v>
      </c>
      <c r="J102" s="56">
        <f t="shared" ca="1" si="6"/>
        <v>-784</v>
      </c>
      <c r="K102" s="57" t="s">
        <v>663</v>
      </c>
      <c r="L102" s="55"/>
    </row>
    <row r="103" spans="2:12">
      <c r="B103" s="49" t="s">
        <v>632</v>
      </c>
      <c r="C103" s="61" t="s">
        <v>664</v>
      </c>
      <c r="D103" s="79" t="s">
        <v>665</v>
      </c>
      <c r="E103" s="51"/>
      <c r="F103" s="52">
        <v>44351</v>
      </c>
      <c r="G103" s="53">
        <v>730</v>
      </c>
      <c r="H103" s="54">
        <f t="shared" si="5"/>
        <v>45081</v>
      </c>
      <c r="I103" s="55" t="str">
        <f ca="1">IF(H103="","VACIO",IF(J103&lt;0,"Vencido hace "&amp;J103*-1&amp;" dias",IF(J103=0,"Vencido Hoy",IF(J103&lt;8,"Tiene "&amp; J103 &amp;" dias","Faltan "&amp;J103*1&amp;H103))))</f>
        <v>Vencido hace 501 dias</v>
      </c>
      <c r="J103" s="56">
        <f t="shared" ca="1" si="6"/>
        <v>-501</v>
      </c>
      <c r="K103" s="57" t="s">
        <v>604</v>
      </c>
      <c r="L103" s="55"/>
    </row>
    <row r="104" spans="2:12">
      <c r="B104" s="49" t="s">
        <v>632</v>
      </c>
      <c r="C104" s="61" t="s">
        <v>666</v>
      </c>
      <c r="D104" s="80" t="s">
        <v>667</v>
      </c>
      <c r="E104" s="51"/>
      <c r="F104" s="52">
        <v>44468</v>
      </c>
      <c r="G104" s="53">
        <v>730</v>
      </c>
      <c r="H104" s="54">
        <f t="shared" si="5"/>
        <v>45198</v>
      </c>
      <c r="I104" s="55" t="str">
        <f ca="1">IF(H104="","VACIO",IF(J104&lt;0,"Vencido hace "&amp;J104*-1&amp;" dias",IF(J104=0,"Vencido Hoy",IF(J104&lt;8,"Tiene "&amp; J104 &amp;" dias","Faltan "&amp;J104*1&amp;H104))))</f>
        <v>Vencido hace 384 dias</v>
      </c>
      <c r="J104" s="56">
        <f t="shared" ca="1" si="6"/>
        <v>-384</v>
      </c>
      <c r="K104" s="57"/>
      <c r="L104" s="55"/>
    </row>
    <row r="105" spans="2:12">
      <c r="B105" s="49" t="s">
        <v>632</v>
      </c>
      <c r="C105" s="61" t="s">
        <v>668</v>
      </c>
      <c r="D105" s="80" t="s">
        <v>669</v>
      </c>
      <c r="E105" s="51"/>
      <c r="F105" s="52">
        <v>44651</v>
      </c>
      <c r="G105" s="53">
        <v>730</v>
      </c>
      <c r="H105" s="54">
        <f t="shared" si="5"/>
        <v>45381</v>
      </c>
      <c r="I105" s="55" t="str">
        <f t="shared" ref="I105:I121" ca="1" si="10">IF(H105="","VACIO",IF(J105&lt;0,"Vencido hace "&amp;J105*-1&amp;" dias",IF(J105=0,"Vencido Hoy",IF(J105&lt;8,"Tiene "&amp; J105 &amp;" dias","Faltan "&amp;J105&amp;H105))))</f>
        <v>Vencido hace 201 dias</v>
      </c>
      <c r="J105" s="56">
        <f t="shared" ca="1" si="6"/>
        <v>-201</v>
      </c>
      <c r="K105" s="57" t="s">
        <v>670</v>
      </c>
      <c r="L105" s="55"/>
    </row>
    <row r="106" spans="2:12">
      <c r="B106" s="49" t="s">
        <v>632</v>
      </c>
      <c r="C106" s="50" t="s">
        <v>671</v>
      </c>
      <c r="D106" s="78" t="s">
        <v>672</v>
      </c>
      <c r="E106" s="51"/>
      <c r="F106" s="52">
        <v>44946</v>
      </c>
      <c r="G106" s="53">
        <v>730</v>
      </c>
      <c r="H106" s="54">
        <f t="shared" si="5"/>
        <v>45676</v>
      </c>
      <c r="I106" s="55" t="str">
        <f t="shared" ca="1" si="10"/>
        <v>Faltan 9445676</v>
      </c>
      <c r="J106" s="56">
        <f t="shared" ca="1" si="6"/>
        <v>94</v>
      </c>
      <c r="K106" s="57" t="s">
        <v>577</v>
      </c>
      <c r="L106" s="55"/>
    </row>
    <row r="107" spans="2:12">
      <c r="B107" s="49" t="s">
        <v>632</v>
      </c>
      <c r="C107" s="50" t="s">
        <v>673</v>
      </c>
      <c r="D107" s="78" t="s">
        <v>674</v>
      </c>
      <c r="E107" s="51"/>
      <c r="F107" s="52">
        <v>44221</v>
      </c>
      <c r="G107" s="53">
        <v>730</v>
      </c>
      <c r="H107" s="54">
        <f t="shared" si="5"/>
        <v>44951</v>
      </c>
      <c r="I107" s="55" t="str">
        <f t="shared" ca="1" si="10"/>
        <v>Vencido hace 631 dias</v>
      </c>
      <c r="J107" s="56">
        <f t="shared" ca="1" si="6"/>
        <v>-631</v>
      </c>
      <c r="K107" s="57" t="s">
        <v>675</v>
      </c>
      <c r="L107" s="55"/>
    </row>
    <row r="108" spans="2:12">
      <c r="B108" s="49" t="s">
        <v>676</v>
      </c>
      <c r="C108" s="50" t="s">
        <v>677</v>
      </c>
      <c r="D108" s="78" t="s">
        <v>678</v>
      </c>
      <c r="E108" s="51"/>
      <c r="F108" s="52">
        <v>44237</v>
      </c>
      <c r="G108" s="53">
        <v>730</v>
      </c>
      <c r="H108" s="54">
        <f t="shared" si="5"/>
        <v>44967</v>
      </c>
      <c r="I108" s="55" t="str">
        <f t="shared" ca="1" si="10"/>
        <v>Vencido hace 615 dias</v>
      </c>
      <c r="J108" s="56">
        <f t="shared" ca="1" si="6"/>
        <v>-615</v>
      </c>
      <c r="K108" s="57" t="s">
        <v>679</v>
      </c>
      <c r="L108" s="55"/>
    </row>
    <row r="109" spans="2:12">
      <c r="B109" s="49" t="s">
        <v>676</v>
      </c>
      <c r="C109" s="50" t="s">
        <v>680</v>
      </c>
      <c r="D109" s="78" t="s">
        <v>681</v>
      </c>
      <c r="E109" s="51" t="s">
        <v>1384</v>
      </c>
      <c r="F109" s="52">
        <v>43879</v>
      </c>
      <c r="G109" s="53">
        <v>730</v>
      </c>
      <c r="H109" s="54">
        <f t="shared" si="5"/>
        <v>44609</v>
      </c>
      <c r="I109" s="55" t="str">
        <f t="shared" ca="1" si="10"/>
        <v>Vencido hace 973 dias</v>
      </c>
      <c r="J109" s="56">
        <f t="shared" ca="1" si="6"/>
        <v>-973</v>
      </c>
      <c r="K109" s="57" t="s">
        <v>682</v>
      </c>
      <c r="L109" s="55"/>
    </row>
    <row r="110" spans="2:12">
      <c r="B110" s="49" t="s">
        <v>676</v>
      </c>
      <c r="C110" s="50" t="s">
        <v>683</v>
      </c>
      <c r="D110" s="78" t="s">
        <v>684</v>
      </c>
      <c r="E110" s="51"/>
      <c r="F110" s="52">
        <v>44733</v>
      </c>
      <c r="G110" s="53">
        <v>730</v>
      </c>
      <c r="H110" s="54">
        <f t="shared" si="5"/>
        <v>45463</v>
      </c>
      <c r="I110" s="55" t="str">
        <f t="shared" ca="1" si="10"/>
        <v>Vencido hace 119 dias</v>
      </c>
      <c r="J110" s="56">
        <f t="shared" ca="1" si="6"/>
        <v>-119</v>
      </c>
      <c r="K110" s="57" t="s">
        <v>685</v>
      </c>
      <c r="L110" s="55"/>
    </row>
    <row r="111" spans="2:12">
      <c r="B111" s="49" t="s">
        <v>676</v>
      </c>
      <c r="C111" s="50" t="s">
        <v>686</v>
      </c>
      <c r="D111" s="78" t="s">
        <v>687</v>
      </c>
      <c r="E111" s="52">
        <v>44866</v>
      </c>
      <c r="F111" s="52">
        <v>44866</v>
      </c>
      <c r="G111" s="53">
        <v>730</v>
      </c>
      <c r="H111" s="54">
        <f t="shared" si="5"/>
        <v>45596</v>
      </c>
      <c r="I111" s="55" t="str">
        <f t="shared" ca="1" si="10"/>
        <v>Faltan 1445596</v>
      </c>
      <c r="J111" s="56">
        <f t="shared" ca="1" si="6"/>
        <v>14</v>
      </c>
      <c r="K111" s="57" t="s">
        <v>688</v>
      </c>
      <c r="L111" s="55"/>
    </row>
    <row r="112" spans="2:12">
      <c r="B112" s="49" t="s">
        <v>676</v>
      </c>
      <c r="C112" s="50" t="s">
        <v>689</v>
      </c>
      <c r="D112" s="78" t="s">
        <v>690</v>
      </c>
      <c r="E112" s="51" t="s">
        <v>1390</v>
      </c>
      <c r="F112" s="52">
        <v>44158</v>
      </c>
      <c r="G112" s="53">
        <v>730</v>
      </c>
      <c r="H112" s="54">
        <f t="shared" si="5"/>
        <v>44888</v>
      </c>
      <c r="I112" s="55" t="str">
        <f t="shared" ca="1" si="10"/>
        <v>Vencido hace 694 dias</v>
      </c>
      <c r="J112" s="56">
        <f t="shared" ca="1" si="6"/>
        <v>-694</v>
      </c>
      <c r="K112" s="57" t="s">
        <v>691</v>
      </c>
      <c r="L112" s="55"/>
    </row>
    <row r="113" spans="2:12">
      <c r="B113" s="49" t="s">
        <v>676</v>
      </c>
      <c r="C113" s="50" t="s">
        <v>692</v>
      </c>
      <c r="D113" s="78" t="s">
        <v>693</v>
      </c>
      <c r="E113" s="51"/>
      <c r="F113" s="52">
        <v>44742</v>
      </c>
      <c r="G113" s="53">
        <v>730</v>
      </c>
      <c r="H113" s="54">
        <f t="shared" si="5"/>
        <v>45472</v>
      </c>
      <c r="I113" s="55" t="str">
        <f t="shared" ca="1" si="10"/>
        <v>Vencido hace 110 dias</v>
      </c>
      <c r="J113" s="56">
        <f t="shared" ca="1" si="6"/>
        <v>-110</v>
      </c>
      <c r="K113" s="57" t="s">
        <v>617</v>
      </c>
      <c r="L113" s="55"/>
    </row>
    <row r="114" spans="2:12">
      <c r="B114" s="49" t="s">
        <v>676</v>
      </c>
      <c r="C114" s="50" t="s">
        <v>694</v>
      </c>
      <c r="D114" s="78" t="s">
        <v>695</v>
      </c>
      <c r="E114" s="52">
        <v>44791</v>
      </c>
      <c r="F114" s="52">
        <v>44791</v>
      </c>
      <c r="G114" s="53">
        <v>730</v>
      </c>
      <c r="H114" s="54">
        <f t="shared" si="5"/>
        <v>45521</v>
      </c>
      <c r="I114" s="55" t="str">
        <f t="shared" ca="1" si="10"/>
        <v>Vencido hace 61 dias</v>
      </c>
      <c r="J114" s="56">
        <f t="shared" ca="1" si="6"/>
        <v>-61</v>
      </c>
      <c r="K114" s="57" t="s">
        <v>696</v>
      </c>
      <c r="L114" s="55"/>
    </row>
    <row r="115" spans="2:12">
      <c r="B115" s="49" t="s">
        <v>676</v>
      </c>
      <c r="C115" s="50" t="s">
        <v>697</v>
      </c>
      <c r="D115" s="78" t="s">
        <v>698</v>
      </c>
      <c r="E115" s="51"/>
      <c r="F115" s="52">
        <v>44223</v>
      </c>
      <c r="G115" s="53">
        <v>730</v>
      </c>
      <c r="H115" s="54">
        <f t="shared" si="5"/>
        <v>44953</v>
      </c>
      <c r="I115" s="55" t="str">
        <f t="shared" ca="1" si="10"/>
        <v>Vencido hace 629 dias</v>
      </c>
      <c r="J115" s="56">
        <f t="shared" ca="1" si="6"/>
        <v>-629</v>
      </c>
      <c r="K115" s="57" t="s">
        <v>699</v>
      </c>
      <c r="L115" s="55"/>
    </row>
    <row r="116" spans="2:12">
      <c r="B116" s="49" t="s">
        <v>676</v>
      </c>
      <c r="C116" s="50" t="s">
        <v>700</v>
      </c>
      <c r="D116" s="78" t="s">
        <v>701</v>
      </c>
      <c r="E116" s="51" t="s">
        <v>1384</v>
      </c>
      <c r="F116" s="52">
        <v>43375</v>
      </c>
      <c r="G116" s="53">
        <v>730</v>
      </c>
      <c r="H116" s="54">
        <f t="shared" si="5"/>
        <v>44105</v>
      </c>
      <c r="I116" s="55" t="str">
        <f t="shared" ca="1" si="10"/>
        <v>Vencido hace 1477 dias</v>
      </c>
      <c r="J116" s="56">
        <f t="shared" ca="1" si="6"/>
        <v>-1477</v>
      </c>
      <c r="K116" s="57" t="s">
        <v>702</v>
      </c>
      <c r="L116" s="55"/>
    </row>
    <row r="117" spans="2:12">
      <c r="B117" s="49" t="s">
        <v>676</v>
      </c>
      <c r="C117" s="50" t="s">
        <v>703</v>
      </c>
      <c r="D117" s="78" t="s">
        <v>704</v>
      </c>
      <c r="E117" s="51" t="s">
        <v>597</v>
      </c>
      <c r="F117" s="52">
        <v>44420</v>
      </c>
      <c r="G117" s="53">
        <v>730</v>
      </c>
      <c r="H117" s="54">
        <f t="shared" si="5"/>
        <v>45150</v>
      </c>
      <c r="I117" s="55" t="str">
        <f t="shared" ca="1" si="10"/>
        <v>Vencido hace 432 dias</v>
      </c>
      <c r="J117" s="56">
        <f t="shared" ca="1" si="6"/>
        <v>-432</v>
      </c>
      <c r="K117" s="57" t="s">
        <v>705</v>
      </c>
      <c r="L117" s="55"/>
    </row>
    <row r="118" spans="2:12">
      <c r="B118" s="49" t="s">
        <v>676</v>
      </c>
      <c r="C118" s="50" t="s">
        <v>706</v>
      </c>
      <c r="D118" s="78" t="s">
        <v>707</v>
      </c>
      <c r="E118" s="52">
        <v>44795</v>
      </c>
      <c r="F118" s="52">
        <v>44795</v>
      </c>
      <c r="G118" s="53">
        <v>730</v>
      </c>
      <c r="H118" s="54">
        <f t="shared" si="5"/>
        <v>45525</v>
      </c>
      <c r="I118" s="55" t="str">
        <f t="shared" ca="1" si="10"/>
        <v>Vencido hace 57 dias</v>
      </c>
      <c r="J118" s="56">
        <f t="shared" ca="1" si="6"/>
        <v>-57</v>
      </c>
      <c r="K118" s="57" t="s">
        <v>708</v>
      </c>
      <c r="L118" s="55"/>
    </row>
    <row r="119" spans="2:12">
      <c r="B119" s="49" t="s">
        <v>676</v>
      </c>
      <c r="C119" s="61" t="s">
        <v>709</v>
      </c>
      <c r="D119" s="80" t="s">
        <v>710</v>
      </c>
      <c r="E119" s="51"/>
      <c r="F119" s="52">
        <v>44292</v>
      </c>
      <c r="G119" s="53">
        <v>730</v>
      </c>
      <c r="H119" s="54">
        <f t="shared" si="5"/>
        <v>45022</v>
      </c>
      <c r="I119" s="55" t="str">
        <f t="shared" ca="1" si="10"/>
        <v>Vencido hace 560 dias</v>
      </c>
      <c r="J119" s="56">
        <f t="shared" ca="1" si="6"/>
        <v>-560</v>
      </c>
      <c r="K119" s="57" t="s">
        <v>584</v>
      </c>
      <c r="L119" s="55"/>
    </row>
    <row r="120" spans="2:12">
      <c r="B120" s="49" t="s">
        <v>676</v>
      </c>
      <c r="C120" s="61" t="s">
        <v>711</v>
      </c>
      <c r="D120" s="80" t="s">
        <v>712</v>
      </c>
      <c r="E120" s="52"/>
      <c r="F120" s="52">
        <v>44669</v>
      </c>
      <c r="G120" s="53">
        <v>730</v>
      </c>
      <c r="H120" s="54">
        <f t="shared" si="5"/>
        <v>45399</v>
      </c>
      <c r="I120" s="55" t="str">
        <f t="shared" ca="1" si="10"/>
        <v>Vencido hace 183 dias</v>
      </c>
      <c r="J120" s="56">
        <f t="shared" ca="1" si="6"/>
        <v>-183</v>
      </c>
      <c r="K120" s="57" t="s">
        <v>713</v>
      </c>
      <c r="L120" s="55"/>
    </row>
    <row r="121" spans="2:12">
      <c r="B121" s="49" t="s">
        <v>676</v>
      </c>
      <c r="C121" s="61" t="s">
        <v>714</v>
      </c>
      <c r="D121" s="80" t="s">
        <v>715</v>
      </c>
      <c r="E121" s="51"/>
      <c r="F121" s="52">
        <v>44536</v>
      </c>
      <c r="G121" s="53">
        <v>730</v>
      </c>
      <c r="H121" s="54">
        <f t="shared" si="5"/>
        <v>45266</v>
      </c>
      <c r="I121" s="55" t="str">
        <f t="shared" ca="1" si="10"/>
        <v>Vencido hace 316 dias</v>
      </c>
      <c r="J121" s="56">
        <f t="shared" ca="1" si="6"/>
        <v>-316</v>
      </c>
      <c r="K121" s="57" t="s">
        <v>716</v>
      </c>
      <c r="L121" s="55"/>
    </row>
    <row r="122" spans="2:12">
      <c r="B122" s="49" t="s">
        <v>676</v>
      </c>
      <c r="C122" s="60" t="s">
        <v>717</v>
      </c>
      <c r="D122" s="78" t="s">
        <v>718</v>
      </c>
      <c r="E122" s="52"/>
      <c r="F122" s="52">
        <v>44350</v>
      </c>
      <c r="G122" s="53">
        <v>730</v>
      </c>
      <c r="H122" s="54">
        <f t="shared" si="5"/>
        <v>45080</v>
      </c>
      <c r="I122" s="55" t="str">
        <f ca="1">IF(H122="","VACIO",IF(J122&lt;0,"Vencido hace "&amp;J122*-1&amp;" dias",IF(J122=0,"Vencido Hoy",IF(J122&lt;8,"Tiene "&amp; J122 &amp;" dias","Faltan "&amp;J122*1&amp;H122))))</f>
        <v>Vencido hace 502 dias</v>
      </c>
      <c r="J122" s="56">
        <f t="shared" ca="1" si="6"/>
        <v>-502</v>
      </c>
      <c r="K122" s="57" t="s">
        <v>719</v>
      </c>
      <c r="L122" s="55"/>
    </row>
    <row r="123" spans="2:12">
      <c r="B123" s="49" t="s">
        <v>676</v>
      </c>
      <c r="C123" s="61" t="s">
        <v>720</v>
      </c>
      <c r="D123" s="80" t="s">
        <v>721</v>
      </c>
      <c r="E123" s="52">
        <v>44831</v>
      </c>
      <c r="F123" s="52">
        <v>44831</v>
      </c>
      <c r="G123" s="53">
        <v>730</v>
      </c>
      <c r="H123" s="54">
        <f t="shared" si="5"/>
        <v>45561</v>
      </c>
      <c r="I123" s="55" t="str">
        <f ca="1">IF(H123="","VACIO",IF(J123&lt;0,"Vencido hace "&amp;J123*-1&amp;" dias",IF(J123=0,"Vencido Hoy",IF(J123&lt;8,"Tiene "&amp; J123 &amp;" dias","Faltan "&amp;J123&amp;H123))))</f>
        <v>Vencido hace 21 dias</v>
      </c>
      <c r="J123" s="56">
        <f t="shared" ca="1" si="6"/>
        <v>-21</v>
      </c>
      <c r="K123" s="57" t="s">
        <v>722</v>
      </c>
      <c r="L123" s="55"/>
    </row>
    <row r="124" spans="2:12">
      <c r="B124" s="49" t="s">
        <v>676</v>
      </c>
      <c r="C124" s="60" t="s">
        <v>723</v>
      </c>
      <c r="D124" s="79" t="s">
        <v>724</v>
      </c>
      <c r="E124" s="51" t="s">
        <v>725</v>
      </c>
      <c r="F124" s="52">
        <v>44937</v>
      </c>
      <c r="G124" s="53">
        <v>730</v>
      </c>
      <c r="H124" s="54">
        <f t="shared" si="5"/>
        <v>45667</v>
      </c>
      <c r="I124" s="55" t="str">
        <f ca="1">IF(H124="","VACIO",IF(J124&lt;0,"Vencido hace "&amp;J124*-1&amp;" dias",IF(J124=0,"Vencido Hoy",IF(J124&lt;8,"Tiene "&amp; J124 &amp;" dias","Faltan "&amp;J124&amp;H124))))</f>
        <v>Faltan 8545667</v>
      </c>
      <c r="J124" s="56">
        <f t="shared" ca="1" si="6"/>
        <v>85</v>
      </c>
      <c r="K124" s="57" t="s">
        <v>794</v>
      </c>
      <c r="L124" s="55"/>
    </row>
    <row r="125" spans="2:12">
      <c r="B125" s="49" t="s">
        <v>676</v>
      </c>
      <c r="C125" s="60" t="s">
        <v>726</v>
      </c>
      <c r="D125" s="78" t="s">
        <v>727</v>
      </c>
      <c r="E125" s="52"/>
      <c r="F125" s="52">
        <v>44522</v>
      </c>
      <c r="G125" s="53">
        <v>730</v>
      </c>
      <c r="H125" s="54">
        <f t="shared" si="5"/>
        <v>45252</v>
      </c>
      <c r="I125" s="55" t="str">
        <f ca="1">IF(H125="","VACIO",IF(J125&lt;0,"Vencido hace "&amp;J125*-1&amp;" dias",IF(J125=0,"Vencido Hoy",IF(J125&lt;8,"Tiene "&amp; J125 &amp;" dias","Faltan "&amp;J125*1&amp;H125))))</f>
        <v>Vencido hace 330 dias</v>
      </c>
      <c r="J125" s="56">
        <f t="shared" ca="1" si="6"/>
        <v>-330</v>
      </c>
      <c r="K125" s="57" t="s">
        <v>728</v>
      </c>
      <c r="L125" s="55"/>
    </row>
    <row r="126" spans="2:12">
      <c r="B126" s="49" t="s">
        <v>729</v>
      </c>
      <c r="C126" s="60" t="s">
        <v>730</v>
      </c>
      <c r="D126" s="79" t="s">
        <v>731</v>
      </c>
      <c r="E126" s="51"/>
      <c r="F126" s="52">
        <v>44767</v>
      </c>
      <c r="G126" s="53">
        <v>730</v>
      </c>
      <c r="H126" s="54">
        <f t="shared" si="5"/>
        <v>45497</v>
      </c>
      <c r="I126" s="55" t="str">
        <f t="shared" ref="I126:I132" ca="1" si="11">IF(H126="","VACIO",IF(J126&lt;0,"Vencido hace "&amp;J126*-1&amp;" dias",IF(J126=0,"Vencido Hoy",IF(J126&lt;8,"Tiene "&amp; J126 &amp;" dias","Faltan "&amp;J126&amp;H126))))</f>
        <v>Vencido hace 85 dias</v>
      </c>
      <c r="J126" s="56">
        <f t="shared" ca="1" si="6"/>
        <v>-85</v>
      </c>
      <c r="K126" s="57" t="s">
        <v>581</v>
      </c>
      <c r="L126" s="55"/>
    </row>
    <row r="127" spans="2:12">
      <c r="B127" s="49" t="s">
        <v>729</v>
      </c>
      <c r="C127" s="50" t="s">
        <v>732</v>
      </c>
      <c r="D127" s="78" t="s">
        <v>733</v>
      </c>
      <c r="E127" s="52">
        <v>44785</v>
      </c>
      <c r="F127" s="52">
        <v>44785</v>
      </c>
      <c r="G127" s="53">
        <v>730</v>
      </c>
      <c r="H127" s="54">
        <f t="shared" si="5"/>
        <v>45515</v>
      </c>
      <c r="I127" s="55" t="str">
        <f t="shared" ca="1" si="11"/>
        <v>Vencido hace 67 dias</v>
      </c>
      <c r="J127" s="56">
        <f t="shared" ca="1" si="6"/>
        <v>-67</v>
      </c>
      <c r="K127" s="57" t="s">
        <v>734</v>
      </c>
      <c r="L127" s="55"/>
    </row>
    <row r="128" spans="2:12">
      <c r="B128" s="49" t="s">
        <v>729</v>
      </c>
      <c r="C128" s="50" t="s">
        <v>735</v>
      </c>
      <c r="D128" s="78" t="s">
        <v>736</v>
      </c>
      <c r="E128" s="52">
        <v>44771</v>
      </c>
      <c r="F128" s="52">
        <v>44771</v>
      </c>
      <c r="G128" s="53">
        <v>730</v>
      </c>
      <c r="H128" s="54">
        <f t="shared" si="5"/>
        <v>45501</v>
      </c>
      <c r="I128" s="55" t="str">
        <f t="shared" ca="1" si="11"/>
        <v>Vencido hace 81 dias</v>
      </c>
      <c r="J128" s="56">
        <f t="shared" ca="1" si="6"/>
        <v>-81</v>
      </c>
      <c r="K128" s="57" t="s">
        <v>734</v>
      </c>
      <c r="L128" s="55"/>
    </row>
    <row r="129" spans="2:12">
      <c r="B129" s="49" t="s">
        <v>729</v>
      </c>
      <c r="C129" s="50" t="s">
        <v>737</v>
      </c>
      <c r="D129" s="78" t="s">
        <v>738</v>
      </c>
      <c r="E129" s="51"/>
      <c r="F129" s="52">
        <v>44334</v>
      </c>
      <c r="G129" s="53">
        <v>730</v>
      </c>
      <c r="H129" s="54">
        <f t="shared" si="5"/>
        <v>45064</v>
      </c>
      <c r="I129" s="55" t="str">
        <f t="shared" ca="1" si="11"/>
        <v>Vencido hace 518 dias</v>
      </c>
      <c r="J129" s="56">
        <f t="shared" ca="1" si="6"/>
        <v>-518</v>
      </c>
      <c r="K129" s="57" t="s">
        <v>581</v>
      </c>
      <c r="L129" s="55"/>
    </row>
    <row r="130" spans="2:12">
      <c r="B130" s="49" t="s">
        <v>729</v>
      </c>
      <c r="C130" s="50" t="s">
        <v>739</v>
      </c>
      <c r="D130" s="78" t="s">
        <v>740</v>
      </c>
      <c r="E130" s="52">
        <v>44728</v>
      </c>
      <c r="F130" s="52">
        <v>44728</v>
      </c>
      <c r="G130" s="53">
        <v>730</v>
      </c>
      <c r="H130" s="54">
        <f t="shared" si="5"/>
        <v>45458</v>
      </c>
      <c r="I130" s="55" t="str">
        <f t="shared" ca="1" si="11"/>
        <v>Vencido hace 124 dias</v>
      </c>
      <c r="J130" s="56">
        <f t="shared" ca="1" si="6"/>
        <v>-124</v>
      </c>
      <c r="K130" s="57" t="s">
        <v>741</v>
      </c>
      <c r="L130" s="55"/>
    </row>
    <row r="131" spans="2:12">
      <c r="B131" s="49" t="s">
        <v>729</v>
      </c>
      <c r="C131" s="50" t="s">
        <v>742</v>
      </c>
      <c r="D131" s="78" t="s">
        <v>743</v>
      </c>
      <c r="E131" s="51"/>
      <c r="F131" s="52">
        <v>44434</v>
      </c>
      <c r="G131" s="53">
        <v>730</v>
      </c>
      <c r="H131" s="54">
        <f t="shared" si="5"/>
        <v>45164</v>
      </c>
      <c r="I131" s="55" t="str">
        <f t="shared" ca="1" si="11"/>
        <v>Vencido hace 418 dias</v>
      </c>
      <c r="J131" s="56">
        <f t="shared" ca="1" si="6"/>
        <v>-418</v>
      </c>
      <c r="K131" s="57" t="s">
        <v>716</v>
      </c>
      <c r="L131" s="55"/>
    </row>
    <row r="132" spans="2:12">
      <c r="B132" s="49" t="s">
        <v>729</v>
      </c>
      <c r="C132" s="50" t="s">
        <v>744</v>
      </c>
      <c r="D132" s="78" t="s">
        <v>745</v>
      </c>
      <c r="E132" s="51"/>
      <c r="F132" s="52">
        <v>44375</v>
      </c>
      <c r="G132" s="53">
        <v>730</v>
      </c>
      <c r="H132" s="54">
        <f t="shared" ref="H132:H195" si="12">F132+G132</f>
        <v>45105</v>
      </c>
      <c r="I132" s="55" t="str">
        <f t="shared" ca="1" si="11"/>
        <v>Vencido hace 477 dias</v>
      </c>
      <c r="J132" s="56">
        <f t="shared" ref="J132:J195" ca="1" si="13">H132-$B$2</f>
        <v>-477</v>
      </c>
      <c r="K132" s="57" t="s">
        <v>584</v>
      </c>
      <c r="L132" s="55"/>
    </row>
    <row r="133" spans="2:12">
      <c r="B133" s="49" t="s">
        <v>729</v>
      </c>
      <c r="C133" s="50" t="s">
        <v>746</v>
      </c>
      <c r="D133" s="78" t="s">
        <v>747</v>
      </c>
      <c r="E133" s="51"/>
      <c r="F133" s="52">
        <v>44672</v>
      </c>
      <c r="G133" s="53">
        <v>730</v>
      </c>
      <c r="H133" s="54">
        <f t="shared" si="12"/>
        <v>45402</v>
      </c>
      <c r="I133" s="55" t="str">
        <f ca="1">IF(H133="","VACIO",IF(J133&lt;0,"Vencido hace "&amp;J133*-1&amp;" dias",IF(J133=0,"Vencido Hoy",IF(J133&lt;8,"Tiene "&amp; J133 &amp;" dias","Faltan "&amp;J133*1&amp;H133))))</f>
        <v>Vencido hace 180 dias</v>
      </c>
      <c r="J133" s="56">
        <f t="shared" ca="1" si="13"/>
        <v>-180</v>
      </c>
      <c r="K133" s="57" t="s">
        <v>748</v>
      </c>
      <c r="L133" s="55"/>
    </row>
    <row r="134" spans="2:12">
      <c r="B134" s="49" t="s">
        <v>729</v>
      </c>
      <c r="C134" s="50" t="s">
        <v>749</v>
      </c>
      <c r="D134" s="78" t="s">
        <v>750</v>
      </c>
      <c r="E134" s="51"/>
      <c r="F134" s="52">
        <v>44616</v>
      </c>
      <c r="G134" s="53">
        <v>730</v>
      </c>
      <c r="H134" s="54">
        <f t="shared" si="12"/>
        <v>45346</v>
      </c>
      <c r="I134" s="55" t="str">
        <f ca="1">IF(H134="","VACIO",IF(J134&lt;0,"Vencido hace "&amp;J134*-1&amp;" dias",IF(J134=0,"Vencido Hoy",IF(J134&lt;8,"Tiene "&amp; J134 &amp;" dias","Faltan "&amp;J134*1&amp;H134))))</f>
        <v>Vencido hace 236 dias</v>
      </c>
      <c r="J134" s="56">
        <f t="shared" ca="1" si="13"/>
        <v>-236</v>
      </c>
      <c r="K134" s="57" t="s">
        <v>751</v>
      </c>
      <c r="L134" s="55"/>
    </row>
    <row r="135" spans="2:12">
      <c r="B135" s="49" t="s">
        <v>729</v>
      </c>
      <c r="C135" s="50" t="s">
        <v>752</v>
      </c>
      <c r="D135" s="78" t="s">
        <v>753</v>
      </c>
      <c r="E135" s="51"/>
      <c r="F135" s="52">
        <v>44596</v>
      </c>
      <c r="G135" s="53">
        <v>730</v>
      </c>
      <c r="H135" s="54">
        <f t="shared" si="12"/>
        <v>45326</v>
      </c>
      <c r="I135" s="55" t="str">
        <f t="shared" ref="I135:I146" ca="1" si="14">IF(H135="","VACIO",IF(J135&lt;0,"Vencido hace "&amp;J135*-1&amp;" dias",IF(J135=0,"Vencido Hoy",IF(J135&lt;8,"Tiene "&amp; J135 &amp;" dias","Faltan "&amp;J135&amp;H135))))</f>
        <v>Vencido hace 256 dias</v>
      </c>
      <c r="J135" s="56">
        <f t="shared" ca="1" si="13"/>
        <v>-256</v>
      </c>
      <c r="K135" s="57" t="s">
        <v>545</v>
      </c>
      <c r="L135" s="55"/>
    </row>
    <row r="136" spans="2:12">
      <c r="B136" s="49" t="s">
        <v>729</v>
      </c>
      <c r="C136" s="50" t="s">
        <v>754</v>
      </c>
      <c r="D136" s="78" t="s">
        <v>755</v>
      </c>
      <c r="E136" s="51" t="s">
        <v>1386</v>
      </c>
      <c r="F136" s="52">
        <v>44902</v>
      </c>
      <c r="G136" s="53">
        <v>730</v>
      </c>
      <c r="H136" s="54">
        <f t="shared" si="12"/>
        <v>45632</v>
      </c>
      <c r="I136" s="55" t="str">
        <f t="shared" ca="1" si="14"/>
        <v>Faltan 5045632</v>
      </c>
      <c r="J136" s="56">
        <f t="shared" ca="1" si="13"/>
        <v>50</v>
      </c>
      <c r="K136" s="57" t="s">
        <v>756</v>
      </c>
      <c r="L136" s="55"/>
    </row>
    <row r="137" spans="2:12">
      <c r="B137" s="49" t="s">
        <v>729</v>
      </c>
      <c r="C137" s="61" t="s">
        <v>757</v>
      </c>
      <c r="D137" s="80" t="s">
        <v>758</v>
      </c>
      <c r="E137" s="51"/>
      <c r="F137" s="52">
        <v>44651</v>
      </c>
      <c r="G137" s="53">
        <v>730</v>
      </c>
      <c r="H137" s="54">
        <f t="shared" si="12"/>
        <v>45381</v>
      </c>
      <c r="I137" s="55" t="str">
        <f t="shared" ca="1" si="14"/>
        <v>Vencido hace 201 dias</v>
      </c>
      <c r="J137" s="56">
        <f t="shared" ca="1" si="13"/>
        <v>-201</v>
      </c>
      <c r="K137" s="57" t="s">
        <v>716</v>
      </c>
      <c r="L137" s="55"/>
    </row>
    <row r="138" spans="2:12">
      <c r="B138" s="49" t="s">
        <v>729</v>
      </c>
      <c r="C138" s="61" t="s">
        <v>759</v>
      </c>
      <c r="D138" s="80" t="s">
        <v>760</v>
      </c>
      <c r="E138" s="51"/>
      <c r="F138" s="52">
        <v>44651</v>
      </c>
      <c r="G138" s="53">
        <v>730</v>
      </c>
      <c r="H138" s="54">
        <f t="shared" si="12"/>
        <v>45381</v>
      </c>
      <c r="I138" s="55" t="str">
        <f t="shared" ca="1" si="14"/>
        <v>Vencido hace 201 dias</v>
      </c>
      <c r="J138" s="56">
        <f t="shared" ca="1" si="13"/>
        <v>-201</v>
      </c>
      <c r="K138" s="57" t="s">
        <v>761</v>
      </c>
      <c r="L138" s="55"/>
    </row>
    <row r="139" spans="2:12">
      <c r="B139" s="49" t="s">
        <v>762</v>
      </c>
      <c r="C139" s="50" t="s">
        <v>763</v>
      </c>
      <c r="D139" s="80" t="s">
        <v>764</v>
      </c>
      <c r="E139" s="51" t="s">
        <v>1429</v>
      </c>
      <c r="F139" s="52">
        <v>45131</v>
      </c>
      <c r="G139" s="53">
        <v>730</v>
      </c>
      <c r="H139" s="54">
        <f t="shared" si="12"/>
        <v>45861</v>
      </c>
      <c r="I139" s="55" t="str">
        <f t="shared" ca="1" si="14"/>
        <v>Faltan 27945861</v>
      </c>
      <c r="J139" s="56">
        <f t="shared" ca="1" si="13"/>
        <v>279</v>
      </c>
      <c r="K139" s="57" t="s">
        <v>581</v>
      </c>
      <c r="L139" s="55"/>
    </row>
    <row r="140" spans="2:12">
      <c r="B140" s="49" t="s">
        <v>762</v>
      </c>
      <c r="C140" s="50" t="s">
        <v>765</v>
      </c>
      <c r="D140" s="78" t="s">
        <v>766</v>
      </c>
      <c r="E140" s="52">
        <v>44809</v>
      </c>
      <c r="F140" s="52">
        <v>44809</v>
      </c>
      <c r="G140" s="53">
        <v>730</v>
      </c>
      <c r="H140" s="54">
        <f t="shared" si="12"/>
        <v>45539</v>
      </c>
      <c r="I140" s="55" t="str">
        <f t="shared" ca="1" si="14"/>
        <v>Vencido hace 43 dias</v>
      </c>
      <c r="J140" s="56">
        <f t="shared" ca="1" si="13"/>
        <v>-43</v>
      </c>
      <c r="K140" s="57" t="s">
        <v>767</v>
      </c>
      <c r="L140" s="55"/>
    </row>
    <row r="141" spans="2:12">
      <c r="B141" s="49" t="s">
        <v>762</v>
      </c>
      <c r="C141" s="50" t="s">
        <v>768</v>
      </c>
      <c r="D141" s="78" t="s">
        <v>769</v>
      </c>
      <c r="E141" s="51"/>
      <c r="F141" s="52">
        <v>44371</v>
      </c>
      <c r="G141" s="53">
        <v>730</v>
      </c>
      <c r="H141" s="54">
        <f t="shared" si="12"/>
        <v>45101</v>
      </c>
      <c r="I141" s="55" t="str">
        <f t="shared" ca="1" si="14"/>
        <v>Vencido hace 481 dias</v>
      </c>
      <c r="J141" s="56">
        <f t="shared" ca="1" si="13"/>
        <v>-481</v>
      </c>
      <c r="K141" s="57" t="s">
        <v>770</v>
      </c>
      <c r="L141" s="55"/>
    </row>
    <row r="142" spans="2:12">
      <c r="B142" s="49" t="s">
        <v>762</v>
      </c>
      <c r="C142" s="50" t="s">
        <v>771</v>
      </c>
      <c r="D142" s="78" t="s">
        <v>772</v>
      </c>
      <c r="E142" s="51"/>
      <c r="F142" s="52">
        <v>44490</v>
      </c>
      <c r="G142" s="53">
        <v>730</v>
      </c>
      <c r="H142" s="54">
        <f t="shared" si="12"/>
        <v>45220</v>
      </c>
      <c r="I142" s="55" t="str">
        <f t="shared" ca="1" si="14"/>
        <v>Vencido hace 362 dias</v>
      </c>
      <c r="J142" s="56">
        <f t="shared" ca="1" si="13"/>
        <v>-362</v>
      </c>
      <c r="K142" s="57" t="s">
        <v>716</v>
      </c>
      <c r="L142" s="55"/>
    </row>
    <row r="143" spans="2:12">
      <c r="B143" s="49" t="s">
        <v>762</v>
      </c>
      <c r="C143" s="50" t="s">
        <v>773</v>
      </c>
      <c r="D143" s="78" t="s">
        <v>774</v>
      </c>
      <c r="E143" s="52">
        <v>44799</v>
      </c>
      <c r="F143" s="52">
        <v>44799</v>
      </c>
      <c r="G143" s="53">
        <v>730</v>
      </c>
      <c r="H143" s="54">
        <f t="shared" si="12"/>
        <v>45529</v>
      </c>
      <c r="I143" s="55" t="str">
        <f t="shared" ca="1" si="14"/>
        <v>Vencido hace 53 dias</v>
      </c>
      <c r="J143" s="56">
        <f t="shared" ca="1" si="13"/>
        <v>-53</v>
      </c>
      <c r="K143" s="57" t="s">
        <v>295</v>
      </c>
      <c r="L143" s="55"/>
    </row>
    <row r="144" spans="2:12">
      <c r="B144" s="49" t="s">
        <v>762</v>
      </c>
      <c r="C144" s="61" t="s">
        <v>775</v>
      </c>
      <c r="D144" s="80" t="s">
        <v>776</v>
      </c>
      <c r="E144" s="51"/>
      <c r="F144" s="52">
        <v>44258</v>
      </c>
      <c r="G144" s="53">
        <v>730</v>
      </c>
      <c r="H144" s="54">
        <f t="shared" si="12"/>
        <v>44988</v>
      </c>
      <c r="I144" s="55" t="str">
        <f t="shared" ca="1" si="14"/>
        <v>Vencido hace 594 dias</v>
      </c>
      <c r="J144" s="56">
        <f t="shared" ca="1" si="13"/>
        <v>-594</v>
      </c>
      <c r="K144" s="57" t="s">
        <v>581</v>
      </c>
      <c r="L144" s="55"/>
    </row>
    <row r="145" spans="2:12">
      <c r="B145" s="49" t="s">
        <v>762</v>
      </c>
      <c r="C145" s="61" t="s">
        <v>777</v>
      </c>
      <c r="D145" s="80" t="s">
        <v>778</v>
      </c>
      <c r="E145" s="51"/>
      <c r="F145" s="52">
        <v>44488</v>
      </c>
      <c r="G145" s="53">
        <v>730</v>
      </c>
      <c r="H145" s="54">
        <f t="shared" si="12"/>
        <v>45218</v>
      </c>
      <c r="I145" s="55" t="str">
        <f t="shared" ca="1" si="14"/>
        <v>Vencido hace 364 dias</v>
      </c>
      <c r="J145" s="56">
        <f t="shared" ca="1" si="13"/>
        <v>-364</v>
      </c>
      <c r="K145" s="57" t="s">
        <v>716</v>
      </c>
      <c r="L145" s="55"/>
    </row>
    <row r="146" spans="2:12">
      <c r="B146" s="49" t="s">
        <v>762</v>
      </c>
      <c r="C146" s="61" t="s">
        <v>779</v>
      </c>
      <c r="D146" s="80" t="s">
        <v>780</v>
      </c>
      <c r="E146" s="51"/>
      <c r="F146" s="52">
        <v>44263</v>
      </c>
      <c r="G146" s="53">
        <v>730</v>
      </c>
      <c r="H146" s="54">
        <f t="shared" si="12"/>
        <v>44993</v>
      </c>
      <c r="I146" s="55" t="str">
        <f t="shared" ca="1" si="14"/>
        <v>Vencido hace 589 dias</v>
      </c>
      <c r="J146" s="56">
        <f t="shared" ca="1" si="13"/>
        <v>-589</v>
      </c>
      <c r="K146" s="57" t="s">
        <v>781</v>
      </c>
      <c r="L146" s="55"/>
    </row>
    <row r="147" spans="2:12">
      <c r="B147" s="49" t="s">
        <v>762</v>
      </c>
      <c r="C147" s="61" t="s">
        <v>782</v>
      </c>
      <c r="D147" s="79" t="s">
        <v>783</v>
      </c>
      <c r="E147" s="51"/>
      <c r="F147" s="52">
        <v>44809</v>
      </c>
      <c r="G147" s="53">
        <v>730</v>
      </c>
      <c r="H147" s="54">
        <f t="shared" si="12"/>
        <v>45539</v>
      </c>
      <c r="I147" s="55" t="str">
        <f ca="1">IF(H147="","VACIO",IF(J147&lt;0,"Vencido hace "&amp;J147*-1&amp;" dias",IF(J147=0,"Vencido Hoy",IF(J147&lt;8,"Tiene "&amp; J147 &amp;" dias","Faltan "&amp;J147*1&amp;H147))))</f>
        <v>Vencido hace 43 dias</v>
      </c>
      <c r="J147" s="56">
        <f t="shared" ca="1" si="13"/>
        <v>-43</v>
      </c>
      <c r="K147" s="57" t="s">
        <v>784</v>
      </c>
      <c r="L147" s="55"/>
    </row>
    <row r="148" spans="2:12">
      <c r="B148" s="49" t="s">
        <v>762</v>
      </c>
      <c r="C148" s="61" t="s">
        <v>785</v>
      </c>
      <c r="D148" s="80" t="s">
        <v>786</v>
      </c>
      <c r="E148" s="52"/>
      <c r="F148" s="52">
        <v>44407</v>
      </c>
      <c r="G148" s="53">
        <v>730</v>
      </c>
      <c r="H148" s="54">
        <f t="shared" si="12"/>
        <v>45137</v>
      </c>
      <c r="I148" s="55" t="str">
        <f t="shared" ref="I148:I153" ca="1" si="15">IF(H148="","VACIO",IF(J148&lt;0,"Vencido hace "&amp;J148*-1&amp;" dias",IF(J148=0,"Vencido Hoy",IF(J148&lt;8,"Tiene "&amp; J148 &amp;" dias","Faltan "&amp;J148&amp;H148))))</f>
        <v>Vencido hace 445 dias</v>
      </c>
      <c r="J148" s="56">
        <f t="shared" ca="1" si="13"/>
        <v>-445</v>
      </c>
      <c r="K148" s="57" t="s">
        <v>490</v>
      </c>
      <c r="L148" s="55"/>
    </row>
    <row r="149" spans="2:12">
      <c r="B149" s="49" t="s">
        <v>762</v>
      </c>
      <c r="C149" s="61" t="s">
        <v>787</v>
      </c>
      <c r="D149" s="80" t="s">
        <v>788</v>
      </c>
      <c r="E149" s="51"/>
      <c r="F149" s="52">
        <v>45261</v>
      </c>
      <c r="G149" s="53">
        <v>730</v>
      </c>
      <c r="H149" s="54">
        <f t="shared" si="12"/>
        <v>45991</v>
      </c>
      <c r="I149" s="55" t="str">
        <f t="shared" ca="1" si="15"/>
        <v>Faltan 40945991</v>
      </c>
      <c r="J149" s="56">
        <f t="shared" ca="1" si="13"/>
        <v>409</v>
      </c>
      <c r="K149" s="57" t="s">
        <v>1387</v>
      </c>
      <c r="L149" s="55"/>
    </row>
    <row r="150" spans="2:12">
      <c r="B150" s="49" t="s">
        <v>762</v>
      </c>
      <c r="C150" s="50" t="s">
        <v>789</v>
      </c>
      <c r="D150" s="78" t="s">
        <v>790</v>
      </c>
      <c r="E150" s="52">
        <v>44873</v>
      </c>
      <c r="F150" s="52">
        <v>44873</v>
      </c>
      <c r="G150" s="53">
        <v>730</v>
      </c>
      <c r="H150" s="54">
        <f t="shared" si="12"/>
        <v>45603</v>
      </c>
      <c r="I150" s="55" t="str">
        <f t="shared" ca="1" si="15"/>
        <v>Faltan 2145603</v>
      </c>
      <c r="J150" s="56">
        <f t="shared" ca="1" si="13"/>
        <v>21</v>
      </c>
      <c r="K150" s="57" t="s">
        <v>791</v>
      </c>
      <c r="L150" s="55"/>
    </row>
    <row r="151" spans="2:12">
      <c r="B151" s="49" t="s">
        <v>762</v>
      </c>
      <c r="C151" s="50" t="s">
        <v>792</v>
      </c>
      <c r="D151" s="78" t="s">
        <v>793</v>
      </c>
      <c r="E151" s="51"/>
      <c r="F151" s="52">
        <v>44503</v>
      </c>
      <c r="G151" s="53">
        <v>730</v>
      </c>
      <c r="H151" s="54">
        <f t="shared" si="12"/>
        <v>45233</v>
      </c>
      <c r="I151" s="55" t="str">
        <f t="shared" ca="1" si="15"/>
        <v>Vencido hace 349 dias</v>
      </c>
      <c r="J151" s="56">
        <f t="shared" ca="1" si="13"/>
        <v>-349</v>
      </c>
      <c r="K151" s="57" t="s">
        <v>794</v>
      </c>
      <c r="L151" s="55"/>
    </row>
    <row r="152" spans="2:12">
      <c r="B152" s="49" t="s">
        <v>762</v>
      </c>
      <c r="C152" s="50" t="s">
        <v>795</v>
      </c>
      <c r="D152" s="78" t="s">
        <v>796</v>
      </c>
      <c r="E152" s="51"/>
      <c r="F152" s="52">
        <v>44623</v>
      </c>
      <c r="G152" s="53">
        <v>730</v>
      </c>
      <c r="H152" s="54">
        <f t="shared" si="12"/>
        <v>45353</v>
      </c>
      <c r="I152" s="55" t="str">
        <f t="shared" ca="1" si="15"/>
        <v>Vencido hace 229 dias</v>
      </c>
      <c r="J152" s="56">
        <f t="shared" ca="1" si="13"/>
        <v>-229</v>
      </c>
      <c r="K152" s="57" t="s">
        <v>797</v>
      </c>
      <c r="L152" s="55"/>
    </row>
    <row r="153" spans="2:12">
      <c r="B153" s="49" t="s">
        <v>798</v>
      </c>
      <c r="C153" s="50" t="s">
        <v>802</v>
      </c>
      <c r="D153" s="80" t="s">
        <v>803</v>
      </c>
      <c r="E153" s="51"/>
      <c r="F153" s="52">
        <v>44692</v>
      </c>
      <c r="G153" s="53">
        <v>730</v>
      </c>
      <c r="H153" s="54">
        <f t="shared" si="12"/>
        <v>45422</v>
      </c>
      <c r="I153" s="55" t="str">
        <f t="shared" ca="1" si="15"/>
        <v>Vencido hace 160 dias</v>
      </c>
      <c r="J153" s="56">
        <f t="shared" ca="1" si="13"/>
        <v>-160</v>
      </c>
      <c r="K153" s="57" t="s">
        <v>804</v>
      </c>
      <c r="L153" s="55"/>
    </row>
    <row r="154" spans="2:12">
      <c r="B154" s="49" t="s">
        <v>798</v>
      </c>
      <c r="C154" s="50" t="s">
        <v>799</v>
      </c>
      <c r="D154" s="80" t="s">
        <v>800</v>
      </c>
      <c r="E154" s="51"/>
      <c r="F154" s="52">
        <v>44616</v>
      </c>
      <c r="G154" s="53">
        <v>730</v>
      </c>
      <c r="H154" s="54">
        <f t="shared" si="12"/>
        <v>45346</v>
      </c>
      <c r="I154" s="55" t="str">
        <f ca="1">IF(H154="","VACIO",IF(J154&lt;0,"Vencido hace "&amp;J154*-1&amp;" dias",IF(J154=0,"Vencido Hoy",IF(J154&lt;8,"Tiene "&amp; J154 &amp;" dias","Faltan "&amp;J154*1&amp;H154))))</f>
        <v>Vencido hace 236 dias</v>
      </c>
      <c r="J154" s="56">
        <f t="shared" ca="1" si="13"/>
        <v>-236</v>
      </c>
      <c r="K154" s="57" t="s">
        <v>801</v>
      </c>
      <c r="L154" s="55"/>
    </row>
    <row r="155" spans="2:12">
      <c r="B155" s="49" t="s">
        <v>798</v>
      </c>
      <c r="C155" s="50" t="s">
        <v>805</v>
      </c>
      <c r="D155" s="78" t="s">
        <v>806</v>
      </c>
      <c r="E155" s="52">
        <v>44834</v>
      </c>
      <c r="F155" s="52">
        <v>44834</v>
      </c>
      <c r="G155" s="53">
        <v>730</v>
      </c>
      <c r="H155" s="54">
        <f t="shared" si="12"/>
        <v>45564</v>
      </c>
      <c r="I155" s="55" t="str">
        <f ca="1">IF(H155="","VACIO",IF(J155&lt;0,"Vencido hace "&amp;J155*-1&amp;" dias",IF(J155=0,"Vencido Hoy",IF(J155&lt;8,"Tiene "&amp; J155 &amp;" dias","Faltan "&amp;J155&amp;H155))))</f>
        <v>Vencido hace 18 dias</v>
      </c>
      <c r="J155" s="56">
        <f t="shared" ca="1" si="13"/>
        <v>-18</v>
      </c>
      <c r="K155" s="57" t="s">
        <v>807</v>
      </c>
      <c r="L155" s="55"/>
    </row>
    <row r="156" spans="2:12">
      <c r="B156" s="49" t="s">
        <v>798</v>
      </c>
      <c r="C156" s="50" t="s">
        <v>808</v>
      </c>
      <c r="D156" s="78" t="s">
        <v>809</v>
      </c>
      <c r="E156" s="52">
        <v>44834</v>
      </c>
      <c r="F156" s="52">
        <v>44834</v>
      </c>
      <c r="G156" s="53">
        <v>730</v>
      </c>
      <c r="H156" s="54">
        <f t="shared" si="12"/>
        <v>45564</v>
      </c>
      <c r="I156" s="55" t="str">
        <f ca="1">IF(H156="","VACIO",IF(J156&lt;0,"Vencido hace "&amp;J156*-1&amp;" dias",IF(J156=0,"Vencido Hoy",IF(J156&lt;8,"Tiene "&amp; J156 &amp;" dias","Faltan "&amp;J156&amp;H156))))</f>
        <v>Vencido hace 18 dias</v>
      </c>
      <c r="J156" s="56">
        <f t="shared" ca="1" si="13"/>
        <v>-18</v>
      </c>
      <c r="K156" s="57" t="s">
        <v>58</v>
      </c>
      <c r="L156" s="55"/>
    </row>
    <row r="157" spans="2:12">
      <c r="B157" s="49" t="s">
        <v>798</v>
      </c>
      <c r="C157" s="50" t="s">
        <v>810</v>
      </c>
      <c r="D157" s="78" t="s">
        <v>811</v>
      </c>
      <c r="E157" s="51" t="s">
        <v>812</v>
      </c>
      <c r="F157" s="52">
        <v>44628</v>
      </c>
      <c r="G157" s="53">
        <v>730</v>
      </c>
      <c r="H157" s="54">
        <f t="shared" si="12"/>
        <v>45358</v>
      </c>
      <c r="I157" s="55" t="str">
        <f ca="1">IF(H157="","VACIO",IF(J157&lt;0,"Vencido hace "&amp;J157*-1&amp;" dias",IF(J157=0,"Vencido Hoy",IF(J157&lt;8,"Tiene "&amp; J157 &amp;" dias","Faltan "&amp;J157&amp;H157))))</f>
        <v>Vencido hace 224 dias</v>
      </c>
      <c r="J157" s="56">
        <f t="shared" ca="1" si="13"/>
        <v>-224</v>
      </c>
      <c r="K157" s="57"/>
      <c r="L157" s="55"/>
    </row>
    <row r="158" spans="2:12">
      <c r="B158" s="49" t="s">
        <v>798</v>
      </c>
      <c r="C158" s="50" t="s">
        <v>813</v>
      </c>
      <c r="D158" s="78" t="s">
        <v>814</v>
      </c>
      <c r="E158" s="51"/>
      <c r="F158" s="52">
        <v>44438</v>
      </c>
      <c r="G158" s="53">
        <v>730</v>
      </c>
      <c r="H158" s="54">
        <f t="shared" si="12"/>
        <v>45168</v>
      </c>
      <c r="I158" s="55" t="str">
        <f ca="1">IF(H158="","VACIO",IF(J158&lt;0,"Vencido hace "&amp;J158*-1&amp;" dias",IF(J158=0,"Vencido Hoy",IF(J158&lt;8,"Tiene "&amp; J158 &amp;" dias","Faltan "&amp;J158&amp;H158))))</f>
        <v>Vencido hace 414 dias</v>
      </c>
      <c r="J158" s="56">
        <f t="shared" ca="1" si="13"/>
        <v>-414</v>
      </c>
      <c r="K158" s="57" t="s">
        <v>716</v>
      </c>
      <c r="L158" s="55"/>
    </row>
    <row r="159" spans="2:12">
      <c r="B159" s="49" t="s">
        <v>798</v>
      </c>
      <c r="C159" s="50" t="s">
        <v>815</v>
      </c>
      <c r="D159" s="78" t="s">
        <v>816</v>
      </c>
      <c r="E159" s="52">
        <v>44868</v>
      </c>
      <c r="F159" s="52">
        <v>44868</v>
      </c>
      <c r="G159" s="53">
        <v>730</v>
      </c>
      <c r="H159" s="54">
        <f t="shared" si="12"/>
        <v>45598</v>
      </c>
      <c r="I159" s="55" t="str">
        <f ca="1">IF(H159="","VACIO",IF(J159&lt;0,"Vencido hace "&amp;J159*-1&amp;" dias",IF(J159=0,"Vencido Hoy",IF(J159&lt;8,"Tiene "&amp; J159 &amp;" dias","Faltan "&amp;J159&amp;H159))))</f>
        <v>Faltan 1645598</v>
      </c>
      <c r="J159" s="56">
        <f t="shared" ca="1" si="13"/>
        <v>16</v>
      </c>
      <c r="K159" s="57" t="s">
        <v>817</v>
      </c>
      <c r="L159" s="55"/>
    </row>
    <row r="160" spans="2:12">
      <c r="B160" s="49" t="s">
        <v>798</v>
      </c>
      <c r="C160" s="60" t="s">
        <v>818</v>
      </c>
      <c r="D160" s="79" t="s">
        <v>819</v>
      </c>
      <c r="E160" s="52"/>
      <c r="F160" s="52">
        <v>45218</v>
      </c>
      <c r="G160" s="53">
        <v>730</v>
      </c>
      <c r="H160" s="54">
        <f t="shared" si="12"/>
        <v>45948</v>
      </c>
      <c r="I160" s="55" t="str">
        <f ca="1">IF(H160="","VACIO",IF(J160&lt;0,"Vencido hace "&amp;J160*-1&amp;" dias",IF(J160=0,"Vencido Hoy",IF(J160&lt;8,"Tiene "&amp; J160 &amp;" dias","Faltan "&amp;J160*1&amp;H160))))</f>
        <v>Faltan 36645948</v>
      </c>
      <c r="J160" s="56">
        <f t="shared" ca="1" si="13"/>
        <v>366</v>
      </c>
      <c r="K160" s="57" t="s">
        <v>470</v>
      </c>
      <c r="L160" s="55"/>
    </row>
    <row r="161" spans="2:12">
      <c r="B161" s="49" t="s">
        <v>798</v>
      </c>
      <c r="C161" s="50" t="s">
        <v>820</v>
      </c>
      <c r="D161" s="78" t="s">
        <v>821</v>
      </c>
      <c r="E161" s="51"/>
      <c r="F161" s="52">
        <v>44355</v>
      </c>
      <c r="G161" s="53">
        <v>730</v>
      </c>
      <c r="H161" s="54">
        <f t="shared" si="12"/>
        <v>45085</v>
      </c>
      <c r="I161" s="55" t="str">
        <f t="shared" ref="I161:I169" ca="1" si="16">IF(H161="","VACIO",IF(J161&lt;0,"Vencido hace "&amp;J161*-1&amp;" dias",IF(J161=0,"Vencido Hoy",IF(J161&lt;8,"Tiene "&amp; J161 &amp;" dias","Faltan "&amp;J161&amp;H161))))</f>
        <v>Vencido hace 497 dias</v>
      </c>
      <c r="J161" s="56">
        <f t="shared" ca="1" si="13"/>
        <v>-497</v>
      </c>
      <c r="K161" s="57" t="s">
        <v>604</v>
      </c>
      <c r="L161" s="55"/>
    </row>
    <row r="162" spans="2:12">
      <c r="B162" s="49" t="s">
        <v>798</v>
      </c>
      <c r="C162" s="50" t="s">
        <v>822</v>
      </c>
      <c r="D162" s="78" t="s">
        <v>823</v>
      </c>
      <c r="E162" s="52">
        <v>44840</v>
      </c>
      <c r="F162" s="52">
        <v>44840</v>
      </c>
      <c r="G162" s="53">
        <v>730</v>
      </c>
      <c r="H162" s="54">
        <f t="shared" si="12"/>
        <v>45570</v>
      </c>
      <c r="I162" s="55" t="str">
        <f t="shared" ca="1" si="16"/>
        <v>Vencido hace 12 dias</v>
      </c>
      <c r="J162" s="56">
        <f t="shared" ca="1" si="13"/>
        <v>-12</v>
      </c>
      <c r="K162" s="57" t="s">
        <v>824</v>
      </c>
      <c r="L162" s="55"/>
    </row>
    <row r="163" spans="2:12">
      <c r="B163" s="49" t="s">
        <v>798</v>
      </c>
      <c r="C163" s="50" t="s">
        <v>825</v>
      </c>
      <c r="D163" s="78" t="s">
        <v>826</v>
      </c>
      <c r="E163" s="52">
        <v>44844</v>
      </c>
      <c r="F163" s="52">
        <v>44844</v>
      </c>
      <c r="G163" s="53">
        <v>730</v>
      </c>
      <c r="H163" s="54">
        <f t="shared" si="12"/>
        <v>45574</v>
      </c>
      <c r="I163" s="55" t="str">
        <f t="shared" ca="1" si="16"/>
        <v>Vencido hace 8 dias</v>
      </c>
      <c r="J163" s="56">
        <f t="shared" ca="1" si="13"/>
        <v>-8</v>
      </c>
      <c r="K163" s="57" t="s">
        <v>827</v>
      </c>
      <c r="L163" s="55"/>
    </row>
    <row r="164" spans="2:12">
      <c r="B164" s="49" t="s">
        <v>798</v>
      </c>
      <c r="C164" s="50" t="s">
        <v>828</v>
      </c>
      <c r="D164" s="78" t="s">
        <v>829</v>
      </c>
      <c r="E164" s="51"/>
      <c r="F164" s="52">
        <v>44328</v>
      </c>
      <c r="G164" s="53">
        <v>730</v>
      </c>
      <c r="H164" s="54">
        <f t="shared" si="12"/>
        <v>45058</v>
      </c>
      <c r="I164" s="55" t="str">
        <f t="shared" ca="1" si="16"/>
        <v>Vencido hace 524 dias</v>
      </c>
      <c r="J164" s="56">
        <f t="shared" ca="1" si="13"/>
        <v>-524</v>
      </c>
      <c r="K164" s="57" t="s">
        <v>830</v>
      </c>
      <c r="L164" s="55"/>
    </row>
    <row r="165" spans="2:12">
      <c r="B165" s="49" t="s">
        <v>798</v>
      </c>
      <c r="C165" s="50" t="s">
        <v>831</v>
      </c>
      <c r="D165" s="78" t="s">
        <v>832</v>
      </c>
      <c r="E165" s="51" t="s">
        <v>812</v>
      </c>
      <c r="F165" s="52">
        <v>44628</v>
      </c>
      <c r="G165" s="53">
        <v>730</v>
      </c>
      <c r="H165" s="54">
        <f t="shared" si="12"/>
        <v>45358</v>
      </c>
      <c r="I165" s="55" t="str">
        <f t="shared" ca="1" si="16"/>
        <v>Vencido hace 224 dias</v>
      </c>
      <c r="J165" s="56">
        <f t="shared" ca="1" si="13"/>
        <v>-224</v>
      </c>
      <c r="K165" s="57"/>
      <c r="L165" s="55"/>
    </row>
    <row r="166" spans="2:12">
      <c r="B166" s="49" t="s">
        <v>798</v>
      </c>
      <c r="C166" s="50" t="s">
        <v>833</v>
      </c>
      <c r="D166" s="78" t="s">
        <v>834</v>
      </c>
      <c r="E166" s="51"/>
      <c r="F166" s="52">
        <v>44431</v>
      </c>
      <c r="G166" s="53">
        <v>730</v>
      </c>
      <c r="H166" s="54">
        <f t="shared" si="12"/>
        <v>45161</v>
      </c>
      <c r="I166" s="55" t="str">
        <f t="shared" ca="1" si="16"/>
        <v>Vencido hace 421 dias</v>
      </c>
      <c r="J166" s="56">
        <f t="shared" ca="1" si="13"/>
        <v>-421</v>
      </c>
      <c r="K166" s="57" t="s">
        <v>835</v>
      </c>
      <c r="L166" s="55"/>
    </row>
    <row r="167" spans="2:12">
      <c r="B167" s="49" t="s">
        <v>798</v>
      </c>
      <c r="C167" s="50" t="s">
        <v>836</v>
      </c>
      <c r="D167" s="78" t="s">
        <v>837</v>
      </c>
      <c r="E167" s="51"/>
      <c r="F167" s="52">
        <v>44491</v>
      </c>
      <c r="G167" s="53">
        <v>730</v>
      </c>
      <c r="H167" s="54">
        <f t="shared" si="12"/>
        <v>45221</v>
      </c>
      <c r="I167" s="55" t="str">
        <f t="shared" ca="1" si="16"/>
        <v>Vencido hace 361 dias</v>
      </c>
      <c r="J167" s="56">
        <f t="shared" ca="1" si="13"/>
        <v>-361</v>
      </c>
      <c r="K167" s="57" t="s">
        <v>716</v>
      </c>
      <c r="L167" s="55"/>
    </row>
    <row r="168" spans="2:12">
      <c r="B168" s="49" t="s">
        <v>798</v>
      </c>
      <c r="C168" s="61" t="s">
        <v>838</v>
      </c>
      <c r="D168" s="80" t="s">
        <v>839</v>
      </c>
      <c r="E168" s="51" t="s">
        <v>648</v>
      </c>
      <c r="F168" s="52">
        <v>44707</v>
      </c>
      <c r="G168" s="53">
        <v>730</v>
      </c>
      <c r="H168" s="54">
        <f t="shared" si="12"/>
        <v>45437</v>
      </c>
      <c r="I168" s="55" t="str">
        <f t="shared" ca="1" si="16"/>
        <v>Vencido hace 145 dias</v>
      </c>
      <c r="J168" s="56">
        <f t="shared" ca="1" si="13"/>
        <v>-145</v>
      </c>
      <c r="K168" s="57" t="s">
        <v>840</v>
      </c>
      <c r="L168" s="55"/>
    </row>
    <row r="169" spans="2:12">
      <c r="B169" s="49" t="s">
        <v>798</v>
      </c>
      <c r="C169" s="61" t="s">
        <v>841</v>
      </c>
      <c r="D169" s="80" t="s">
        <v>842</v>
      </c>
      <c r="E169" s="51"/>
      <c r="F169" s="52">
        <v>44368</v>
      </c>
      <c r="G169" s="53">
        <v>730</v>
      </c>
      <c r="H169" s="54">
        <f t="shared" si="12"/>
        <v>45098</v>
      </c>
      <c r="I169" s="55" t="str">
        <f t="shared" ca="1" si="16"/>
        <v>Vencido hace 484 dias</v>
      </c>
      <c r="J169" s="56">
        <f t="shared" ca="1" si="13"/>
        <v>-484</v>
      </c>
      <c r="K169" s="57" t="s">
        <v>716</v>
      </c>
      <c r="L169" s="55"/>
    </row>
    <row r="170" spans="2:12">
      <c r="B170" s="49" t="s">
        <v>798</v>
      </c>
      <c r="C170" s="61" t="s">
        <v>843</v>
      </c>
      <c r="D170" s="80" t="s">
        <v>844</v>
      </c>
      <c r="E170" s="51"/>
      <c r="F170" s="52">
        <v>44484</v>
      </c>
      <c r="G170" s="53">
        <v>730</v>
      </c>
      <c r="H170" s="54">
        <f t="shared" si="12"/>
        <v>45214</v>
      </c>
      <c r="I170" s="55" t="str">
        <f ca="1">IF(H170="","VACIO",IF(J170&lt;0,"Vencido hace "&amp;J170*-1&amp;" dias",IF(J170=0,"Vencido Hoy",IF(J170&lt;8,"Tiene "&amp; J170 &amp;" dias","Faltan "&amp;J170*1&amp;H170))))</f>
        <v>Vencido hace 368 dias</v>
      </c>
      <c r="J170" s="56">
        <f t="shared" ca="1" si="13"/>
        <v>-368</v>
      </c>
      <c r="K170" s="57"/>
      <c r="L170" s="55"/>
    </row>
    <row r="171" spans="2:12">
      <c r="B171" s="49" t="s">
        <v>798</v>
      </c>
      <c r="C171" s="61" t="s">
        <v>845</v>
      </c>
      <c r="D171" s="80" t="s">
        <v>846</v>
      </c>
      <c r="E171" s="51"/>
      <c r="F171" s="52">
        <v>44502</v>
      </c>
      <c r="G171" s="53">
        <v>730</v>
      </c>
      <c r="H171" s="54">
        <f t="shared" si="12"/>
        <v>45232</v>
      </c>
      <c r="I171" s="55" t="str">
        <f ca="1">IF(H171="","VACIO",IF(J171&lt;0,"Vencido hace "&amp;J171*-1&amp;" dias",IF(J171=0,"Vencido Hoy",IF(J171&lt;8,"Tiene "&amp; J171 &amp;" dias","Faltan "&amp;J171*1&amp;H171))))</f>
        <v>Vencido hace 350 dias</v>
      </c>
      <c r="J171" s="56">
        <f t="shared" ca="1" si="13"/>
        <v>-350</v>
      </c>
      <c r="K171" s="57" t="s">
        <v>847</v>
      </c>
      <c r="L171" s="55"/>
    </row>
    <row r="172" spans="2:12">
      <c r="B172" s="49" t="s">
        <v>798</v>
      </c>
      <c r="C172" s="61" t="s">
        <v>848</v>
      </c>
      <c r="D172" s="80" t="s">
        <v>849</v>
      </c>
      <c r="E172" s="51"/>
      <c r="F172" s="52">
        <v>44756</v>
      </c>
      <c r="G172" s="53">
        <v>730</v>
      </c>
      <c r="H172" s="54">
        <f t="shared" si="12"/>
        <v>45486</v>
      </c>
      <c r="I172" s="55" t="str">
        <f ca="1">IF(H172="","VACIO",IF(J172&lt;0,"Vencido hace "&amp;J172*-1&amp;" dias",IF(J172=0,"Vencido Hoy",IF(J172&lt;8,"Tiene "&amp; J172 &amp;" dias","Faltan "&amp;J172*1&amp;H172))))</f>
        <v>Vencido hace 96 dias</v>
      </c>
      <c r="J172" s="56">
        <f t="shared" ca="1" si="13"/>
        <v>-96</v>
      </c>
      <c r="K172" s="57" t="s">
        <v>850</v>
      </c>
      <c r="L172" s="55"/>
    </row>
    <row r="173" spans="2:12">
      <c r="B173" s="49" t="s">
        <v>851</v>
      </c>
      <c r="C173" s="50" t="s">
        <v>852</v>
      </c>
      <c r="D173" s="78" t="s">
        <v>853</v>
      </c>
      <c r="E173" s="51"/>
      <c r="F173" s="52">
        <v>44274</v>
      </c>
      <c r="G173" s="53">
        <v>730</v>
      </c>
      <c r="H173" s="54">
        <f t="shared" si="12"/>
        <v>45004</v>
      </c>
      <c r="I173" s="55" t="str">
        <f t="shared" ref="I173:I183" ca="1" si="17">IF(H173="","VACIO",IF(J173&lt;0,"Vencido hace "&amp;J173*-1&amp;" dias",IF(J173=0,"Vencido Hoy",IF(J173&lt;8,"Tiene "&amp; J173 &amp;" dias","Faltan "&amp;J173&amp;H173))))</f>
        <v>Vencido hace 578 dias</v>
      </c>
      <c r="J173" s="56">
        <f t="shared" ca="1" si="13"/>
        <v>-578</v>
      </c>
      <c r="K173" s="57" t="s">
        <v>854</v>
      </c>
      <c r="L173" s="55"/>
    </row>
    <row r="174" spans="2:12">
      <c r="B174" s="49" t="s">
        <v>851</v>
      </c>
      <c r="C174" s="50" t="s">
        <v>855</v>
      </c>
      <c r="D174" s="78" t="s">
        <v>856</v>
      </c>
      <c r="E174" s="51"/>
      <c r="F174" s="52">
        <v>45054</v>
      </c>
      <c r="G174" s="53">
        <v>730</v>
      </c>
      <c r="H174" s="54">
        <f t="shared" si="12"/>
        <v>45784</v>
      </c>
      <c r="I174" s="55" t="str">
        <f t="shared" ca="1" si="17"/>
        <v>Faltan 20245784</v>
      </c>
      <c r="J174" s="56">
        <f t="shared" ca="1" si="13"/>
        <v>202</v>
      </c>
      <c r="K174" s="57" t="s">
        <v>295</v>
      </c>
      <c r="L174" s="55"/>
    </row>
    <row r="175" spans="2:12">
      <c r="B175" s="49" t="s">
        <v>851</v>
      </c>
      <c r="C175" s="50" t="s">
        <v>857</v>
      </c>
      <c r="D175" s="78" t="s">
        <v>856</v>
      </c>
      <c r="E175" s="51"/>
      <c r="F175" s="52">
        <v>44300</v>
      </c>
      <c r="G175" s="53">
        <v>730</v>
      </c>
      <c r="H175" s="54">
        <f t="shared" si="12"/>
        <v>45030</v>
      </c>
      <c r="I175" s="55" t="str">
        <f t="shared" ca="1" si="17"/>
        <v>Vencido hace 552 dias</v>
      </c>
      <c r="J175" s="56">
        <f t="shared" ca="1" si="13"/>
        <v>-552</v>
      </c>
      <c r="K175" s="57" t="s">
        <v>79</v>
      </c>
      <c r="L175" s="55"/>
    </row>
    <row r="176" spans="2:12">
      <c r="B176" s="49" t="s">
        <v>851</v>
      </c>
      <c r="C176" s="50" t="s">
        <v>858</v>
      </c>
      <c r="D176" s="78" t="s">
        <v>859</v>
      </c>
      <c r="E176" s="51"/>
      <c r="F176" s="52">
        <v>44630</v>
      </c>
      <c r="G176" s="53">
        <v>730</v>
      </c>
      <c r="H176" s="54">
        <f t="shared" si="12"/>
        <v>45360</v>
      </c>
      <c r="I176" s="55" t="str">
        <f t="shared" ca="1" si="17"/>
        <v>Vencido hace 222 dias</v>
      </c>
      <c r="J176" s="56">
        <f t="shared" ca="1" si="13"/>
        <v>-222</v>
      </c>
      <c r="K176" s="57" t="s">
        <v>860</v>
      </c>
      <c r="L176" s="55"/>
    </row>
    <row r="177" spans="2:12">
      <c r="B177" s="49" t="s">
        <v>851</v>
      </c>
      <c r="C177" s="50" t="s">
        <v>861</v>
      </c>
      <c r="D177" s="78" t="s">
        <v>862</v>
      </c>
      <c r="E177" s="51"/>
      <c r="F177" s="52">
        <v>44761</v>
      </c>
      <c r="G177" s="53">
        <v>730</v>
      </c>
      <c r="H177" s="54">
        <f t="shared" si="12"/>
        <v>45491</v>
      </c>
      <c r="I177" s="55" t="str">
        <f t="shared" ca="1" si="17"/>
        <v>Vencido hace 91 dias</v>
      </c>
      <c r="J177" s="56">
        <f t="shared" ca="1" si="13"/>
        <v>-91</v>
      </c>
      <c r="K177" s="57" t="s">
        <v>863</v>
      </c>
      <c r="L177" s="55"/>
    </row>
    <row r="178" spans="2:12">
      <c r="B178" s="49" t="s">
        <v>851</v>
      </c>
      <c r="C178" s="50" t="s">
        <v>864</v>
      </c>
      <c r="D178" s="78" t="s">
        <v>865</v>
      </c>
      <c r="E178" s="51"/>
      <c r="F178" s="52">
        <v>44755</v>
      </c>
      <c r="G178" s="53">
        <v>730</v>
      </c>
      <c r="H178" s="54">
        <f t="shared" si="12"/>
        <v>45485</v>
      </c>
      <c r="I178" s="55" t="str">
        <f t="shared" ca="1" si="17"/>
        <v>Vencido hace 97 dias</v>
      </c>
      <c r="J178" s="56">
        <f t="shared" ca="1" si="13"/>
        <v>-97</v>
      </c>
      <c r="K178" s="57" t="s">
        <v>866</v>
      </c>
      <c r="L178" s="55"/>
    </row>
    <row r="179" spans="2:12">
      <c r="B179" s="49" t="s">
        <v>851</v>
      </c>
      <c r="C179" s="50" t="s">
        <v>867</v>
      </c>
      <c r="D179" s="78" t="s">
        <v>868</v>
      </c>
      <c r="E179" s="52">
        <v>44837</v>
      </c>
      <c r="F179" s="52">
        <v>44837</v>
      </c>
      <c r="G179" s="53">
        <v>730</v>
      </c>
      <c r="H179" s="54">
        <f t="shared" si="12"/>
        <v>45567</v>
      </c>
      <c r="I179" s="55" t="str">
        <f t="shared" ca="1" si="17"/>
        <v>Vencido hace 15 dias</v>
      </c>
      <c r="J179" s="56">
        <f t="shared" ca="1" si="13"/>
        <v>-15</v>
      </c>
      <c r="K179" s="57" t="s">
        <v>741</v>
      </c>
      <c r="L179" s="55"/>
    </row>
    <row r="180" spans="2:12">
      <c r="B180" s="49" t="s">
        <v>851</v>
      </c>
      <c r="C180" s="50" t="s">
        <v>869</v>
      </c>
      <c r="D180" s="78" t="s">
        <v>870</v>
      </c>
      <c r="E180" s="51"/>
      <c r="F180" s="52">
        <v>44181</v>
      </c>
      <c r="G180" s="53">
        <v>730</v>
      </c>
      <c r="H180" s="54">
        <f t="shared" si="12"/>
        <v>44911</v>
      </c>
      <c r="I180" s="55" t="str">
        <f t="shared" ca="1" si="17"/>
        <v>Vencido hace 671 dias</v>
      </c>
      <c r="J180" s="56">
        <f t="shared" ca="1" si="13"/>
        <v>-671</v>
      </c>
      <c r="K180" s="57" t="s">
        <v>157</v>
      </c>
      <c r="L180" s="55"/>
    </row>
    <row r="181" spans="2:12">
      <c r="B181" s="49" t="s">
        <v>851</v>
      </c>
      <c r="C181" s="50" t="s">
        <v>871</v>
      </c>
      <c r="D181" s="78" t="s">
        <v>872</v>
      </c>
      <c r="E181" s="51" t="s">
        <v>648</v>
      </c>
      <c r="F181" s="52">
        <v>44722</v>
      </c>
      <c r="G181" s="53">
        <v>730</v>
      </c>
      <c r="H181" s="54">
        <f t="shared" si="12"/>
        <v>45452</v>
      </c>
      <c r="I181" s="55" t="str">
        <f t="shared" ca="1" si="17"/>
        <v>Vencido hace 130 dias</v>
      </c>
      <c r="J181" s="56">
        <f t="shared" ca="1" si="13"/>
        <v>-130</v>
      </c>
      <c r="K181" s="57" t="s">
        <v>79</v>
      </c>
      <c r="L181" s="55"/>
    </row>
    <row r="182" spans="2:12">
      <c r="B182" s="49" t="s">
        <v>851</v>
      </c>
      <c r="C182" s="50" t="s">
        <v>873</v>
      </c>
      <c r="D182" s="78" t="s">
        <v>874</v>
      </c>
      <c r="E182" s="52">
        <v>44805</v>
      </c>
      <c r="F182" s="52">
        <v>44805</v>
      </c>
      <c r="G182" s="53">
        <v>730</v>
      </c>
      <c r="H182" s="54">
        <f t="shared" si="12"/>
        <v>45535</v>
      </c>
      <c r="I182" s="55" t="str">
        <f t="shared" ca="1" si="17"/>
        <v>Vencido hace 47 dias</v>
      </c>
      <c r="J182" s="56">
        <f t="shared" ca="1" si="13"/>
        <v>-47</v>
      </c>
      <c r="K182" s="57" t="s">
        <v>875</v>
      </c>
      <c r="L182" s="55"/>
    </row>
    <row r="183" spans="2:12">
      <c r="B183" s="49" t="s">
        <v>851</v>
      </c>
      <c r="C183" s="50" t="s">
        <v>876</v>
      </c>
      <c r="D183" s="78" t="s">
        <v>877</v>
      </c>
      <c r="E183" s="51"/>
      <c r="F183" s="52">
        <v>44223</v>
      </c>
      <c r="G183" s="53">
        <v>730</v>
      </c>
      <c r="H183" s="54">
        <f t="shared" si="12"/>
        <v>44953</v>
      </c>
      <c r="I183" s="55" t="str">
        <f t="shared" ca="1" si="17"/>
        <v>Vencido hace 629 dias</v>
      </c>
      <c r="J183" s="56">
        <f t="shared" ca="1" si="13"/>
        <v>-629</v>
      </c>
      <c r="K183" s="57" t="s">
        <v>878</v>
      </c>
      <c r="L183" s="55"/>
    </row>
    <row r="184" spans="2:12">
      <c r="B184" s="49" t="s">
        <v>851</v>
      </c>
      <c r="C184" s="50" t="s">
        <v>879</v>
      </c>
      <c r="D184" s="78" t="s">
        <v>880</v>
      </c>
      <c r="E184" s="51"/>
      <c r="F184" s="52">
        <v>44691</v>
      </c>
      <c r="G184" s="53">
        <v>730</v>
      </c>
      <c r="H184" s="54">
        <f t="shared" si="12"/>
        <v>45421</v>
      </c>
      <c r="I184" s="55" t="str">
        <f ca="1">IF(H184="","VACIO",IF(J184&lt;0,"Vencido hace "&amp;J184*-1&amp;" dias",IF(J184=0,"Vencido Hoy",IF(J184&lt;8,"Tiene "&amp; J184 &amp;" dias","Faltan "&amp;J184*1&amp;H184))))</f>
        <v>Vencido hace 161 dias</v>
      </c>
      <c r="J184" s="56">
        <f t="shared" ca="1" si="13"/>
        <v>-161</v>
      </c>
      <c r="K184" s="57"/>
      <c r="L184" s="55"/>
    </row>
    <row r="185" spans="2:12">
      <c r="B185" s="49" t="s">
        <v>851</v>
      </c>
      <c r="C185" s="50" t="s">
        <v>881</v>
      </c>
      <c r="D185" s="79" t="s">
        <v>882</v>
      </c>
      <c r="E185" s="51"/>
      <c r="F185" s="52">
        <v>44889</v>
      </c>
      <c r="G185" s="53">
        <v>730</v>
      </c>
      <c r="H185" s="54">
        <f t="shared" si="12"/>
        <v>45619</v>
      </c>
      <c r="I185" s="55" t="str">
        <f ca="1">IF(H185="","VACIO",IF(J185&lt;0,"Vencido hace "&amp;J185*-1&amp;" dias",IF(J185=0,"Vencido Hoy",IF(J185&lt;8,"Tiene "&amp; J185 &amp;" dias","Faltan "&amp;J185*1&amp;H185))))</f>
        <v>Faltan 3745619</v>
      </c>
      <c r="J185" s="56">
        <f t="shared" ca="1" si="13"/>
        <v>37</v>
      </c>
      <c r="K185" s="57" t="s">
        <v>581</v>
      </c>
      <c r="L185" s="55"/>
    </row>
    <row r="186" spans="2:12">
      <c r="B186" s="49" t="s">
        <v>851</v>
      </c>
      <c r="C186" s="50" t="s">
        <v>883</v>
      </c>
      <c r="D186" s="78" t="s">
        <v>884</v>
      </c>
      <c r="E186" s="51"/>
      <c r="F186" s="52">
        <v>44455</v>
      </c>
      <c r="G186" s="53">
        <v>730</v>
      </c>
      <c r="H186" s="54">
        <f t="shared" si="12"/>
        <v>45185</v>
      </c>
      <c r="I186" s="55" t="str">
        <f ca="1">IF(H186="","VACIO",IF(J186&lt;0,"Vencido hace "&amp;J186*-1&amp;" dias",IF(J186=0,"Vencido Hoy",IF(J186&lt;8,"Tiene "&amp; J186 &amp;" dias","Faltan "&amp;J186*1&amp;H186))))</f>
        <v>Vencido hace 397 dias</v>
      </c>
      <c r="J186" s="56">
        <f t="shared" ca="1" si="13"/>
        <v>-397</v>
      </c>
      <c r="K186" s="57"/>
      <c r="L186" s="55"/>
    </row>
    <row r="187" spans="2:12">
      <c r="B187" s="49" t="s">
        <v>851</v>
      </c>
      <c r="C187" s="50" t="s">
        <v>885</v>
      </c>
      <c r="D187" s="78" t="s">
        <v>886</v>
      </c>
      <c r="E187" s="51"/>
      <c r="F187" s="52">
        <v>44484</v>
      </c>
      <c r="G187" s="53">
        <v>730</v>
      </c>
      <c r="H187" s="54">
        <f t="shared" si="12"/>
        <v>45214</v>
      </c>
      <c r="I187" s="55" t="str">
        <f ca="1">IF(H187="","VACIO",IF(J187&lt;0,"Vencido hace "&amp;J187*-1&amp;" dias",IF(J187=0,"Vencido Hoy",IF(J187&lt;8,"Tiene "&amp; J187 &amp;" dias","Faltan "&amp;J187*1&amp;H187))))</f>
        <v>Vencido hace 368 dias</v>
      </c>
      <c r="J187" s="56">
        <f t="shared" ca="1" si="13"/>
        <v>-368</v>
      </c>
      <c r="K187" s="57" t="s">
        <v>887</v>
      </c>
      <c r="L187" s="55"/>
    </row>
    <row r="188" spans="2:12">
      <c r="B188" s="49" t="s">
        <v>851</v>
      </c>
      <c r="C188" s="50" t="s">
        <v>888</v>
      </c>
      <c r="D188" s="78" t="s">
        <v>889</v>
      </c>
      <c r="E188" s="52">
        <v>44805</v>
      </c>
      <c r="F188" s="52">
        <v>44805</v>
      </c>
      <c r="G188" s="53">
        <v>730</v>
      </c>
      <c r="H188" s="54">
        <f t="shared" si="12"/>
        <v>45535</v>
      </c>
      <c r="I188" s="55" t="str">
        <f t="shared" ref="I188:I202" ca="1" si="18">IF(H188="","VACIO",IF(J188&lt;0,"Vencido hace "&amp;J188*-1&amp;" dias",IF(J188=0,"Vencido Hoy",IF(J188&lt;8,"Tiene "&amp; J188 &amp;" dias","Faltan "&amp;J188&amp;H188))))</f>
        <v>Vencido hace 47 dias</v>
      </c>
      <c r="J188" s="56">
        <f t="shared" ca="1" si="13"/>
        <v>-47</v>
      </c>
      <c r="K188" s="57" t="s">
        <v>890</v>
      </c>
      <c r="L188" s="55"/>
    </row>
    <row r="189" spans="2:12">
      <c r="B189" s="49" t="s">
        <v>891</v>
      </c>
      <c r="C189" s="61" t="s">
        <v>892</v>
      </c>
      <c r="D189" s="80" t="s">
        <v>893</v>
      </c>
      <c r="E189" s="51"/>
      <c r="F189" s="52">
        <v>44238</v>
      </c>
      <c r="G189" s="53">
        <v>730</v>
      </c>
      <c r="H189" s="54">
        <f t="shared" si="12"/>
        <v>44968</v>
      </c>
      <c r="I189" s="55" t="str">
        <f t="shared" ca="1" si="18"/>
        <v>Vencido hace 614 dias</v>
      </c>
      <c r="J189" s="56">
        <f t="shared" ca="1" si="13"/>
        <v>-614</v>
      </c>
      <c r="K189" s="57" t="s">
        <v>581</v>
      </c>
      <c r="L189" s="55"/>
    </row>
    <row r="190" spans="2:12">
      <c r="B190" s="49" t="s">
        <v>891</v>
      </c>
      <c r="C190" s="50" t="s">
        <v>894</v>
      </c>
      <c r="D190" s="80" t="s">
        <v>895</v>
      </c>
      <c r="E190" s="51"/>
      <c r="F190" s="52">
        <v>44368</v>
      </c>
      <c r="G190" s="53">
        <v>730</v>
      </c>
      <c r="H190" s="54">
        <f t="shared" si="12"/>
        <v>45098</v>
      </c>
      <c r="I190" s="55" t="str">
        <f t="shared" ca="1" si="18"/>
        <v>Vencido hace 484 dias</v>
      </c>
      <c r="J190" s="56">
        <f t="shared" ca="1" si="13"/>
        <v>-484</v>
      </c>
      <c r="K190" s="57" t="s">
        <v>604</v>
      </c>
      <c r="L190" s="55"/>
    </row>
    <row r="191" spans="2:12">
      <c r="B191" s="49" t="s">
        <v>891</v>
      </c>
      <c r="C191" s="50" t="s">
        <v>896</v>
      </c>
      <c r="D191" s="78" t="s">
        <v>897</v>
      </c>
      <c r="E191" s="51"/>
      <c r="F191" s="52">
        <v>44655</v>
      </c>
      <c r="G191" s="53">
        <v>730</v>
      </c>
      <c r="H191" s="54">
        <f t="shared" si="12"/>
        <v>45385</v>
      </c>
      <c r="I191" s="55" t="str">
        <f t="shared" ca="1" si="18"/>
        <v>Vencido hace 197 dias</v>
      </c>
      <c r="J191" s="56">
        <f t="shared" ca="1" si="13"/>
        <v>-197</v>
      </c>
      <c r="K191" s="57" t="s">
        <v>898</v>
      </c>
      <c r="L191" s="55"/>
    </row>
    <row r="192" spans="2:12">
      <c r="B192" s="49" t="s">
        <v>891</v>
      </c>
      <c r="C192" s="50" t="s">
        <v>899</v>
      </c>
      <c r="D192" s="78" t="s">
        <v>900</v>
      </c>
      <c r="E192" s="51" t="s">
        <v>901</v>
      </c>
      <c r="F192" s="52">
        <v>44721</v>
      </c>
      <c r="G192" s="53">
        <v>730</v>
      </c>
      <c r="H192" s="54">
        <f t="shared" si="12"/>
        <v>45451</v>
      </c>
      <c r="I192" s="55" t="str">
        <f t="shared" ca="1" si="18"/>
        <v>Vencido hace 131 dias</v>
      </c>
      <c r="J192" s="56">
        <f t="shared" ca="1" si="13"/>
        <v>-131</v>
      </c>
      <c r="K192" s="57" t="s">
        <v>79</v>
      </c>
      <c r="L192" s="55"/>
    </row>
    <row r="193" spans="2:12">
      <c r="B193" s="49" t="s">
        <v>891</v>
      </c>
      <c r="C193" s="50" t="s">
        <v>902</v>
      </c>
      <c r="D193" s="79" t="s">
        <v>903</v>
      </c>
      <c r="E193" s="51"/>
      <c r="F193" s="52">
        <v>44767</v>
      </c>
      <c r="G193" s="53">
        <v>730</v>
      </c>
      <c r="H193" s="54">
        <f t="shared" si="12"/>
        <v>45497</v>
      </c>
      <c r="I193" s="55" t="str">
        <f t="shared" ca="1" si="18"/>
        <v>Vencido hace 85 dias</v>
      </c>
      <c r="J193" s="56">
        <f t="shared" ca="1" si="13"/>
        <v>-85</v>
      </c>
      <c r="K193" s="57" t="s">
        <v>295</v>
      </c>
      <c r="L193" s="55"/>
    </row>
    <row r="194" spans="2:12">
      <c r="B194" s="49" t="s">
        <v>891</v>
      </c>
      <c r="C194" s="50" t="s">
        <v>904</v>
      </c>
      <c r="D194" s="78" t="s">
        <v>905</v>
      </c>
      <c r="E194" s="52">
        <v>44791</v>
      </c>
      <c r="F194" s="52">
        <v>44791</v>
      </c>
      <c r="G194" s="53">
        <v>730</v>
      </c>
      <c r="H194" s="54">
        <f t="shared" si="12"/>
        <v>45521</v>
      </c>
      <c r="I194" s="55" t="str">
        <f t="shared" ca="1" si="18"/>
        <v>Vencido hace 61 dias</v>
      </c>
      <c r="J194" s="56">
        <f t="shared" ca="1" si="13"/>
        <v>-61</v>
      </c>
      <c r="K194" s="57" t="s">
        <v>807</v>
      </c>
      <c r="L194" s="55"/>
    </row>
    <row r="195" spans="2:12">
      <c r="B195" s="49" t="s">
        <v>891</v>
      </c>
      <c r="C195" s="50" t="s">
        <v>906</v>
      </c>
      <c r="D195" s="78" t="s">
        <v>907</v>
      </c>
      <c r="E195" s="51"/>
      <c r="F195" s="52">
        <v>44334</v>
      </c>
      <c r="G195" s="53">
        <v>730</v>
      </c>
      <c r="H195" s="54">
        <f t="shared" si="12"/>
        <v>45064</v>
      </c>
      <c r="I195" s="55" t="str">
        <f t="shared" ca="1" si="18"/>
        <v>Vencido hace 518 dias</v>
      </c>
      <c r="J195" s="56">
        <f t="shared" ca="1" si="13"/>
        <v>-518</v>
      </c>
      <c r="K195" s="57" t="s">
        <v>908</v>
      </c>
      <c r="L195" s="55"/>
    </row>
    <row r="196" spans="2:12">
      <c r="B196" s="49" t="s">
        <v>891</v>
      </c>
      <c r="C196" s="50" t="s">
        <v>909</v>
      </c>
      <c r="D196" s="78" t="s">
        <v>910</v>
      </c>
      <c r="E196" s="51"/>
      <c r="F196" s="52">
        <v>44645</v>
      </c>
      <c r="G196" s="53">
        <v>730</v>
      </c>
      <c r="H196" s="54">
        <f t="shared" ref="H196:H259" si="19">F196+G196</f>
        <v>45375</v>
      </c>
      <c r="I196" s="55" t="str">
        <f t="shared" ca="1" si="18"/>
        <v>Vencido hace 207 dias</v>
      </c>
      <c r="J196" s="56">
        <f t="shared" ref="J196:J259" ca="1" si="20">H196-$B$2</f>
        <v>-207</v>
      </c>
      <c r="K196" s="57" t="s">
        <v>911</v>
      </c>
      <c r="L196" s="55"/>
    </row>
    <row r="197" spans="2:12">
      <c r="B197" s="49" t="s">
        <v>891</v>
      </c>
      <c r="C197" s="50" t="s">
        <v>912</v>
      </c>
      <c r="D197" s="78" t="s">
        <v>913</v>
      </c>
      <c r="E197" s="52">
        <v>44798</v>
      </c>
      <c r="F197" s="52">
        <v>44798</v>
      </c>
      <c r="G197" s="53">
        <v>730</v>
      </c>
      <c r="H197" s="54">
        <f t="shared" si="19"/>
        <v>45528</v>
      </c>
      <c r="I197" s="55" t="str">
        <f t="shared" ca="1" si="18"/>
        <v>Vencido hace 54 dias</v>
      </c>
      <c r="J197" s="56">
        <f t="shared" ca="1" si="20"/>
        <v>-54</v>
      </c>
      <c r="K197" s="57" t="s">
        <v>734</v>
      </c>
      <c r="L197" s="55"/>
    </row>
    <row r="198" spans="2:12">
      <c r="B198" s="49" t="s">
        <v>891</v>
      </c>
      <c r="C198" s="50" t="s">
        <v>914</v>
      </c>
      <c r="D198" s="78" t="s">
        <v>915</v>
      </c>
      <c r="E198" s="51"/>
      <c r="F198" s="52">
        <v>44512</v>
      </c>
      <c r="G198" s="53">
        <v>730</v>
      </c>
      <c r="H198" s="54">
        <f t="shared" si="19"/>
        <v>45242</v>
      </c>
      <c r="I198" s="55" t="str">
        <f t="shared" ca="1" si="18"/>
        <v>Vencido hace 340 dias</v>
      </c>
      <c r="J198" s="56">
        <f t="shared" ca="1" si="20"/>
        <v>-340</v>
      </c>
      <c r="K198" s="57" t="s">
        <v>916</v>
      </c>
      <c r="L198" s="55"/>
    </row>
    <row r="199" spans="2:12">
      <c r="B199" s="49" t="s">
        <v>891</v>
      </c>
      <c r="C199" s="50" t="s">
        <v>917</v>
      </c>
      <c r="D199" s="78" t="s">
        <v>918</v>
      </c>
      <c r="E199" s="51"/>
      <c r="F199" s="52">
        <v>44480</v>
      </c>
      <c r="G199" s="53">
        <v>730</v>
      </c>
      <c r="H199" s="54">
        <f t="shared" si="19"/>
        <v>45210</v>
      </c>
      <c r="I199" s="55" t="str">
        <f t="shared" ca="1" si="18"/>
        <v>Vencido hace 372 dias</v>
      </c>
      <c r="J199" s="56">
        <f t="shared" ca="1" si="20"/>
        <v>-372</v>
      </c>
      <c r="K199" s="57" t="s">
        <v>716</v>
      </c>
      <c r="L199" s="55"/>
    </row>
    <row r="200" spans="2:12">
      <c r="B200" s="49" t="s">
        <v>891</v>
      </c>
      <c r="C200" s="50" t="s">
        <v>919</v>
      </c>
      <c r="D200" s="78" t="s">
        <v>920</v>
      </c>
      <c r="E200" s="51"/>
      <c r="F200" s="52">
        <v>44452</v>
      </c>
      <c r="G200" s="53">
        <v>730</v>
      </c>
      <c r="H200" s="54">
        <f t="shared" si="19"/>
        <v>45182</v>
      </c>
      <c r="I200" s="55" t="str">
        <f t="shared" ca="1" si="18"/>
        <v>Vencido hace 400 dias</v>
      </c>
      <c r="J200" s="56">
        <f t="shared" ca="1" si="20"/>
        <v>-400</v>
      </c>
      <c r="K200" s="57" t="s">
        <v>921</v>
      </c>
      <c r="L200" s="55"/>
    </row>
    <row r="201" spans="2:12">
      <c r="B201" s="49" t="s">
        <v>891</v>
      </c>
      <c r="C201" s="61" t="s">
        <v>922</v>
      </c>
      <c r="D201" s="80" t="s">
        <v>923</v>
      </c>
      <c r="E201" s="51"/>
      <c r="F201" s="52">
        <v>44952</v>
      </c>
      <c r="G201" s="53">
        <v>730</v>
      </c>
      <c r="H201" s="54">
        <f t="shared" si="19"/>
        <v>45682</v>
      </c>
      <c r="I201" s="55" t="str">
        <f t="shared" ca="1" si="18"/>
        <v>Faltan 10045682</v>
      </c>
      <c r="J201" s="56">
        <f t="shared" ca="1" si="20"/>
        <v>100</v>
      </c>
      <c r="K201" s="57" t="s">
        <v>79</v>
      </c>
      <c r="L201" s="55"/>
    </row>
    <row r="202" spans="2:12">
      <c r="B202" s="49" t="s">
        <v>891</v>
      </c>
      <c r="C202" s="61" t="s">
        <v>924</v>
      </c>
      <c r="D202" s="80" t="s">
        <v>925</v>
      </c>
      <c r="E202" s="51" t="s">
        <v>812</v>
      </c>
      <c r="F202" s="52">
        <v>44721</v>
      </c>
      <c r="G202" s="53">
        <v>730</v>
      </c>
      <c r="H202" s="54">
        <f t="shared" si="19"/>
        <v>45451</v>
      </c>
      <c r="I202" s="55" t="str">
        <f t="shared" ca="1" si="18"/>
        <v>Vencido hace 131 dias</v>
      </c>
      <c r="J202" s="56">
        <f t="shared" ca="1" si="20"/>
        <v>-131</v>
      </c>
      <c r="K202" s="57" t="s">
        <v>473</v>
      </c>
      <c r="L202" s="55"/>
    </row>
    <row r="203" spans="2:12">
      <c r="B203" s="49" t="s">
        <v>891</v>
      </c>
      <c r="C203" s="61" t="s">
        <v>926</v>
      </c>
      <c r="D203" s="79" t="s">
        <v>927</v>
      </c>
      <c r="E203" s="51"/>
      <c r="F203" s="52">
        <v>44679</v>
      </c>
      <c r="G203" s="53">
        <v>730</v>
      </c>
      <c r="H203" s="54">
        <f t="shared" si="19"/>
        <v>45409</v>
      </c>
      <c r="I203" s="55" t="str">
        <f ca="1">IF(H203="","VACIO",IF(J203&lt;0,"Vencido hace "&amp;J203*-1&amp;" dias",IF(J203=0,"Vencido Hoy",IF(J203&lt;8,"Tiene "&amp; J203 &amp;" dias","Faltan "&amp;J203*1&amp;H203))))</f>
        <v>Vencido hace 173 dias</v>
      </c>
      <c r="J203" s="56">
        <f t="shared" ca="1" si="20"/>
        <v>-173</v>
      </c>
      <c r="K203" s="57" t="s">
        <v>928</v>
      </c>
      <c r="L203" s="55"/>
    </row>
    <row r="204" spans="2:12">
      <c r="B204" s="49" t="s">
        <v>891</v>
      </c>
      <c r="C204" s="61" t="s">
        <v>929</v>
      </c>
      <c r="D204" s="79" t="s">
        <v>930</v>
      </c>
      <c r="E204" s="51"/>
      <c r="F204" s="52">
        <v>44708</v>
      </c>
      <c r="G204" s="53">
        <v>730</v>
      </c>
      <c r="H204" s="54">
        <f t="shared" si="19"/>
        <v>45438</v>
      </c>
      <c r="I204" s="55" t="str">
        <f ca="1">IF(H204="","VACIO",IF(J204&lt;0,"Vencido hace "&amp;J204*-1&amp;" dias",IF(J204=0,"Vencido Hoy",IF(J204&lt;8,"Tiene "&amp; J204 &amp;" dias","Faltan "&amp;J204*1&amp;H204))))</f>
        <v>Vencido hace 144 dias</v>
      </c>
      <c r="J204" s="56">
        <f t="shared" ca="1" si="20"/>
        <v>-144</v>
      </c>
      <c r="K204" s="57" t="s">
        <v>540</v>
      </c>
      <c r="L204" s="55"/>
    </row>
    <row r="205" spans="2:12">
      <c r="B205" s="49" t="s">
        <v>891</v>
      </c>
      <c r="C205" s="61" t="s">
        <v>931</v>
      </c>
      <c r="D205" s="80" t="s">
        <v>932</v>
      </c>
      <c r="E205" s="51"/>
      <c r="F205" s="52">
        <v>44784</v>
      </c>
      <c r="G205" s="53">
        <v>730</v>
      </c>
      <c r="H205" s="54">
        <f t="shared" si="19"/>
        <v>45514</v>
      </c>
      <c r="I205" s="55" t="str">
        <f t="shared" ref="I205:I229" ca="1" si="21">IF(H205="","VACIO",IF(J205&lt;0,"Vencido hace "&amp;J205*-1&amp;" dias",IF(J205=0,"Vencido Hoy",IF(J205&lt;8,"Tiene "&amp; J205 &amp;" dias","Faltan "&amp;J205&amp;H205))))</f>
        <v>Vencido hace 68 dias</v>
      </c>
      <c r="J205" s="56">
        <f t="shared" ca="1" si="20"/>
        <v>-68</v>
      </c>
      <c r="K205" s="57" t="s">
        <v>640</v>
      </c>
      <c r="L205" s="55"/>
    </row>
    <row r="206" spans="2:12">
      <c r="B206" s="49" t="s">
        <v>891</v>
      </c>
      <c r="C206" s="61" t="s">
        <v>933</v>
      </c>
      <c r="D206" s="80" t="s">
        <v>934</v>
      </c>
      <c r="E206" s="51"/>
      <c r="F206" s="52">
        <v>44592</v>
      </c>
      <c r="G206" s="53">
        <v>730</v>
      </c>
      <c r="H206" s="54">
        <f t="shared" si="19"/>
        <v>45322</v>
      </c>
      <c r="I206" s="55" t="str">
        <f t="shared" ca="1" si="21"/>
        <v>Vencido hace 260 dias</v>
      </c>
      <c r="J206" s="56">
        <f t="shared" ca="1" si="20"/>
        <v>-260</v>
      </c>
      <c r="K206" s="57" t="s">
        <v>935</v>
      </c>
      <c r="L206" s="55"/>
    </row>
    <row r="207" spans="2:12">
      <c r="B207" s="49" t="s">
        <v>891</v>
      </c>
      <c r="C207" s="61" t="s">
        <v>936</v>
      </c>
      <c r="D207" s="80" t="s">
        <v>937</v>
      </c>
      <c r="E207" s="51"/>
      <c r="F207" s="52">
        <v>44740</v>
      </c>
      <c r="G207" s="53">
        <v>730</v>
      </c>
      <c r="H207" s="54">
        <f t="shared" si="19"/>
        <v>45470</v>
      </c>
      <c r="I207" s="55" t="str">
        <f t="shared" ca="1" si="21"/>
        <v>Vencido hace 112 dias</v>
      </c>
      <c r="J207" s="56">
        <f t="shared" ca="1" si="20"/>
        <v>-112</v>
      </c>
      <c r="K207" s="57" t="s">
        <v>518</v>
      </c>
      <c r="L207" s="55"/>
    </row>
    <row r="208" spans="2:12">
      <c r="B208" s="49" t="s">
        <v>891</v>
      </c>
      <c r="C208" s="61" t="s">
        <v>938</v>
      </c>
      <c r="D208" s="80" t="s">
        <v>939</v>
      </c>
      <c r="E208" s="51"/>
      <c r="F208" s="52">
        <v>44293</v>
      </c>
      <c r="G208" s="53">
        <v>730</v>
      </c>
      <c r="H208" s="54">
        <f t="shared" si="19"/>
        <v>45023</v>
      </c>
      <c r="I208" s="55" t="str">
        <f t="shared" ca="1" si="21"/>
        <v>Vencido hace 559 dias</v>
      </c>
      <c r="J208" s="56">
        <f t="shared" ca="1" si="20"/>
        <v>-559</v>
      </c>
      <c r="K208" s="57" t="s">
        <v>940</v>
      </c>
      <c r="L208" s="55"/>
    </row>
    <row r="209" spans="2:12">
      <c r="B209" s="49" t="s">
        <v>941</v>
      </c>
      <c r="C209" s="50" t="s">
        <v>942</v>
      </c>
      <c r="D209" s="79" t="s">
        <v>943</v>
      </c>
      <c r="E209" s="51"/>
      <c r="F209" s="52">
        <v>43398</v>
      </c>
      <c r="G209" s="53">
        <v>730</v>
      </c>
      <c r="H209" s="54">
        <f t="shared" si="19"/>
        <v>44128</v>
      </c>
      <c r="I209" s="55" t="str">
        <f t="shared" ca="1" si="21"/>
        <v>Vencido hace 1454 dias</v>
      </c>
      <c r="J209" s="56">
        <f t="shared" ca="1" si="20"/>
        <v>-1454</v>
      </c>
      <c r="K209" s="57" t="s">
        <v>944</v>
      </c>
      <c r="L209" s="55"/>
    </row>
    <row r="210" spans="2:12">
      <c r="B210" s="49" t="s">
        <v>941</v>
      </c>
      <c r="C210" s="60" t="s">
        <v>945</v>
      </c>
      <c r="D210" s="79" t="s">
        <v>946</v>
      </c>
      <c r="E210" s="51"/>
      <c r="F210" s="52">
        <v>44827</v>
      </c>
      <c r="G210" s="53">
        <v>730</v>
      </c>
      <c r="H210" s="54">
        <f t="shared" si="19"/>
        <v>45557</v>
      </c>
      <c r="I210" s="55" t="str">
        <f t="shared" ca="1" si="21"/>
        <v>Vencido hace 25 dias</v>
      </c>
      <c r="J210" s="56">
        <f t="shared" ca="1" si="20"/>
        <v>-25</v>
      </c>
      <c r="K210" s="57" t="s">
        <v>473</v>
      </c>
      <c r="L210" s="55"/>
    </row>
    <row r="211" spans="2:12">
      <c r="B211" s="49" t="s">
        <v>941</v>
      </c>
      <c r="C211" s="60" t="s">
        <v>947</v>
      </c>
      <c r="D211" s="79" t="s">
        <v>948</v>
      </c>
      <c r="E211" s="51" t="s">
        <v>1425</v>
      </c>
      <c r="F211" s="52">
        <v>44708</v>
      </c>
      <c r="G211" s="53">
        <v>730</v>
      </c>
      <c r="H211" s="54">
        <f t="shared" si="19"/>
        <v>45438</v>
      </c>
      <c r="I211" s="55" t="str">
        <f t="shared" ca="1" si="21"/>
        <v>Vencido hace 144 dias</v>
      </c>
      <c r="J211" s="56">
        <f t="shared" ca="1" si="20"/>
        <v>-144</v>
      </c>
      <c r="K211" s="57" t="s">
        <v>604</v>
      </c>
      <c r="L211" s="55"/>
    </row>
    <row r="212" spans="2:12">
      <c r="B212" s="49" t="s">
        <v>941</v>
      </c>
      <c r="C212" s="60" t="s">
        <v>949</v>
      </c>
      <c r="D212" s="79" t="s">
        <v>950</v>
      </c>
      <c r="E212" s="51"/>
      <c r="F212" s="52">
        <v>44181</v>
      </c>
      <c r="G212" s="53">
        <v>730</v>
      </c>
      <c r="H212" s="54">
        <f t="shared" si="19"/>
        <v>44911</v>
      </c>
      <c r="I212" s="55" t="str">
        <f t="shared" ca="1" si="21"/>
        <v>Vencido hace 671 dias</v>
      </c>
      <c r="J212" s="56">
        <f t="shared" ca="1" si="20"/>
        <v>-671</v>
      </c>
      <c r="K212" s="57" t="s">
        <v>951</v>
      </c>
      <c r="L212" s="55"/>
    </row>
    <row r="213" spans="2:12">
      <c r="B213" s="49" t="s">
        <v>941</v>
      </c>
      <c r="C213" s="60" t="s">
        <v>952</v>
      </c>
      <c r="D213" s="79" t="s">
        <v>953</v>
      </c>
      <c r="E213" s="51" t="s">
        <v>648</v>
      </c>
      <c r="F213" s="54">
        <v>44702</v>
      </c>
      <c r="G213" s="53">
        <v>730</v>
      </c>
      <c r="H213" s="54">
        <f t="shared" si="19"/>
        <v>45432</v>
      </c>
      <c r="I213" s="55" t="str">
        <f t="shared" ca="1" si="21"/>
        <v>Vencido hace 150 dias</v>
      </c>
      <c r="J213" s="56">
        <f t="shared" ca="1" si="20"/>
        <v>-150</v>
      </c>
      <c r="K213" s="57" t="s">
        <v>473</v>
      </c>
      <c r="L213" s="55"/>
    </row>
    <row r="214" spans="2:12">
      <c r="B214" s="49" t="s">
        <v>941</v>
      </c>
      <c r="C214" s="60" t="s">
        <v>954</v>
      </c>
      <c r="D214" s="79" t="s">
        <v>955</v>
      </c>
      <c r="E214" s="51" t="s">
        <v>648</v>
      </c>
      <c r="F214" s="54">
        <v>44833</v>
      </c>
      <c r="G214" s="53">
        <v>730</v>
      </c>
      <c r="H214" s="54">
        <f t="shared" si="19"/>
        <v>45563</v>
      </c>
      <c r="I214" s="55" t="str">
        <f t="shared" ca="1" si="21"/>
        <v>Vencido hace 19 dias</v>
      </c>
      <c r="J214" s="56">
        <f t="shared" ca="1" si="20"/>
        <v>-19</v>
      </c>
      <c r="K214" s="64" t="s">
        <v>648</v>
      </c>
      <c r="L214" s="55"/>
    </row>
    <row r="215" spans="2:12">
      <c r="B215" s="49" t="s">
        <v>941</v>
      </c>
      <c r="C215" s="60" t="s">
        <v>956</v>
      </c>
      <c r="D215" s="79" t="s">
        <v>957</v>
      </c>
      <c r="E215" s="54">
        <v>44813</v>
      </c>
      <c r="F215" s="54">
        <v>44813</v>
      </c>
      <c r="G215" s="53">
        <v>730</v>
      </c>
      <c r="H215" s="54">
        <f t="shared" si="19"/>
        <v>45543</v>
      </c>
      <c r="I215" s="55" t="str">
        <f t="shared" ca="1" si="21"/>
        <v>Vencido hace 39 dias</v>
      </c>
      <c r="J215" s="56">
        <f t="shared" ca="1" si="20"/>
        <v>-39</v>
      </c>
      <c r="K215" s="57" t="s">
        <v>58</v>
      </c>
      <c r="L215" s="55"/>
    </row>
    <row r="216" spans="2:12">
      <c r="B216" s="49" t="s">
        <v>941</v>
      </c>
      <c r="C216" s="60" t="s">
        <v>958</v>
      </c>
      <c r="D216" s="79" t="s">
        <v>959</v>
      </c>
      <c r="E216" s="53"/>
      <c r="F216" s="54">
        <v>44312</v>
      </c>
      <c r="G216" s="53">
        <v>730</v>
      </c>
      <c r="H216" s="54">
        <f t="shared" si="19"/>
        <v>45042</v>
      </c>
      <c r="I216" s="55" t="str">
        <f t="shared" ca="1" si="21"/>
        <v>Vencido hace 540 dias</v>
      </c>
      <c r="J216" s="56">
        <f t="shared" ca="1" si="20"/>
        <v>-540</v>
      </c>
      <c r="K216" s="65" t="s">
        <v>604</v>
      </c>
      <c r="L216" s="55"/>
    </row>
    <row r="217" spans="2:12">
      <c r="B217" s="49" t="s">
        <v>941</v>
      </c>
      <c r="C217" s="60" t="s">
        <v>960</v>
      </c>
      <c r="D217" s="79" t="s">
        <v>961</v>
      </c>
      <c r="E217" s="53"/>
      <c r="F217" s="54">
        <v>44425</v>
      </c>
      <c r="G217" s="53">
        <v>730</v>
      </c>
      <c r="H217" s="54">
        <f t="shared" si="19"/>
        <v>45155</v>
      </c>
      <c r="I217" s="55" t="str">
        <f t="shared" ca="1" si="21"/>
        <v>Vencido hace 427 dias</v>
      </c>
      <c r="J217" s="56">
        <f t="shared" ca="1" si="20"/>
        <v>-427</v>
      </c>
      <c r="K217" s="57" t="s">
        <v>921</v>
      </c>
      <c r="L217" s="55"/>
    </row>
    <row r="218" spans="2:12">
      <c r="B218" s="49" t="s">
        <v>941</v>
      </c>
      <c r="C218" s="66" t="s">
        <v>962</v>
      </c>
      <c r="D218" s="81" t="s">
        <v>963</v>
      </c>
      <c r="E218" s="53"/>
      <c r="F218" s="54">
        <v>44449</v>
      </c>
      <c r="G218" s="53">
        <v>730</v>
      </c>
      <c r="H218" s="54">
        <f t="shared" si="19"/>
        <v>45179</v>
      </c>
      <c r="I218" s="55" t="str">
        <f t="shared" ca="1" si="21"/>
        <v>Vencido hace 403 dias</v>
      </c>
      <c r="J218" s="56">
        <f t="shared" ca="1" si="20"/>
        <v>-403</v>
      </c>
      <c r="K218" s="57" t="s">
        <v>584</v>
      </c>
      <c r="L218" s="55"/>
    </row>
    <row r="219" spans="2:12">
      <c r="B219" s="49" t="s">
        <v>941</v>
      </c>
      <c r="C219" s="66" t="s">
        <v>964</v>
      </c>
      <c r="D219" s="81" t="s">
        <v>965</v>
      </c>
      <c r="E219" s="53"/>
      <c r="F219" s="54">
        <v>44236</v>
      </c>
      <c r="G219" s="53">
        <v>730</v>
      </c>
      <c r="H219" s="54">
        <f t="shared" si="19"/>
        <v>44966</v>
      </c>
      <c r="I219" s="55" t="str">
        <f t="shared" ca="1" si="21"/>
        <v>Vencido hace 616 dias</v>
      </c>
      <c r="J219" s="56">
        <f t="shared" ca="1" si="20"/>
        <v>-616</v>
      </c>
      <c r="K219" s="57" t="s">
        <v>473</v>
      </c>
      <c r="L219" s="55"/>
    </row>
    <row r="220" spans="2:12">
      <c r="B220" s="49" t="s">
        <v>941</v>
      </c>
      <c r="C220" s="66" t="s">
        <v>966</v>
      </c>
      <c r="D220" s="81" t="s">
        <v>967</v>
      </c>
      <c r="E220" s="53"/>
      <c r="F220" s="54">
        <v>44435</v>
      </c>
      <c r="G220" s="53">
        <v>730</v>
      </c>
      <c r="H220" s="54">
        <f t="shared" si="19"/>
        <v>45165</v>
      </c>
      <c r="I220" s="55" t="str">
        <f t="shared" ca="1" si="21"/>
        <v>Vencido hace 417 dias</v>
      </c>
      <c r="J220" s="56">
        <f t="shared" ca="1" si="20"/>
        <v>-417</v>
      </c>
      <c r="K220" s="57"/>
      <c r="L220" s="55"/>
    </row>
    <row r="221" spans="2:12">
      <c r="B221" s="49" t="s">
        <v>941</v>
      </c>
      <c r="C221" s="50" t="s">
        <v>968</v>
      </c>
      <c r="D221" s="79" t="s">
        <v>969</v>
      </c>
      <c r="E221" s="51" t="s">
        <v>648</v>
      </c>
      <c r="F221" s="52">
        <v>44776</v>
      </c>
      <c r="G221" s="53">
        <v>730</v>
      </c>
      <c r="H221" s="54">
        <f t="shared" si="19"/>
        <v>45506</v>
      </c>
      <c r="I221" s="55" t="str">
        <f t="shared" ca="1" si="21"/>
        <v>Vencido hace 76 dias</v>
      </c>
      <c r="J221" s="56">
        <f t="shared" ca="1" si="20"/>
        <v>-76</v>
      </c>
      <c r="K221" s="57" t="s">
        <v>970</v>
      </c>
      <c r="L221" s="55"/>
    </row>
    <row r="222" spans="2:12">
      <c r="B222" s="49" t="s">
        <v>941</v>
      </c>
      <c r="C222" s="60" t="s">
        <v>974</v>
      </c>
      <c r="D222" s="79" t="s">
        <v>975</v>
      </c>
      <c r="E222" s="53"/>
      <c r="F222" s="54">
        <v>44494</v>
      </c>
      <c r="G222" s="53">
        <v>730</v>
      </c>
      <c r="H222" s="54">
        <f t="shared" si="19"/>
        <v>45224</v>
      </c>
      <c r="I222" s="55" t="str">
        <f t="shared" ca="1" si="21"/>
        <v>Vencido hace 358 dias</v>
      </c>
      <c r="J222" s="56">
        <f t="shared" ca="1" si="20"/>
        <v>-358</v>
      </c>
      <c r="K222" s="57" t="s">
        <v>976</v>
      </c>
      <c r="L222" s="55"/>
    </row>
    <row r="223" spans="2:12">
      <c r="B223" s="49" t="s">
        <v>941</v>
      </c>
      <c r="C223" s="60" t="s">
        <v>971</v>
      </c>
      <c r="D223" s="79" t="s">
        <v>972</v>
      </c>
      <c r="E223" s="54">
        <v>44866</v>
      </c>
      <c r="F223" s="54">
        <v>44865</v>
      </c>
      <c r="G223" s="53">
        <v>730</v>
      </c>
      <c r="H223" s="54">
        <f t="shared" si="19"/>
        <v>45595</v>
      </c>
      <c r="I223" s="55" t="str">
        <f t="shared" ca="1" si="21"/>
        <v>Faltan 1345595</v>
      </c>
      <c r="J223" s="56">
        <f t="shared" ca="1" si="20"/>
        <v>13</v>
      </c>
      <c r="K223" s="57" t="s">
        <v>973</v>
      </c>
      <c r="L223" s="55"/>
    </row>
    <row r="224" spans="2:12">
      <c r="B224" s="49" t="s">
        <v>977</v>
      </c>
      <c r="C224" s="66" t="s">
        <v>978</v>
      </c>
      <c r="D224" s="81" t="s">
        <v>979</v>
      </c>
      <c r="E224" s="51"/>
      <c r="F224" s="52">
        <v>44452</v>
      </c>
      <c r="G224" s="53">
        <v>730</v>
      </c>
      <c r="H224" s="54">
        <f t="shared" si="19"/>
        <v>45182</v>
      </c>
      <c r="I224" s="55" t="str">
        <f t="shared" ca="1" si="21"/>
        <v>Vencido hace 400 dias</v>
      </c>
      <c r="J224" s="56">
        <f t="shared" ca="1" si="20"/>
        <v>-400</v>
      </c>
      <c r="K224" s="57" t="s">
        <v>980</v>
      </c>
      <c r="L224" s="55"/>
    </row>
    <row r="225" spans="2:12">
      <c r="B225" s="49" t="s">
        <v>977</v>
      </c>
      <c r="C225" s="66" t="s">
        <v>981</v>
      </c>
      <c r="D225" s="81" t="s">
        <v>982</v>
      </c>
      <c r="E225" s="51"/>
      <c r="F225" s="52">
        <v>43851</v>
      </c>
      <c r="G225" s="53">
        <v>730</v>
      </c>
      <c r="H225" s="54">
        <f t="shared" si="19"/>
        <v>44581</v>
      </c>
      <c r="I225" s="55" t="str">
        <f t="shared" ca="1" si="21"/>
        <v>Vencido hace 1001 dias</v>
      </c>
      <c r="J225" s="56">
        <f t="shared" ca="1" si="20"/>
        <v>-1001</v>
      </c>
      <c r="K225" s="57" t="s">
        <v>983</v>
      </c>
      <c r="L225" s="55"/>
    </row>
    <row r="226" spans="2:12">
      <c r="B226" s="49" t="s">
        <v>977</v>
      </c>
      <c r="C226" s="60" t="s">
        <v>988</v>
      </c>
      <c r="D226" s="79" t="s">
        <v>989</v>
      </c>
      <c r="E226" s="51"/>
      <c r="F226" s="52">
        <v>45044</v>
      </c>
      <c r="G226" s="53">
        <v>730</v>
      </c>
      <c r="H226" s="54">
        <f t="shared" si="19"/>
        <v>45774</v>
      </c>
      <c r="I226" s="55" t="str">
        <f t="shared" ca="1" si="21"/>
        <v>Faltan 19245774</v>
      </c>
      <c r="J226" s="56">
        <f t="shared" ca="1" si="20"/>
        <v>192</v>
      </c>
      <c r="K226" s="57" t="s">
        <v>1431</v>
      </c>
      <c r="L226" s="55"/>
    </row>
    <row r="227" spans="2:12">
      <c r="B227" s="49" t="s">
        <v>977</v>
      </c>
      <c r="C227" s="60" t="s">
        <v>984</v>
      </c>
      <c r="D227" s="79" t="s">
        <v>985</v>
      </c>
      <c r="E227" s="51"/>
      <c r="F227" s="52">
        <v>44734</v>
      </c>
      <c r="G227" s="53">
        <v>730</v>
      </c>
      <c r="H227" s="54">
        <f t="shared" si="19"/>
        <v>45464</v>
      </c>
      <c r="I227" s="55" t="str">
        <f t="shared" ca="1" si="21"/>
        <v>Vencido hace 118 dias</v>
      </c>
      <c r="J227" s="56">
        <f t="shared" ca="1" si="20"/>
        <v>-118</v>
      </c>
      <c r="K227" s="57" t="s">
        <v>490</v>
      </c>
      <c r="L227" s="55"/>
    </row>
    <row r="228" spans="2:12">
      <c r="B228" s="49" t="s">
        <v>977</v>
      </c>
      <c r="C228" s="60" t="s">
        <v>986</v>
      </c>
      <c r="D228" s="79" t="s">
        <v>987</v>
      </c>
      <c r="E228" s="51"/>
      <c r="F228" s="52">
        <v>44263</v>
      </c>
      <c r="G228" s="53">
        <v>730</v>
      </c>
      <c r="H228" s="54">
        <f t="shared" si="19"/>
        <v>44993</v>
      </c>
      <c r="I228" s="55" t="str">
        <f t="shared" ca="1" si="21"/>
        <v>Vencido hace 589 dias</v>
      </c>
      <c r="J228" s="56">
        <f t="shared" ca="1" si="20"/>
        <v>-589</v>
      </c>
      <c r="K228" s="57" t="s">
        <v>983</v>
      </c>
      <c r="L228" s="55"/>
    </row>
    <row r="229" spans="2:12">
      <c r="B229" s="49" t="s">
        <v>977</v>
      </c>
      <c r="C229" s="60" t="s">
        <v>990</v>
      </c>
      <c r="D229" s="79" t="s">
        <v>991</v>
      </c>
      <c r="E229" s="51"/>
      <c r="F229" s="52">
        <v>44244</v>
      </c>
      <c r="G229" s="53">
        <v>730</v>
      </c>
      <c r="H229" s="54">
        <f t="shared" si="19"/>
        <v>44974</v>
      </c>
      <c r="I229" s="55" t="str">
        <f t="shared" ca="1" si="21"/>
        <v>Vencido hace 608 dias</v>
      </c>
      <c r="J229" s="56">
        <f t="shared" ca="1" si="20"/>
        <v>-608</v>
      </c>
      <c r="K229" s="57" t="s">
        <v>473</v>
      </c>
      <c r="L229" s="55"/>
    </row>
    <row r="230" spans="2:12">
      <c r="B230" s="49" t="s">
        <v>977</v>
      </c>
      <c r="C230" s="60" t="s">
        <v>992</v>
      </c>
      <c r="D230" s="79" t="s">
        <v>993</v>
      </c>
      <c r="E230" s="51"/>
      <c r="F230" s="52">
        <v>44326</v>
      </c>
      <c r="G230" s="53">
        <v>730</v>
      </c>
      <c r="H230" s="54">
        <f t="shared" si="19"/>
        <v>45056</v>
      </c>
      <c r="I230" s="55" t="str">
        <f ca="1">IF(H230="","VACIO",IF(J230&lt;0,"Vencido hace "&amp;J230*-1&amp;" dias",IF(J230=0,"Vencido Hoy",IF(J230&lt;8,"Tiene "&amp; J230 &amp;" dias","Faltan "&amp;J230*1&amp;H230))))</f>
        <v>Vencido hace 526 dias</v>
      </c>
      <c r="J230" s="56">
        <f t="shared" ca="1" si="20"/>
        <v>-526</v>
      </c>
      <c r="K230" s="57" t="s">
        <v>716</v>
      </c>
      <c r="L230" s="55"/>
    </row>
    <row r="231" spans="2:12">
      <c r="B231" s="49" t="s">
        <v>977</v>
      </c>
      <c r="C231" s="66" t="s">
        <v>994</v>
      </c>
      <c r="D231" s="81" t="s">
        <v>995</v>
      </c>
      <c r="E231" s="51"/>
      <c r="F231" s="52">
        <v>44525</v>
      </c>
      <c r="G231" s="53">
        <v>730</v>
      </c>
      <c r="H231" s="54">
        <f t="shared" si="19"/>
        <v>45255</v>
      </c>
      <c r="I231" s="55" t="str">
        <f t="shared" ref="I231:I244" ca="1" si="22">IF(H231="","VACIO",IF(J231&lt;0,"Vencido hace "&amp;J231*-1&amp;" dias",IF(J231=0,"Vencido Hoy",IF(J231&lt;8,"Tiene "&amp; J231 &amp;" dias","Faltan "&amp;J231&amp;H231))))</f>
        <v>Vencido hace 327 dias</v>
      </c>
      <c r="J231" s="56">
        <f t="shared" ca="1" si="20"/>
        <v>-327</v>
      </c>
      <c r="K231" s="57" t="s">
        <v>716</v>
      </c>
      <c r="L231" s="55"/>
    </row>
    <row r="232" spans="2:12">
      <c r="B232" s="49" t="s">
        <v>996</v>
      </c>
      <c r="C232" s="60" t="s">
        <v>997</v>
      </c>
      <c r="D232" s="79" t="s">
        <v>998</v>
      </c>
      <c r="E232" s="51"/>
      <c r="F232" s="52">
        <v>44383</v>
      </c>
      <c r="G232" s="53">
        <v>730</v>
      </c>
      <c r="H232" s="54">
        <f t="shared" si="19"/>
        <v>45113</v>
      </c>
      <c r="I232" s="55" t="str">
        <f t="shared" ca="1" si="22"/>
        <v>Vencido hace 469 dias</v>
      </c>
      <c r="J232" s="56">
        <f t="shared" ca="1" si="20"/>
        <v>-469</v>
      </c>
      <c r="K232" s="57" t="s">
        <v>540</v>
      </c>
      <c r="L232" s="55"/>
    </row>
    <row r="233" spans="2:12">
      <c r="B233" s="49" t="s">
        <v>996</v>
      </c>
      <c r="C233" s="60" t="s">
        <v>999</v>
      </c>
      <c r="D233" s="79" t="s">
        <v>1000</v>
      </c>
      <c r="E233" s="51" t="s">
        <v>648</v>
      </c>
      <c r="F233" s="52">
        <v>44719</v>
      </c>
      <c r="G233" s="53">
        <v>730</v>
      </c>
      <c r="H233" s="54">
        <f t="shared" si="19"/>
        <v>45449</v>
      </c>
      <c r="I233" s="55" t="str">
        <f t="shared" ca="1" si="22"/>
        <v>Vencido hace 133 dias</v>
      </c>
      <c r="J233" s="56">
        <f t="shared" ca="1" si="20"/>
        <v>-133</v>
      </c>
      <c r="K233" s="57" t="s">
        <v>1001</v>
      </c>
      <c r="L233" s="55"/>
    </row>
    <row r="234" spans="2:12">
      <c r="B234" s="49" t="s">
        <v>996</v>
      </c>
      <c r="C234" s="60" t="s">
        <v>1002</v>
      </c>
      <c r="D234" s="79" t="s">
        <v>1003</v>
      </c>
      <c r="E234" s="52">
        <v>44774</v>
      </c>
      <c r="F234" s="52">
        <v>44774</v>
      </c>
      <c r="G234" s="53">
        <v>730</v>
      </c>
      <c r="H234" s="54">
        <f t="shared" si="19"/>
        <v>45504</v>
      </c>
      <c r="I234" s="55" t="str">
        <f t="shared" ca="1" si="22"/>
        <v>Vencido hace 78 dias</v>
      </c>
      <c r="J234" s="56">
        <f t="shared" ca="1" si="20"/>
        <v>-78</v>
      </c>
      <c r="K234" s="57" t="s">
        <v>734</v>
      </c>
      <c r="L234" s="55"/>
    </row>
    <row r="235" spans="2:12">
      <c r="B235" s="49" t="s">
        <v>996</v>
      </c>
      <c r="C235" s="60" t="s">
        <v>1004</v>
      </c>
      <c r="D235" s="79" t="s">
        <v>1005</v>
      </c>
      <c r="E235" s="51"/>
      <c r="F235" s="52">
        <v>44718</v>
      </c>
      <c r="G235" s="53">
        <v>730</v>
      </c>
      <c r="H235" s="54">
        <f t="shared" si="19"/>
        <v>45448</v>
      </c>
      <c r="I235" s="55" t="str">
        <f t="shared" ca="1" si="22"/>
        <v>Vencido hace 134 dias</v>
      </c>
      <c r="J235" s="56">
        <f t="shared" ca="1" si="20"/>
        <v>-134</v>
      </c>
      <c r="K235" s="57" t="s">
        <v>1006</v>
      </c>
      <c r="L235" s="55"/>
    </row>
    <row r="236" spans="2:12">
      <c r="B236" s="49" t="s">
        <v>996</v>
      </c>
      <c r="C236" s="60" t="s">
        <v>1007</v>
      </c>
      <c r="D236" s="79" t="s">
        <v>1008</v>
      </c>
      <c r="E236" s="51" t="s">
        <v>648</v>
      </c>
      <c r="F236" s="52">
        <v>44719</v>
      </c>
      <c r="G236" s="53">
        <v>730</v>
      </c>
      <c r="H236" s="54">
        <f t="shared" si="19"/>
        <v>45449</v>
      </c>
      <c r="I236" s="55" t="str">
        <f t="shared" ca="1" si="22"/>
        <v>Vencido hace 133 dias</v>
      </c>
      <c r="J236" s="56">
        <f t="shared" ca="1" si="20"/>
        <v>-133</v>
      </c>
      <c r="K236" s="57" t="s">
        <v>1009</v>
      </c>
      <c r="L236" s="55"/>
    </row>
    <row r="237" spans="2:12">
      <c r="B237" s="49" t="s">
        <v>996</v>
      </c>
      <c r="C237" s="60" t="s">
        <v>1010</v>
      </c>
      <c r="D237" s="79" t="s">
        <v>1011</v>
      </c>
      <c r="E237" s="52">
        <v>44860</v>
      </c>
      <c r="F237" s="52">
        <v>44860</v>
      </c>
      <c r="G237" s="53">
        <v>730</v>
      </c>
      <c r="H237" s="54">
        <f t="shared" si="19"/>
        <v>45590</v>
      </c>
      <c r="I237" s="55" t="str">
        <f t="shared" ca="1" si="22"/>
        <v>Faltan 845590</v>
      </c>
      <c r="J237" s="56">
        <f t="shared" ca="1" si="20"/>
        <v>8</v>
      </c>
      <c r="K237" s="57" t="s">
        <v>875</v>
      </c>
      <c r="L237" s="55"/>
    </row>
    <row r="238" spans="2:12">
      <c r="B238" s="49" t="s">
        <v>996</v>
      </c>
      <c r="C238" s="60" t="s">
        <v>1012</v>
      </c>
      <c r="D238" s="79" t="s">
        <v>1013</v>
      </c>
      <c r="E238" s="52">
        <v>44825</v>
      </c>
      <c r="F238" s="52">
        <v>44825</v>
      </c>
      <c r="G238" s="53">
        <v>730</v>
      </c>
      <c r="H238" s="54">
        <f t="shared" si="19"/>
        <v>45555</v>
      </c>
      <c r="I238" s="55" t="str">
        <f t="shared" ca="1" si="22"/>
        <v>Vencido hace 27 dias</v>
      </c>
      <c r="J238" s="56">
        <f t="shared" ca="1" si="20"/>
        <v>-27</v>
      </c>
      <c r="K238" s="57" t="s">
        <v>1014</v>
      </c>
      <c r="L238" s="55"/>
    </row>
    <row r="239" spans="2:12">
      <c r="B239" s="49" t="s">
        <v>996</v>
      </c>
      <c r="C239" s="60" t="s">
        <v>1015</v>
      </c>
      <c r="D239" s="79" t="s">
        <v>1016</v>
      </c>
      <c r="E239" s="51"/>
      <c r="F239" s="52">
        <v>44469</v>
      </c>
      <c r="G239" s="53">
        <v>730</v>
      </c>
      <c r="H239" s="54">
        <f t="shared" si="19"/>
        <v>45199</v>
      </c>
      <c r="I239" s="55" t="str">
        <f t="shared" ca="1" si="22"/>
        <v>Vencido hace 383 dias</v>
      </c>
      <c r="J239" s="56">
        <f t="shared" ca="1" si="20"/>
        <v>-383</v>
      </c>
      <c r="K239" s="57" t="s">
        <v>1017</v>
      </c>
      <c r="L239" s="55"/>
    </row>
    <row r="240" spans="2:12">
      <c r="B240" s="49" t="s">
        <v>996</v>
      </c>
      <c r="C240" s="66" t="s">
        <v>1018</v>
      </c>
      <c r="D240" s="81" t="s">
        <v>1019</v>
      </c>
      <c r="E240" s="51"/>
      <c r="F240" s="52">
        <v>44396</v>
      </c>
      <c r="G240" s="53">
        <v>730</v>
      </c>
      <c r="H240" s="54">
        <f t="shared" si="19"/>
        <v>45126</v>
      </c>
      <c r="I240" s="55" t="str">
        <f t="shared" ca="1" si="22"/>
        <v>Vencido hace 456 dias</v>
      </c>
      <c r="J240" s="56">
        <f t="shared" ca="1" si="20"/>
        <v>-456</v>
      </c>
      <c r="K240" s="57" t="s">
        <v>1020</v>
      </c>
      <c r="L240" s="55"/>
    </row>
    <row r="241" spans="2:12">
      <c r="B241" s="49" t="s">
        <v>996</v>
      </c>
      <c r="C241" s="66" t="s">
        <v>1021</v>
      </c>
      <c r="D241" s="81" t="s">
        <v>1022</v>
      </c>
      <c r="E241" s="51"/>
      <c r="F241" s="52">
        <v>44957</v>
      </c>
      <c r="G241" s="53">
        <v>730</v>
      </c>
      <c r="H241" s="54">
        <f t="shared" si="19"/>
        <v>45687</v>
      </c>
      <c r="I241" s="55" t="str">
        <f t="shared" ca="1" si="22"/>
        <v>Faltan 10545687</v>
      </c>
      <c r="J241" s="56">
        <f t="shared" ca="1" si="20"/>
        <v>105</v>
      </c>
      <c r="K241" s="57" t="s">
        <v>1388</v>
      </c>
      <c r="L241" s="55"/>
    </row>
    <row r="242" spans="2:12">
      <c r="B242" s="49" t="s">
        <v>996</v>
      </c>
      <c r="C242" s="66" t="s">
        <v>1023</v>
      </c>
      <c r="D242" s="81" t="s">
        <v>1024</v>
      </c>
      <c r="E242" s="51" t="s">
        <v>812</v>
      </c>
      <c r="F242" s="52">
        <v>44475</v>
      </c>
      <c r="G242" s="53">
        <v>730</v>
      </c>
      <c r="H242" s="54">
        <f t="shared" si="19"/>
        <v>45205</v>
      </c>
      <c r="I242" s="55" t="str">
        <f t="shared" ca="1" si="22"/>
        <v>Vencido hace 377 dias</v>
      </c>
      <c r="J242" s="56">
        <f t="shared" ca="1" si="20"/>
        <v>-377</v>
      </c>
      <c r="K242" s="57"/>
      <c r="L242" s="55"/>
    </row>
    <row r="243" spans="2:12">
      <c r="B243" s="49" t="s">
        <v>996</v>
      </c>
      <c r="C243" s="66" t="s">
        <v>1025</v>
      </c>
      <c r="D243" s="81" t="s">
        <v>1026</v>
      </c>
      <c r="E243" s="51"/>
      <c r="F243" s="52">
        <v>44719</v>
      </c>
      <c r="G243" s="53">
        <v>730</v>
      </c>
      <c r="H243" s="54">
        <f t="shared" si="19"/>
        <v>45449</v>
      </c>
      <c r="I243" s="55" t="str">
        <f t="shared" ca="1" si="22"/>
        <v>Vencido hace 133 dias</v>
      </c>
      <c r="J243" s="56">
        <f t="shared" ca="1" si="20"/>
        <v>-133</v>
      </c>
      <c r="K243" s="57" t="s">
        <v>1027</v>
      </c>
      <c r="L243" s="55"/>
    </row>
    <row r="244" spans="2:12">
      <c r="B244" s="49" t="s">
        <v>996</v>
      </c>
      <c r="C244" s="66" t="s">
        <v>1028</v>
      </c>
      <c r="D244" s="81" t="s">
        <v>1029</v>
      </c>
      <c r="E244" s="51"/>
      <c r="F244" s="52">
        <v>44715</v>
      </c>
      <c r="G244" s="53">
        <v>730</v>
      </c>
      <c r="H244" s="54">
        <f t="shared" si="19"/>
        <v>45445</v>
      </c>
      <c r="I244" s="55" t="str">
        <f t="shared" ca="1" si="22"/>
        <v>Vencido hace 137 dias</v>
      </c>
      <c r="J244" s="56">
        <f t="shared" ca="1" si="20"/>
        <v>-137</v>
      </c>
      <c r="K244" s="57" t="s">
        <v>1030</v>
      </c>
      <c r="L244" s="55"/>
    </row>
    <row r="245" spans="2:12">
      <c r="B245" s="49" t="s">
        <v>996</v>
      </c>
      <c r="C245" s="66" t="s">
        <v>1031</v>
      </c>
      <c r="D245" s="79" t="s">
        <v>1032</v>
      </c>
      <c r="E245" s="51"/>
      <c r="F245" s="52">
        <v>44410</v>
      </c>
      <c r="G245" s="53">
        <v>730</v>
      </c>
      <c r="H245" s="54">
        <f t="shared" si="19"/>
        <v>45140</v>
      </c>
      <c r="I245" s="55" t="str">
        <f ca="1">IF(H245="","VACIO",IF(J245&lt;0,"Vencido hace "&amp;J245*-1&amp;" dias",IF(J245=0,"Vencido Hoy",IF(J245&lt;8,"Tiene "&amp; J245 &amp;" dias","Faltan "&amp;J245*1&amp;H245))))</f>
        <v>Vencido hace 442 dias</v>
      </c>
      <c r="J245" s="56">
        <f t="shared" ca="1" si="20"/>
        <v>-442</v>
      </c>
      <c r="K245" s="57" t="s">
        <v>540</v>
      </c>
      <c r="L245" s="55"/>
    </row>
    <row r="246" spans="2:12">
      <c r="B246" s="49" t="s">
        <v>996</v>
      </c>
      <c r="C246" s="60" t="s">
        <v>1033</v>
      </c>
      <c r="D246" s="79" t="s">
        <v>1034</v>
      </c>
      <c r="E246" s="52">
        <v>44866</v>
      </c>
      <c r="F246" s="52">
        <v>44866</v>
      </c>
      <c r="G246" s="53">
        <v>730</v>
      </c>
      <c r="H246" s="54">
        <f t="shared" si="19"/>
        <v>45596</v>
      </c>
      <c r="I246" s="55" t="str">
        <f t="shared" ref="I246:I256" ca="1" si="23">IF(H246="","VACIO",IF(J246&lt;0,"Vencido hace "&amp;J246*-1&amp;" dias",IF(J246=0,"Vencido Hoy",IF(J246&lt;8,"Tiene "&amp; J246 &amp;" dias","Faltan "&amp;J246&amp;H246))))</f>
        <v>Faltan 1445596</v>
      </c>
      <c r="J246" s="56">
        <f t="shared" ca="1" si="20"/>
        <v>14</v>
      </c>
      <c r="K246" s="57" t="s">
        <v>1035</v>
      </c>
      <c r="L246" s="55"/>
    </row>
    <row r="247" spans="2:12">
      <c r="B247" s="49" t="s">
        <v>1036</v>
      </c>
      <c r="C247" s="50" t="s">
        <v>1037</v>
      </c>
      <c r="D247" s="79" t="s">
        <v>1038</v>
      </c>
      <c r="E247" s="51" t="s">
        <v>1385</v>
      </c>
      <c r="F247" s="52">
        <v>43369</v>
      </c>
      <c r="G247" s="53">
        <v>730</v>
      </c>
      <c r="H247" s="54">
        <f t="shared" si="19"/>
        <v>44099</v>
      </c>
      <c r="I247" s="55" t="str">
        <f t="shared" ca="1" si="23"/>
        <v>Vencido hace 1483 dias</v>
      </c>
      <c r="J247" s="56">
        <f t="shared" ca="1" si="20"/>
        <v>-1483</v>
      </c>
      <c r="K247" s="57" t="s">
        <v>1039</v>
      </c>
      <c r="L247" s="55"/>
    </row>
    <row r="248" spans="2:12">
      <c r="B248" s="49" t="s">
        <v>1036</v>
      </c>
      <c r="C248" s="60" t="s">
        <v>1040</v>
      </c>
      <c r="D248" s="79" t="s">
        <v>1041</v>
      </c>
      <c r="E248" s="51"/>
      <c r="F248" s="52">
        <v>44826</v>
      </c>
      <c r="G248" s="53">
        <v>730</v>
      </c>
      <c r="H248" s="54">
        <f t="shared" si="19"/>
        <v>45556</v>
      </c>
      <c r="I248" s="55" t="str">
        <f t="shared" ca="1" si="23"/>
        <v>Vencido hace 26 dias</v>
      </c>
      <c r="J248" s="56">
        <f t="shared" ca="1" si="20"/>
        <v>-26</v>
      </c>
      <c r="K248" s="57" t="s">
        <v>295</v>
      </c>
      <c r="L248" s="55"/>
    </row>
    <row r="249" spans="2:12">
      <c r="B249" s="49" t="s">
        <v>1036</v>
      </c>
      <c r="C249" s="60" t="s">
        <v>1042</v>
      </c>
      <c r="D249" s="79" t="s">
        <v>1043</v>
      </c>
      <c r="E249" s="51"/>
      <c r="F249" s="52">
        <v>44652</v>
      </c>
      <c r="G249" s="53">
        <v>730</v>
      </c>
      <c r="H249" s="54">
        <f t="shared" si="19"/>
        <v>45382</v>
      </c>
      <c r="I249" s="55" t="str">
        <f t="shared" ca="1" si="23"/>
        <v>Vencido hace 200 dias</v>
      </c>
      <c r="J249" s="56">
        <f t="shared" ca="1" si="20"/>
        <v>-200</v>
      </c>
      <c r="K249" s="57" t="s">
        <v>295</v>
      </c>
      <c r="L249" s="55"/>
    </row>
    <row r="250" spans="2:12">
      <c r="B250" s="49" t="s">
        <v>1036</v>
      </c>
      <c r="C250" s="60" t="s">
        <v>1044</v>
      </c>
      <c r="D250" s="79" t="s">
        <v>1045</v>
      </c>
      <c r="E250" s="51"/>
      <c r="F250" s="52">
        <v>44236</v>
      </c>
      <c r="G250" s="53">
        <v>730</v>
      </c>
      <c r="H250" s="54">
        <f t="shared" si="19"/>
        <v>44966</v>
      </c>
      <c r="I250" s="55" t="str">
        <f t="shared" ca="1" si="23"/>
        <v>Vencido hace 616 dias</v>
      </c>
      <c r="J250" s="56">
        <f t="shared" ca="1" si="20"/>
        <v>-616</v>
      </c>
      <c r="K250" s="57" t="s">
        <v>79</v>
      </c>
      <c r="L250" s="55"/>
    </row>
    <row r="251" spans="2:12">
      <c r="B251" s="49" t="s">
        <v>1036</v>
      </c>
      <c r="C251" s="60" t="s">
        <v>1046</v>
      </c>
      <c r="D251" s="79" t="s">
        <v>1047</v>
      </c>
      <c r="E251" s="52">
        <v>44775</v>
      </c>
      <c r="F251" s="52">
        <v>44775</v>
      </c>
      <c r="G251" s="53">
        <v>730</v>
      </c>
      <c r="H251" s="54">
        <f t="shared" si="19"/>
        <v>45505</v>
      </c>
      <c r="I251" s="55" t="str">
        <f t="shared" ca="1" si="23"/>
        <v>Vencido hace 77 dias</v>
      </c>
      <c r="J251" s="56">
        <f t="shared" ca="1" si="20"/>
        <v>-77</v>
      </c>
      <c r="K251" s="57" t="s">
        <v>1048</v>
      </c>
      <c r="L251" s="55"/>
    </row>
    <row r="252" spans="2:12">
      <c r="B252" s="49" t="s">
        <v>1036</v>
      </c>
      <c r="C252" s="60" t="s">
        <v>1049</v>
      </c>
      <c r="D252" s="79" t="s">
        <v>1050</v>
      </c>
      <c r="E252" s="51"/>
      <c r="F252" s="52">
        <v>44615</v>
      </c>
      <c r="G252" s="53">
        <v>730</v>
      </c>
      <c r="H252" s="54">
        <f t="shared" si="19"/>
        <v>45345</v>
      </c>
      <c r="I252" s="55" t="str">
        <f t="shared" ca="1" si="23"/>
        <v>Vencido hace 237 dias</v>
      </c>
      <c r="J252" s="56">
        <f t="shared" ca="1" si="20"/>
        <v>-237</v>
      </c>
      <c r="K252" s="57" t="s">
        <v>1051</v>
      </c>
      <c r="L252" s="55"/>
    </row>
    <row r="253" spans="2:12">
      <c r="B253" s="49" t="s">
        <v>1036</v>
      </c>
      <c r="C253" s="60" t="s">
        <v>1052</v>
      </c>
      <c r="D253" s="79" t="s">
        <v>1053</v>
      </c>
      <c r="E253" s="51" t="s">
        <v>812</v>
      </c>
      <c r="F253" s="52">
        <v>44467</v>
      </c>
      <c r="G253" s="53">
        <v>730</v>
      </c>
      <c r="H253" s="54">
        <f t="shared" si="19"/>
        <v>45197</v>
      </c>
      <c r="I253" s="55" t="str">
        <f t="shared" ca="1" si="23"/>
        <v>Vencido hace 385 dias</v>
      </c>
      <c r="J253" s="56">
        <f t="shared" ca="1" si="20"/>
        <v>-385</v>
      </c>
      <c r="K253" s="57"/>
      <c r="L253" s="55"/>
    </row>
    <row r="254" spans="2:12">
      <c r="B254" s="49" t="s">
        <v>1036</v>
      </c>
      <c r="C254" s="60" t="s">
        <v>1054</v>
      </c>
      <c r="D254" s="79" t="s">
        <v>1055</v>
      </c>
      <c r="E254" s="51"/>
      <c r="F254" s="52">
        <v>44243</v>
      </c>
      <c r="G254" s="53">
        <v>730</v>
      </c>
      <c r="H254" s="54">
        <f t="shared" si="19"/>
        <v>44973</v>
      </c>
      <c r="I254" s="55" t="str">
        <f t="shared" ca="1" si="23"/>
        <v>Vencido hace 609 dias</v>
      </c>
      <c r="J254" s="56">
        <f t="shared" ca="1" si="20"/>
        <v>-609</v>
      </c>
      <c r="K254" s="57" t="s">
        <v>604</v>
      </c>
      <c r="L254" s="55"/>
    </row>
    <row r="255" spans="2:12">
      <c r="B255" s="49" t="s">
        <v>1036</v>
      </c>
      <c r="C255" s="66" t="s">
        <v>1056</v>
      </c>
      <c r="D255" s="81" t="s">
        <v>1057</v>
      </c>
      <c r="E255" s="51"/>
      <c r="F255" s="52">
        <v>44291</v>
      </c>
      <c r="G255" s="53">
        <v>730</v>
      </c>
      <c r="H255" s="54">
        <f t="shared" si="19"/>
        <v>45021</v>
      </c>
      <c r="I255" s="55" t="str">
        <f t="shared" ca="1" si="23"/>
        <v>Vencido hace 561 dias</v>
      </c>
      <c r="J255" s="56">
        <f t="shared" ca="1" si="20"/>
        <v>-561</v>
      </c>
      <c r="K255" s="57" t="s">
        <v>604</v>
      </c>
      <c r="L255" s="55"/>
    </row>
    <row r="256" spans="2:12">
      <c r="B256" s="49" t="s">
        <v>1036</v>
      </c>
      <c r="C256" s="66" t="s">
        <v>1058</v>
      </c>
      <c r="D256" s="81" t="s">
        <v>1059</v>
      </c>
      <c r="E256" s="51"/>
      <c r="F256" s="52">
        <v>44403</v>
      </c>
      <c r="G256" s="53">
        <v>730</v>
      </c>
      <c r="H256" s="54">
        <f t="shared" si="19"/>
        <v>45133</v>
      </c>
      <c r="I256" s="55" t="str">
        <f t="shared" ca="1" si="23"/>
        <v>Vencido hace 449 dias</v>
      </c>
      <c r="J256" s="56">
        <f t="shared" ca="1" si="20"/>
        <v>-449</v>
      </c>
      <c r="K256" s="57" t="s">
        <v>581</v>
      </c>
      <c r="L256" s="55"/>
    </row>
    <row r="257" spans="2:12">
      <c r="B257" s="49" t="s">
        <v>1036</v>
      </c>
      <c r="C257" s="66" t="s">
        <v>1060</v>
      </c>
      <c r="D257" s="79" t="s">
        <v>1061</v>
      </c>
      <c r="E257" s="51"/>
      <c r="F257" s="52">
        <v>44978</v>
      </c>
      <c r="G257" s="53">
        <v>730</v>
      </c>
      <c r="H257" s="54">
        <f t="shared" si="19"/>
        <v>45708</v>
      </c>
      <c r="I257" s="55" t="str">
        <f ca="1">IF(H257="","VACIO",IF(J257&lt;0,"Vencido hace "&amp;J257*-1&amp;" dias",IF(J257=0,"Vencido Hoy",IF(J257&lt;8,"Tiene "&amp; J257 &amp;" dias","Faltan "&amp;J257*1&amp;H257))))</f>
        <v>Faltan 12645708</v>
      </c>
      <c r="J257" s="56">
        <f t="shared" ca="1" si="20"/>
        <v>126</v>
      </c>
      <c r="K257" s="57" t="s">
        <v>1400</v>
      </c>
      <c r="L257" s="55"/>
    </row>
    <row r="258" spans="2:12">
      <c r="B258" s="49" t="s">
        <v>1036</v>
      </c>
      <c r="C258" s="60" t="s">
        <v>1062</v>
      </c>
      <c r="D258" s="79" t="s">
        <v>1063</v>
      </c>
      <c r="E258" s="51"/>
      <c r="F258" s="52">
        <v>44271</v>
      </c>
      <c r="G258" s="53">
        <v>730</v>
      </c>
      <c r="H258" s="54">
        <f t="shared" si="19"/>
        <v>45001</v>
      </c>
      <c r="I258" s="55" t="str">
        <f ca="1">IF(H258="","VACIO",IF(J258&lt;0,"Vencido hace "&amp;J258*-1&amp;" dias",IF(J258=0,"Vencido Hoy",IF(J258&lt;8,"Tiene "&amp; J258 &amp;" dias","Faltan "&amp;J258*1&amp;H258))))</f>
        <v>Vencido hace 581 dias</v>
      </c>
      <c r="J258" s="56">
        <f t="shared" ca="1" si="20"/>
        <v>-581</v>
      </c>
      <c r="K258" s="57" t="s">
        <v>79</v>
      </c>
      <c r="L258" s="55"/>
    </row>
    <row r="259" spans="2:12">
      <c r="B259" s="49" t="s">
        <v>1036</v>
      </c>
      <c r="C259" s="66" t="s">
        <v>1064</v>
      </c>
      <c r="D259" s="81" t="s">
        <v>1065</v>
      </c>
      <c r="E259" s="51"/>
      <c r="F259" s="52">
        <v>44700</v>
      </c>
      <c r="G259" s="53">
        <v>730</v>
      </c>
      <c r="H259" s="54">
        <f t="shared" si="19"/>
        <v>45430</v>
      </c>
      <c r="I259" s="55" t="str">
        <f ca="1">IF(H259="","VACIO",IF(J259&lt;0,"Vencido hace "&amp;J259*-1&amp;" dias",IF(J259=0,"Vencido Hoy",IF(J259&lt;8,"Tiene "&amp; J259 &amp;" dias","Faltan "&amp;J259*1&amp;H259))))</f>
        <v>Vencido hace 152 dias</v>
      </c>
      <c r="J259" s="56">
        <f t="shared" ca="1" si="20"/>
        <v>-152</v>
      </c>
      <c r="K259" s="57"/>
      <c r="L259" s="55"/>
    </row>
    <row r="260" spans="2:12">
      <c r="B260" s="49" t="s">
        <v>1036</v>
      </c>
      <c r="C260" s="66" t="s">
        <v>1066</v>
      </c>
      <c r="D260" s="81" t="s">
        <v>1067</v>
      </c>
      <c r="E260" s="51"/>
      <c r="F260" s="52">
        <v>44608</v>
      </c>
      <c r="G260" s="53">
        <v>730</v>
      </c>
      <c r="H260" s="54">
        <f t="shared" ref="H260:H323" si="24">F260+G260</f>
        <v>45338</v>
      </c>
      <c r="I260" s="55" t="str">
        <f ca="1">IF(H260="","VACIO",IF(J260&lt;0,"Vencido hace "&amp;J260*-1&amp;" dias",IF(J260=0,"Vencido Hoy",IF(J260&lt;8,"Tiene "&amp; J260 &amp;" dias","Faltan "&amp;J260*1&amp;H260))))</f>
        <v>Vencido hace 244 dias</v>
      </c>
      <c r="J260" s="56">
        <f t="shared" ref="J260:J325" ca="1" si="25">H260-$B$2</f>
        <v>-244</v>
      </c>
      <c r="K260" s="57" t="s">
        <v>295</v>
      </c>
      <c r="L260" s="55"/>
    </row>
    <row r="261" spans="2:12">
      <c r="B261" s="49" t="s">
        <v>1036</v>
      </c>
      <c r="C261" s="66" t="s">
        <v>1068</v>
      </c>
      <c r="D261" s="81" t="s">
        <v>1069</v>
      </c>
      <c r="E261" s="51"/>
      <c r="F261" s="52">
        <v>44960</v>
      </c>
      <c r="G261" s="53">
        <v>730</v>
      </c>
      <c r="H261" s="54">
        <f t="shared" si="24"/>
        <v>45690</v>
      </c>
      <c r="I261" s="55" t="str">
        <f ca="1">IF(H261="","VACIO",IF(J261&lt;0,"Vencido hace "&amp;J261*-1&amp;" dias",IF(J261=0,"Vencido Hoy",IF(J261&lt;8,"Tiene "&amp; J261 &amp;" dias","Faltan "&amp;J261*1&amp;H261))))</f>
        <v>Faltan 10845690</v>
      </c>
      <c r="J261" s="56">
        <f t="shared" ca="1" si="25"/>
        <v>108</v>
      </c>
      <c r="K261" s="57" t="s">
        <v>604</v>
      </c>
      <c r="L261" s="55"/>
    </row>
    <row r="262" spans="2:12">
      <c r="B262" s="49" t="s">
        <v>1036</v>
      </c>
      <c r="C262" s="60" t="s">
        <v>1070</v>
      </c>
      <c r="D262" s="79" t="s">
        <v>1071</v>
      </c>
      <c r="E262" s="51"/>
      <c r="F262" s="52">
        <v>44410</v>
      </c>
      <c r="G262" s="53">
        <v>730</v>
      </c>
      <c r="H262" s="54">
        <f t="shared" si="24"/>
        <v>45140</v>
      </c>
      <c r="I262" s="55" t="str">
        <f t="shared" ref="I262:I270" ca="1" si="26">IF(H262="","VACIO",IF(J262&lt;0,"Vencido hace "&amp;J262*-1&amp;" dias",IF(J262=0,"Vencido Hoy",IF(J262&lt;8,"Tiene "&amp; J262 &amp;" dias","Faltan "&amp;J262&amp;H262))))</f>
        <v>Vencido hace 442 dias</v>
      </c>
      <c r="J262" s="56">
        <f t="shared" ca="1" si="25"/>
        <v>-442</v>
      </c>
      <c r="K262" s="57" t="s">
        <v>473</v>
      </c>
      <c r="L262" s="55"/>
    </row>
    <row r="263" spans="2:12">
      <c r="B263" s="49" t="s">
        <v>1036</v>
      </c>
      <c r="C263" s="60" t="s">
        <v>1072</v>
      </c>
      <c r="D263" s="79" t="s">
        <v>1073</v>
      </c>
      <c r="E263" s="51"/>
      <c r="F263" s="52">
        <v>44591</v>
      </c>
      <c r="G263" s="53">
        <v>730</v>
      </c>
      <c r="H263" s="54">
        <f t="shared" si="24"/>
        <v>45321</v>
      </c>
      <c r="I263" s="55" t="str">
        <f t="shared" ca="1" si="26"/>
        <v>Vencido hace 261 dias</v>
      </c>
      <c r="J263" s="56">
        <f t="shared" ca="1" si="25"/>
        <v>-261</v>
      </c>
      <c r="K263" s="57" t="s">
        <v>581</v>
      </c>
      <c r="L263" s="55"/>
    </row>
    <row r="264" spans="2:12">
      <c r="B264" s="49" t="s">
        <v>1074</v>
      </c>
      <c r="C264" s="60" t="s">
        <v>1075</v>
      </c>
      <c r="D264" s="79" t="s">
        <v>1076</v>
      </c>
      <c r="E264" s="51"/>
      <c r="F264" s="52">
        <v>44379</v>
      </c>
      <c r="G264" s="53">
        <v>730</v>
      </c>
      <c r="H264" s="54">
        <f t="shared" si="24"/>
        <v>45109</v>
      </c>
      <c r="I264" s="55" t="str">
        <f t="shared" ca="1" si="26"/>
        <v>Vencido hace 473 dias</v>
      </c>
      <c r="J264" s="56">
        <f t="shared" ca="1" si="25"/>
        <v>-473</v>
      </c>
      <c r="K264" s="57" t="s">
        <v>770</v>
      </c>
      <c r="L264" s="55"/>
    </row>
    <row r="265" spans="2:12">
      <c r="B265" s="49" t="s">
        <v>1074</v>
      </c>
      <c r="C265" s="60" t="s">
        <v>1077</v>
      </c>
      <c r="D265" s="79" t="s">
        <v>1078</v>
      </c>
      <c r="E265" s="51" t="s">
        <v>1079</v>
      </c>
      <c r="F265" s="52">
        <v>44123</v>
      </c>
      <c r="G265" s="53">
        <v>730</v>
      </c>
      <c r="H265" s="54">
        <f t="shared" si="24"/>
        <v>44853</v>
      </c>
      <c r="I265" s="55" t="str">
        <f t="shared" ca="1" si="26"/>
        <v>Vencido hace 729 dias</v>
      </c>
      <c r="J265" s="56">
        <f t="shared" ca="1" si="25"/>
        <v>-729</v>
      </c>
      <c r="K265" s="57" t="s">
        <v>79</v>
      </c>
      <c r="L265" s="55"/>
    </row>
    <row r="266" spans="2:12">
      <c r="B266" s="49" t="s">
        <v>1074</v>
      </c>
      <c r="C266" s="60" t="s">
        <v>1080</v>
      </c>
      <c r="D266" s="79" t="s">
        <v>1081</v>
      </c>
      <c r="E266" s="51"/>
      <c r="F266" s="52">
        <v>44498</v>
      </c>
      <c r="G266" s="53">
        <v>730</v>
      </c>
      <c r="H266" s="54">
        <f t="shared" si="24"/>
        <v>45228</v>
      </c>
      <c r="I266" s="55" t="str">
        <f t="shared" ca="1" si="26"/>
        <v>Vencido hace 354 dias</v>
      </c>
      <c r="J266" s="56">
        <f t="shared" ca="1" si="25"/>
        <v>-354</v>
      </c>
      <c r="K266" s="57" t="s">
        <v>79</v>
      </c>
      <c r="L266" s="55"/>
    </row>
    <row r="267" spans="2:12">
      <c r="B267" s="49" t="s">
        <v>1074</v>
      </c>
      <c r="C267" s="66" t="s">
        <v>1082</v>
      </c>
      <c r="D267" s="81" t="s">
        <v>1083</v>
      </c>
      <c r="E267" s="51"/>
      <c r="F267" s="52">
        <v>44509</v>
      </c>
      <c r="G267" s="53">
        <v>730</v>
      </c>
      <c r="H267" s="54">
        <f t="shared" si="24"/>
        <v>45239</v>
      </c>
      <c r="I267" s="55" t="str">
        <f t="shared" ca="1" si="26"/>
        <v>Vencido hace 343 dias</v>
      </c>
      <c r="J267" s="56">
        <f t="shared" ca="1" si="25"/>
        <v>-343</v>
      </c>
      <c r="K267" s="57" t="s">
        <v>921</v>
      </c>
      <c r="L267" s="55"/>
    </row>
    <row r="268" spans="2:12">
      <c r="B268" s="49" t="s">
        <v>1074</v>
      </c>
      <c r="C268" s="66" t="s">
        <v>1084</v>
      </c>
      <c r="D268" s="81" t="s">
        <v>1085</v>
      </c>
      <c r="E268" s="51"/>
      <c r="F268" s="52">
        <v>44266</v>
      </c>
      <c r="G268" s="53">
        <v>730</v>
      </c>
      <c r="H268" s="54">
        <f t="shared" si="24"/>
        <v>44996</v>
      </c>
      <c r="I268" s="55" t="str">
        <f t="shared" ca="1" si="26"/>
        <v>Vencido hace 586 dias</v>
      </c>
      <c r="J268" s="56">
        <f t="shared" ca="1" si="25"/>
        <v>-586</v>
      </c>
      <c r="K268" s="57" t="s">
        <v>540</v>
      </c>
      <c r="L268" s="55"/>
    </row>
    <row r="269" spans="2:12">
      <c r="B269" s="49" t="s">
        <v>1074</v>
      </c>
      <c r="C269" s="66" t="s">
        <v>1086</v>
      </c>
      <c r="D269" s="81" t="s">
        <v>1087</v>
      </c>
      <c r="E269" s="51"/>
      <c r="F269" s="52">
        <v>44461</v>
      </c>
      <c r="G269" s="53">
        <v>730</v>
      </c>
      <c r="H269" s="54">
        <f t="shared" si="24"/>
        <v>45191</v>
      </c>
      <c r="I269" s="55" t="str">
        <f t="shared" ca="1" si="26"/>
        <v>Vencido hace 391 dias</v>
      </c>
      <c r="J269" s="56">
        <f t="shared" ca="1" si="25"/>
        <v>-391</v>
      </c>
      <c r="K269" s="57" t="s">
        <v>921</v>
      </c>
      <c r="L269" s="55"/>
    </row>
    <row r="270" spans="2:12">
      <c r="B270" s="49" t="s">
        <v>1074</v>
      </c>
      <c r="C270" s="66" t="s">
        <v>1088</v>
      </c>
      <c r="D270" s="81" t="s">
        <v>1089</v>
      </c>
      <c r="E270" s="51"/>
      <c r="F270" s="52">
        <v>44263</v>
      </c>
      <c r="G270" s="53">
        <v>730</v>
      </c>
      <c r="H270" s="54">
        <f t="shared" si="24"/>
        <v>44993</v>
      </c>
      <c r="I270" s="55" t="str">
        <f t="shared" ca="1" si="26"/>
        <v>Vencido hace 589 dias</v>
      </c>
      <c r="J270" s="56">
        <f t="shared" ca="1" si="25"/>
        <v>-589</v>
      </c>
      <c r="K270" s="57" t="s">
        <v>473</v>
      </c>
      <c r="L270" s="55"/>
    </row>
    <row r="271" spans="2:12">
      <c r="B271" s="49" t="s">
        <v>1074</v>
      </c>
      <c r="C271" s="66" t="s">
        <v>1090</v>
      </c>
      <c r="D271" s="81" t="s">
        <v>1091</v>
      </c>
      <c r="E271" s="51"/>
      <c r="F271" s="52">
        <v>44375</v>
      </c>
      <c r="G271" s="53">
        <v>730</v>
      </c>
      <c r="H271" s="54">
        <f t="shared" si="24"/>
        <v>45105</v>
      </c>
      <c r="I271" s="55" t="str">
        <f ca="1">IF(H271="","VACIO",IF(J271&lt;0,"Vencido hace "&amp;J271*-1&amp;" dias",IF(J271=0,"Vencido Hoy",IF(J271&lt;8,"Tiene "&amp; J271 &amp;" dias","Faltan "&amp;J271*1&amp;H271))))</f>
        <v>Vencido hace 477 dias</v>
      </c>
      <c r="J271" s="56">
        <f t="shared" ca="1" si="25"/>
        <v>-477</v>
      </c>
      <c r="K271" s="57" t="s">
        <v>1092</v>
      </c>
      <c r="L271" s="55"/>
    </row>
    <row r="272" spans="2:12">
      <c r="B272" s="49" t="s">
        <v>1074</v>
      </c>
      <c r="C272" s="66" t="s">
        <v>1093</v>
      </c>
      <c r="D272" s="79" t="s">
        <v>1094</v>
      </c>
      <c r="E272" s="51"/>
      <c r="F272" s="52">
        <v>44854</v>
      </c>
      <c r="G272" s="53">
        <v>730</v>
      </c>
      <c r="H272" s="54">
        <f t="shared" si="24"/>
        <v>45584</v>
      </c>
      <c r="I272" s="55" t="str">
        <f ca="1">IF(H272="","VACIO",IF(J272&lt;0,"Vencido hace "&amp;J272*-1&amp;" dias",IF(J272=0,"Vencido Hoy",IF(J272&lt;8,"Tiene "&amp; J272 &amp;" dias","Faltan "&amp;J272*1&amp;H272))))</f>
        <v>Tiene 2 dias</v>
      </c>
      <c r="J272" s="56">
        <f t="shared" ca="1" si="25"/>
        <v>2</v>
      </c>
      <c r="K272" s="57" t="s">
        <v>295</v>
      </c>
      <c r="L272" s="55"/>
    </row>
    <row r="273" spans="2:12">
      <c r="B273" s="49" t="s">
        <v>1074</v>
      </c>
      <c r="C273" s="66" t="s">
        <v>1095</v>
      </c>
      <c r="D273" s="79" t="s">
        <v>1096</v>
      </c>
      <c r="E273" s="51"/>
      <c r="F273" s="52">
        <v>44882</v>
      </c>
      <c r="G273" s="53">
        <v>730</v>
      </c>
      <c r="H273" s="54">
        <f t="shared" si="24"/>
        <v>45612</v>
      </c>
      <c r="I273" s="55" t="str">
        <f ca="1">IF(H273="","VACIO",IF(J273&lt;0,"Vencido hace "&amp;J273*-1&amp;" dias",IF(J273=0,"Vencido Hoy",IF(J273&lt;8,"Tiene "&amp; J273 &amp;" dias","Faltan "&amp;J273*1&amp;H273))))</f>
        <v>Faltan 3045612</v>
      </c>
      <c r="J273" s="56">
        <f t="shared" ca="1" si="25"/>
        <v>30</v>
      </c>
      <c r="K273" s="57" t="s">
        <v>295</v>
      </c>
      <c r="L273" s="55"/>
    </row>
    <row r="274" spans="2:12">
      <c r="B274" s="49" t="s">
        <v>1074</v>
      </c>
      <c r="C274" s="66" t="s">
        <v>1097</v>
      </c>
      <c r="D274" s="81" t="s">
        <v>1098</v>
      </c>
      <c r="E274" s="51"/>
      <c r="F274" s="52">
        <v>44799</v>
      </c>
      <c r="G274" s="53">
        <v>730</v>
      </c>
      <c r="H274" s="54">
        <f t="shared" si="24"/>
        <v>45529</v>
      </c>
      <c r="I274" s="55" t="str">
        <f ca="1">IF(H274="","VACIO",IF(J274&lt;0,"Vencido hace "&amp;J274*-1&amp;" dias",IF(J274=0,"Vencido Hoy",IF(J274&lt;8,"Tiene "&amp; J274 &amp;" dias","Faltan "&amp;J274*1&amp;H274))))</f>
        <v>Vencido hace 53 dias</v>
      </c>
      <c r="J274" s="56">
        <f t="shared" ca="1" si="25"/>
        <v>-53</v>
      </c>
      <c r="K274" s="57" t="s">
        <v>1099</v>
      </c>
      <c r="L274" s="55"/>
    </row>
    <row r="275" spans="2:12">
      <c r="B275" s="49" t="s">
        <v>1074</v>
      </c>
      <c r="C275" s="66" t="s">
        <v>1100</v>
      </c>
      <c r="D275" s="79" t="s">
        <v>1101</v>
      </c>
      <c r="E275" s="51"/>
      <c r="F275" s="52">
        <v>44420</v>
      </c>
      <c r="G275" s="53">
        <v>730</v>
      </c>
      <c r="H275" s="54">
        <f t="shared" si="24"/>
        <v>45150</v>
      </c>
      <c r="I275" s="55" t="str">
        <f ca="1">IF(H275="","VACIO",IF(J275&lt;0,"Vencido hace "&amp;J275*-1&amp;" dias",IF(J275=0,"Vencido Hoy",IF(J275&lt;8,"Tiene "&amp; J275 &amp;" dias","Faltan "&amp;J275*1&amp;H275))))</f>
        <v>Vencido hace 432 dias</v>
      </c>
      <c r="J275" s="56">
        <f t="shared" ca="1" si="25"/>
        <v>-432</v>
      </c>
      <c r="K275" s="57" t="s">
        <v>1102</v>
      </c>
      <c r="L275" s="55"/>
    </row>
    <row r="276" spans="2:12">
      <c r="B276" s="49" t="s">
        <v>1074</v>
      </c>
      <c r="C276" s="66" t="s">
        <v>1103</v>
      </c>
      <c r="D276" s="81" t="s">
        <v>1104</v>
      </c>
      <c r="E276" s="51"/>
      <c r="F276" s="52">
        <v>44627</v>
      </c>
      <c r="G276" s="53">
        <v>730</v>
      </c>
      <c r="H276" s="54">
        <f t="shared" si="24"/>
        <v>45357</v>
      </c>
      <c r="I276" s="55" t="str">
        <f t="shared" ref="I276:I288" ca="1" si="27">IF(H276="","VACIO",IF(J276&lt;0,"Vencido hace "&amp;J276*-1&amp;" dias",IF(J276=0,"Vencido Hoy",IF(J276&lt;8,"Tiene "&amp; J276 &amp;" dias","Faltan "&amp;J276&amp;H276))))</f>
        <v>Vencido hace 225 dias</v>
      </c>
      <c r="J276" s="56">
        <f t="shared" ca="1" si="25"/>
        <v>-225</v>
      </c>
      <c r="K276" s="57" t="s">
        <v>921</v>
      </c>
      <c r="L276" s="55"/>
    </row>
    <row r="277" spans="2:12">
      <c r="B277" s="49" t="s">
        <v>1074</v>
      </c>
      <c r="C277" s="66" t="s">
        <v>1105</v>
      </c>
      <c r="D277" s="81" t="s">
        <v>1106</v>
      </c>
      <c r="E277" s="51"/>
      <c r="F277" s="52">
        <v>44644</v>
      </c>
      <c r="G277" s="53">
        <v>730</v>
      </c>
      <c r="H277" s="54">
        <f t="shared" si="24"/>
        <v>45374</v>
      </c>
      <c r="I277" s="55" t="str">
        <f t="shared" ca="1" si="27"/>
        <v>Vencido hace 208 dias</v>
      </c>
      <c r="J277" s="56">
        <f t="shared" ca="1" si="25"/>
        <v>-208</v>
      </c>
      <c r="K277" s="57" t="s">
        <v>1107</v>
      </c>
      <c r="L277" s="55"/>
    </row>
    <row r="278" spans="2:12">
      <c r="B278" s="49" t="s">
        <v>1074</v>
      </c>
      <c r="C278" s="66" t="s">
        <v>1108</v>
      </c>
      <c r="D278" s="81" t="s">
        <v>1109</v>
      </c>
      <c r="E278" s="51"/>
      <c r="F278" s="52">
        <v>44396</v>
      </c>
      <c r="G278" s="53">
        <v>730</v>
      </c>
      <c r="H278" s="54">
        <f t="shared" si="24"/>
        <v>45126</v>
      </c>
      <c r="I278" s="55" t="str">
        <f t="shared" ca="1" si="27"/>
        <v>Vencido hace 456 dias</v>
      </c>
      <c r="J278" s="56">
        <f t="shared" ca="1" si="25"/>
        <v>-456</v>
      </c>
      <c r="K278" s="57" t="s">
        <v>770</v>
      </c>
      <c r="L278" s="55"/>
    </row>
    <row r="279" spans="2:12">
      <c r="B279" s="49" t="s">
        <v>1074</v>
      </c>
      <c r="C279" s="66" t="s">
        <v>1110</v>
      </c>
      <c r="D279" s="81" t="s">
        <v>1111</v>
      </c>
      <c r="E279" s="51"/>
      <c r="F279" s="52">
        <v>44237</v>
      </c>
      <c r="G279" s="53">
        <v>730</v>
      </c>
      <c r="H279" s="54">
        <f t="shared" si="24"/>
        <v>44967</v>
      </c>
      <c r="I279" s="55" t="str">
        <f t="shared" ca="1" si="27"/>
        <v>Vencido hace 615 dias</v>
      </c>
      <c r="J279" s="56">
        <f t="shared" ca="1" si="25"/>
        <v>-615</v>
      </c>
      <c r="K279" s="57" t="s">
        <v>770</v>
      </c>
      <c r="L279" s="55"/>
    </row>
    <row r="280" spans="2:12">
      <c r="B280" s="49" t="s">
        <v>1112</v>
      </c>
      <c r="C280" s="60" t="s">
        <v>1113</v>
      </c>
      <c r="D280" s="79" t="s">
        <v>1114</v>
      </c>
      <c r="E280" s="51"/>
      <c r="F280" s="52">
        <v>44895</v>
      </c>
      <c r="G280" s="53">
        <v>730</v>
      </c>
      <c r="H280" s="54">
        <f t="shared" si="24"/>
        <v>45625</v>
      </c>
      <c r="I280" s="55" t="str">
        <f t="shared" ca="1" si="27"/>
        <v>Faltan 4345625</v>
      </c>
      <c r="J280" s="56">
        <f t="shared" ca="1" si="25"/>
        <v>43</v>
      </c>
      <c r="K280" s="57" t="s">
        <v>295</v>
      </c>
      <c r="L280" s="55"/>
    </row>
    <row r="281" spans="2:12">
      <c r="B281" s="49" t="s">
        <v>1112</v>
      </c>
      <c r="C281" s="60" t="s">
        <v>1115</v>
      </c>
      <c r="D281" s="79" t="s">
        <v>1116</v>
      </c>
      <c r="E281" s="51"/>
      <c r="F281" s="52">
        <v>44635</v>
      </c>
      <c r="G281" s="53">
        <v>730</v>
      </c>
      <c r="H281" s="54">
        <f t="shared" si="24"/>
        <v>45365</v>
      </c>
      <c r="I281" s="55" t="str">
        <f t="shared" ca="1" si="27"/>
        <v>Vencido hace 217 dias</v>
      </c>
      <c r="J281" s="56">
        <f t="shared" ca="1" si="25"/>
        <v>-217</v>
      </c>
      <c r="K281" s="57" t="s">
        <v>1117</v>
      </c>
      <c r="L281" s="55"/>
    </row>
    <row r="282" spans="2:12">
      <c r="B282" s="49" t="s">
        <v>1112</v>
      </c>
      <c r="C282" s="60" t="s">
        <v>1118</v>
      </c>
      <c r="D282" s="79" t="s">
        <v>1119</v>
      </c>
      <c r="E282" s="51"/>
      <c r="F282" s="52">
        <v>45028</v>
      </c>
      <c r="G282" s="53">
        <v>730</v>
      </c>
      <c r="H282" s="54">
        <f t="shared" si="24"/>
        <v>45758</v>
      </c>
      <c r="I282" s="55" t="str">
        <f t="shared" ca="1" si="27"/>
        <v>Faltan 17645758</v>
      </c>
      <c r="J282" s="56">
        <f t="shared" ca="1" si="25"/>
        <v>176</v>
      </c>
      <c r="K282" s="57" t="s">
        <v>295</v>
      </c>
      <c r="L282" s="55"/>
    </row>
    <row r="283" spans="2:12">
      <c r="B283" s="49" t="s">
        <v>1112</v>
      </c>
      <c r="C283" s="60" t="s">
        <v>1120</v>
      </c>
      <c r="D283" s="79" t="s">
        <v>1121</v>
      </c>
      <c r="E283" s="51"/>
      <c r="F283" s="52">
        <v>44256</v>
      </c>
      <c r="G283" s="53">
        <v>730</v>
      </c>
      <c r="H283" s="54">
        <f t="shared" si="24"/>
        <v>44986</v>
      </c>
      <c r="I283" s="55" t="str">
        <f t="shared" ca="1" si="27"/>
        <v>Vencido hace 596 dias</v>
      </c>
      <c r="J283" s="56">
        <f t="shared" ca="1" si="25"/>
        <v>-596</v>
      </c>
      <c r="K283" s="57" t="s">
        <v>604</v>
      </c>
      <c r="L283" s="55"/>
    </row>
    <row r="284" spans="2:12">
      <c r="B284" s="49" t="s">
        <v>1112</v>
      </c>
      <c r="C284" s="60" t="s">
        <v>1122</v>
      </c>
      <c r="D284" s="79" t="s">
        <v>1123</v>
      </c>
      <c r="E284" s="51"/>
      <c r="F284" s="52">
        <v>44620</v>
      </c>
      <c r="G284" s="53">
        <v>730</v>
      </c>
      <c r="H284" s="54">
        <f t="shared" si="24"/>
        <v>45350</v>
      </c>
      <c r="I284" s="55" t="str">
        <f t="shared" ca="1" si="27"/>
        <v>Vencido hace 232 dias</v>
      </c>
      <c r="J284" s="56">
        <f t="shared" ca="1" si="25"/>
        <v>-232</v>
      </c>
      <c r="K284" s="57" t="s">
        <v>581</v>
      </c>
      <c r="L284" s="55"/>
    </row>
    <row r="285" spans="2:12">
      <c r="B285" s="49" t="s">
        <v>1112</v>
      </c>
      <c r="C285" s="60" t="s">
        <v>1124</v>
      </c>
      <c r="D285" s="79" t="s">
        <v>1125</v>
      </c>
      <c r="E285" s="51"/>
      <c r="F285" s="52">
        <v>45009</v>
      </c>
      <c r="G285" s="53">
        <v>730</v>
      </c>
      <c r="H285" s="54">
        <f t="shared" si="24"/>
        <v>45739</v>
      </c>
      <c r="I285" s="55" t="str">
        <f t="shared" ca="1" si="27"/>
        <v>Faltan 15745739</v>
      </c>
      <c r="J285" s="56">
        <f t="shared" ca="1" si="25"/>
        <v>157</v>
      </c>
      <c r="K285" s="57" t="s">
        <v>295</v>
      </c>
      <c r="L285" s="55"/>
    </row>
    <row r="286" spans="2:12">
      <c r="B286" s="49" t="s">
        <v>1112</v>
      </c>
      <c r="C286" s="60" t="s">
        <v>1126</v>
      </c>
      <c r="D286" s="79" t="s">
        <v>1127</v>
      </c>
      <c r="E286" s="51" t="s">
        <v>648</v>
      </c>
      <c r="F286" s="52">
        <v>44727</v>
      </c>
      <c r="G286" s="53">
        <v>730</v>
      </c>
      <c r="H286" s="54">
        <f t="shared" si="24"/>
        <v>45457</v>
      </c>
      <c r="I286" s="55" t="str">
        <f t="shared" ca="1" si="27"/>
        <v>Vencido hace 125 dias</v>
      </c>
      <c r="J286" s="56">
        <f t="shared" ca="1" si="25"/>
        <v>-125</v>
      </c>
      <c r="K286" s="57" t="s">
        <v>1009</v>
      </c>
      <c r="L286" s="55"/>
    </row>
    <row r="287" spans="2:12">
      <c r="B287" s="49" t="s">
        <v>1112</v>
      </c>
      <c r="C287" s="60" t="s">
        <v>1128</v>
      </c>
      <c r="D287" s="79" t="s">
        <v>1129</v>
      </c>
      <c r="E287" s="51"/>
      <c r="F287" s="52">
        <v>44825</v>
      </c>
      <c r="G287" s="53">
        <v>730</v>
      </c>
      <c r="H287" s="54">
        <f t="shared" si="24"/>
        <v>45555</v>
      </c>
      <c r="I287" s="55" t="str">
        <f t="shared" ca="1" si="27"/>
        <v>Vencido hace 27 dias</v>
      </c>
      <c r="J287" s="56">
        <f t="shared" ca="1" si="25"/>
        <v>-27</v>
      </c>
      <c r="K287" s="57" t="s">
        <v>1130</v>
      </c>
      <c r="L287" s="55"/>
    </row>
    <row r="288" spans="2:12">
      <c r="B288" s="49" t="s">
        <v>1112</v>
      </c>
      <c r="C288" s="60" t="s">
        <v>1131</v>
      </c>
      <c r="D288" s="79" t="s">
        <v>1132</v>
      </c>
      <c r="E288" s="51"/>
      <c r="F288" s="52">
        <v>44546</v>
      </c>
      <c r="G288" s="53">
        <v>730</v>
      </c>
      <c r="H288" s="54">
        <f t="shared" si="24"/>
        <v>45276</v>
      </c>
      <c r="I288" s="55" t="str">
        <f t="shared" ca="1" si="27"/>
        <v>Vencido hace 306 dias</v>
      </c>
      <c r="J288" s="56">
        <f t="shared" ca="1" si="25"/>
        <v>-306</v>
      </c>
      <c r="K288" s="57" t="s">
        <v>473</v>
      </c>
      <c r="L288" s="55"/>
    </row>
    <row r="289" spans="2:12">
      <c r="B289" s="49" t="s">
        <v>1112</v>
      </c>
      <c r="C289" s="60" t="s">
        <v>1133</v>
      </c>
      <c r="D289" s="79" t="s">
        <v>1134</v>
      </c>
      <c r="E289" s="51"/>
      <c r="F289" s="52">
        <v>44694</v>
      </c>
      <c r="G289" s="53">
        <v>730</v>
      </c>
      <c r="H289" s="67">
        <f t="shared" si="24"/>
        <v>45424</v>
      </c>
      <c r="I289" s="55" t="str">
        <f ca="1">IF(H289="","VACIO",IF(J289&lt;0,"Vencido hace "&amp;J289*-1&amp;" dias",IF(J289=0,"Vencido Hoy",IF(J289&lt;8,"Tiene "&amp; J289 &amp;" dias","Faltan "&amp;J289*1&amp;H289))))</f>
        <v>Vencido hace 158 dias</v>
      </c>
      <c r="J289" s="56">
        <f t="shared" ca="1" si="25"/>
        <v>-158</v>
      </c>
      <c r="K289" s="57" t="s">
        <v>385</v>
      </c>
      <c r="L289" s="55"/>
    </row>
    <row r="290" spans="2:12">
      <c r="B290" s="49" t="s">
        <v>1112</v>
      </c>
      <c r="C290" s="60" t="s">
        <v>1135</v>
      </c>
      <c r="D290" s="79" t="s">
        <v>1136</v>
      </c>
      <c r="E290" s="51"/>
      <c r="F290" s="52">
        <v>44389</v>
      </c>
      <c r="G290" s="53">
        <v>730</v>
      </c>
      <c r="H290" s="67">
        <f t="shared" si="24"/>
        <v>45119</v>
      </c>
      <c r="I290" s="55" t="str">
        <f ca="1">IF(H290="","VACIO",IF(J290&lt;0,"Vencido hace "&amp;J290*-1&amp;" dias",IF(J290=0,"Vencido Hoy",IF(J290&lt;8,"Tiene "&amp; J290 &amp;" dias","Faltan "&amp;J290*1&amp;H290))))</f>
        <v>Vencido hace 463 dias</v>
      </c>
      <c r="J290" s="56">
        <f t="shared" ca="1" si="25"/>
        <v>-463</v>
      </c>
      <c r="K290" s="57" t="s">
        <v>1137</v>
      </c>
      <c r="L290" s="55"/>
    </row>
    <row r="291" spans="2:12">
      <c r="B291" s="49" t="s">
        <v>1112</v>
      </c>
      <c r="C291" s="60" t="s">
        <v>1140</v>
      </c>
      <c r="D291" s="79" t="s">
        <v>1141</v>
      </c>
      <c r="E291" s="52"/>
      <c r="F291" s="52">
        <v>44419</v>
      </c>
      <c r="G291" s="53">
        <v>730</v>
      </c>
      <c r="H291" s="54">
        <f t="shared" si="24"/>
        <v>45149</v>
      </c>
      <c r="I291" s="55" t="str">
        <f ca="1">IF(H291="","VACIO",IF(J291&lt;0,"Vencido hace "&amp;J291*-1&amp;" dias",IF(J291=0,"Vencido Hoy",IF(J291&lt;8,"Tiene "&amp; J291 &amp;" dias","Faltan "&amp;J291*1&amp;H291))))</f>
        <v>Vencido hace 433 dias</v>
      </c>
      <c r="J291" s="56">
        <f t="shared" ca="1" si="25"/>
        <v>-433</v>
      </c>
      <c r="K291" s="57" t="s">
        <v>1142</v>
      </c>
      <c r="L291" s="55"/>
    </row>
    <row r="292" spans="2:12">
      <c r="B292" s="49" t="s">
        <v>1112</v>
      </c>
      <c r="C292" s="60" t="s">
        <v>1143</v>
      </c>
      <c r="D292" s="79" t="s">
        <v>1144</v>
      </c>
      <c r="E292" s="52">
        <v>44783</v>
      </c>
      <c r="F292" s="52">
        <v>44783</v>
      </c>
      <c r="G292" s="53">
        <v>730</v>
      </c>
      <c r="H292" s="54">
        <f t="shared" si="24"/>
        <v>45513</v>
      </c>
      <c r="I292" s="55" t="str">
        <f ca="1">IF(H292="","VACIO",IF(J292&lt;0,"Vencido hace "&amp;J292*-1&amp;" dias",IF(J292=0,"Vencido Hoy",IF(J292&lt;8,"Tiene "&amp; J292 &amp;" dias","Faltan "&amp;J292&amp;H292))))</f>
        <v>Vencido hace 69 dias</v>
      </c>
      <c r="J292" s="56">
        <f t="shared" ca="1" si="25"/>
        <v>-69</v>
      </c>
      <c r="K292" s="57" t="s">
        <v>1145</v>
      </c>
      <c r="L292" s="55"/>
    </row>
    <row r="293" spans="2:12">
      <c r="B293" s="49" t="s">
        <v>1146</v>
      </c>
      <c r="C293" s="50" t="s">
        <v>1147</v>
      </c>
      <c r="D293" s="79" t="s">
        <v>1148</v>
      </c>
      <c r="E293" s="51" t="s">
        <v>648</v>
      </c>
      <c r="F293" s="52">
        <v>44811</v>
      </c>
      <c r="G293" s="53">
        <v>730</v>
      </c>
      <c r="H293" s="54">
        <f t="shared" si="24"/>
        <v>45541</v>
      </c>
      <c r="I293" s="55" t="str">
        <f ca="1">IF(H293="","VACIO",IF(J293&lt;0,"Vencido hace "&amp;J293*-1&amp;" dias",IF(J293=0,"Vencido Hoy",IF(J293&lt;8,"Tiene "&amp; J293 &amp;" dias","Faltan "&amp;J293&amp;H293))))</f>
        <v>Vencido hace 41 dias</v>
      </c>
      <c r="J293" s="56">
        <f t="shared" ca="1" si="25"/>
        <v>-41</v>
      </c>
      <c r="K293" s="57" t="s">
        <v>581</v>
      </c>
      <c r="L293" s="55"/>
    </row>
    <row r="294" spans="2:12">
      <c r="B294" s="49" t="s">
        <v>1146</v>
      </c>
      <c r="C294" s="60" t="s">
        <v>1149</v>
      </c>
      <c r="D294" s="79" t="s">
        <v>1150</v>
      </c>
      <c r="E294" s="51"/>
      <c r="F294" s="52">
        <v>44593</v>
      </c>
      <c r="G294" s="53">
        <v>730</v>
      </c>
      <c r="H294" s="54">
        <f t="shared" si="24"/>
        <v>45323</v>
      </c>
      <c r="I294" s="55" t="str">
        <f ca="1">IF(H294="","VACIO",IF(J294&lt;0,"Vencido hace "&amp;J294*-1&amp;" dias",IF(J294=0,"Vencido Hoy",IF(J294&lt;8,"Tiene "&amp; J294 &amp;" dias","Faltan "&amp;J294*1&amp;H294))))</f>
        <v>Vencido hace 259 dias</v>
      </c>
      <c r="J294" s="56">
        <f t="shared" ca="1" si="25"/>
        <v>-259</v>
      </c>
      <c r="K294" s="57" t="s">
        <v>1151</v>
      </c>
      <c r="L294" s="55"/>
    </row>
    <row r="295" spans="2:12">
      <c r="B295" s="49" t="s">
        <v>1146</v>
      </c>
      <c r="C295" s="60" t="s">
        <v>1152</v>
      </c>
      <c r="D295" s="79" t="s">
        <v>1153</v>
      </c>
      <c r="E295" s="52">
        <v>44673</v>
      </c>
      <c r="F295" s="52">
        <v>44669</v>
      </c>
      <c r="G295" s="53">
        <v>730</v>
      </c>
      <c r="H295" s="54">
        <f t="shared" si="24"/>
        <v>45399</v>
      </c>
      <c r="I295" s="55" t="str">
        <f t="shared" ref="I295:I305" ca="1" si="28">IF(H295="","VACIO",IF(J295&lt;0,"Vencido hace "&amp;J295*-1&amp;" dias",IF(J295=0,"Vencido Hoy",IF(J295&lt;8,"Tiene "&amp; J295 &amp;" dias","Faltan "&amp;J295&amp;H295))))</f>
        <v>Vencido hace 183 dias</v>
      </c>
      <c r="J295" s="56">
        <f t="shared" ca="1" si="25"/>
        <v>-183</v>
      </c>
      <c r="K295" s="57" t="s">
        <v>1154</v>
      </c>
      <c r="L295" s="55"/>
    </row>
    <row r="296" spans="2:12">
      <c r="B296" s="49" t="s">
        <v>1146</v>
      </c>
      <c r="C296" s="60" t="s">
        <v>1155</v>
      </c>
      <c r="D296" s="79" t="s">
        <v>1156</v>
      </c>
      <c r="E296" s="52"/>
      <c r="F296" s="52">
        <v>44334</v>
      </c>
      <c r="G296" s="53">
        <v>730</v>
      </c>
      <c r="H296" s="54">
        <f t="shared" si="24"/>
        <v>45064</v>
      </c>
      <c r="I296" s="55" t="str">
        <f t="shared" ca="1" si="28"/>
        <v>Vencido hace 518 dias</v>
      </c>
      <c r="J296" s="56">
        <f t="shared" ca="1" si="25"/>
        <v>-518</v>
      </c>
      <c r="K296" s="57" t="s">
        <v>976</v>
      </c>
      <c r="L296" s="55"/>
    </row>
    <row r="297" spans="2:12">
      <c r="B297" s="49" t="s">
        <v>1146</v>
      </c>
      <c r="C297" s="60" t="s">
        <v>1157</v>
      </c>
      <c r="D297" s="79" t="s">
        <v>1158</v>
      </c>
      <c r="E297" s="51"/>
      <c r="F297" s="52">
        <v>44760</v>
      </c>
      <c r="G297" s="53">
        <v>730</v>
      </c>
      <c r="H297" s="54">
        <f t="shared" si="24"/>
        <v>45490</v>
      </c>
      <c r="I297" s="55" t="str">
        <f t="shared" ca="1" si="28"/>
        <v>Vencido hace 92 dias</v>
      </c>
      <c r="J297" s="56">
        <f t="shared" ca="1" si="25"/>
        <v>-92</v>
      </c>
      <c r="K297" s="57" t="s">
        <v>295</v>
      </c>
      <c r="L297" s="55"/>
    </row>
    <row r="298" spans="2:12">
      <c r="B298" s="49" t="s">
        <v>1146</v>
      </c>
      <c r="C298" s="60" t="s">
        <v>1159</v>
      </c>
      <c r="D298" s="79" t="s">
        <v>1160</v>
      </c>
      <c r="E298" s="51"/>
      <c r="F298" s="52">
        <v>44383</v>
      </c>
      <c r="G298" s="53">
        <v>730</v>
      </c>
      <c r="H298" s="54">
        <f t="shared" si="24"/>
        <v>45113</v>
      </c>
      <c r="I298" s="55" t="str">
        <f t="shared" ca="1" si="28"/>
        <v>Vencido hace 469 dias</v>
      </c>
      <c r="J298" s="56">
        <f t="shared" ca="1" si="25"/>
        <v>-469</v>
      </c>
      <c r="K298" s="57" t="s">
        <v>983</v>
      </c>
      <c r="L298" s="55"/>
    </row>
    <row r="299" spans="2:12">
      <c r="B299" s="49" t="s">
        <v>1146</v>
      </c>
      <c r="C299" s="60" t="s">
        <v>1161</v>
      </c>
      <c r="D299" s="79" t="s">
        <v>1162</v>
      </c>
      <c r="E299" s="51" t="s">
        <v>648</v>
      </c>
      <c r="F299" s="52">
        <v>44693</v>
      </c>
      <c r="G299" s="53">
        <v>730</v>
      </c>
      <c r="H299" s="54">
        <f t="shared" si="24"/>
        <v>45423</v>
      </c>
      <c r="I299" s="55" t="str">
        <f t="shared" ca="1" si="28"/>
        <v>Vencido hace 159 dias</v>
      </c>
      <c r="J299" s="56">
        <f t="shared" ca="1" si="25"/>
        <v>-159</v>
      </c>
      <c r="K299" s="57" t="s">
        <v>1163</v>
      </c>
      <c r="L299" s="55"/>
    </row>
    <row r="300" spans="2:12">
      <c r="B300" s="49" t="s">
        <v>1146</v>
      </c>
      <c r="C300" s="60" t="s">
        <v>1164</v>
      </c>
      <c r="D300" s="79" t="s">
        <v>1165</v>
      </c>
      <c r="E300" s="52">
        <v>44797</v>
      </c>
      <c r="F300" s="52">
        <v>44797</v>
      </c>
      <c r="G300" s="53">
        <v>730</v>
      </c>
      <c r="H300" s="54">
        <f t="shared" si="24"/>
        <v>45527</v>
      </c>
      <c r="I300" s="55" t="str">
        <f t="shared" ca="1" si="28"/>
        <v>Vencido hace 55 dias</v>
      </c>
      <c r="J300" s="56">
        <f t="shared" ca="1" si="25"/>
        <v>-55</v>
      </c>
      <c r="K300" s="57" t="s">
        <v>232</v>
      </c>
      <c r="L300" s="55"/>
    </row>
    <row r="301" spans="2:12">
      <c r="B301" s="49" t="s">
        <v>1146</v>
      </c>
      <c r="C301" s="60" t="s">
        <v>1166</v>
      </c>
      <c r="D301" s="79" t="s">
        <v>1167</v>
      </c>
      <c r="E301" s="51"/>
      <c r="F301" s="52">
        <v>44453</v>
      </c>
      <c r="G301" s="53">
        <v>730</v>
      </c>
      <c r="H301" s="54">
        <f t="shared" si="24"/>
        <v>45183</v>
      </c>
      <c r="I301" s="55" t="str">
        <f t="shared" ca="1" si="28"/>
        <v>Vencido hace 399 dias</v>
      </c>
      <c r="J301" s="56">
        <f t="shared" ca="1" si="25"/>
        <v>-399</v>
      </c>
      <c r="K301" s="57" t="s">
        <v>604</v>
      </c>
      <c r="L301" s="55"/>
    </row>
    <row r="302" spans="2:12">
      <c r="B302" s="49" t="s">
        <v>1146</v>
      </c>
      <c r="C302" s="60" t="s">
        <v>1168</v>
      </c>
      <c r="D302" s="79" t="s">
        <v>1169</v>
      </c>
      <c r="E302" s="52">
        <v>44770</v>
      </c>
      <c r="F302" s="52">
        <v>44770</v>
      </c>
      <c r="G302" s="53">
        <v>730</v>
      </c>
      <c r="H302" s="54">
        <f t="shared" si="24"/>
        <v>45500</v>
      </c>
      <c r="I302" s="55" t="str">
        <f t="shared" ca="1" si="28"/>
        <v>Vencido hace 82 dias</v>
      </c>
      <c r="J302" s="56">
        <f t="shared" ca="1" si="25"/>
        <v>-82</v>
      </c>
      <c r="K302" s="57" t="s">
        <v>232</v>
      </c>
      <c r="L302" s="55"/>
    </row>
    <row r="303" spans="2:12">
      <c r="B303" s="49" t="s">
        <v>1146</v>
      </c>
      <c r="C303" s="60" t="s">
        <v>1170</v>
      </c>
      <c r="D303" s="79" t="s">
        <v>1171</v>
      </c>
      <c r="E303" s="51"/>
      <c r="F303" s="52">
        <v>44609</v>
      </c>
      <c r="G303" s="53">
        <v>730</v>
      </c>
      <c r="H303" s="54">
        <f t="shared" si="24"/>
        <v>45339</v>
      </c>
      <c r="I303" s="55" t="str">
        <f t="shared" ca="1" si="28"/>
        <v>Vencido hace 243 dias</v>
      </c>
      <c r="J303" s="56">
        <f t="shared" ca="1" si="25"/>
        <v>-243</v>
      </c>
      <c r="K303" s="57" t="s">
        <v>604</v>
      </c>
      <c r="L303" s="55"/>
    </row>
    <row r="304" spans="2:12">
      <c r="B304" s="49" t="s">
        <v>1146</v>
      </c>
      <c r="C304" s="60" t="s">
        <v>1172</v>
      </c>
      <c r="D304" s="79" t="s">
        <v>1173</v>
      </c>
      <c r="E304" s="51"/>
      <c r="F304" s="52">
        <v>44728</v>
      </c>
      <c r="G304" s="53">
        <v>730</v>
      </c>
      <c r="H304" s="54">
        <f t="shared" si="24"/>
        <v>45458</v>
      </c>
      <c r="I304" s="55" t="str">
        <f t="shared" ca="1" si="28"/>
        <v>Vencido hace 124 dias</v>
      </c>
      <c r="J304" s="56">
        <f t="shared" ca="1" si="25"/>
        <v>-124</v>
      </c>
      <c r="K304" s="57" t="s">
        <v>1174</v>
      </c>
      <c r="L304" s="55"/>
    </row>
    <row r="305" spans="2:12">
      <c r="B305" s="49" t="s">
        <v>1146</v>
      </c>
      <c r="C305" s="60" t="s">
        <v>1175</v>
      </c>
      <c r="D305" s="79" t="s">
        <v>1176</v>
      </c>
      <c r="E305" s="51"/>
      <c r="F305" s="52">
        <v>44725</v>
      </c>
      <c r="G305" s="53">
        <v>730</v>
      </c>
      <c r="H305" s="54">
        <f t="shared" si="24"/>
        <v>45455</v>
      </c>
      <c r="I305" s="55" t="str">
        <f t="shared" ca="1" si="28"/>
        <v>Vencido hace 127 dias</v>
      </c>
      <c r="J305" s="56">
        <f t="shared" ca="1" si="25"/>
        <v>-127</v>
      </c>
      <c r="K305" s="57" t="s">
        <v>1177</v>
      </c>
      <c r="L305" s="55"/>
    </row>
    <row r="306" spans="2:12">
      <c r="B306" s="49" t="s">
        <v>1146</v>
      </c>
      <c r="C306" s="60" t="s">
        <v>1178</v>
      </c>
      <c r="D306" s="79" t="s">
        <v>1179</v>
      </c>
      <c r="E306" s="51"/>
      <c r="F306" s="52">
        <v>44355</v>
      </c>
      <c r="G306" s="53">
        <v>730</v>
      </c>
      <c r="H306" s="54">
        <f t="shared" si="24"/>
        <v>45085</v>
      </c>
      <c r="I306" s="55" t="str">
        <f ca="1">IF(H306="","VACIO",IF(J306&lt;0,"Vencido hace "&amp;J306*-1&amp;" dias",IF(J306=0,"Vencido Hoy",IF(J306&lt;8,"Tiene "&amp; J306 &amp;" dias","Faltan "&amp;J306*1&amp;H306))))</f>
        <v>Vencido hace 497 dias</v>
      </c>
      <c r="J306" s="56">
        <f t="shared" ca="1" si="25"/>
        <v>-497</v>
      </c>
      <c r="K306" s="57" t="s">
        <v>1180</v>
      </c>
      <c r="L306" s="55"/>
    </row>
    <row r="307" spans="2:12">
      <c r="B307" s="49" t="s">
        <v>1146</v>
      </c>
      <c r="C307" s="60" t="s">
        <v>1181</v>
      </c>
      <c r="D307" s="79" t="s">
        <v>1182</v>
      </c>
      <c r="E307" s="51"/>
      <c r="F307" s="52">
        <v>44410</v>
      </c>
      <c r="G307" s="53">
        <v>730</v>
      </c>
      <c r="H307" s="54">
        <f t="shared" si="24"/>
        <v>45140</v>
      </c>
      <c r="I307" s="55" t="str">
        <f ca="1">IF(H307="","VACIO",IF(J307&lt;0,"Vencido hace "&amp;J307*-1&amp;" dias",IF(J307=0,"Vencido Hoy",IF(J307&lt;8,"Tiene "&amp; J307 &amp;" dias","Faltan "&amp;J307*1&amp;H307))))</f>
        <v>Vencido hace 442 dias</v>
      </c>
      <c r="J307" s="56">
        <f t="shared" ca="1" si="25"/>
        <v>-442</v>
      </c>
      <c r="K307" s="57" t="s">
        <v>1183</v>
      </c>
      <c r="L307" s="55"/>
    </row>
    <row r="308" spans="2:12">
      <c r="B308" s="49" t="s">
        <v>1146</v>
      </c>
      <c r="C308" s="60" t="s">
        <v>1184</v>
      </c>
      <c r="D308" s="79" t="s">
        <v>1185</v>
      </c>
      <c r="E308" s="51" t="s">
        <v>1186</v>
      </c>
      <c r="F308" s="52">
        <v>44833</v>
      </c>
      <c r="G308" s="53">
        <v>730</v>
      </c>
      <c r="H308" s="54">
        <f t="shared" si="24"/>
        <v>45563</v>
      </c>
      <c r="I308" s="55" t="str">
        <f ca="1">IF(H308="","VACIO",IF(J308&lt;0,"Vencido hace "&amp;J308*-1&amp;" dias",IF(J308=0,"Vencido Hoy",IF(J308&lt;8,"Tiene "&amp; J308 &amp;" dias","Faltan "&amp;J308*1&amp;H308))))</f>
        <v>Vencido hace 19 dias</v>
      </c>
      <c r="J308" s="56">
        <f t="shared" ca="1" si="25"/>
        <v>-19</v>
      </c>
      <c r="K308" s="57" t="s">
        <v>598</v>
      </c>
      <c r="L308" s="55"/>
    </row>
    <row r="309" spans="2:12">
      <c r="B309" s="49" t="s">
        <v>1146</v>
      </c>
      <c r="C309" s="60" t="s">
        <v>1187</v>
      </c>
      <c r="D309" s="79" t="s">
        <v>1188</v>
      </c>
      <c r="E309" s="51"/>
      <c r="F309" s="52">
        <v>44530</v>
      </c>
      <c r="G309" s="53">
        <v>730</v>
      </c>
      <c r="H309" s="54">
        <f t="shared" si="24"/>
        <v>45260</v>
      </c>
      <c r="I309" s="55" t="str">
        <f t="shared" ref="I309:I324" ca="1" si="29">IF(H309="","VACIO",IF(J309&lt;0,"Vencido hace "&amp;J309*-1&amp;" dias",IF(J309=0,"Vencido Hoy",IF(J309&lt;8,"Tiene "&amp; J309 &amp;" dias","Faltan "&amp;J309&amp;H309))))</f>
        <v>Vencido hace 322 dias</v>
      </c>
      <c r="J309" s="56">
        <f t="shared" ca="1" si="25"/>
        <v>-322</v>
      </c>
      <c r="K309" s="57" t="s">
        <v>716</v>
      </c>
      <c r="L309" s="55"/>
    </row>
    <row r="310" spans="2:12">
      <c r="B310" s="49" t="s">
        <v>1146</v>
      </c>
      <c r="C310" s="60" t="s">
        <v>1189</v>
      </c>
      <c r="D310" s="79" t="s">
        <v>1190</v>
      </c>
      <c r="E310" s="52">
        <v>44644</v>
      </c>
      <c r="F310" s="52">
        <v>44644</v>
      </c>
      <c r="G310" s="53">
        <v>730</v>
      </c>
      <c r="H310" s="54">
        <f t="shared" si="24"/>
        <v>45374</v>
      </c>
      <c r="I310" s="55" t="str">
        <f t="shared" ca="1" si="29"/>
        <v>Vencido hace 208 dias</v>
      </c>
      <c r="J310" s="56">
        <f t="shared" ca="1" si="25"/>
        <v>-208</v>
      </c>
      <c r="K310" s="57" t="s">
        <v>1191</v>
      </c>
      <c r="L310" s="55"/>
    </row>
    <row r="311" spans="2:12">
      <c r="B311" s="49" t="s">
        <v>1192</v>
      </c>
      <c r="C311" s="50" t="s">
        <v>1193</v>
      </c>
      <c r="D311" s="79" t="s">
        <v>1194</v>
      </c>
      <c r="E311" s="53"/>
      <c r="F311" s="54">
        <v>44874</v>
      </c>
      <c r="G311" s="53">
        <v>730</v>
      </c>
      <c r="H311" s="54">
        <f t="shared" si="24"/>
        <v>45604</v>
      </c>
      <c r="I311" s="55" t="str">
        <f t="shared" ca="1" si="29"/>
        <v>Faltan 2245604</v>
      </c>
      <c r="J311" s="56">
        <f t="shared" ca="1" si="25"/>
        <v>22</v>
      </c>
      <c r="K311" s="57" t="s">
        <v>1195</v>
      </c>
      <c r="L311" s="55"/>
    </row>
    <row r="312" spans="2:12">
      <c r="B312" s="49" t="s">
        <v>1192</v>
      </c>
      <c r="C312" s="60" t="s">
        <v>1196</v>
      </c>
      <c r="D312" s="79" t="s">
        <v>1197</v>
      </c>
      <c r="E312" s="51"/>
      <c r="F312" s="52">
        <v>44861</v>
      </c>
      <c r="G312" s="53">
        <v>730</v>
      </c>
      <c r="H312" s="54">
        <f t="shared" si="24"/>
        <v>45591</v>
      </c>
      <c r="I312" s="55" t="str">
        <f t="shared" ca="1" si="29"/>
        <v>Faltan 945591</v>
      </c>
      <c r="J312" s="56">
        <f t="shared" ca="1" si="25"/>
        <v>9</v>
      </c>
      <c r="K312" s="57" t="s">
        <v>1198</v>
      </c>
      <c r="L312" s="55"/>
    </row>
    <row r="313" spans="2:12">
      <c r="B313" s="49" t="s">
        <v>1192</v>
      </c>
      <c r="C313" s="60" t="s">
        <v>1199</v>
      </c>
      <c r="D313" s="79" t="s">
        <v>1200</v>
      </c>
      <c r="E313" s="51"/>
      <c r="F313" s="52">
        <v>44438</v>
      </c>
      <c r="G313" s="53">
        <v>730</v>
      </c>
      <c r="H313" s="54">
        <f t="shared" si="24"/>
        <v>45168</v>
      </c>
      <c r="I313" s="55" t="str">
        <f t="shared" ca="1" si="29"/>
        <v>Vencido hace 414 dias</v>
      </c>
      <c r="J313" s="56">
        <f t="shared" ca="1" si="25"/>
        <v>-414</v>
      </c>
      <c r="K313" s="57" t="s">
        <v>921</v>
      </c>
      <c r="L313" s="55"/>
    </row>
    <row r="314" spans="2:12">
      <c r="B314" s="49" t="s">
        <v>1192</v>
      </c>
      <c r="C314" s="60" t="s">
        <v>1201</v>
      </c>
      <c r="D314" s="79" t="s">
        <v>1176</v>
      </c>
      <c r="E314" s="51"/>
      <c r="F314" s="52">
        <v>44725</v>
      </c>
      <c r="G314" s="53">
        <v>730</v>
      </c>
      <c r="H314" s="54">
        <f t="shared" si="24"/>
        <v>45455</v>
      </c>
      <c r="I314" s="55" t="str">
        <f t="shared" ca="1" si="29"/>
        <v>Vencido hace 127 dias</v>
      </c>
      <c r="J314" s="56">
        <f t="shared" ca="1" si="25"/>
        <v>-127</v>
      </c>
      <c r="K314" s="57" t="s">
        <v>1202</v>
      </c>
      <c r="L314" s="55"/>
    </row>
    <row r="315" spans="2:12">
      <c r="B315" s="49" t="s">
        <v>1192</v>
      </c>
      <c r="C315" s="60" t="s">
        <v>1203</v>
      </c>
      <c r="D315" s="79" t="s">
        <v>1204</v>
      </c>
      <c r="E315" s="51"/>
      <c r="F315" s="52">
        <v>44484</v>
      </c>
      <c r="G315" s="53">
        <v>730</v>
      </c>
      <c r="H315" s="54">
        <f t="shared" si="24"/>
        <v>45214</v>
      </c>
      <c r="I315" s="55" t="str">
        <f t="shared" ca="1" si="29"/>
        <v>Vencido hace 368 dias</v>
      </c>
      <c r="J315" s="56">
        <f t="shared" ca="1" si="25"/>
        <v>-368</v>
      </c>
      <c r="K315" s="57" t="s">
        <v>1205</v>
      </c>
      <c r="L315" s="55"/>
    </row>
    <row r="316" spans="2:12">
      <c r="B316" s="49" t="s">
        <v>1192</v>
      </c>
      <c r="C316" s="60" t="s">
        <v>1206</v>
      </c>
      <c r="D316" s="79" t="s">
        <v>1207</v>
      </c>
      <c r="E316" s="51"/>
      <c r="F316" s="52">
        <v>44743</v>
      </c>
      <c r="G316" s="53">
        <v>730</v>
      </c>
      <c r="H316" s="54">
        <f t="shared" si="24"/>
        <v>45473</v>
      </c>
      <c r="I316" s="55" t="str">
        <f t="shared" ca="1" si="29"/>
        <v>Vencido hace 109 dias</v>
      </c>
      <c r="J316" s="56">
        <f t="shared" ca="1" si="25"/>
        <v>-109</v>
      </c>
      <c r="K316" s="57" t="s">
        <v>1208</v>
      </c>
      <c r="L316" s="55"/>
    </row>
    <row r="317" spans="2:12">
      <c r="B317" s="49" t="s">
        <v>1192</v>
      </c>
      <c r="C317" s="60" t="s">
        <v>1209</v>
      </c>
      <c r="D317" s="79" t="s">
        <v>1210</v>
      </c>
      <c r="E317" s="51"/>
      <c r="F317" s="52">
        <v>44340</v>
      </c>
      <c r="G317" s="53">
        <v>730</v>
      </c>
      <c r="H317" s="54">
        <f t="shared" si="24"/>
        <v>45070</v>
      </c>
      <c r="I317" s="55" t="str">
        <f t="shared" ca="1" si="29"/>
        <v>Vencido hace 512 dias</v>
      </c>
      <c r="J317" s="56">
        <f t="shared" ca="1" si="25"/>
        <v>-512</v>
      </c>
      <c r="K317" s="57" t="s">
        <v>716</v>
      </c>
      <c r="L317" s="55"/>
    </row>
    <row r="318" spans="2:12">
      <c r="B318" s="49" t="s">
        <v>1192</v>
      </c>
      <c r="C318" s="60" t="s">
        <v>1211</v>
      </c>
      <c r="D318" s="79" t="s">
        <v>1212</v>
      </c>
      <c r="E318" s="51"/>
      <c r="F318" s="52">
        <v>44743</v>
      </c>
      <c r="G318" s="53">
        <v>730</v>
      </c>
      <c r="H318" s="54">
        <f t="shared" si="24"/>
        <v>45473</v>
      </c>
      <c r="I318" s="55" t="str">
        <f t="shared" ca="1" si="29"/>
        <v>Vencido hace 109 dias</v>
      </c>
      <c r="J318" s="56">
        <f t="shared" ca="1" si="25"/>
        <v>-109</v>
      </c>
      <c r="K318" s="57" t="s">
        <v>1213</v>
      </c>
      <c r="L318" s="55"/>
    </row>
    <row r="319" spans="2:12">
      <c r="B319" s="49" t="s">
        <v>1192</v>
      </c>
      <c r="C319" s="60" t="s">
        <v>1214</v>
      </c>
      <c r="D319" s="79" t="s">
        <v>1215</v>
      </c>
      <c r="E319" s="51"/>
      <c r="F319" s="52">
        <v>44431</v>
      </c>
      <c r="G319" s="53">
        <v>730</v>
      </c>
      <c r="H319" s="54">
        <f t="shared" si="24"/>
        <v>45161</v>
      </c>
      <c r="I319" s="55" t="str">
        <f t="shared" ca="1" si="29"/>
        <v>Vencido hace 421 dias</v>
      </c>
      <c r="J319" s="56">
        <f t="shared" ca="1" si="25"/>
        <v>-421</v>
      </c>
      <c r="K319" s="57" t="s">
        <v>473</v>
      </c>
      <c r="L319" s="55"/>
    </row>
    <row r="320" spans="2:12">
      <c r="B320" s="49" t="s">
        <v>1192</v>
      </c>
      <c r="C320" s="60" t="s">
        <v>1216</v>
      </c>
      <c r="D320" s="79" t="s">
        <v>1217</v>
      </c>
      <c r="E320" s="51"/>
      <c r="F320" s="52">
        <v>44750</v>
      </c>
      <c r="G320" s="53">
        <v>730</v>
      </c>
      <c r="H320" s="54">
        <f t="shared" si="24"/>
        <v>45480</v>
      </c>
      <c r="I320" s="55" t="str">
        <f t="shared" ca="1" si="29"/>
        <v>Vencido hace 102 dias</v>
      </c>
      <c r="J320" s="56">
        <f t="shared" ca="1" si="25"/>
        <v>-102</v>
      </c>
      <c r="K320" s="57" t="s">
        <v>1218</v>
      </c>
      <c r="L320" s="55"/>
    </row>
    <row r="321" spans="2:12">
      <c r="B321" s="49" t="s">
        <v>1192</v>
      </c>
      <c r="C321" s="60" t="s">
        <v>1219</v>
      </c>
      <c r="D321" s="79" t="s">
        <v>1220</v>
      </c>
      <c r="E321" s="51"/>
      <c r="F321" s="52">
        <v>44741</v>
      </c>
      <c r="G321" s="53">
        <v>730</v>
      </c>
      <c r="H321" s="54">
        <f t="shared" si="24"/>
        <v>45471</v>
      </c>
      <c r="I321" s="55" t="str">
        <f t="shared" ca="1" si="29"/>
        <v>Vencido hace 111 dias</v>
      </c>
      <c r="J321" s="56">
        <f t="shared" ca="1" si="25"/>
        <v>-111</v>
      </c>
      <c r="K321" s="57" t="s">
        <v>1221</v>
      </c>
      <c r="L321" s="55"/>
    </row>
    <row r="322" spans="2:12">
      <c r="B322" s="49" t="s">
        <v>1192</v>
      </c>
      <c r="C322" s="60" t="s">
        <v>1222</v>
      </c>
      <c r="D322" s="79" t="s">
        <v>1223</v>
      </c>
      <c r="E322" s="53"/>
      <c r="F322" s="54">
        <v>44224</v>
      </c>
      <c r="G322" s="53">
        <v>730</v>
      </c>
      <c r="H322" s="54">
        <f t="shared" si="24"/>
        <v>44954</v>
      </c>
      <c r="I322" s="55" t="str">
        <f t="shared" ca="1" si="29"/>
        <v>Vencido hace 628 dias</v>
      </c>
      <c r="J322" s="56">
        <f t="shared" ca="1" si="25"/>
        <v>-628</v>
      </c>
      <c r="K322" s="57" t="s">
        <v>473</v>
      </c>
      <c r="L322" s="55"/>
    </row>
    <row r="323" spans="2:12">
      <c r="B323" s="49" t="s">
        <v>1192</v>
      </c>
      <c r="C323" s="60" t="s">
        <v>1224</v>
      </c>
      <c r="D323" s="79" t="s">
        <v>1225</v>
      </c>
      <c r="E323" s="54">
        <v>44874</v>
      </c>
      <c r="F323" s="54">
        <v>44874</v>
      </c>
      <c r="G323" s="53">
        <v>730</v>
      </c>
      <c r="H323" s="54">
        <f t="shared" si="24"/>
        <v>45604</v>
      </c>
      <c r="I323" s="55" t="str">
        <f t="shared" ca="1" si="29"/>
        <v>Faltan 2245604</v>
      </c>
      <c r="J323" s="56">
        <f t="shared" ca="1" si="25"/>
        <v>22</v>
      </c>
      <c r="K323" s="57" t="s">
        <v>1226</v>
      </c>
      <c r="L323" s="55"/>
    </row>
    <row r="324" spans="2:12">
      <c r="B324" s="49" t="s">
        <v>1192</v>
      </c>
      <c r="C324" s="60" t="s">
        <v>1227</v>
      </c>
      <c r="D324" s="79" t="s">
        <v>1228</v>
      </c>
      <c r="E324" s="53"/>
      <c r="F324" s="54">
        <v>44546</v>
      </c>
      <c r="G324" s="53">
        <v>730</v>
      </c>
      <c r="H324" s="54">
        <f t="shared" ref="H324:H325" si="30">F324+G324</f>
        <v>45276</v>
      </c>
      <c r="I324" s="55" t="str">
        <f t="shared" ca="1" si="29"/>
        <v>Vencido hace 306 dias</v>
      </c>
      <c r="J324" s="56">
        <f t="shared" ca="1" si="25"/>
        <v>-306</v>
      </c>
      <c r="K324" s="57" t="s">
        <v>1229</v>
      </c>
      <c r="L324" s="55"/>
    </row>
    <row r="325" spans="2:12">
      <c r="B325" s="68" t="s">
        <v>1192</v>
      </c>
      <c r="C325" s="69" t="s">
        <v>1230</v>
      </c>
      <c r="D325" s="82" t="s">
        <v>1231</v>
      </c>
      <c r="E325" s="70"/>
      <c r="F325" s="71">
        <v>44463</v>
      </c>
      <c r="G325" s="53">
        <v>730</v>
      </c>
      <c r="H325" s="54">
        <f t="shared" si="30"/>
        <v>45193</v>
      </c>
      <c r="I325" s="55" t="str">
        <f ca="1">IF(H325="","VACIO",IF(J325&lt;0,"Vencido hace "&amp;J325*-1&amp;" dias",IF(J325=0,"Vencido Hoy",IF(J325&lt;8,"Tiene "&amp; J325 &amp;" dias","Faltan "&amp;J325*1&amp;H325))))</f>
        <v>Vencido hace 389 dias</v>
      </c>
      <c r="J325" s="56">
        <f t="shared" ca="1" si="25"/>
        <v>-389</v>
      </c>
      <c r="K325" s="72"/>
      <c r="L325" s="55"/>
    </row>
    <row r="326" spans="2:12">
      <c r="B326" s="68"/>
      <c r="C326" s="69"/>
      <c r="D326" s="82"/>
      <c r="E326" s="70"/>
      <c r="F326" s="71"/>
      <c r="G326" s="53"/>
      <c r="H326" s="54"/>
      <c r="I326" s="73"/>
      <c r="J326" s="56"/>
      <c r="K326" s="72"/>
      <c r="L326" s="55"/>
    </row>
    <row r="327" spans="2:12">
      <c r="B327" s="68"/>
      <c r="C327" s="69"/>
      <c r="D327" s="82"/>
      <c r="E327" s="53"/>
      <c r="F327" s="54"/>
      <c r="G327" s="53"/>
      <c r="H327" s="54"/>
      <c r="I327" s="73"/>
      <c r="J327" s="56"/>
      <c r="K327" s="57"/>
      <c r="L327" s="55"/>
    </row>
    <row r="328" spans="2:12">
      <c r="B328" s="68"/>
      <c r="C328" s="69"/>
      <c r="D328" s="82"/>
      <c r="E328" s="70"/>
      <c r="F328" s="70"/>
      <c r="G328" s="53"/>
      <c r="H328" s="54"/>
      <c r="I328" s="73"/>
      <c r="J328" s="56"/>
      <c r="K328" s="72"/>
      <c r="L328" s="55"/>
    </row>
  </sheetData>
  <conditionalFormatting sqref="J4:J328">
    <cfRule type="containsText" dxfId="35" priority="26" operator="containsText" text="VENCIDO">
      <formula>NOT(ISERROR(SEARCH("VENCIDO",J4)))</formula>
    </cfRule>
  </conditionalFormatting>
  <conditionalFormatting sqref="G4:G328">
    <cfRule type="containsText" dxfId="34" priority="25" stopIfTrue="1" operator="containsText" text="VENCIDO">
      <formula>NOT(ISERROR(SEARCH("VENCIDO",G4)))</formula>
    </cfRule>
  </conditionalFormatting>
  <conditionalFormatting sqref="I4:I328">
    <cfRule type="expression" dxfId="33" priority="24" stopIfTrue="1">
      <formula>I4&lt;0</formula>
    </cfRule>
  </conditionalFormatting>
  <conditionalFormatting sqref="I4:I328">
    <cfRule type="expression" dxfId="32" priority="29">
      <formula>$J4&gt;=8</formula>
    </cfRule>
    <cfRule type="expression" dxfId="31" priority="30">
      <formula>AND($J4&gt;0,$J4&lt;90)</formula>
    </cfRule>
    <cfRule type="expression" dxfId="30" priority="31">
      <formula>$J4=0</formula>
    </cfRule>
    <cfRule type="expression" dxfId="29" priority="32">
      <formula>$J4&lt;0</formula>
    </cfRule>
    <cfRule type="expression" dxfId="28" priority="33" stopIfTrue="1">
      <formula>$I4=0</formula>
    </cfRule>
    <cfRule type="expression" dxfId="27" priority="34" stopIfTrue="1">
      <formula>$I4&lt;0</formula>
    </cfRule>
    <cfRule type="expression" dxfId="26" priority="35" stopIfTrue="1">
      <formula>$I$4&lt;0</formula>
    </cfRule>
  </conditionalFormatting>
  <conditionalFormatting sqref="K4:K7 K9:K19">
    <cfRule type="containsText" dxfId="25" priority="14" operator="containsText" text="VENCIDO">
      <formula>NOT(ISERROR(SEARCH("VENCIDO",K4)))</formula>
    </cfRule>
  </conditionalFormatting>
  <conditionalFormatting sqref="J325">
    <cfRule type="containsText" dxfId="24" priority="13" operator="containsText" text="VENCIDO">
      <formula>NOT(ISERROR(SEARCH("VENCIDO",J325)))</formula>
    </cfRule>
  </conditionalFormatting>
  <conditionalFormatting sqref="I324">
    <cfRule type="expression" dxfId="23" priority="4" stopIfTrue="1">
      <formula>I324&lt;0</formula>
    </cfRule>
  </conditionalFormatting>
  <conditionalFormatting sqref="J324">
    <cfRule type="containsText" dxfId="22" priority="2" operator="containsText" text="VENCIDO">
      <formula>NOT(ISERROR(SEARCH("VENCIDO",J324)))</formula>
    </cfRule>
  </conditionalFormatting>
  <conditionalFormatting sqref="A1:XFD1048576">
    <cfRule type="expression" dxfId="21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C1008"/>
  <sheetViews>
    <sheetView tabSelected="1" topLeftCell="A983" workbookViewId="0">
      <selection activeCell="B1008" sqref="B1008"/>
    </sheetView>
  </sheetViews>
  <sheetFormatPr baseColWidth="10" defaultColWidth="11.5546875" defaultRowHeight="14.4"/>
  <cols>
    <col min="1" max="1" width="13.5546875" style="92" bestFit="1" customWidth="1"/>
    <col min="2" max="2" width="38" style="115" customWidth="1"/>
    <col min="3" max="3" width="46.44140625" style="92" bestFit="1" customWidth="1"/>
    <col min="4" max="16384" width="11.5546875" style="92"/>
  </cols>
  <sheetData>
    <row r="1" spans="1:3" s="88" customFormat="1">
      <c r="A1" s="86" t="s">
        <v>2</v>
      </c>
      <c r="B1" s="87" t="s">
        <v>1412</v>
      </c>
      <c r="C1" s="86" t="s">
        <v>1413</v>
      </c>
    </row>
    <row r="2" spans="1:3" s="91" customFormat="1" ht="15.6">
      <c r="A2" s="89" t="s">
        <v>1363</v>
      </c>
      <c r="B2" s="90" t="s">
        <v>1262</v>
      </c>
      <c r="C2" s="89" t="s">
        <v>1515</v>
      </c>
    </row>
    <row r="3" spans="1:3" ht="15.6">
      <c r="A3" s="89" t="s">
        <v>50</v>
      </c>
      <c r="B3" s="90" t="s">
        <v>51</v>
      </c>
      <c r="C3" s="89" t="s">
        <v>13</v>
      </c>
    </row>
    <row r="4" spans="1:3" ht="15.6">
      <c r="A4" s="89" t="s">
        <v>53</v>
      </c>
      <c r="B4" s="90" t="s">
        <v>54</v>
      </c>
      <c r="C4" s="89" t="s">
        <v>13</v>
      </c>
    </row>
    <row r="5" spans="1:3" ht="15.6">
      <c r="A5" s="89" t="s">
        <v>21</v>
      </c>
      <c r="B5" s="90" t="s">
        <v>22</v>
      </c>
      <c r="C5" s="89" t="s">
        <v>13</v>
      </c>
    </row>
    <row r="6" spans="1:3" ht="15.6">
      <c r="A6" s="89" t="s">
        <v>339</v>
      </c>
      <c r="B6" s="90" t="s">
        <v>340</v>
      </c>
      <c r="C6" s="89" t="s">
        <v>304</v>
      </c>
    </row>
    <row r="7" spans="1:3" ht="15.6">
      <c r="A7" s="89"/>
      <c r="B7" s="93" t="s">
        <v>1268</v>
      </c>
      <c r="C7" s="89"/>
    </row>
    <row r="8" spans="1:3" ht="15.6">
      <c r="A8" s="89" t="s">
        <v>56</v>
      </c>
      <c r="B8" s="90" t="s">
        <v>57</v>
      </c>
      <c r="C8" s="89" t="s">
        <v>13</v>
      </c>
    </row>
    <row r="9" spans="1:3" ht="15.6">
      <c r="A9" s="89" t="s">
        <v>1845</v>
      </c>
      <c r="B9" s="90" t="s">
        <v>1846</v>
      </c>
      <c r="C9" s="89" t="s">
        <v>1847</v>
      </c>
    </row>
    <row r="10" spans="1:3" ht="15.6">
      <c r="A10" s="89" t="s">
        <v>1593</v>
      </c>
      <c r="B10" s="90" t="s">
        <v>1594</v>
      </c>
      <c r="C10" s="89" t="s">
        <v>1595</v>
      </c>
    </row>
    <row r="11" spans="1:3" ht="15.6">
      <c r="A11" s="89" t="s">
        <v>1596</v>
      </c>
      <c r="B11" s="90" t="s">
        <v>1597</v>
      </c>
      <c r="C11" s="89" t="s">
        <v>1595</v>
      </c>
    </row>
    <row r="12" spans="1:3" ht="15.6">
      <c r="A12" s="89" t="s">
        <v>2025</v>
      </c>
      <c r="B12" s="94" t="s">
        <v>2371</v>
      </c>
      <c r="C12" s="89" t="s">
        <v>1595</v>
      </c>
    </row>
    <row r="13" spans="1:3" ht="15.6">
      <c r="A13" s="89"/>
      <c r="B13" s="93" t="s">
        <v>2594</v>
      </c>
      <c r="C13" s="89"/>
    </row>
    <row r="14" spans="1:3" ht="15.6">
      <c r="A14" s="89" t="s">
        <v>2073</v>
      </c>
      <c r="B14" s="94" t="s">
        <v>2430</v>
      </c>
      <c r="C14" s="89" t="s">
        <v>1847</v>
      </c>
    </row>
    <row r="15" spans="1:3" ht="15.6">
      <c r="A15" s="89" t="s">
        <v>182</v>
      </c>
      <c r="B15" s="90" t="s">
        <v>183</v>
      </c>
      <c r="C15" s="89" t="s">
        <v>172</v>
      </c>
    </row>
    <row r="16" spans="1:3" ht="15.6">
      <c r="A16" s="89" t="s">
        <v>185</v>
      </c>
      <c r="B16" s="90" t="s">
        <v>186</v>
      </c>
      <c r="C16" s="89" t="s">
        <v>172</v>
      </c>
    </row>
    <row r="17" spans="1:3" ht="15.6">
      <c r="A17" s="89" t="s">
        <v>272</v>
      </c>
      <c r="B17" s="90" t="s">
        <v>1466</v>
      </c>
      <c r="C17" s="89" t="s">
        <v>235</v>
      </c>
    </row>
    <row r="18" spans="1:3" ht="15.6">
      <c r="A18" s="89" t="s">
        <v>1920</v>
      </c>
      <c r="B18" s="90" t="s">
        <v>1921</v>
      </c>
      <c r="C18" s="89" t="s">
        <v>1510</v>
      </c>
    </row>
    <row r="19" spans="1:3" ht="15.6">
      <c r="A19" s="89" t="s">
        <v>1234</v>
      </c>
      <c r="B19" s="90" t="s">
        <v>1235</v>
      </c>
      <c r="C19" s="89" t="s">
        <v>1510</v>
      </c>
    </row>
    <row r="20" spans="1:3" ht="15.6">
      <c r="A20" s="89" t="s">
        <v>1965</v>
      </c>
      <c r="B20" s="90" t="s">
        <v>2175</v>
      </c>
      <c r="C20" s="89" t="s">
        <v>1510</v>
      </c>
    </row>
    <row r="21" spans="1:3" ht="15.6">
      <c r="A21" s="89"/>
      <c r="B21" s="93" t="s">
        <v>1236</v>
      </c>
      <c r="C21" s="89"/>
    </row>
    <row r="22" spans="1:3" ht="15.6">
      <c r="A22" s="89" t="s">
        <v>1672</v>
      </c>
      <c r="B22" s="90" t="s">
        <v>1673</v>
      </c>
      <c r="C22" s="89" t="s">
        <v>1510</v>
      </c>
    </row>
    <row r="23" spans="1:3" ht="15.6">
      <c r="A23" s="89" t="s">
        <v>216</v>
      </c>
      <c r="B23" s="90" t="s">
        <v>217</v>
      </c>
      <c r="C23" s="89" t="s">
        <v>172</v>
      </c>
    </row>
    <row r="24" spans="1:3" ht="15.6">
      <c r="A24" s="89" t="s">
        <v>247</v>
      </c>
      <c r="B24" s="90" t="s">
        <v>248</v>
      </c>
      <c r="C24" s="89" t="s">
        <v>235</v>
      </c>
    </row>
    <row r="25" spans="1:3" ht="15.6">
      <c r="A25" s="89"/>
      <c r="B25" s="90" t="s">
        <v>2569</v>
      </c>
      <c r="C25" s="89"/>
    </row>
    <row r="26" spans="1:3" ht="15.6">
      <c r="A26" s="89" t="s">
        <v>1902</v>
      </c>
      <c r="B26" s="90" t="s">
        <v>1903</v>
      </c>
      <c r="C26" s="89" t="s">
        <v>1511</v>
      </c>
    </row>
    <row r="27" spans="1:3" ht="15.6">
      <c r="A27" s="89" t="s">
        <v>1232</v>
      </c>
      <c r="B27" s="90" t="s">
        <v>1233</v>
      </c>
      <c r="C27" s="89" t="s">
        <v>1511</v>
      </c>
    </row>
    <row r="28" spans="1:3" ht="15.6">
      <c r="A28" s="89" t="s">
        <v>2097</v>
      </c>
      <c r="B28" s="90" t="s">
        <v>2243</v>
      </c>
      <c r="C28" s="89" t="s">
        <v>2244</v>
      </c>
    </row>
    <row r="29" spans="1:3" ht="15.6">
      <c r="A29" s="89" t="s">
        <v>250</v>
      </c>
      <c r="B29" s="90" t="s">
        <v>251</v>
      </c>
      <c r="C29" s="89" t="s">
        <v>235</v>
      </c>
    </row>
    <row r="30" spans="1:3" ht="15.6">
      <c r="A30" s="89" t="s">
        <v>327</v>
      </c>
      <c r="B30" s="90" t="s">
        <v>328</v>
      </c>
      <c r="C30" s="89" t="s">
        <v>304</v>
      </c>
    </row>
    <row r="31" spans="1:3" ht="15.6">
      <c r="A31" s="89" t="s">
        <v>112</v>
      </c>
      <c r="B31" s="90" t="s">
        <v>113</v>
      </c>
      <c r="C31" s="89" t="s">
        <v>96</v>
      </c>
    </row>
    <row r="32" spans="1:3" ht="15.6">
      <c r="A32" s="89" t="s">
        <v>369</v>
      </c>
      <c r="B32" s="90" t="s">
        <v>370</v>
      </c>
      <c r="C32" s="89" t="s">
        <v>1477</v>
      </c>
    </row>
    <row r="33" spans="1:3" ht="15.6">
      <c r="A33" s="89" t="s">
        <v>75</v>
      </c>
      <c r="B33" s="90" t="s">
        <v>76</v>
      </c>
      <c r="C33" s="89" t="s">
        <v>1487</v>
      </c>
    </row>
    <row r="34" spans="1:3" ht="15.6">
      <c r="A34" s="89" t="s">
        <v>1981</v>
      </c>
      <c r="B34" s="90" t="s">
        <v>2192</v>
      </c>
      <c r="C34" s="89" t="s">
        <v>1477</v>
      </c>
    </row>
    <row r="35" spans="1:3" ht="15.6">
      <c r="A35" s="89" t="s">
        <v>1817</v>
      </c>
      <c r="B35" s="90" t="s">
        <v>1818</v>
      </c>
      <c r="C35" s="89" t="s">
        <v>1477</v>
      </c>
    </row>
    <row r="36" spans="1:3" ht="15.6">
      <c r="A36" s="89" t="s">
        <v>2133</v>
      </c>
      <c r="B36" s="90" t="s">
        <v>2289</v>
      </c>
      <c r="C36" s="89" t="s">
        <v>1487</v>
      </c>
    </row>
    <row r="37" spans="1:3" ht="15.6">
      <c r="A37" s="89" t="s">
        <v>2013</v>
      </c>
      <c r="B37" s="90" t="s">
        <v>2218</v>
      </c>
      <c r="C37" s="89" t="s">
        <v>1487</v>
      </c>
    </row>
    <row r="38" spans="1:3" ht="15.6">
      <c r="A38" s="89" t="s">
        <v>1567</v>
      </c>
      <c r="B38" s="90" t="s">
        <v>1568</v>
      </c>
      <c r="C38" s="89" t="s">
        <v>1569</v>
      </c>
    </row>
    <row r="39" spans="1:3" ht="15.6">
      <c r="A39" s="89" t="s">
        <v>222</v>
      </c>
      <c r="B39" s="90" t="s">
        <v>223</v>
      </c>
      <c r="C39" s="89" t="s">
        <v>172</v>
      </c>
    </row>
    <row r="40" spans="1:3" ht="15.6">
      <c r="A40" s="89" t="s">
        <v>365</v>
      </c>
      <c r="B40" s="90" t="s">
        <v>366</v>
      </c>
      <c r="C40" s="89" t="s">
        <v>1482</v>
      </c>
    </row>
    <row r="41" spans="1:3" ht="15.6">
      <c r="A41" s="89" t="s">
        <v>188</v>
      </c>
      <c r="B41" s="90" t="s">
        <v>189</v>
      </c>
      <c r="C41" s="89" t="s">
        <v>172</v>
      </c>
    </row>
    <row r="42" spans="1:3" ht="15.6">
      <c r="A42" s="89" t="s">
        <v>363</v>
      </c>
      <c r="B42" s="90" t="s">
        <v>364</v>
      </c>
      <c r="C42" s="89" t="s">
        <v>1477</v>
      </c>
    </row>
    <row r="43" spans="1:3" ht="15.6">
      <c r="A43" s="89" t="s">
        <v>1827</v>
      </c>
      <c r="B43" s="90" t="s">
        <v>1828</v>
      </c>
      <c r="C43" s="89" t="s">
        <v>1498</v>
      </c>
    </row>
    <row r="44" spans="1:3" ht="15.6">
      <c r="A44" s="89" t="s">
        <v>1960</v>
      </c>
      <c r="B44" s="90" t="s">
        <v>2170</v>
      </c>
      <c r="C44" s="89" t="s">
        <v>1498</v>
      </c>
    </row>
    <row r="45" spans="1:3" ht="15.6">
      <c r="A45" s="89" t="s">
        <v>2067</v>
      </c>
      <c r="B45" s="90" t="s">
        <v>2421</v>
      </c>
      <c r="C45" s="89" t="s">
        <v>1634</v>
      </c>
    </row>
    <row r="46" spans="1:3" ht="15.6">
      <c r="A46" s="89" t="s">
        <v>1639</v>
      </c>
      <c r="B46" s="90" t="s">
        <v>1640</v>
      </c>
      <c r="C46" s="89" t="s">
        <v>1641</v>
      </c>
    </row>
    <row r="47" spans="1:3" ht="15.6">
      <c r="A47" s="89" t="s">
        <v>1632</v>
      </c>
      <c r="B47" s="90" t="s">
        <v>1633</v>
      </c>
      <c r="C47" s="89" t="s">
        <v>1634</v>
      </c>
    </row>
    <row r="48" spans="1:3" ht="15.6">
      <c r="A48" s="89" t="s">
        <v>1774</v>
      </c>
      <c r="B48" s="90" t="s">
        <v>1775</v>
      </c>
      <c r="C48" s="89" t="s">
        <v>1776</v>
      </c>
    </row>
    <row r="49" spans="1:3" ht="15.6">
      <c r="A49" s="89" t="s">
        <v>2085</v>
      </c>
      <c r="B49" s="90" t="s">
        <v>2444</v>
      </c>
      <c r="C49" s="89" t="s">
        <v>1634</v>
      </c>
    </row>
    <row r="50" spans="1:3" ht="15.6">
      <c r="A50" s="89" t="s">
        <v>2103</v>
      </c>
      <c r="B50" s="90" t="s">
        <v>2251</v>
      </c>
      <c r="C50" s="89" t="s">
        <v>1776</v>
      </c>
    </row>
    <row r="51" spans="1:3" ht="15.6">
      <c r="A51" s="89"/>
      <c r="B51" s="90" t="s">
        <v>2474</v>
      </c>
      <c r="C51" s="89"/>
    </row>
    <row r="52" spans="1:3" ht="15.6">
      <c r="A52" s="89" t="s">
        <v>357</v>
      </c>
      <c r="B52" s="90" t="s">
        <v>358</v>
      </c>
      <c r="C52" s="89" t="s">
        <v>304</v>
      </c>
    </row>
    <row r="53" spans="1:3" ht="15.6">
      <c r="A53" s="89" t="s">
        <v>371</v>
      </c>
      <c r="B53" s="90" t="s">
        <v>372</v>
      </c>
      <c r="C53" s="89" t="s">
        <v>1477</v>
      </c>
    </row>
    <row r="54" spans="1:3" ht="15.6">
      <c r="A54" s="89" t="s">
        <v>290</v>
      </c>
      <c r="B54" s="90" t="s">
        <v>291</v>
      </c>
      <c r="C54" s="89" t="s">
        <v>1473</v>
      </c>
    </row>
    <row r="55" spans="1:3" ht="15.6">
      <c r="A55" s="89" t="s">
        <v>134</v>
      </c>
      <c r="B55" s="90" t="s">
        <v>135</v>
      </c>
      <c r="C55" s="89" t="s">
        <v>96</v>
      </c>
    </row>
    <row r="56" spans="1:3" ht="15.6">
      <c r="A56" s="89"/>
      <c r="B56" s="90" t="s">
        <v>2551</v>
      </c>
      <c r="C56" s="89"/>
    </row>
    <row r="57" spans="1:3" ht="15.6">
      <c r="A57" s="89" t="s">
        <v>1907</v>
      </c>
      <c r="B57" s="90" t="s">
        <v>1908</v>
      </c>
      <c r="C57" s="89" t="s">
        <v>1909</v>
      </c>
    </row>
    <row r="58" spans="1:3" ht="15.6">
      <c r="A58" s="89" t="s">
        <v>2009</v>
      </c>
      <c r="B58" s="90" t="s">
        <v>2358</v>
      </c>
      <c r="C58" s="89" t="s">
        <v>2234</v>
      </c>
    </row>
    <row r="59" spans="1:3" ht="15.6">
      <c r="A59" s="89"/>
      <c r="B59" s="93" t="s">
        <v>1237</v>
      </c>
      <c r="C59" s="89"/>
    </row>
    <row r="60" spans="1:3" ht="15.6">
      <c r="A60" s="89" t="s">
        <v>2335</v>
      </c>
      <c r="B60" s="90" t="s">
        <v>2342</v>
      </c>
      <c r="C60" s="89" t="s">
        <v>2234</v>
      </c>
    </row>
    <row r="61" spans="1:3" ht="15.6">
      <c r="A61" s="89" t="s">
        <v>2083</v>
      </c>
      <c r="B61" s="90" t="s">
        <v>2233</v>
      </c>
      <c r="C61" s="89" t="s">
        <v>2234</v>
      </c>
    </row>
    <row r="62" spans="1:3" ht="15.6">
      <c r="A62" s="89" t="s">
        <v>105</v>
      </c>
      <c r="B62" s="90" t="s">
        <v>1407</v>
      </c>
      <c r="C62" s="89" t="s">
        <v>96</v>
      </c>
    </row>
    <row r="63" spans="1:3" ht="15.6">
      <c r="A63" s="89"/>
      <c r="B63" s="90" t="s">
        <v>1369</v>
      </c>
      <c r="C63" s="89"/>
    </row>
    <row r="64" spans="1:3" ht="15.6">
      <c r="A64" s="89" t="s">
        <v>254</v>
      </c>
      <c r="B64" s="90" t="s">
        <v>255</v>
      </c>
      <c r="C64" s="89" t="s">
        <v>235</v>
      </c>
    </row>
    <row r="65" spans="1:3" ht="15.6">
      <c r="A65" s="89" t="s">
        <v>190</v>
      </c>
      <c r="B65" s="90" t="s">
        <v>191</v>
      </c>
      <c r="C65" s="89" t="s">
        <v>172</v>
      </c>
    </row>
    <row r="66" spans="1:3" ht="15.6">
      <c r="A66" s="89" t="s">
        <v>116</v>
      </c>
      <c r="B66" s="90" t="s">
        <v>117</v>
      </c>
      <c r="C66" s="89" t="s">
        <v>96</v>
      </c>
    </row>
    <row r="67" spans="1:3" ht="15.6">
      <c r="A67" s="89" t="s">
        <v>162</v>
      </c>
      <c r="B67" s="90" t="s">
        <v>163</v>
      </c>
      <c r="C67" s="89" t="s">
        <v>1489</v>
      </c>
    </row>
    <row r="68" spans="1:3" ht="15.6">
      <c r="A68" s="89" t="s">
        <v>152</v>
      </c>
      <c r="B68" s="90" t="s">
        <v>153</v>
      </c>
      <c r="C68" s="89" t="s">
        <v>96</v>
      </c>
    </row>
    <row r="69" spans="1:3" ht="15.6">
      <c r="A69" s="89" t="s">
        <v>2066</v>
      </c>
      <c r="B69" s="90" t="s">
        <v>2419</v>
      </c>
      <c r="C69" s="89" t="s">
        <v>2420</v>
      </c>
    </row>
    <row r="70" spans="1:3" ht="15.6">
      <c r="A70" s="89" t="s">
        <v>2026</v>
      </c>
      <c r="B70" s="94" t="s">
        <v>2372</v>
      </c>
      <c r="C70" s="89" t="s">
        <v>1773</v>
      </c>
    </row>
    <row r="71" spans="1:3" ht="15.6">
      <c r="A71" s="89" t="s">
        <v>2096</v>
      </c>
      <c r="B71" s="90" t="s">
        <v>2242</v>
      </c>
      <c r="C71" s="89" t="s">
        <v>1489</v>
      </c>
    </row>
    <row r="72" spans="1:3" ht="15.6">
      <c r="A72" s="89" t="s">
        <v>1771</v>
      </c>
      <c r="B72" s="90" t="s">
        <v>1772</v>
      </c>
      <c r="C72" s="89" t="s">
        <v>1773</v>
      </c>
    </row>
    <row r="73" spans="1:3" ht="15.6">
      <c r="A73" s="89" t="s">
        <v>220</v>
      </c>
      <c r="B73" s="90" t="s">
        <v>221</v>
      </c>
      <c r="C73" s="89" t="s">
        <v>172</v>
      </c>
    </row>
    <row r="74" spans="1:3" ht="15.6">
      <c r="A74" s="89"/>
      <c r="B74" s="90" t="s">
        <v>2508</v>
      </c>
      <c r="C74" s="89"/>
    </row>
    <row r="75" spans="1:3" ht="15.6">
      <c r="A75" s="89" t="s">
        <v>225</v>
      </c>
      <c r="B75" s="90" t="s">
        <v>226</v>
      </c>
      <c r="C75" s="89" t="s">
        <v>1475</v>
      </c>
    </row>
    <row r="76" spans="1:3" ht="15.6">
      <c r="A76" s="89" t="s">
        <v>87</v>
      </c>
      <c r="B76" s="90" t="s">
        <v>88</v>
      </c>
      <c r="C76" s="89" t="s">
        <v>1487</v>
      </c>
    </row>
    <row r="77" spans="1:3" ht="15.6">
      <c r="A77" s="89" t="s">
        <v>1814</v>
      </c>
      <c r="B77" s="90" t="s">
        <v>1815</v>
      </c>
      <c r="C77" s="89" t="s">
        <v>1816</v>
      </c>
    </row>
    <row r="78" spans="1:3" ht="15.6">
      <c r="A78" s="89" t="s">
        <v>1924</v>
      </c>
      <c r="B78" s="90" t="s">
        <v>1925</v>
      </c>
      <c r="C78" s="89" t="s">
        <v>1487</v>
      </c>
    </row>
    <row r="79" spans="1:3" ht="15.6">
      <c r="A79" s="89" t="s">
        <v>2047</v>
      </c>
      <c r="B79" s="90" t="s">
        <v>2392</v>
      </c>
      <c r="C79" s="89" t="s">
        <v>2393</v>
      </c>
    </row>
    <row r="80" spans="1:3" ht="15.6">
      <c r="A80" s="89" t="s">
        <v>1688</v>
      </c>
      <c r="B80" s="90" t="s">
        <v>1689</v>
      </c>
      <c r="C80" s="89" t="s">
        <v>1690</v>
      </c>
    </row>
    <row r="81" spans="1:3" ht="15.6">
      <c r="A81" s="89"/>
      <c r="B81" s="90" t="s">
        <v>2462</v>
      </c>
      <c r="C81" s="89"/>
    </row>
    <row r="82" spans="1:3" ht="15.6">
      <c r="A82" s="89" t="s">
        <v>121</v>
      </c>
      <c r="B82" s="90" t="s">
        <v>122</v>
      </c>
      <c r="C82" s="89" t="s">
        <v>96</v>
      </c>
    </row>
    <row r="83" spans="1:3" ht="15.6">
      <c r="A83" s="89" t="s">
        <v>118</v>
      </c>
      <c r="B83" s="90" t="s">
        <v>119</v>
      </c>
      <c r="C83" s="89" t="s">
        <v>96</v>
      </c>
    </row>
    <row r="84" spans="1:3" ht="15.6">
      <c r="A84" s="89" t="s">
        <v>164</v>
      </c>
      <c r="B84" s="90" t="s">
        <v>165</v>
      </c>
      <c r="C84" s="89" t="s">
        <v>1518</v>
      </c>
    </row>
    <row r="85" spans="1:3" ht="15.6">
      <c r="A85" s="89" t="s">
        <v>274</v>
      </c>
      <c r="B85" s="90" t="s">
        <v>275</v>
      </c>
      <c r="C85" s="89" t="s">
        <v>235</v>
      </c>
    </row>
    <row r="86" spans="1:3" ht="15.6">
      <c r="A86" s="89" t="s">
        <v>230</v>
      </c>
      <c r="B86" s="90" t="s">
        <v>231</v>
      </c>
      <c r="C86" s="89" t="s">
        <v>1498</v>
      </c>
    </row>
    <row r="87" spans="1:3" ht="15.6">
      <c r="A87" s="89"/>
      <c r="B87" s="90" t="s">
        <v>2512</v>
      </c>
      <c r="C87" s="89"/>
    </row>
    <row r="88" spans="1:3" ht="15.6">
      <c r="A88" s="89" t="s">
        <v>1837</v>
      </c>
      <c r="B88" s="90" t="s">
        <v>1838</v>
      </c>
      <c r="C88" s="89" t="s">
        <v>1498</v>
      </c>
    </row>
    <row r="89" spans="1:3" ht="15.6">
      <c r="A89" s="89" t="s">
        <v>285</v>
      </c>
      <c r="B89" s="90" t="s">
        <v>286</v>
      </c>
      <c r="C89" s="89" t="s">
        <v>1473</v>
      </c>
    </row>
    <row r="90" spans="1:3" ht="15.6">
      <c r="A90" s="89" t="s">
        <v>1985</v>
      </c>
      <c r="B90" s="90" t="s">
        <v>2196</v>
      </c>
      <c r="C90" s="89" t="s">
        <v>1657</v>
      </c>
    </row>
    <row r="91" spans="1:3" ht="15.6">
      <c r="A91" s="89" t="s">
        <v>158</v>
      </c>
      <c r="B91" s="90" t="s">
        <v>1507</v>
      </c>
      <c r="C91" s="89" t="s">
        <v>1489</v>
      </c>
    </row>
    <row r="92" spans="1:3" ht="15.6">
      <c r="A92" s="89" t="s">
        <v>1878</v>
      </c>
      <c r="B92" s="90" t="s">
        <v>1879</v>
      </c>
      <c r="C92" s="89" t="s">
        <v>1473</v>
      </c>
    </row>
    <row r="93" spans="1:3" ht="15.6">
      <c r="A93" s="89" t="s">
        <v>1869</v>
      </c>
      <c r="B93" s="90" t="s">
        <v>1870</v>
      </c>
      <c r="C93" s="89" t="s">
        <v>1871</v>
      </c>
    </row>
    <row r="94" spans="1:3" ht="15.6">
      <c r="A94" s="89" t="s">
        <v>2055</v>
      </c>
      <c r="B94" s="90" t="s">
        <v>2406</v>
      </c>
      <c r="C94" s="89" t="s">
        <v>1657</v>
      </c>
    </row>
    <row r="95" spans="1:3" ht="15.6">
      <c r="A95" s="89" t="s">
        <v>1655</v>
      </c>
      <c r="B95" s="90" t="s">
        <v>1656</v>
      </c>
      <c r="C95" s="89" t="s">
        <v>1657</v>
      </c>
    </row>
    <row r="96" spans="1:3" ht="15.6">
      <c r="A96" s="89" t="s">
        <v>2035</v>
      </c>
      <c r="B96" s="90" t="s">
        <v>2380</v>
      </c>
      <c r="C96" s="89" t="s">
        <v>1871</v>
      </c>
    </row>
    <row r="97" spans="1:3" ht="15.6">
      <c r="A97" s="89" t="s">
        <v>2153</v>
      </c>
      <c r="B97" s="90" t="s">
        <v>2314</v>
      </c>
      <c r="C97" s="89" t="s">
        <v>1871</v>
      </c>
    </row>
    <row r="98" spans="1:3" ht="15.6">
      <c r="A98" s="89" t="s">
        <v>351</v>
      </c>
      <c r="B98" s="90" t="s">
        <v>352</v>
      </c>
      <c r="C98" s="89" t="s">
        <v>304</v>
      </c>
    </row>
    <row r="99" spans="1:3" ht="15.6">
      <c r="A99" s="89" t="s">
        <v>103</v>
      </c>
      <c r="B99" s="90" t="s">
        <v>104</v>
      </c>
      <c r="C99" s="89" t="s">
        <v>96</v>
      </c>
    </row>
    <row r="100" spans="1:3" ht="15.6">
      <c r="A100" s="89" t="s">
        <v>170</v>
      </c>
      <c r="B100" s="90" t="s">
        <v>171</v>
      </c>
      <c r="C100" s="89" t="s">
        <v>1489</v>
      </c>
    </row>
    <row r="101" spans="1:3" ht="15.6">
      <c r="A101" s="89" t="s">
        <v>1824</v>
      </c>
      <c r="B101" s="90" t="s">
        <v>1825</v>
      </c>
      <c r="C101" s="89" t="s">
        <v>1826</v>
      </c>
    </row>
    <row r="102" spans="1:3" ht="15.6">
      <c r="A102" s="89" t="s">
        <v>1950</v>
      </c>
      <c r="B102" s="90" t="s">
        <v>1951</v>
      </c>
      <c r="C102" s="89" t="s">
        <v>1787</v>
      </c>
    </row>
    <row r="103" spans="1:3" ht="15.6">
      <c r="A103" s="89" t="s">
        <v>1785</v>
      </c>
      <c r="B103" s="90" t="s">
        <v>1786</v>
      </c>
      <c r="C103" s="89" t="s">
        <v>1787</v>
      </c>
    </row>
    <row r="104" spans="1:3" ht="15.6">
      <c r="A104" s="89"/>
      <c r="B104" s="90" t="s">
        <v>2463</v>
      </c>
      <c r="C104" s="89"/>
    </row>
    <row r="105" spans="1:3" ht="15.6">
      <c r="A105" s="89" t="s">
        <v>252</v>
      </c>
      <c r="B105" s="90" t="s">
        <v>253</v>
      </c>
      <c r="C105" s="89" t="s">
        <v>235</v>
      </c>
    </row>
    <row r="106" spans="1:3" ht="15.6">
      <c r="A106" s="89"/>
      <c r="B106" s="90" t="s">
        <v>2526</v>
      </c>
      <c r="C106" s="89"/>
    </row>
    <row r="107" spans="1:3" ht="15.6">
      <c r="A107" s="89" t="s">
        <v>374</v>
      </c>
      <c r="B107" s="90" t="s">
        <v>375</v>
      </c>
      <c r="C107" s="89" t="s">
        <v>1477</v>
      </c>
    </row>
    <row r="108" spans="1:3" ht="15.6">
      <c r="A108" s="89" t="s">
        <v>1973</v>
      </c>
      <c r="B108" s="90" t="s">
        <v>2185</v>
      </c>
      <c r="C108" s="89" t="s">
        <v>2186</v>
      </c>
    </row>
    <row r="109" spans="1:3" ht="15.6">
      <c r="A109" s="89" t="s">
        <v>2000</v>
      </c>
      <c r="B109" s="90" t="s">
        <v>2208</v>
      </c>
      <c r="C109" s="89" t="s">
        <v>1489</v>
      </c>
    </row>
    <row r="110" spans="1:3" ht="15.6">
      <c r="A110" s="89" t="s">
        <v>2141</v>
      </c>
      <c r="B110" s="90" t="s">
        <v>2298</v>
      </c>
      <c r="C110" s="89" t="s">
        <v>1477</v>
      </c>
    </row>
    <row r="111" spans="1:3" ht="15.6">
      <c r="A111" s="89" t="s">
        <v>2029</v>
      </c>
      <c r="B111" s="90" t="s">
        <v>2375</v>
      </c>
      <c r="C111" s="89" t="s">
        <v>1498</v>
      </c>
    </row>
    <row r="112" spans="1:3" ht="15.6">
      <c r="A112" s="89" t="s">
        <v>2070</v>
      </c>
      <c r="B112" s="90" t="s">
        <v>2425</v>
      </c>
      <c r="C112" s="89" t="s">
        <v>1518</v>
      </c>
    </row>
    <row r="113" spans="1:3" ht="15.6">
      <c r="A113" s="89" t="s">
        <v>2099</v>
      </c>
      <c r="B113" s="90" t="s">
        <v>2245</v>
      </c>
      <c r="C113" s="89" t="s">
        <v>2184</v>
      </c>
    </row>
    <row r="114" spans="1:3" ht="15.6">
      <c r="A114" s="89" t="s">
        <v>2100</v>
      </c>
      <c r="B114" s="90" t="s">
        <v>2246</v>
      </c>
      <c r="C114" s="89" t="s">
        <v>2186</v>
      </c>
    </row>
    <row r="115" spans="1:3" ht="15.6">
      <c r="A115" s="89"/>
      <c r="B115" s="90" t="s">
        <v>2464</v>
      </c>
      <c r="C115" s="89"/>
    </row>
    <row r="116" spans="1:3" ht="15.6">
      <c r="A116" s="89"/>
      <c r="B116" s="90" t="s">
        <v>2465</v>
      </c>
      <c r="C116" s="89"/>
    </row>
    <row r="117" spans="1:3" ht="15.6">
      <c r="A117" s="89" t="s">
        <v>44</v>
      </c>
      <c r="B117" s="90" t="s">
        <v>45</v>
      </c>
      <c r="C117" s="89" t="s">
        <v>13</v>
      </c>
    </row>
    <row r="118" spans="1:3" ht="15.6">
      <c r="A118" s="89" t="s">
        <v>136</v>
      </c>
      <c r="B118" s="90" t="s">
        <v>137</v>
      </c>
      <c r="C118" s="89" t="s">
        <v>96</v>
      </c>
    </row>
    <row r="119" spans="1:3" ht="15.6">
      <c r="A119" s="89" t="s">
        <v>243</v>
      </c>
      <c r="B119" s="90" t="s">
        <v>244</v>
      </c>
      <c r="C119" s="89" t="s">
        <v>235</v>
      </c>
    </row>
    <row r="120" spans="1:3" ht="15.6">
      <c r="A120" s="89" t="s">
        <v>313</v>
      </c>
      <c r="B120" s="90" t="s">
        <v>314</v>
      </c>
      <c r="C120" s="89" t="s">
        <v>304</v>
      </c>
    </row>
    <row r="121" spans="1:3" ht="15.6">
      <c r="A121" s="89" t="s">
        <v>30</v>
      </c>
      <c r="B121" s="90" t="s">
        <v>31</v>
      </c>
      <c r="C121" s="89" t="s">
        <v>13</v>
      </c>
    </row>
    <row r="122" spans="1:3" ht="15.6">
      <c r="A122" s="89" t="s">
        <v>1904</v>
      </c>
      <c r="B122" s="90" t="s">
        <v>1905</v>
      </c>
      <c r="C122" s="89" t="s">
        <v>1906</v>
      </c>
    </row>
    <row r="123" spans="1:3" ht="15.6">
      <c r="A123" s="89" t="s">
        <v>2005</v>
      </c>
      <c r="B123" s="90" t="s">
        <v>2212</v>
      </c>
      <c r="C123" s="89" t="s">
        <v>1487</v>
      </c>
    </row>
    <row r="124" spans="1:3" ht="15.6">
      <c r="A124" s="89" t="s">
        <v>1653</v>
      </c>
      <c r="B124" s="90" t="s">
        <v>1654</v>
      </c>
      <c r="C124" s="89" t="s">
        <v>1624</v>
      </c>
    </row>
    <row r="125" spans="1:3" ht="15.6">
      <c r="A125" s="89" t="s">
        <v>1242</v>
      </c>
      <c r="B125" s="90" t="s">
        <v>1243</v>
      </c>
      <c r="C125" s="89" t="s">
        <v>1240</v>
      </c>
    </row>
    <row r="126" spans="1:3" ht="15.6">
      <c r="A126" s="89" t="s">
        <v>1244</v>
      </c>
      <c r="B126" s="90" t="s">
        <v>1245</v>
      </c>
      <c r="C126" s="89" t="s">
        <v>1240</v>
      </c>
    </row>
    <row r="127" spans="1:3" ht="15.6">
      <c r="A127" s="89"/>
      <c r="B127" s="90" t="s">
        <v>2506</v>
      </c>
      <c r="C127" s="89"/>
    </row>
    <row r="128" spans="1:3" ht="15.6">
      <c r="A128" s="89" t="s">
        <v>1246</v>
      </c>
      <c r="B128" s="90" t="s">
        <v>1247</v>
      </c>
      <c r="C128" s="89" t="s">
        <v>1490</v>
      </c>
    </row>
    <row r="129" spans="1:3" ht="15.6">
      <c r="A129" s="89" t="s">
        <v>1248</v>
      </c>
      <c r="B129" s="90" t="s">
        <v>1249</v>
      </c>
      <c r="C129" s="89" t="s">
        <v>1490</v>
      </c>
    </row>
    <row r="130" spans="1:3" ht="15.6">
      <c r="A130" s="89" t="s">
        <v>1802</v>
      </c>
      <c r="B130" s="90" t="s">
        <v>1803</v>
      </c>
      <c r="C130" s="89" t="s">
        <v>1804</v>
      </c>
    </row>
    <row r="131" spans="1:3" ht="15.6">
      <c r="A131" s="89"/>
      <c r="B131" s="93" t="s">
        <v>1241</v>
      </c>
      <c r="C131" s="89"/>
    </row>
    <row r="132" spans="1:3" ht="15.6">
      <c r="A132" s="89" t="s">
        <v>2043</v>
      </c>
      <c r="B132" s="90" t="s">
        <v>2386</v>
      </c>
      <c r="C132" s="89" t="s">
        <v>2387</v>
      </c>
    </row>
    <row r="133" spans="1:3" ht="15.6">
      <c r="A133" s="89"/>
      <c r="B133" s="90" t="s">
        <v>2577</v>
      </c>
      <c r="C133" s="89"/>
    </row>
    <row r="134" spans="1:3" ht="15.6">
      <c r="A134" s="89" t="s">
        <v>196</v>
      </c>
      <c r="B134" s="90" t="s">
        <v>197</v>
      </c>
      <c r="C134" s="89" t="s">
        <v>172</v>
      </c>
    </row>
    <row r="135" spans="1:3" ht="15.6">
      <c r="A135" s="89"/>
      <c r="B135" s="90" t="s">
        <v>2492</v>
      </c>
      <c r="C135" s="89"/>
    </row>
    <row r="136" spans="1:3" ht="15.6">
      <c r="A136" s="89" t="s">
        <v>1926</v>
      </c>
      <c r="B136" s="90" t="s">
        <v>1927</v>
      </c>
      <c r="C136" s="89" t="s">
        <v>1487</v>
      </c>
    </row>
    <row r="137" spans="1:3" ht="15.6">
      <c r="A137" s="89" t="s">
        <v>1998</v>
      </c>
      <c r="B137" s="90" t="s">
        <v>1927</v>
      </c>
      <c r="C137" s="89" t="s">
        <v>1487</v>
      </c>
    </row>
    <row r="138" spans="1:3" ht="15.6">
      <c r="A138" s="89" t="s">
        <v>1952</v>
      </c>
      <c r="B138" s="90" t="s">
        <v>1953</v>
      </c>
      <c r="C138" s="89" t="s">
        <v>1909</v>
      </c>
    </row>
    <row r="139" spans="1:3" ht="15.6">
      <c r="A139" s="89" t="s">
        <v>2050</v>
      </c>
      <c r="B139" s="94" t="s">
        <v>2398</v>
      </c>
      <c r="C139" s="89" t="s">
        <v>2399</v>
      </c>
    </row>
    <row r="140" spans="1:3" ht="15.6">
      <c r="A140" s="89" t="s">
        <v>2143</v>
      </c>
      <c r="B140" s="90" t="s">
        <v>2300</v>
      </c>
      <c r="C140" s="89" t="s">
        <v>1676</v>
      </c>
    </row>
    <row r="141" spans="1:3" ht="15.6">
      <c r="A141" s="89" t="s">
        <v>1674</v>
      </c>
      <c r="B141" s="90" t="s">
        <v>1675</v>
      </c>
      <c r="C141" s="89" t="s">
        <v>1676</v>
      </c>
    </row>
    <row r="142" spans="1:3" ht="15.6">
      <c r="A142" s="89" t="s">
        <v>1338</v>
      </c>
      <c r="B142" s="90" t="s">
        <v>17</v>
      </c>
      <c r="C142" s="89" t="s">
        <v>13</v>
      </c>
    </row>
    <row r="143" spans="1:3" ht="15.6">
      <c r="A143" s="89"/>
      <c r="B143" s="95" t="s">
        <v>15</v>
      </c>
      <c r="C143" s="89"/>
    </row>
    <row r="144" spans="1:3" ht="15.6">
      <c r="A144" s="89" t="s">
        <v>194</v>
      </c>
      <c r="B144" s="90" t="s">
        <v>195</v>
      </c>
      <c r="C144" s="89" t="s">
        <v>172</v>
      </c>
    </row>
    <row r="145" spans="1:3" ht="15.6">
      <c r="A145" s="89" t="s">
        <v>320</v>
      </c>
      <c r="B145" s="90" t="s">
        <v>321</v>
      </c>
      <c r="C145" s="89" t="s">
        <v>304</v>
      </c>
    </row>
    <row r="146" spans="1:3" ht="15.6">
      <c r="A146" s="89" t="s">
        <v>1880</v>
      </c>
      <c r="B146" s="90" t="s">
        <v>1881</v>
      </c>
      <c r="C146" s="89" t="s">
        <v>1882</v>
      </c>
    </row>
    <row r="147" spans="1:3" ht="15.6">
      <c r="A147" s="89" t="s">
        <v>1900</v>
      </c>
      <c r="B147" s="90" t="s">
        <v>1901</v>
      </c>
      <c r="C147" s="89" t="s">
        <v>1882</v>
      </c>
    </row>
    <row r="148" spans="1:3" ht="15.6">
      <c r="A148" s="89" t="s">
        <v>1928</v>
      </c>
      <c r="B148" s="90" t="s">
        <v>1929</v>
      </c>
      <c r="C148" s="89" t="s">
        <v>1523</v>
      </c>
    </row>
    <row r="149" spans="1:3" ht="15.6">
      <c r="A149" s="89" t="s">
        <v>2068</v>
      </c>
      <c r="B149" s="90" t="s">
        <v>2422</v>
      </c>
      <c r="C149" s="89" t="s">
        <v>1882</v>
      </c>
    </row>
    <row r="150" spans="1:3" ht="15.6">
      <c r="A150" s="89" t="s">
        <v>123</v>
      </c>
      <c r="B150" s="90" t="s">
        <v>124</v>
      </c>
      <c r="C150" s="89" t="s">
        <v>96</v>
      </c>
    </row>
    <row r="151" spans="1:3" ht="15.6">
      <c r="A151" s="89" t="s">
        <v>192</v>
      </c>
      <c r="B151" s="90" t="s">
        <v>193</v>
      </c>
      <c r="C151" s="89" t="s">
        <v>172</v>
      </c>
    </row>
    <row r="152" spans="1:3" ht="15.6">
      <c r="A152" s="89"/>
      <c r="B152" s="90" t="s">
        <v>2515</v>
      </c>
      <c r="C152" s="89"/>
    </row>
    <row r="153" spans="1:3" ht="15.6">
      <c r="A153" s="89"/>
      <c r="B153" s="93" t="s">
        <v>1267</v>
      </c>
      <c r="C153" s="89"/>
    </row>
    <row r="154" spans="1:3" ht="15.6">
      <c r="A154" s="89" t="s">
        <v>1968</v>
      </c>
      <c r="B154" s="90" t="s">
        <v>2178</v>
      </c>
      <c r="C154" s="89" t="s">
        <v>1489</v>
      </c>
    </row>
    <row r="155" spans="1:3" ht="15.6">
      <c r="A155" s="89" t="s">
        <v>1663</v>
      </c>
      <c r="B155" s="90" t="s">
        <v>1664</v>
      </c>
      <c r="C155" s="89" t="s">
        <v>1665</v>
      </c>
    </row>
    <row r="156" spans="1:3" ht="15.6">
      <c r="A156" s="89" t="s">
        <v>330</v>
      </c>
      <c r="B156" s="90" t="s">
        <v>331</v>
      </c>
      <c r="C156" s="89" t="s">
        <v>304</v>
      </c>
    </row>
    <row r="157" spans="1:3" ht="15.6">
      <c r="A157" s="89" t="s">
        <v>236</v>
      </c>
      <c r="B157" s="90" t="s">
        <v>237</v>
      </c>
      <c r="C157" s="89" t="s">
        <v>235</v>
      </c>
    </row>
    <row r="158" spans="1:3" ht="15.6">
      <c r="A158" s="89" t="s">
        <v>155</v>
      </c>
      <c r="B158" s="90" t="s">
        <v>156</v>
      </c>
      <c r="C158" s="89" t="s">
        <v>1489</v>
      </c>
    </row>
    <row r="159" spans="1:3" ht="15.6">
      <c r="A159" s="89"/>
      <c r="B159" s="90" t="s">
        <v>2562</v>
      </c>
      <c r="C159" s="89"/>
    </row>
    <row r="160" spans="1:3" ht="15.6">
      <c r="A160" s="89" t="s">
        <v>283</v>
      </c>
      <c r="B160" s="90" t="s">
        <v>284</v>
      </c>
      <c r="C160" s="89" t="s">
        <v>1473</v>
      </c>
    </row>
    <row r="161" spans="1:3" ht="15.6">
      <c r="A161" s="89" t="s">
        <v>1811</v>
      </c>
      <c r="B161" s="90" t="s">
        <v>1812</v>
      </c>
      <c r="C161" s="89" t="s">
        <v>1813</v>
      </c>
    </row>
    <row r="162" spans="1:3" ht="15.6">
      <c r="A162" s="89" t="s">
        <v>1910</v>
      </c>
      <c r="B162" s="90" t="s">
        <v>1911</v>
      </c>
      <c r="C162" s="89" t="s">
        <v>1671</v>
      </c>
    </row>
    <row r="163" spans="1:3" ht="15.6">
      <c r="A163" s="89" t="s">
        <v>2064</v>
      </c>
      <c r="B163" s="90" t="s">
        <v>2417</v>
      </c>
      <c r="C163" s="89" t="s">
        <v>1813</v>
      </c>
    </row>
    <row r="164" spans="1:3" ht="15.6">
      <c r="A164" s="89" t="s">
        <v>1669</v>
      </c>
      <c r="B164" s="90" t="s">
        <v>1670</v>
      </c>
      <c r="C164" s="89" t="s">
        <v>1671</v>
      </c>
    </row>
    <row r="165" spans="1:3" ht="15.6">
      <c r="A165" s="89" t="s">
        <v>2152</v>
      </c>
      <c r="B165" s="90" t="s">
        <v>2312</v>
      </c>
      <c r="C165" s="89" t="s">
        <v>2313</v>
      </c>
    </row>
    <row r="166" spans="1:3" ht="15.6">
      <c r="A166" s="89" t="s">
        <v>2086</v>
      </c>
      <c r="B166" s="90" t="s">
        <v>2445</v>
      </c>
      <c r="C166" s="89" t="s">
        <v>2446</v>
      </c>
    </row>
    <row r="167" spans="1:3" ht="15.6">
      <c r="A167" s="89" t="s">
        <v>263</v>
      </c>
      <c r="B167" s="90" t="s">
        <v>264</v>
      </c>
      <c r="C167" s="89" t="s">
        <v>235</v>
      </c>
    </row>
    <row r="168" spans="1:3" ht="15.6">
      <c r="A168" s="89" t="s">
        <v>325</v>
      </c>
      <c r="B168" s="90" t="s">
        <v>326</v>
      </c>
      <c r="C168" s="89" t="s">
        <v>304</v>
      </c>
    </row>
    <row r="169" spans="1:3" ht="15.6">
      <c r="A169" s="89" t="s">
        <v>206</v>
      </c>
      <c r="B169" s="90" t="s">
        <v>207</v>
      </c>
      <c r="C169" s="89" t="s">
        <v>172</v>
      </c>
    </row>
    <row r="170" spans="1:3" ht="15.6">
      <c r="A170" s="89" t="s">
        <v>148</v>
      </c>
      <c r="B170" s="90" t="s">
        <v>149</v>
      </c>
      <c r="C170" s="89" t="s">
        <v>96</v>
      </c>
    </row>
    <row r="171" spans="1:3" ht="15.6">
      <c r="A171" s="89" t="s">
        <v>1982</v>
      </c>
      <c r="B171" s="90" t="s">
        <v>2193</v>
      </c>
      <c r="C171" s="89" t="s">
        <v>1473</v>
      </c>
    </row>
    <row r="172" spans="1:3" ht="15.6">
      <c r="A172" s="89" t="s">
        <v>2022</v>
      </c>
      <c r="B172" s="94" t="s">
        <v>2368</v>
      </c>
      <c r="C172" s="89" t="s">
        <v>1548</v>
      </c>
    </row>
    <row r="173" spans="1:3" ht="15.6">
      <c r="A173" s="89" t="s">
        <v>2112</v>
      </c>
      <c r="B173" s="90" t="s">
        <v>2265</v>
      </c>
      <c r="C173" s="89" t="s">
        <v>1548</v>
      </c>
    </row>
    <row r="174" spans="1:3" ht="15.6">
      <c r="A174" s="89" t="s">
        <v>2088</v>
      </c>
      <c r="B174" s="90" t="s">
        <v>2236</v>
      </c>
      <c r="C174" s="89" t="s">
        <v>1487</v>
      </c>
    </row>
    <row r="175" spans="1:3" ht="15.6">
      <c r="A175" s="89" t="s">
        <v>1546</v>
      </c>
      <c r="B175" s="90" t="s">
        <v>1547</v>
      </c>
      <c r="C175" s="89" t="s">
        <v>1548</v>
      </c>
    </row>
    <row r="176" spans="1:3" ht="15.6">
      <c r="A176" s="89"/>
      <c r="B176" s="90" t="s">
        <v>2466</v>
      </c>
      <c r="C176" s="89"/>
    </row>
    <row r="177" spans="1:3" ht="15.6">
      <c r="A177" s="89" t="s">
        <v>348</v>
      </c>
      <c r="B177" s="90" t="s">
        <v>349</v>
      </c>
      <c r="C177" s="89" t="s">
        <v>304</v>
      </c>
    </row>
    <row r="178" spans="1:3" ht="15.6">
      <c r="A178" s="89" t="s">
        <v>376</v>
      </c>
      <c r="B178" s="90" t="s">
        <v>377</v>
      </c>
      <c r="C178" s="89" t="s">
        <v>1477</v>
      </c>
    </row>
    <row r="179" spans="1:3" ht="15.6">
      <c r="A179" s="89"/>
      <c r="B179" s="90" t="s">
        <v>2511</v>
      </c>
      <c r="C179" s="89"/>
    </row>
    <row r="180" spans="1:3" ht="15.6">
      <c r="A180" s="89" t="s">
        <v>1914</v>
      </c>
      <c r="B180" s="90" t="s">
        <v>1915</v>
      </c>
      <c r="C180" s="89" t="s">
        <v>1473</v>
      </c>
    </row>
    <row r="181" spans="1:3" ht="15.6">
      <c r="A181" s="89" t="s">
        <v>2004</v>
      </c>
      <c r="B181" s="90" t="s">
        <v>2356</v>
      </c>
      <c r="C181" s="89" t="s">
        <v>2357</v>
      </c>
    </row>
    <row r="182" spans="1:3" ht="15.6">
      <c r="A182" s="89" t="s">
        <v>2108</v>
      </c>
      <c r="B182" s="90" t="s">
        <v>2259</v>
      </c>
      <c r="C182" s="89" t="s">
        <v>2260</v>
      </c>
    </row>
    <row r="183" spans="1:3" ht="15.6">
      <c r="A183" s="89" t="s">
        <v>2041</v>
      </c>
      <c r="B183" s="90" t="s">
        <v>2228</v>
      </c>
      <c r="C183" s="89" t="s">
        <v>2229</v>
      </c>
    </row>
    <row r="184" spans="1:3" ht="15.6">
      <c r="A184" s="89"/>
      <c r="B184" s="90" t="s">
        <v>2459</v>
      </c>
      <c r="C184" s="89"/>
    </row>
    <row r="185" spans="1:3" ht="15.6">
      <c r="A185" s="89"/>
      <c r="B185" s="90" t="s">
        <v>317</v>
      </c>
      <c r="C185" s="89"/>
    </row>
    <row r="186" spans="1:3" ht="15.6">
      <c r="A186" s="89" t="s">
        <v>41</v>
      </c>
      <c r="B186" s="90" t="s">
        <v>42</v>
      </c>
      <c r="C186" s="89" t="s">
        <v>13</v>
      </c>
    </row>
    <row r="187" spans="1:3" ht="15.6">
      <c r="A187" s="89" t="s">
        <v>73</v>
      </c>
      <c r="B187" s="90" t="s">
        <v>74</v>
      </c>
      <c r="C187" s="89" t="s">
        <v>1482</v>
      </c>
    </row>
    <row r="188" spans="1:3" ht="15.6">
      <c r="A188" s="89" t="s">
        <v>269</v>
      </c>
      <c r="B188" s="90" t="s">
        <v>270</v>
      </c>
      <c r="C188" s="89" t="s">
        <v>235</v>
      </c>
    </row>
    <row r="189" spans="1:3" ht="15.6">
      <c r="A189" s="89" t="s">
        <v>1272</v>
      </c>
      <c r="B189" s="90" t="s">
        <v>1273</v>
      </c>
      <c r="C189" s="89" t="s">
        <v>1486</v>
      </c>
    </row>
    <row r="190" spans="1:3" ht="15.6">
      <c r="A190" s="89" t="s">
        <v>2001</v>
      </c>
      <c r="B190" s="90" t="s">
        <v>2209</v>
      </c>
      <c r="C190" s="89" t="s">
        <v>1518</v>
      </c>
    </row>
    <row r="191" spans="1:3" ht="15.6">
      <c r="A191" s="89" t="s">
        <v>1644</v>
      </c>
      <c r="B191" s="90" t="s">
        <v>1645</v>
      </c>
      <c r="C191" s="89" t="s">
        <v>1477</v>
      </c>
    </row>
    <row r="192" spans="1:3" ht="15.6">
      <c r="A192" s="89" t="s">
        <v>2042</v>
      </c>
      <c r="B192" s="94" t="s">
        <v>1645</v>
      </c>
      <c r="C192" s="89" t="s">
        <v>1477</v>
      </c>
    </row>
    <row r="193" spans="1:3" ht="15.6">
      <c r="A193" s="89"/>
      <c r="B193" s="90" t="s">
        <v>2460</v>
      </c>
      <c r="C193" s="89"/>
    </row>
    <row r="194" spans="1:3" ht="15.6">
      <c r="A194" s="89" t="s">
        <v>126</v>
      </c>
      <c r="B194" s="90" t="s">
        <v>127</v>
      </c>
      <c r="C194" s="89" t="s">
        <v>96</v>
      </c>
    </row>
    <row r="195" spans="1:3" ht="15.6">
      <c r="A195" s="89" t="s">
        <v>132</v>
      </c>
      <c r="B195" s="90" t="s">
        <v>133</v>
      </c>
      <c r="C195" s="89" t="s">
        <v>96</v>
      </c>
    </row>
    <row r="196" spans="1:3" ht="15.6">
      <c r="A196" s="89"/>
      <c r="B196" s="90" t="s">
        <v>2501</v>
      </c>
      <c r="C196" s="89"/>
    </row>
    <row r="197" spans="1:3" ht="15.6">
      <c r="A197" s="89" t="s">
        <v>1682</v>
      </c>
      <c r="B197" s="90" t="s">
        <v>1683</v>
      </c>
      <c r="C197" s="89" t="s">
        <v>1684</v>
      </c>
    </row>
    <row r="198" spans="1:3" ht="15.6">
      <c r="A198" s="89"/>
      <c r="B198" s="90" t="s">
        <v>2467</v>
      </c>
      <c r="C198" s="89"/>
    </row>
    <row r="199" spans="1:3" ht="15.6">
      <c r="A199" s="89" t="s">
        <v>24</v>
      </c>
      <c r="B199" s="90" t="s">
        <v>25</v>
      </c>
      <c r="C199" s="89" t="s">
        <v>13</v>
      </c>
    </row>
    <row r="200" spans="1:3" ht="15.6">
      <c r="A200" s="89" t="s">
        <v>332</v>
      </c>
      <c r="B200" s="90" t="s">
        <v>333</v>
      </c>
      <c r="C200" s="89" t="s">
        <v>304</v>
      </c>
    </row>
    <row r="201" spans="1:3" ht="15.6">
      <c r="A201" s="89" t="s">
        <v>214</v>
      </c>
      <c r="B201" s="90" t="s">
        <v>215</v>
      </c>
      <c r="C201" s="89" t="s">
        <v>172</v>
      </c>
    </row>
    <row r="202" spans="1:3" ht="15.6">
      <c r="A202" s="89" t="s">
        <v>1822</v>
      </c>
      <c r="B202" s="90" t="s">
        <v>1823</v>
      </c>
      <c r="C202" s="89" t="s">
        <v>1489</v>
      </c>
    </row>
    <row r="203" spans="1:3" ht="15.6">
      <c r="A203" s="89" t="s">
        <v>1976</v>
      </c>
      <c r="B203" s="90" t="s">
        <v>2187</v>
      </c>
      <c r="C203" s="89" t="s">
        <v>2188</v>
      </c>
    </row>
    <row r="204" spans="1:3" ht="15.6">
      <c r="A204" s="89" t="s">
        <v>1859</v>
      </c>
      <c r="B204" s="90" t="s">
        <v>1860</v>
      </c>
      <c r="C204" s="89" t="s">
        <v>1477</v>
      </c>
    </row>
    <row r="205" spans="1:3" ht="15.6">
      <c r="A205" s="89" t="s">
        <v>1962</v>
      </c>
      <c r="B205" s="90" t="s">
        <v>2172</v>
      </c>
      <c r="C205" s="89" t="s">
        <v>1477</v>
      </c>
    </row>
    <row r="206" spans="1:3" ht="15.6">
      <c r="A206" s="89" t="s">
        <v>2123</v>
      </c>
      <c r="B206" s="90" t="s">
        <v>2278</v>
      </c>
      <c r="C206" s="89" t="s">
        <v>1473</v>
      </c>
    </row>
    <row r="207" spans="1:3" ht="15.6">
      <c r="A207" s="89" t="s">
        <v>2109</v>
      </c>
      <c r="B207" s="90" t="s">
        <v>2261</v>
      </c>
      <c r="C207" s="89" t="s">
        <v>1489</v>
      </c>
    </row>
    <row r="208" spans="1:3" ht="15.6">
      <c r="A208" s="89"/>
      <c r="B208" s="90" t="s">
        <v>2468</v>
      </c>
      <c r="C208" s="89"/>
    </row>
    <row r="209" spans="1:3" ht="15.6">
      <c r="A209" s="89" t="s">
        <v>129</v>
      </c>
      <c r="B209" s="90" t="s">
        <v>130</v>
      </c>
      <c r="C209" s="89" t="s">
        <v>96</v>
      </c>
    </row>
    <row r="210" spans="1:3" ht="15.6">
      <c r="A210" s="89" t="s">
        <v>238</v>
      </c>
      <c r="B210" s="90" t="s">
        <v>239</v>
      </c>
      <c r="C210" s="89" t="s">
        <v>235</v>
      </c>
    </row>
    <row r="211" spans="1:3" ht="15.6">
      <c r="A211" s="89" t="s">
        <v>198</v>
      </c>
      <c r="B211" s="90" t="s">
        <v>199</v>
      </c>
      <c r="C211" s="89" t="s">
        <v>172</v>
      </c>
    </row>
    <row r="212" spans="1:3" ht="15.6">
      <c r="A212" s="89" t="s">
        <v>240</v>
      </c>
      <c r="B212" s="90" t="s">
        <v>241</v>
      </c>
      <c r="C212" s="89" t="s">
        <v>235</v>
      </c>
    </row>
    <row r="213" spans="1:3" ht="15.6">
      <c r="A213" s="89"/>
      <c r="B213" s="90" t="s">
        <v>2498</v>
      </c>
      <c r="C213" s="89"/>
    </row>
    <row r="214" spans="1:3" ht="15.6">
      <c r="A214" s="89" t="s">
        <v>145</v>
      </c>
      <c r="B214" s="90" t="s">
        <v>146</v>
      </c>
      <c r="C214" s="89" t="s">
        <v>96</v>
      </c>
    </row>
    <row r="215" spans="1:3" ht="15.6">
      <c r="A215" s="89" t="s">
        <v>1972</v>
      </c>
      <c r="B215" s="90" t="s">
        <v>2183</v>
      </c>
      <c r="C215" s="89" t="s">
        <v>2184</v>
      </c>
    </row>
    <row r="216" spans="1:3" ht="15.6">
      <c r="A216" s="89" t="s">
        <v>1619</v>
      </c>
      <c r="B216" s="90" t="s">
        <v>1620</v>
      </c>
      <c r="C216" s="89" t="s">
        <v>1621</v>
      </c>
    </row>
    <row r="217" spans="1:3" ht="15.6">
      <c r="A217" s="89"/>
      <c r="B217" s="90" t="s">
        <v>2469</v>
      </c>
      <c r="C217" s="89"/>
    </row>
    <row r="218" spans="1:3" ht="15.6">
      <c r="A218" s="89"/>
      <c r="B218" s="96" t="s">
        <v>178</v>
      </c>
      <c r="C218" s="89"/>
    </row>
    <row r="219" spans="1:3" ht="15.6">
      <c r="A219" s="89" t="s">
        <v>300</v>
      </c>
      <c r="B219" s="90" t="s">
        <v>301</v>
      </c>
      <c r="C219" s="89" t="s">
        <v>1473</v>
      </c>
    </row>
    <row r="220" spans="1:3" ht="15.6">
      <c r="A220" s="89" t="s">
        <v>296</v>
      </c>
      <c r="B220" s="90" t="s">
        <v>297</v>
      </c>
      <c r="C220" s="89" t="s">
        <v>1473</v>
      </c>
    </row>
    <row r="221" spans="1:3" ht="15.6">
      <c r="A221" s="89" t="s">
        <v>1889</v>
      </c>
      <c r="B221" s="90" t="s">
        <v>1890</v>
      </c>
      <c r="C221" s="89" t="s">
        <v>1489</v>
      </c>
    </row>
    <row r="222" spans="1:3" ht="15.6">
      <c r="A222" s="89" t="s">
        <v>1990</v>
      </c>
      <c r="B222" s="90" t="s">
        <v>2202</v>
      </c>
      <c r="C222" s="89" t="s">
        <v>1498</v>
      </c>
    </row>
    <row r="223" spans="1:3" ht="15.6">
      <c r="A223" s="89" t="s">
        <v>2106</v>
      </c>
      <c r="B223" s="90" t="s">
        <v>2256</v>
      </c>
      <c r="C223" s="89" t="s">
        <v>2257</v>
      </c>
    </row>
    <row r="224" spans="1:3" ht="15.6">
      <c r="A224" s="89" t="s">
        <v>1366</v>
      </c>
      <c r="B224" s="90" t="s">
        <v>1531</v>
      </c>
      <c r="C224" s="89" t="s">
        <v>1532</v>
      </c>
    </row>
    <row r="225" spans="1:3" ht="15.6">
      <c r="A225" s="89" t="s">
        <v>1691</v>
      </c>
      <c r="B225" s="90" t="s">
        <v>1692</v>
      </c>
      <c r="C225" s="89" t="s">
        <v>1693</v>
      </c>
    </row>
    <row r="226" spans="1:3" ht="15.6">
      <c r="A226" s="89" t="s">
        <v>1543</v>
      </c>
      <c r="B226" s="90" t="s">
        <v>1544</v>
      </c>
      <c r="C226" s="89" t="s">
        <v>1545</v>
      </c>
    </row>
    <row r="227" spans="1:3" ht="15.6">
      <c r="A227" s="89" t="s">
        <v>1622</v>
      </c>
      <c r="B227" s="90" t="s">
        <v>1623</v>
      </c>
      <c r="C227" s="89" t="s">
        <v>1624</v>
      </c>
    </row>
    <row r="228" spans="1:3" ht="15.6">
      <c r="A228" s="89" t="s">
        <v>1365</v>
      </c>
      <c r="B228" s="90" t="s">
        <v>1529</v>
      </c>
      <c r="C228" s="89" t="s">
        <v>1530</v>
      </c>
    </row>
    <row r="229" spans="1:3" ht="15.6">
      <c r="A229" s="89" t="s">
        <v>1606</v>
      </c>
      <c r="B229" s="90" t="s">
        <v>1607</v>
      </c>
      <c r="C229" s="89" t="s">
        <v>1530</v>
      </c>
    </row>
    <row r="230" spans="1:3" ht="15.6">
      <c r="A230" s="89" t="s">
        <v>261</v>
      </c>
      <c r="B230" s="90" t="s">
        <v>262</v>
      </c>
      <c r="C230" s="89" t="s">
        <v>235</v>
      </c>
    </row>
    <row r="231" spans="1:3" ht="15.6">
      <c r="A231" s="89"/>
      <c r="B231" s="90" t="s">
        <v>2566</v>
      </c>
      <c r="C231" s="89"/>
    </row>
    <row r="232" spans="1:3" ht="15.6">
      <c r="A232" s="89"/>
      <c r="B232" s="90" t="s">
        <v>2554</v>
      </c>
      <c r="C232" s="89"/>
    </row>
    <row r="233" spans="1:3" ht="15.6">
      <c r="A233" s="89" t="s">
        <v>1301</v>
      </c>
      <c r="B233" s="90" t="s">
        <v>1302</v>
      </c>
      <c r="C233" s="89" t="s">
        <v>1528</v>
      </c>
    </row>
    <row r="234" spans="1:3" ht="15.6">
      <c r="A234" s="89" t="s">
        <v>2052</v>
      </c>
      <c r="B234" s="90" t="s">
        <v>2401</v>
      </c>
      <c r="C234" s="89" t="s">
        <v>1528</v>
      </c>
    </row>
    <row r="235" spans="1:3" ht="15.6">
      <c r="A235" s="89" t="s">
        <v>2056</v>
      </c>
      <c r="B235" s="90" t="s">
        <v>2407</v>
      </c>
      <c r="C235" s="89" t="s">
        <v>1528</v>
      </c>
    </row>
    <row r="236" spans="1:3" ht="15.6">
      <c r="A236" s="89"/>
      <c r="B236" s="93" t="s">
        <v>1303</v>
      </c>
      <c r="C236" s="89"/>
    </row>
    <row r="237" spans="1:3" ht="15.6">
      <c r="A237" s="89" t="s">
        <v>245</v>
      </c>
      <c r="B237" s="90" t="s">
        <v>246</v>
      </c>
      <c r="C237" s="89" t="s">
        <v>235</v>
      </c>
    </row>
    <row r="238" spans="1:3" ht="15.6">
      <c r="A238" s="89" t="s">
        <v>227</v>
      </c>
      <c r="B238" s="90" t="s">
        <v>228</v>
      </c>
      <c r="C238" s="89" t="s">
        <v>1498</v>
      </c>
    </row>
    <row r="239" spans="1:3" ht="15.6">
      <c r="A239" s="89" t="s">
        <v>1358</v>
      </c>
      <c r="B239" s="90" t="s">
        <v>1497</v>
      </c>
      <c r="C239" s="89" t="s">
        <v>1473</v>
      </c>
    </row>
    <row r="240" spans="1:3" ht="15.6">
      <c r="A240" s="89"/>
      <c r="B240" s="90" t="s">
        <v>1370</v>
      </c>
      <c r="C240" s="89"/>
    </row>
    <row r="241" spans="1:3" ht="15.6">
      <c r="A241" s="89" t="s">
        <v>80</v>
      </c>
      <c r="B241" s="90" t="s">
        <v>81</v>
      </c>
      <c r="C241" s="89" t="s">
        <v>1487</v>
      </c>
    </row>
    <row r="242" spans="1:3" ht="15.6">
      <c r="A242" s="89" t="s">
        <v>2126</v>
      </c>
      <c r="B242" s="90" t="s">
        <v>2281</v>
      </c>
      <c r="C242" s="97" t="s">
        <v>1498</v>
      </c>
    </row>
    <row r="243" spans="1:3" ht="15.6">
      <c r="A243" s="89" t="s">
        <v>2091</v>
      </c>
      <c r="B243" s="90" t="s">
        <v>2239</v>
      </c>
      <c r="C243" s="89" t="s">
        <v>1473</v>
      </c>
    </row>
    <row r="244" spans="1:3" ht="15.6">
      <c r="A244" s="89" t="s">
        <v>2124</v>
      </c>
      <c r="B244" s="90" t="s">
        <v>2279</v>
      </c>
      <c r="C244" s="89" t="s">
        <v>1482</v>
      </c>
    </row>
    <row r="245" spans="1:3" ht="15.6">
      <c r="A245" s="89" t="s">
        <v>2038</v>
      </c>
      <c r="B245" s="94" t="s">
        <v>2384</v>
      </c>
      <c r="C245" s="89" t="s">
        <v>2385</v>
      </c>
    </row>
    <row r="246" spans="1:3" ht="15.6">
      <c r="A246" s="89" t="s">
        <v>1766</v>
      </c>
      <c r="B246" s="90" t="s">
        <v>1767</v>
      </c>
      <c r="C246" s="89" t="s">
        <v>1768</v>
      </c>
    </row>
    <row r="247" spans="1:3" ht="15.6">
      <c r="A247" s="89"/>
      <c r="B247" s="96" t="s">
        <v>174</v>
      </c>
      <c r="C247" s="89"/>
    </row>
    <row r="248" spans="1:3" ht="15.6">
      <c r="A248" s="89" t="s">
        <v>256</v>
      </c>
      <c r="B248" s="90" t="s">
        <v>257</v>
      </c>
      <c r="C248" s="89" t="s">
        <v>235</v>
      </c>
    </row>
    <row r="249" spans="1:3" ht="15.6">
      <c r="A249" s="89" t="s">
        <v>293</v>
      </c>
      <c r="B249" s="90" t="s">
        <v>294</v>
      </c>
      <c r="C249" s="89" t="s">
        <v>1523</v>
      </c>
    </row>
    <row r="250" spans="1:3" ht="15.6">
      <c r="A250" s="89" t="s">
        <v>1967</v>
      </c>
      <c r="B250" s="90" t="s">
        <v>2177</v>
      </c>
      <c r="C250" s="89" t="s">
        <v>1489</v>
      </c>
    </row>
    <row r="251" spans="1:3" ht="15.6">
      <c r="A251" s="89" t="s">
        <v>1986</v>
      </c>
      <c r="B251" s="90" t="s">
        <v>2197</v>
      </c>
      <c r="C251" s="89" t="s">
        <v>1613</v>
      </c>
    </row>
    <row r="252" spans="1:3" ht="15.6">
      <c r="A252" s="89" t="s">
        <v>1611</v>
      </c>
      <c r="B252" s="90" t="s">
        <v>1612</v>
      </c>
      <c r="C252" s="89" t="s">
        <v>1613</v>
      </c>
    </row>
    <row r="253" spans="1:3" ht="15.6">
      <c r="A253" s="89" t="s">
        <v>1238</v>
      </c>
      <c r="B253" s="90" t="s">
        <v>424</v>
      </c>
      <c r="C253" s="89" t="s">
        <v>1521</v>
      </c>
    </row>
    <row r="254" spans="1:3" ht="15.6">
      <c r="A254" s="89" t="s">
        <v>1893</v>
      </c>
      <c r="B254" s="90" t="s">
        <v>1894</v>
      </c>
      <c r="C254" s="89" t="s">
        <v>1792</v>
      </c>
    </row>
    <row r="255" spans="1:3" ht="15.6">
      <c r="A255" s="89" t="s">
        <v>1983</v>
      </c>
      <c r="B255" s="90" t="s">
        <v>2194</v>
      </c>
      <c r="C255" s="89" t="s">
        <v>1792</v>
      </c>
    </row>
    <row r="256" spans="1:3" ht="15.6">
      <c r="A256" s="89"/>
      <c r="B256" s="93" t="s">
        <v>1239</v>
      </c>
      <c r="C256" s="89"/>
    </row>
    <row r="257" spans="1:3" ht="15.6">
      <c r="A257" s="89" t="s">
        <v>2021</v>
      </c>
      <c r="B257" s="94" t="s">
        <v>2366</v>
      </c>
      <c r="C257" s="89" t="s">
        <v>2367</v>
      </c>
    </row>
    <row r="258" spans="1:3" ht="15.6">
      <c r="A258" s="89"/>
      <c r="B258" s="93" t="s">
        <v>1409</v>
      </c>
      <c r="C258" s="89"/>
    </row>
    <row r="259" spans="1:3" ht="15.6">
      <c r="A259" s="89" t="s">
        <v>1790</v>
      </c>
      <c r="B259" s="90" t="s">
        <v>1791</v>
      </c>
      <c r="C259" s="89" t="s">
        <v>1792</v>
      </c>
    </row>
    <row r="260" spans="1:3" ht="15.6">
      <c r="A260" s="89" t="s">
        <v>342</v>
      </c>
      <c r="B260" s="90" t="s">
        <v>343</v>
      </c>
      <c r="C260" s="89" t="s">
        <v>304</v>
      </c>
    </row>
    <row r="261" spans="1:3" ht="15.6">
      <c r="A261" s="89" t="s">
        <v>84</v>
      </c>
      <c r="B261" s="90" t="s">
        <v>85</v>
      </c>
      <c r="C261" s="89" t="s">
        <v>1487</v>
      </c>
    </row>
    <row r="262" spans="1:3" ht="15.6">
      <c r="A262" s="89" t="s">
        <v>1352</v>
      </c>
      <c r="B262" s="90" t="s">
        <v>1488</v>
      </c>
      <c r="C262" s="89" t="s">
        <v>1489</v>
      </c>
    </row>
    <row r="263" spans="1:3" ht="15.6">
      <c r="A263" s="89"/>
      <c r="B263" s="93" t="s">
        <v>2600</v>
      </c>
      <c r="C263" s="89"/>
    </row>
    <row r="264" spans="1:3" ht="15.6">
      <c r="A264" s="89" t="s">
        <v>1954</v>
      </c>
      <c r="B264" s="90" t="s">
        <v>1955</v>
      </c>
      <c r="C264" s="89" t="s">
        <v>1487</v>
      </c>
    </row>
    <row r="265" spans="1:3" ht="15.6">
      <c r="A265" s="89" t="s">
        <v>2087</v>
      </c>
      <c r="B265" s="90" t="s">
        <v>2235</v>
      </c>
      <c r="C265" s="89" t="s">
        <v>1489</v>
      </c>
    </row>
    <row r="266" spans="1:3" ht="15.6">
      <c r="A266" s="89" t="s">
        <v>1367</v>
      </c>
      <c r="B266" s="90" t="s">
        <v>1533</v>
      </c>
      <c r="C266" s="89" t="s">
        <v>1534</v>
      </c>
    </row>
    <row r="267" spans="1:3" ht="15.6">
      <c r="A267" s="89" t="s">
        <v>2039</v>
      </c>
      <c r="B267" s="90" t="s">
        <v>2225</v>
      </c>
      <c r="C267" s="89" t="s">
        <v>1610</v>
      </c>
    </row>
    <row r="268" spans="1:3" ht="15.6">
      <c r="A268" s="89" t="s">
        <v>1608</v>
      </c>
      <c r="B268" s="90" t="s">
        <v>1609</v>
      </c>
      <c r="C268" s="89" t="s">
        <v>1610</v>
      </c>
    </row>
    <row r="269" spans="1:3" ht="15.6">
      <c r="A269" s="89" t="s">
        <v>1589</v>
      </c>
      <c r="B269" s="90" t="s">
        <v>1590</v>
      </c>
      <c r="C269" s="89" t="s">
        <v>1569</v>
      </c>
    </row>
    <row r="270" spans="1:3" ht="15.6">
      <c r="A270" s="89"/>
      <c r="B270" s="90" t="s">
        <v>2470</v>
      </c>
      <c r="C270" s="89"/>
    </row>
    <row r="271" spans="1:3" ht="15.6">
      <c r="A271" s="89" t="s">
        <v>47</v>
      </c>
      <c r="B271" s="90" t="s">
        <v>48</v>
      </c>
      <c r="C271" s="89" t="s">
        <v>13</v>
      </c>
    </row>
    <row r="272" spans="1:3" ht="15.6">
      <c r="A272" s="89"/>
      <c r="B272" s="90" t="s">
        <v>2519</v>
      </c>
      <c r="C272" s="89"/>
    </row>
    <row r="273" spans="1:3" ht="15.6">
      <c r="A273" s="89" t="s">
        <v>277</v>
      </c>
      <c r="B273" s="90" t="s">
        <v>278</v>
      </c>
      <c r="C273" s="89" t="s">
        <v>1473</v>
      </c>
    </row>
    <row r="274" spans="1:3" ht="15.6">
      <c r="A274" s="89" t="s">
        <v>1304</v>
      </c>
      <c r="B274" s="90" t="s">
        <v>1305</v>
      </c>
      <c r="C274" s="89" t="s">
        <v>172</v>
      </c>
    </row>
    <row r="275" spans="1:3" ht="15.6">
      <c r="A275" s="89" t="s">
        <v>93</v>
      </c>
      <c r="B275" s="90" t="s">
        <v>94</v>
      </c>
      <c r="C275" s="89" t="s">
        <v>1487</v>
      </c>
    </row>
    <row r="276" spans="1:3" ht="15.6">
      <c r="A276" s="89" t="s">
        <v>1306</v>
      </c>
      <c r="B276" s="90" t="s">
        <v>1307</v>
      </c>
      <c r="C276" s="89" t="s">
        <v>304</v>
      </c>
    </row>
    <row r="277" spans="1:3" ht="15.6">
      <c r="A277" s="89" t="s">
        <v>1958</v>
      </c>
      <c r="B277" s="90" t="s">
        <v>2167</v>
      </c>
      <c r="C277" s="89" t="s">
        <v>1477</v>
      </c>
    </row>
    <row r="278" spans="1:3" ht="15.6">
      <c r="A278" s="89" t="s">
        <v>2033</v>
      </c>
      <c r="B278" s="90" t="s">
        <v>2377</v>
      </c>
      <c r="C278" s="89" t="s">
        <v>1523</v>
      </c>
    </row>
    <row r="279" spans="1:3" ht="15.6">
      <c r="A279" s="89"/>
      <c r="B279" s="95" t="s">
        <v>98</v>
      </c>
      <c r="C279" s="89"/>
    </row>
    <row r="280" spans="1:3" ht="15.6">
      <c r="A280" s="89"/>
      <c r="B280" s="90" t="s">
        <v>2555</v>
      </c>
      <c r="C280" s="89"/>
    </row>
    <row r="281" spans="1:3" ht="15.6">
      <c r="A281" s="89" t="s">
        <v>77</v>
      </c>
      <c r="B281" s="90" t="s">
        <v>78</v>
      </c>
      <c r="C281" s="89" t="s">
        <v>1487</v>
      </c>
    </row>
    <row r="282" spans="1:3" ht="15.6">
      <c r="A282" s="89" t="s">
        <v>1984</v>
      </c>
      <c r="B282" s="90" t="s">
        <v>2195</v>
      </c>
      <c r="C282" s="89" t="s">
        <v>1784</v>
      </c>
    </row>
    <row r="283" spans="1:3" ht="15.6">
      <c r="A283" s="89" t="s">
        <v>2063</v>
      </c>
      <c r="B283" s="94" t="s">
        <v>2416</v>
      </c>
      <c r="C283" s="89" t="s">
        <v>1498</v>
      </c>
    </row>
    <row r="284" spans="1:3" ht="15.6">
      <c r="A284" s="89" t="s">
        <v>2065</v>
      </c>
      <c r="B284" s="90" t="s">
        <v>2418</v>
      </c>
      <c r="C284" s="89" t="s">
        <v>1784</v>
      </c>
    </row>
    <row r="285" spans="1:3" ht="15.6">
      <c r="A285" s="89" t="s">
        <v>1782</v>
      </c>
      <c r="B285" s="90" t="s">
        <v>1783</v>
      </c>
      <c r="C285" s="89" t="s">
        <v>1784</v>
      </c>
    </row>
    <row r="286" spans="1:3" ht="15.6">
      <c r="A286" s="89"/>
      <c r="B286" s="90" t="s">
        <v>2471</v>
      </c>
      <c r="C286" s="89"/>
    </row>
    <row r="287" spans="1:3" ht="15.6">
      <c r="A287" s="89"/>
      <c r="B287" s="90" t="s">
        <v>2472</v>
      </c>
      <c r="C287" s="89"/>
    </row>
    <row r="288" spans="1:3" ht="15.6">
      <c r="A288" s="89" t="s">
        <v>1340</v>
      </c>
      <c r="B288" s="90" t="s">
        <v>212</v>
      </c>
      <c r="C288" s="89" t="s">
        <v>172</v>
      </c>
    </row>
    <row r="289" spans="1:3" ht="15.6">
      <c r="A289" s="89" t="s">
        <v>1966</v>
      </c>
      <c r="B289" s="90" t="s">
        <v>2176</v>
      </c>
      <c r="C289" s="89" t="s">
        <v>1477</v>
      </c>
    </row>
    <row r="290" spans="1:3" ht="15.6">
      <c r="A290" s="89" t="s">
        <v>1975</v>
      </c>
      <c r="B290" s="90" t="s">
        <v>2349</v>
      </c>
      <c r="C290" s="89" t="s">
        <v>1487</v>
      </c>
    </row>
    <row r="291" spans="1:3" ht="15.6">
      <c r="A291" s="89" t="s">
        <v>1863</v>
      </c>
      <c r="B291" s="90" t="s">
        <v>1864</v>
      </c>
      <c r="C291" s="89" t="s">
        <v>1498</v>
      </c>
    </row>
    <row r="292" spans="1:3" ht="15.6">
      <c r="A292" s="89" t="s">
        <v>1988</v>
      </c>
      <c r="B292" s="90" t="s">
        <v>2199</v>
      </c>
      <c r="C292" s="89" t="s">
        <v>2200</v>
      </c>
    </row>
    <row r="293" spans="1:3" ht="15.6">
      <c r="A293" s="89" t="s">
        <v>2044</v>
      </c>
      <c r="B293" s="90" t="s">
        <v>2388</v>
      </c>
      <c r="C293" s="89" t="s">
        <v>2200</v>
      </c>
    </row>
    <row r="294" spans="1:3" ht="15.6">
      <c r="A294" s="89" t="s">
        <v>2155</v>
      </c>
      <c r="B294" s="90" t="s">
        <v>2316</v>
      </c>
      <c r="C294" s="89" t="s">
        <v>2317</v>
      </c>
    </row>
    <row r="295" spans="1:3" ht="15.6">
      <c r="A295" s="89" t="s">
        <v>2146</v>
      </c>
      <c r="B295" s="90" t="s">
        <v>2305</v>
      </c>
      <c r="C295" s="89" t="s">
        <v>2200</v>
      </c>
    </row>
    <row r="296" spans="1:3" ht="15.6">
      <c r="A296" s="89" t="s">
        <v>298</v>
      </c>
      <c r="B296" s="90" t="s">
        <v>299</v>
      </c>
      <c r="C296" s="89" t="s">
        <v>1473</v>
      </c>
    </row>
    <row r="297" spans="1:3" ht="15.6">
      <c r="A297" s="89" t="s">
        <v>1344</v>
      </c>
      <c r="B297" s="90" t="s">
        <v>1468</v>
      </c>
      <c r="C297" s="89" t="s">
        <v>172</v>
      </c>
    </row>
    <row r="298" spans="1:3" ht="15.6">
      <c r="A298" s="89" t="s">
        <v>360</v>
      </c>
      <c r="B298" s="90" t="s">
        <v>361</v>
      </c>
      <c r="C298" s="89" t="s">
        <v>1477</v>
      </c>
    </row>
    <row r="299" spans="1:3" ht="15.6">
      <c r="A299" s="89"/>
      <c r="B299" s="93" t="s">
        <v>2452</v>
      </c>
      <c r="C299" s="89"/>
    </row>
    <row r="300" spans="1:3" ht="15.6">
      <c r="A300" s="89"/>
      <c r="B300" s="90" t="s">
        <v>2473</v>
      </c>
      <c r="C300" s="89"/>
    </row>
    <row r="301" spans="1:3" ht="15.6">
      <c r="A301" s="89" t="s">
        <v>180</v>
      </c>
      <c r="B301" s="90" t="s">
        <v>181</v>
      </c>
      <c r="C301" s="89" t="s">
        <v>172</v>
      </c>
    </row>
    <row r="302" spans="1:3" ht="15.6">
      <c r="A302" s="89" t="s">
        <v>1284</v>
      </c>
      <c r="B302" s="90" t="s">
        <v>1285</v>
      </c>
      <c r="C302" s="89" t="s">
        <v>1283</v>
      </c>
    </row>
    <row r="303" spans="1:3" ht="15.6">
      <c r="A303" s="89" t="s">
        <v>1980</v>
      </c>
      <c r="B303" s="90" t="s">
        <v>2191</v>
      </c>
      <c r="C303" s="89" t="s">
        <v>1553</v>
      </c>
    </row>
    <row r="304" spans="1:3" ht="15.6">
      <c r="A304" s="89" t="s">
        <v>1286</v>
      </c>
      <c r="B304" s="90" t="s">
        <v>1287</v>
      </c>
      <c r="C304" s="89" t="s">
        <v>1473</v>
      </c>
    </row>
    <row r="305" spans="1:3" ht="15.6">
      <c r="A305" s="89" t="s">
        <v>2138</v>
      </c>
      <c r="B305" s="90" t="s">
        <v>2295</v>
      </c>
      <c r="C305" s="89" t="s">
        <v>1553</v>
      </c>
    </row>
    <row r="306" spans="1:3" ht="15.6">
      <c r="A306" s="89" t="s">
        <v>2014</v>
      </c>
      <c r="B306" s="90" t="s">
        <v>2219</v>
      </c>
      <c r="C306" s="89" t="s">
        <v>1553</v>
      </c>
    </row>
    <row r="307" spans="1:3" ht="15.6">
      <c r="A307" s="89" t="s">
        <v>1554</v>
      </c>
      <c r="B307" s="90" t="s">
        <v>1552</v>
      </c>
      <c r="C307" s="89" t="s">
        <v>1553</v>
      </c>
    </row>
    <row r="308" spans="1:3" ht="15.6">
      <c r="A308" s="89" t="s">
        <v>302</v>
      </c>
      <c r="B308" s="90" t="s">
        <v>303</v>
      </c>
      <c r="C308" s="89" t="s">
        <v>1473</v>
      </c>
    </row>
    <row r="309" spans="1:3" ht="15.6">
      <c r="A309" s="89" t="s">
        <v>65</v>
      </c>
      <c r="B309" s="90" t="s">
        <v>66</v>
      </c>
      <c r="C309" s="89" t="s">
        <v>13</v>
      </c>
    </row>
    <row r="310" spans="1:3" ht="15.6">
      <c r="A310" s="89" t="s">
        <v>1637</v>
      </c>
      <c r="B310" s="90" t="s">
        <v>1638</v>
      </c>
      <c r="C310" s="89" t="s">
        <v>1475</v>
      </c>
    </row>
    <row r="311" spans="1:3" ht="15.6">
      <c r="A311" s="89" t="s">
        <v>2093</v>
      </c>
      <c r="B311" s="90" t="s">
        <v>2240</v>
      </c>
      <c r="C311" s="89" t="s">
        <v>2241</v>
      </c>
    </row>
    <row r="312" spans="1:3" ht="15.6">
      <c r="A312" s="89" t="s">
        <v>99</v>
      </c>
      <c r="B312" s="90" t="s">
        <v>100</v>
      </c>
      <c r="C312" s="89" t="s">
        <v>96</v>
      </c>
    </row>
    <row r="313" spans="1:3" ht="15.6">
      <c r="A313" s="89" t="s">
        <v>107</v>
      </c>
      <c r="B313" s="90" t="s">
        <v>108</v>
      </c>
      <c r="C313" s="89" t="s">
        <v>96</v>
      </c>
    </row>
    <row r="314" spans="1:3" ht="15.6">
      <c r="A314" s="89" t="s">
        <v>1321</v>
      </c>
      <c r="B314" s="90" t="s">
        <v>1322</v>
      </c>
      <c r="C314" s="89" t="s">
        <v>1474</v>
      </c>
    </row>
    <row r="315" spans="1:3" ht="15.6">
      <c r="A315" s="89" t="s">
        <v>2011</v>
      </c>
      <c r="B315" s="90" t="s">
        <v>2217</v>
      </c>
      <c r="C315" s="89" t="s">
        <v>1474</v>
      </c>
    </row>
    <row r="316" spans="1:3" ht="15.6">
      <c r="A316" s="89" t="s">
        <v>1614</v>
      </c>
      <c r="B316" s="90" t="s">
        <v>1615</v>
      </c>
      <c r="C316" s="89" t="s">
        <v>1474</v>
      </c>
    </row>
    <row r="317" spans="1:3" ht="15.6">
      <c r="A317" s="89" t="s">
        <v>2095</v>
      </c>
      <c r="B317" s="90" t="s">
        <v>1615</v>
      </c>
      <c r="C317" s="89" t="s">
        <v>1474</v>
      </c>
    </row>
    <row r="318" spans="1:3" ht="15.6">
      <c r="A318" s="89" t="s">
        <v>323</v>
      </c>
      <c r="B318" s="90" t="s">
        <v>324</v>
      </c>
      <c r="C318" s="89" t="s">
        <v>304</v>
      </c>
    </row>
    <row r="319" spans="1:3" ht="15.6">
      <c r="A319" s="89"/>
      <c r="B319" s="90" t="s">
        <v>2527</v>
      </c>
      <c r="C319" s="89"/>
    </row>
    <row r="320" spans="1:3" ht="15.6">
      <c r="A320" s="89" t="s">
        <v>209</v>
      </c>
      <c r="B320" s="90" t="s">
        <v>210</v>
      </c>
      <c r="C320" s="89" t="s">
        <v>172</v>
      </c>
    </row>
    <row r="321" spans="1:3" ht="15.6">
      <c r="A321" s="89"/>
      <c r="B321" s="90" t="s">
        <v>2559</v>
      </c>
      <c r="C321" s="89"/>
    </row>
    <row r="322" spans="1:3" ht="15.6">
      <c r="A322" s="89" t="s">
        <v>1916</v>
      </c>
      <c r="B322" s="90" t="s">
        <v>1917</v>
      </c>
      <c r="C322" s="89" t="s">
        <v>1498</v>
      </c>
    </row>
    <row r="323" spans="1:3" ht="15.6">
      <c r="A323" s="89" t="s">
        <v>2032</v>
      </c>
      <c r="B323" s="90" t="s">
        <v>2224</v>
      </c>
      <c r="C323" s="89" t="s">
        <v>1473</v>
      </c>
    </row>
    <row r="324" spans="1:3" ht="15.6">
      <c r="A324" s="89"/>
      <c r="B324" s="90" t="s">
        <v>2497</v>
      </c>
      <c r="C324" s="89"/>
    </row>
    <row r="325" spans="1:3" ht="15.6">
      <c r="A325" s="89"/>
      <c r="B325" s="90" t="s">
        <v>2494</v>
      </c>
      <c r="C325" s="89"/>
    </row>
    <row r="326" spans="1:3" ht="15.6">
      <c r="A326" s="89" t="s">
        <v>90</v>
      </c>
      <c r="B326" s="90" t="s">
        <v>91</v>
      </c>
      <c r="C326" s="89" t="s">
        <v>1487</v>
      </c>
    </row>
    <row r="327" spans="1:3" ht="15.6">
      <c r="A327" s="89" t="s">
        <v>288</v>
      </c>
      <c r="B327" s="90" t="s">
        <v>289</v>
      </c>
      <c r="C327" s="89" t="s">
        <v>1473</v>
      </c>
    </row>
    <row r="328" spans="1:3" ht="15.6">
      <c r="A328" s="89" t="s">
        <v>1989</v>
      </c>
      <c r="B328" s="90" t="s">
        <v>2201</v>
      </c>
      <c r="C328" s="89" t="s">
        <v>1477</v>
      </c>
    </row>
    <row r="329" spans="1:3" ht="15.6">
      <c r="A329" s="89" t="s">
        <v>2060</v>
      </c>
      <c r="B329" s="94" t="s">
        <v>2411</v>
      </c>
      <c r="C329" s="89" t="s">
        <v>2412</v>
      </c>
    </row>
    <row r="330" spans="1:3" ht="15.6">
      <c r="A330" s="89"/>
      <c r="B330" s="93" t="s">
        <v>2601</v>
      </c>
      <c r="C330" s="89"/>
    </row>
    <row r="331" spans="1:3" ht="15.6">
      <c r="A331" s="89"/>
      <c r="B331" s="90" t="s">
        <v>2458</v>
      </c>
      <c r="C331" s="89"/>
    </row>
    <row r="332" spans="1:3" ht="15.6">
      <c r="A332" s="89" t="s">
        <v>336</v>
      </c>
      <c r="B332" s="90" t="s">
        <v>337</v>
      </c>
      <c r="C332" s="89" t="s">
        <v>304</v>
      </c>
    </row>
    <row r="333" spans="1:3" ht="15.6">
      <c r="A333" s="89" t="s">
        <v>259</v>
      </c>
      <c r="B333" s="90" t="s">
        <v>260</v>
      </c>
      <c r="C333" s="89" t="s">
        <v>235</v>
      </c>
    </row>
    <row r="334" spans="1:3" ht="15.6">
      <c r="A334" s="89"/>
      <c r="B334" s="90" t="s">
        <v>2499</v>
      </c>
      <c r="C334" s="89"/>
    </row>
    <row r="335" spans="1:3" ht="15.6">
      <c r="A335" s="89" t="s">
        <v>167</v>
      </c>
      <c r="B335" s="90" t="s">
        <v>168</v>
      </c>
      <c r="C335" s="89" t="s">
        <v>1489</v>
      </c>
    </row>
    <row r="336" spans="1:3" ht="15.6">
      <c r="A336" s="89" t="s">
        <v>1314</v>
      </c>
      <c r="B336" s="90" t="s">
        <v>1315</v>
      </c>
      <c r="C336" s="89" t="s">
        <v>1513</v>
      </c>
    </row>
    <row r="337" spans="1:3" ht="15.6">
      <c r="A337" s="89" t="s">
        <v>1930</v>
      </c>
      <c r="B337" s="90" t="s">
        <v>1931</v>
      </c>
      <c r="C337" s="89" t="s">
        <v>1489</v>
      </c>
    </row>
    <row r="338" spans="1:3" ht="15.6">
      <c r="A338" s="89" t="s">
        <v>1971</v>
      </c>
      <c r="B338" s="90" t="s">
        <v>2182</v>
      </c>
      <c r="C338" s="89" t="s">
        <v>1489</v>
      </c>
    </row>
    <row r="339" spans="1:3" ht="15.6">
      <c r="A339" s="89" t="s">
        <v>1941</v>
      </c>
      <c r="B339" s="90" t="s">
        <v>1942</v>
      </c>
      <c r="C339" s="89" t="s">
        <v>1473</v>
      </c>
    </row>
    <row r="340" spans="1:3" ht="15.6">
      <c r="A340" s="89" t="s">
        <v>2007</v>
      </c>
      <c r="B340" s="98" t="s">
        <v>2214</v>
      </c>
      <c r="C340" s="89" t="s">
        <v>1513</v>
      </c>
    </row>
    <row r="341" spans="1:3" ht="15.6">
      <c r="A341" s="89" t="s">
        <v>2156</v>
      </c>
      <c r="B341" s="90" t="s">
        <v>2318</v>
      </c>
      <c r="C341" s="89" t="s">
        <v>1513</v>
      </c>
    </row>
    <row r="342" spans="1:3" ht="15.6">
      <c r="A342" s="89" t="s">
        <v>1661</v>
      </c>
      <c r="B342" s="90" t="s">
        <v>1662</v>
      </c>
      <c r="C342" s="89" t="s">
        <v>1513</v>
      </c>
    </row>
    <row r="343" spans="1:3" ht="15.6">
      <c r="A343" s="89" t="s">
        <v>1549</v>
      </c>
      <c r="B343" s="90" t="s">
        <v>1550</v>
      </c>
      <c r="C343" s="89" t="s">
        <v>1551</v>
      </c>
    </row>
    <row r="344" spans="1:3" ht="15.6">
      <c r="A344" s="89" t="s">
        <v>59</v>
      </c>
      <c r="B344" s="90" t="s">
        <v>60</v>
      </c>
      <c r="C344" s="89" t="s">
        <v>13</v>
      </c>
    </row>
    <row r="345" spans="1:3" ht="15.6">
      <c r="A345" s="89"/>
      <c r="B345" s="90" t="s">
        <v>2552</v>
      </c>
      <c r="C345" s="89"/>
    </row>
    <row r="346" spans="1:3" ht="15.6">
      <c r="A346" s="89" t="s">
        <v>218</v>
      </c>
      <c r="B346" s="90" t="s">
        <v>219</v>
      </c>
      <c r="C346" s="89" t="s">
        <v>172</v>
      </c>
    </row>
    <row r="347" spans="1:3" ht="15.6">
      <c r="A347" s="89" t="s">
        <v>204</v>
      </c>
      <c r="B347" s="90" t="s">
        <v>205</v>
      </c>
      <c r="C347" s="89" t="s">
        <v>172</v>
      </c>
    </row>
    <row r="348" spans="1:3" ht="15.6">
      <c r="A348" s="89" t="s">
        <v>1309</v>
      </c>
      <c r="B348" s="90" t="s">
        <v>1310</v>
      </c>
      <c r="C348" s="89" t="s">
        <v>1308</v>
      </c>
    </row>
    <row r="349" spans="1:3" ht="15.6">
      <c r="A349" s="89"/>
      <c r="B349" s="90" t="s">
        <v>2500</v>
      </c>
      <c r="C349" s="89"/>
    </row>
    <row r="350" spans="1:3" ht="15.6">
      <c r="A350" s="89" t="s">
        <v>1311</v>
      </c>
      <c r="B350" s="90" t="s">
        <v>1312</v>
      </c>
      <c r="C350" s="89" t="s">
        <v>1477</v>
      </c>
    </row>
    <row r="351" spans="1:3" ht="15.6">
      <c r="A351" s="89" t="s">
        <v>1855</v>
      </c>
      <c r="B351" s="90" t="s">
        <v>1856</v>
      </c>
      <c r="C351" s="89" t="s">
        <v>1487</v>
      </c>
    </row>
    <row r="352" spans="1:3" s="99" customFormat="1" ht="15.6">
      <c r="A352" s="89" t="s">
        <v>1945</v>
      </c>
      <c r="B352" s="90" t="s">
        <v>1946</v>
      </c>
      <c r="C352" s="89" t="s">
        <v>1947</v>
      </c>
    </row>
    <row r="353" spans="1:3" s="99" customFormat="1" ht="15.6">
      <c r="A353" s="100"/>
      <c r="B353" s="101" t="s">
        <v>2514</v>
      </c>
      <c r="C353" s="102"/>
    </row>
    <row r="354" spans="1:3" s="99" customFormat="1" ht="15.6">
      <c r="A354" s="100" t="s">
        <v>2076</v>
      </c>
      <c r="B354" s="101" t="s">
        <v>2434</v>
      </c>
      <c r="C354" s="102" t="s">
        <v>2435</v>
      </c>
    </row>
    <row r="355" spans="1:3" s="99" customFormat="1" ht="15.6">
      <c r="A355" s="100" t="s">
        <v>2059</v>
      </c>
      <c r="B355" s="101" t="s">
        <v>2410</v>
      </c>
      <c r="C355" s="102" t="s">
        <v>1487</v>
      </c>
    </row>
    <row r="356" spans="1:3" s="99" customFormat="1" ht="15.6">
      <c r="A356" s="100" t="s">
        <v>2118</v>
      </c>
      <c r="B356" s="101" t="s">
        <v>2272</v>
      </c>
      <c r="C356" s="102" t="s">
        <v>2248</v>
      </c>
    </row>
    <row r="357" spans="1:3" s="99" customFormat="1" ht="15.6">
      <c r="A357" s="100" t="s">
        <v>1598</v>
      </c>
      <c r="B357" s="101" t="s">
        <v>1599</v>
      </c>
      <c r="C357" s="102" t="s">
        <v>1487</v>
      </c>
    </row>
    <row r="358" spans="1:3" s="99" customFormat="1" ht="15.6">
      <c r="A358" s="100" t="s">
        <v>2101</v>
      </c>
      <c r="B358" s="101" t="s">
        <v>2247</v>
      </c>
      <c r="C358" s="102" t="s">
        <v>2248</v>
      </c>
    </row>
    <row r="359" spans="1:3" s="99" customFormat="1" ht="15.6">
      <c r="A359" s="100" t="s">
        <v>139</v>
      </c>
      <c r="B359" s="101" t="s">
        <v>140</v>
      </c>
      <c r="C359" s="102" t="s">
        <v>96</v>
      </c>
    </row>
    <row r="360" spans="1:3" s="99" customFormat="1" ht="15.6">
      <c r="A360" s="100"/>
      <c r="B360" s="101" t="s">
        <v>2520</v>
      </c>
      <c r="C360" s="102"/>
    </row>
    <row r="361" spans="1:3" s="99" customFormat="1" ht="15.6">
      <c r="A361" s="100" t="s">
        <v>109</v>
      </c>
      <c r="B361" s="101" t="s">
        <v>110</v>
      </c>
      <c r="C361" s="102" t="s">
        <v>96</v>
      </c>
    </row>
    <row r="362" spans="1:3" s="99" customFormat="1" ht="15.6">
      <c r="A362" s="100" t="s">
        <v>334</v>
      </c>
      <c r="B362" s="101" t="s">
        <v>335</v>
      </c>
      <c r="C362" s="102" t="s">
        <v>304</v>
      </c>
    </row>
    <row r="363" spans="1:3" s="99" customFormat="1" ht="15.6">
      <c r="A363" s="100" t="s">
        <v>1278</v>
      </c>
      <c r="B363" s="101" t="s">
        <v>1279</v>
      </c>
      <c r="C363" s="102" t="s">
        <v>1275</v>
      </c>
    </row>
    <row r="364" spans="1:3" s="99" customFormat="1" ht="15.6">
      <c r="A364" s="100" t="s">
        <v>19</v>
      </c>
      <c r="B364" s="101" t="s">
        <v>20</v>
      </c>
      <c r="C364" s="102" t="s">
        <v>13</v>
      </c>
    </row>
    <row r="365" spans="1:3" s="99" customFormat="1" ht="15.6">
      <c r="A365" s="100" t="s">
        <v>1276</v>
      </c>
      <c r="B365" s="101" t="s">
        <v>1277</v>
      </c>
      <c r="C365" s="102" t="s">
        <v>1275</v>
      </c>
    </row>
    <row r="366" spans="1:3" s="99" customFormat="1" ht="15.6">
      <c r="A366" s="100" t="s">
        <v>70</v>
      </c>
      <c r="B366" s="101" t="s">
        <v>71</v>
      </c>
      <c r="C366" s="102" t="s">
        <v>1487</v>
      </c>
    </row>
    <row r="367" spans="1:3" s="99" customFormat="1" ht="15.6">
      <c r="A367" s="100" t="s">
        <v>1591</v>
      </c>
      <c r="B367" s="101" t="s">
        <v>1592</v>
      </c>
      <c r="C367" s="102" t="s">
        <v>1473</v>
      </c>
    </row>
    <row r="368" spans="1:3" s="99" customFormat="1" ht="15.6">
      <c r="A368" s="100" t="s">
        <v>1648</v>
      </c>
      <c r="B368" s="101" t="s">
        <v>1649</v>
      </c>
      <c r="C368" s="102" t="s">
        <v>1477</v>
      </c>
    </row>
    <row r="369" spans="1:3" s="99" customFormat="1" ht="15.6">
      <c r="A369" s="100" t="s">
        <v>2160</v>
      </c>
      <c r="B369" s="101" t="s">
        <v>2322</v>
      </c>
      <c r="C369" s="102" t="s">
        <v>1602</v>
      </c>
    </row>
    <row r="370" spans="1:3" s="99" customFormat="1" ht="15.6">
      <c r="A370" s="100" t="s">
        <v>2010</v>
      </c>
      <c r="B370" s="101" t="s">
        <v>2216</v>
      </c>
      <c r="C370" s="103" t="s">
        <v>1602</v>
      </c>
    </row>
    <row r="371" spans="1:3" s="99" customFormat="1" ht="15.6">
      <c r="A371" s="100" t="s">
        <v>1780</v>
      </c>
      <c r="B371" s="101" t="s">
        <v>1781</v>
      </c>
      <c r="C371" s="102" t="s">
        <v>1602</v>
      </c>
    </row>
    <row r="372" spans="1:3" s="99" customFormat="1" ht="15.6">
      <c r="A372" s="100" t="s">
        <v>1600</v>
      </c>
      <c r="B372" s="101" t="s">
        <v>1601</v>
      </c>
      <c r="C372" s="102" t="s">
        <v>1602</v>
      </c>
    </row>
    <row r="373" spans="1:3" s="99" customFormat="1" ht="15.6">
      <c r="A373" s="100" t="s">
        <v>1341</v>
      </c>
      <c r="B373" s="101" t="s">
        <v>1460</v>
      </c>
      <c r="C373" s="102" t="s">
        <v>96</v>
      </c>
    </row>
    <row r="374" spans="1:3" s="99" customFormat="1" ht="15.6">
      <c r="A374" s="100"/>
      <c r="B374" s="101" t="s">
        <v>2516</v>
      </c>
      <c r="C374" s="102"/>
    </row>
    <row r="375" spans="1:3" s="99" customFormat="1" ht="15.6">
      <c r="A375" s="100" t="s">
        <v>1829</v>
      </c>
      <c r="B375" s="101" t="s">
        <v>1830</v>
      </c>
      <c r="C375" s="102" t="s">
        <v>1475</v>
      </c>
    </row>
    <row r="376" spans="1:3" s="99" customFormat="1" ht="15.6">
      <c r="A376" s="100" t="s">
        <v>1835</v>
      </c>
      <c r="B376" s="101" t="s">
        <v>1836</v>
      </c>
      <c r="C376" s="102" t="s">
        <v>1473</v>
      </c>
    </row>
    <row r="377" spans="1:3" s="99" customFormat="1" ht="15.6">
      <c r="A377" s="100" t="s">
        <v>160</v>
      </c>
      <c r="B377" s="101" t="s">
        <v>161</v>
      </c>
      <c r="C377" s="102" t="s">
        <v>1489</v>
      </c>
    </row>
    <row r="378" spans="1:3" s="99" customFormat="1" ht="15.6">
      <c r="A378" s="100" t="s">
        <v>2079</v>
      </c>
      <c r="B378" s="90" t="s">
        <v>2232</v>
      </c>
      <c r="C378" s="102" t="s">
        <v>1687</v>
      </c>
    </row>
    <row r="379" spans="1:3" s="99" customFormat="1" ht="15.6">
      <c r="A379" s="100" t="s">
        <v>2024</v>
      </c>
      <c r="B379" s="104" t="s">
        <v>2607</v>
      </c>
      <c r="C379" s="102" t="s">
        <v>1687</v>
      </c>
    </row>
    <row r="380" spans="1:3" s="99" customFormat="1" ht="15.6">
      <c r="A380" s="100" t="s">
        <v>1685</v>
      </c>
      <c r="B380" s="101" t="s">
        <v>1686</v>
      </c>
      <c r="C380" s="105" t="s">
        <v>1687</v>
      </c>
    </row>
    <row r="381" spans="1:3" s="99" customFormat="1" ht="15.6">
      <c r="A381" s="100" t="s">
        <v>2110</v>
      </c>
      <c r="B381" s="101" t="s">
        <v>2262</v>
      </c>
      <c r="C381" s="102" t="s">
        <v>1687</v>
      </c>
    </row>
    <row r="382" spans="1:3" s="99" customFormat="1" ht="15.6">
      <c r="A382" s="100" t="s">
        <v>62</v>
      </c>
      <c r="B382" s="101" t="s">
        <v>63</v>
      </c>
      <c r="C382" s="102" t="s">
        <v>13</v>
      </c>
    </row>
    <row r="383" spans="1:3" s="99" customFormat="1" ht="15.6">
      <c r="A383" s="100" t="s">
        <v>68</v>
      </c>
      <c r="B383" s="101" t="s">
        <v>69</v>
      </c>
      <c r="C383" s="102" t="s">
        <v>1487</v>
      </c>
    </row>
    <row r="384" spans="1:3" s="99" customFormat="1" ht="15.6">
      <c r="A384" s="100"/>
      <c r="B384" s="101" t="s">
        <v>2564</v>
      </c>
      <c r="C384" s="102"/>
    </row>
    <row r="385" spans="1:3" s="99" customFormat="1" ht="15.6">
      <c r="A385" s="100" t="s">
        <v>1852</v>
      </c>
      <c r="B385" s="101" t="s">
        <v>1853</v>
      </c>
      <c r="C385" s="102" t="s">
        <v>1854</v>
      </c>
    </row>
    <row r="386" spans="1:3" s="99" customFormat="1" ht="15.6">
      <c r="A386" s="100" t="s">
        <v>2051</v>
      </c>
      <c r="B386" s="101" t="s">
        <v>2400</v>
      </c>
      <c r="C386" s="102" t="s">
        <v>1854</v>
      </c>
    </row>
    <row r="387" spans="1:3" s="99" customFormat="1" ht="15.6">
      <c r="A387" s="100" t="s">
        <v>1625</v>
      </c>
      <c r="B387" s="101" t="s">
        <v>1626</v>
      </c>
      <c r="C387" s="102" t="s">
        <v>1618</v>
      </c>
    </row>
    <row r="388" spans="1:3" s="99" customFormat="1" ht="15.6">
      <c r="A388" s="100" t="s">
        <v>1658</v>
      </c>
      <c r="B388" s="101" t="s">
        <v>1659</v>
      </c>
      <c r="C388" s="102" t="s">
        <v>1660</v>
      </c>
    </row>
    <row r="389" spans="1:3" s="99" customFormat="1" ht="15.6">
      <c r="A389" s="100" t="s">
        <v>2058</v>
      </c>
      <c r="B389" s="101" t="s">
        <v>2230</v>
      </c>
      <c r="C389" s="102" t="s">
        <v>1566</v>
      </c>
    </row>
    <row r="390" spans="1:3" s="99" customFormat="1" ht="15.6">
      <c r="A390" s="100" t="s">
        <v>2162</v>
      </c>
      <c r="B390" s="101" t="s">
        <v>2325</v>
      </c>
      <c r="C390" s="102" t="s">
        <v>1618</v>
      </c>
    </row>
    <row r="391" spans="1:3" s="99" customFormat="1" ht="15.6">
      <c r="A391" s="100" t="s">
        <v>1694</v>
      </c>
      <c r="B391" s="101" t="s">
        <v>1695</v>
      </c>
      <c r="C391" s="102" t="s">
        <v>1566</v>
      </c>
    </row>
    <row r="392" spans="1:3" s="99" customFormat="1" ht="15.6">
      <c r="A392" s="100" t="s">
        <v>1564</v>
      </c>
      <c r="B392" s="101" t="s">
        <v>1565</v>
      </c>
      <c r="C392" s="102" t="s">
        <v>1566</v>
      </c>
    </row>
    <row r="393" spans="1:3" s="99" customFormat="1" ht="15.6">
      <c r="A393" s="100" t="s">
        <v>1616</v>
      </c>
      <c r="B393" s="101" t="s">
        <v>1617</v>
      </c>
      <c r="C393" s="102" t="s">
        <v>1618</v>
      </c>
    </row>
    <row r="394" spans="1:3" s="99" customFormat="1" ht="15.6">
      <c r="A394" s="100" t="s">
        <v>1635</v>
      </c>
      <c r="B394" s="101" t="s">
        <v>1636</v>
      </c>
      <c r="C394" s="102" t="s">
        <v>1618</v>
      </c>
    </row>
    <row r="395" spans="1:3" s="99" customFormat="1" ht="15.6">
      <c r="A395" s="100" t="s">
        <v>1793</v>
      </c>
      <c r="B395" s="101" t="s">
        <v>1794</v>
      </c>
      <c r="C395" s="102" t="s">
        <v>1566</v>
      </c>
    </row>
    <row r="396" spans="1:3" s="99" customFormat="1" ht="15.6">
      <c r="A396" s="100" t="s">
        <v>1650</v>
      </c>
      <c r="B396" s="101" t="s">
        <v>1652</v>
      </c>
      <c r="C396" s="102" t="s">
        <v>1651</v>
      </c>
    </row>
    <row r="397" spans="1:3" s="99" customFormat="1" ht="15.6">
      <c r="A397" s="100" t="s">
        <v>1696</v>
      </c>
      <c r="B397" s="101" t="s">
        <v>1697</v>
      </c>
      <c r="C397" s="102" t="s">
        <v>1631</v>
      </c>
    </row>
    <row r="398" spans="1:3" s="99" customFormat="1" ht="15.6">
      <c r="A398" s="100" t="s">
        <v>1629</v>
      </c>
      <c r="B398" s="101" t="s">
        <v>1630</v>
      </c>
      <c r="C398" s="102" t="s">
        <v>1631</v>
      </c>
    </row>
    <row r="399" spans="1:3" s="99" customFormat="1" ht="15.6">
      <c r="A399" s="100" t="s">
        <v>2098</v>
      </c>
      <c r="B399" s="101" t="s">
        <v>2605</v>
      </c>
      <c r="C399" s="102" t="s">
        <v>1487</v>
      </c>
    </row>
    <row r="400" spans="1:3" s="99" customFormat="1" ht="15.6">
      <c r="A400" s="100" t="s">
        <v>1603</v>
      </c>
      <c r="B400" s="101" t="s">
        <v>1604</v>
      </c>
      <c r="C400" s="102" t="s">
        <v>1605</v>
      </c>
    </row>
    <row r="401" spans="1:3" s="99" customFormat="1" ht="15.6">
      <c r="A401" s="100" t="s">
        <v>2111</v>
      </c>
      <c r="B401" s="101" t="s">
        <v>2263</v>
      </c>
      <c r="C401" s="102" t="s">
        <v>2264</v>
      </c>
    </row>
    <row r="402" spans="1:3" s="99" customFormat="1" ht="15.6">
      <c r="A402" s="100" t="s">
        <v>1582</v>
      </c>
      <c r="B402" s="101" t="s">
        <v>1583</v>
      </c>
      <c r="C402" s="102" t="s">
        <v>1578</v>
      </c>
    </row>
    <row r="403" spans="1:3" s="99" customFormat="1" ht="15.6">
      <c r="A403" s="100" t="s">
        <v>2061</v>
      </c>
      <c r="B403" s="101" t="s">
        <v>2413</v>
      </c>
      <c r="C403" s="102" t="s">
        <v>2414</v>
      </c>
    </row>
    <row r="404" spans="1:3" s="99" customFormat="1" ht="15.6">
      <c r="A404" s="100" t="s">
        <v>2019</v>
      </c>
      <c r="B404" s="101" t="s">
        <v>2364</v>
      </c>
      <c r="C404" s="102" t="s">
        <v>1624</v>
      </c>
    </row>
    <row r="405" spans="1:3" s="99" customFormat="1" ht="15.6">
      <c r="A405" s="100" t="s">
        <v>1576</v>
      </c>
      <c r="B405" s="101" t="s">
        <v>1577</v>
      </c>
      <c r="C405" s="102" t="s">
        <v>1578</v>
      </c>
    </row>
    <row r="406" spans="1:3" s="99" customFormat="1" ht="15.6">
      <c r="A406" s="100" t="s">
        <v>1627</v>
      </c>
      <c r="B406" s="101" t="s">
        <v>1628</v>
      </c>
      <c r="C406" s="102" t="s">
        <v>1624</v>
      </c>
    </row>
    <row r="407" spans="1:3" s="99" customFormat="1" ht="15.6">
      <c r="A407" s="100" t="s">
        <v>2080</v>
      </c>
      <c r="B407" s="101" t="s">
        <v>2439</v>
      </c>
      <c r="C407" s="102" t="s">
        <v>1779</v>
      </c>
    </row>
    <row r="408" spans="1:3" s="99" customFormat="1" ht="15.6">
      <c r="A408" s="100" t="s">
        <v>2113</v>
      </c>
      <c r="B408" s="101" t="s">
        <v>2266</v>
      </c>
      <c r="C408" s="102" t="s">
        <v>1779</v>
      </c>
    </row>
    <row r="409" spans="1:3" s="99" customFormat="1" ht="15.6">
      <c r="A409" s="100" t="s">
        <v>2090</v>
      </c>
      <c r="B409" s="101" t="s">
        <v>2238</v>
      </c>
      <c r="C409" s="102" t="s">
        <v>1779</v>
      </c>
    </row>
    <row r="410" spans="1:3" s="99" customFormat="1" ht="15.6">
      <c r="A410" s="100" t="s">
        <v>1777</v>
      </c>
      <c r="B410" s="101" t="s">
        <v>1778</v>
      </c>
      <c r="C410" s="102" t="s">
        <v>1779</v>
      </c>
    </row>
    <row r="411" spans="1:3" s="99" customFormat="1" ht="15.6">
      <c r="A411" s="100" t="s">
        <v>2104</v>
      </c>
      <c r="B411" s="101" t="s">
        <v>2252</v>
      </c>
      <c r="C411" s="102" t="s">
        <v>2253</v>
      </c>
    </row>
    <row r="412" spans="1:3" s="99" customFormat="1" ht="15.6">
      <c r="A412" s="100" t="s">
        <v>2092</v>
      </c>
      <c r="B412" s="101" t="s">
        <v>2447</v>
      </c>
      <c r="C412" s="102" t="s">
        <v>2448</v>
      </c>
    </row>
    <row r="413" spans="1:3" s="99" customFormat="1" ht="15.6">
      <c r="A413" s="100" t="s">
        <v>2082</v>
      </c>
      <c r="B413" s="101" t="s">
        <v>2442</v>
      </c>
      <c r="C413" s="103" t="s">
        <v>2250</v>
      </c>
    </row>
    <row r="414" spans="1:3" s="99" customFormat="1" ht="15.6">
      <c r="A414" s="100" t="s">
        <v>2045</v>
      </c>
      <c r="B414" s="101" t="s">
        <v>2389</v>
      </c>
      <c r="C414" s="102" t="s">
        <v>2250</v>
      </c>
    </row>
    <row r="415" spans="1:3" s="99" customFormat="1" ht="15.6">
      <c r="A415" s="100" t="s">
        <v>2102</v>
      </c>
      <c r="B415" s="101" t="s">
        <v>2249</v>
      </c>
      <c r="C415" s="102" t="s">
        <v>2250</v>
      </c>
    </row>
    <row r="416" spans="1:3" s="99" customFormat="1" ht="15.6">
      <c r="A416" s="100"/>
      <c r="B416" s="106" t="s">
        <v>1255</v>
      </c>
      <c r="C416" s="102"/>
    </row>
    <row r="417" spans="1:3" s="99" customFormat="1" ht="15.6">
      <c r="A417" s="100"/>
      <c r="B417" s="106" t="s">
        <v>1254</v>
      </c>
      <c r="C417" s="102"/>
    </row>
    <row r="418" spans="1:3" s="99" customFormat="1" ht="15.6">
      <c r="A418" s="100"/>
      <c r="B418" s="106" t="s">
        <v>1256</v>
      </c>
      <c r="C418" s="102"/>
    </row>
    <row r="419" spans="1:3" s="99" customFormat="1" ht="15.6">
      <c r="A419" s="100"/>
      <c r="B419" s="106" t="s">
        <v>1258</v>
      </c>
      <c r="C419" s="102"/>
    </row>
    <row r="420" spans="1:3" s="99" customFormat="1" ht="15.6">
      <c r="A420" s="100"/>
      <c r="B420" s="106" t="s">
        <v>1257</v>
      </c>
      <c r="C420" s="102"/>
    </row>
    <row r="421" spans="1:3" s="99" customFormat="1" ht="15.6">
      <c r="A421" s="100"/>
      <c r="B421" s="106" t="s">
        <v>1250</v>
      </c>
      <c r="C421" s="102"/>
    </row>
    <row r="422" spans="1:3" s="99" customFormat="1" ht="15.6">
      <c r="A422" s="100"/>
      <c r="B422" s="106" t="s">
        <v>1251</v>
      </c>
      <c r="C422" s="102"/>
    </row>
    <row r="423" spans="1:3" s="99" customFormat="1" ht="15.6">
      <c r="A423" s="100"/>
      <c r="B423" s="106" t="s">
        <v>1259</v>
      </c>
      <c r="C423" s="102"/>
    </row>
    <row r="424" spans="1:3" s="99" customFormat="1" ht="15.6">
      <c r="A424" s="100"/>
      <c r="B424" s="106" t="s">
        <v>2595</v>
      </c>
      <c r="C424" s="102"/>
    </row>
    <row r="425" spans="1:3" s="99" customFormat="1" ht="15.6">
      <c r="A425" s="100"/>
      <c r="B425" s="106" t="s">
        <v>1260</v>
      </c>
      <c r="C425" s="102"/>
    </row>
    <row r="426" spans="1:3" s="99" customFormat="1" ht="15.6">
      <c r="A426" s="100"/>
      <c r="B426" s="106" t="s">
        <v>1253</v>
      </c>
      <c r="C426" s="102"/>
    </row>
    <row r="427" spans="1:3" s="99" customFormat="1" ht="15.6">
      <c r="A427" s="100"/>
      <c r="B427" s="106" t="s">
        <v>2596</v>
      </c>
      <c r="C427" s="102"/>
    </row>
    <row r="428" spans="1:3" s="99" customFormat="1" ht="15.6">
      <c r="A428" s="100"/>
      <c r="B428" s="106" t="s">
        <v>1252</v>
      </c>
      <c r="C428" s="102"/>
    </row>
    <row r="429" spans="1:3" s="99" customFormat="1" ht="15.6">
      <c r="A429" s="100"/>
      <c r="B429" s="106" t="s">
        <v>2597</v>
      </c>
      <c r="C429" s="102"/>
    </row>
    <row r="430" spans="1:3" s="99" customFormat="1" ht="15.6">
      <c r="A430" s="100"/>
      <c r="B430" s="106" t="s">
        <v>2598</v>
      </c>
      <c r="C430" s="102"/>
    </row>
    <row r="431" spans="1:3" s="99" customFormat="1" ht="15.6">
      <c r="A431" s="100"/>
      <c r="B431" s="106" t="s">
        <v>2449</v>
      </c>
      <c r="C431" s="102"/>
    </row>
    <row r="432" spans="1:3" s="99" customFormat="1" ht="15.6">
      <c r="A432" s="100"/>
      <c r="B432" s="106" t="s">
        <v>2599</v>
      </c>
      <c r="C432" s="102"/>
    </row>
    <row r="433" spans="1:3" s="99" customFormat="1" ht="15.6">
      <c r="A433" s="100"/>
      <c r="B433" s="101" t="s">
        <v>2475</v>
      </c>
      <c r="C433" s="102"/>
    </row>
    <row r="434" spans="1:3" s="99" customFormat="1" ht="15.6">
      <c r="A434" s="100" t="s">
        <v>1054</v>
      </c>
      <c r="B434" s="101" t="s">
        <v>1055</v>
      </c>
      <c r="C434" s="102" t="s">
        <v>1455</v>
      </c>
    </row>
    <row r="435" spans="1:3" s="99" customFormat="1" ht="15.6">
      <c r="A435" s="100"/>
      <c r="B435" s="101" t="s">
        <v>2461</v>
      </c>
      <c r="C435" s="102"/>
    </row>
    <row r="436" spans="1:3" s="99" customFormat="1" ht="15.6">
      <c r="A436" s="100"/>
      <c r="B436" s="101" t="s">
        <v>2483</v>
      </c>
      <c r="C436" s="102"/>
    </row>
    <row r="437" spans="1:3" s="99" customFormat="1" ht="15.6">
      <c r="A437" s="100" t="s">
        <v>477</v>
      </c>
      <c r="B437" s="101" t="s">
        <v>478</v>
      </c>
      <c r="C437" s="102" t="s">
        <v>1452</v>
      </c>
    </row>
    <row r="438" spans="1:3" s="99" customFormat="1" ht="15.6">
      <c r="A438" s="100"/>
      <c r="B438" s="101" t="s">
        <v>2580</v>
      </c>
      <c r="C438" s="102"/>
    </row>
    <row r="439" spans="1:3" s="99" customFormat="1" ht="15.6">
      <c r="A439" s="100" t="s">
        <v>926</v>
      </c>
      <c r="B439" s="101" t="s">
        <v>927</v>
      </c>
      <c r="C439" s="102" t="s">
        <v>1443</v>
      </c>
    </row>
    <row r="440" spans="1:3" s="99" customFormat="1" ht="15.6">
      <c r="A440" s="100" t="s">
        <v>1850</v>
      </c>
      <c r="B440" s="101" t="s">
        <v>1851</v>
      </c>
      <c r="C440" s="102" t="s">
        <v>1461</v>
      </c>
    </row>
    <row r="441" spans="1:3" s="99" customFormat="1" ht="15.6">
      <c r="A441" s="100" t="s">
        <v>2072</v>
      </c>
      <c r="B441" s="101" t="s">
        <v>2428</v>
      </c>
      <c r="C441" s="102" t="s">
        <v>2429</v>
      </c>
    </row>
    <row r="442" spans="1:3" s="99" customFormat="1" ht="15.6">
      <c r="A442" s="100" t="s">
        <v>2094</v>
      </c>
      <c r="B442" s="107" t="s">
        <v>2451</v>
      </c>
      <c r="C442" s="102"/>
    </row>
    <row r="443" spans="1:3" s="99" customFormat="1" ht="15.6">
      <c r="A443" s="100"/>
      <c r="B443" s="106" t="s">
        <v>2451</v>
      </c>
      <c r="C443" s="102"/>
    </row>
    <row r="444" spans="1:3" s="99" customFormat="1" ht="15.6">
      <c r="A444" s="100" t="s">
        <v>554</v>
      </c>
      <c r="B444" s="101" t="s">
        <v>555</v>
      </c>
      <c r="C444" s="102" t="s">
        <v>1448</v>
      </c>
    </row>
    <row r="445" spans="1:3" s="99" customFormat="1" ht="15.6">
      <c r="A445" s="100" t="s">
        <v>917</v>
      </c>
      <c r="B445" s="101" t="s">
        <v>918</v>
      </c>
      <c r="C445" s="102" t="s">
        <v>1443</v>
      </c>
    </row>
    <row r="446" spans="1:3" s="99" customFormat="1" ht="15.6">
      <c r="A446" s="100" t="s">
        <v>1296</v>
      </c>
      <c r="B446" s="101" t="s">
        <v>1297</v>
      </c>
      <c r="C446" s="102" t="s">
        <v>1295</v>
      </c>
    </row>
    <row r="447" spans="1:3" s="99" customFormat="1" ht="15.6">
      <c r="A447" s="100"/>
      <c r="B447" s="106" t="s">
        <v>1298</v>
      </c>
      <c r="C447" s="102"/>
    </row>
    <row r="448" spans="1:3" s="99" customFormat="1" ht="15.6">
      <c r="A448" s="100"/>
      <c r="B448" s="101" t="s">
        <v>2529</v>
      </c>
      <c r="C448" s="102"/>
    </row>
    <row r="449" spans="1:3" s="99" customFormat="1" ht="15.6">
      <c r="A449" s="100" t="s">
        <v>1299</v>
      </c>
      <c r="B449" s="101" t="s">
        <v>1300</v>
      </c>
      <c r="C449" s="102" t="s">
        <v>1441</v>
      </c>
    </row>
    <row r="450" spans="1:3" s="99" customFormat="1" ht="15.6">
      <c r="A450" s="100"/>
      <c r="B450" s="108" t="s">
        <v>580</v>
      </c>
      <c r="C450" s="102"/>
    </row>
    <row r="451" spans="1:3" s="99" customFormat="1" ht="15.6">
      <c r="A451" s="100" t="s">
        <v>879</v>
      </c>
      <c r="B451" s="101" t="s">
        <v>880</v>
      </c>
      <c r="C451" s="102" t="s">
        <v>1451</v>
      </c>
    </row>
    <row r="452" spans="1:3" s="99" customFormat="1" ht="15.6">
      <c r="A452" s="100" t="s">
        <v>1883</v>
      </c>
      <c r="B452" s="101" t="s">
        <v>1884</v>
      </c>
      <c r="C452" s="102" t="s">
        <v>1885</v>
      </c>
    </row>
    <row r="453" spans="1:3" s="99" customFormat="1" ht="15.6">
      <c r="A453" s="100" t="s">
        <v>1991</v>
      </c>
      <c r="B453" s="101" t="s">
        <v>2352</v>
      </c>
      <c r="C453" s="102" t="s">
        <v>1443</v>
      </c>
    </row>
    <row r="454" spans="1:3" s="99" customFormat="1" ht="15.6">
      <c r="A454" s="100" t="s">
        <v>1943</v>
      </c>
      <c r="B454" s="101" t="s">
        <v>1944</v>
      </c>
      <c r="C454" s="102" t="s">
        <v>1442</v>
      </c>
    </row>
    <row r="455" spans="1:3" s="99" customFormat="1" ht="15.6">
      <c r="A455" s="100" t="s">
        <v>2012</v>
      </c>
      <c r="B455" s="101" t="s">
        <v>2359</v>
      </c>
      <c r="C455" s="102" t="s">
        <v>2288</v>
      </c>
    </row>
    <row r="456" spans="1:3" s="99" customFormat="1" ht="15.6">
      <c r="A456" s="100" t="s">
        <v>2132</v>
      </c>
      <c r="B456" s="101" t="s">
        <v>2287</v>
      </c>
      <c r="C456" s="102" t="s">
        <v>2288</v>
      </c>
    </row>
    <row r="457" spans="1:3" s="99" customFormat="1" ht="15.6">
      <c r="A457" s="100" t="s">
        <v>2334</v>
      </c>
      <c r="B457" s="101" t="s">
        <v>2341</v>
      </c>
      <c r="C457" s="102" t="s">
        <v>2288</v>
      </c>
    </row>
    <row r="458" spans="1:3" s="99" customFormat="1" ht="15.6">
      <c r="A458" s="100" t="s">
        <v>400</v>
      </c>
      <c r="B458" s="101" t="s">
        <v>401</v>
      </c>
      <c r="C458" s="102" t="s">
        <v>1461</v>
      </c>
    </row>
    <row r="459" spans="1:3" s="99" customFormat="1" ht="15.6">
      <c r="A459" s="100" t="s">
        <v>988</v>
      </c>
      <c r="B459" s="101" t="s">
        <v>989</v>
      </c>
      <c r="C459" s="102" t="s">
        <v>1432</v>
      </c>
    </row>
    <row r="460" spans="1:3" s="99" customFormat="1" ht="15.6">
      <c r="A460" s="100" t="s">
        <v>765</v>
      </c>
      <c r="B460" s="101" t="s">
        <v>766</v>
      </c>
      <c r="C460" s="102" t="s">
        <v>1428</v>
      </c>
    </row>
    <row r="461" spans="1:3" s="99" customFormat="1" ht="15.6">
      <c r="A461" s="100" t="s">
        <v>519</v>
      </c>
      <c r="B461" s="101" t="s">
        <v>2608</v>
      </c>
      <c r="C461" s="102" t="s">
        <v>1448</v>
      </c>
    </row>
    <row r="462" spans="1:3" s="99" customFormat="1" ht="15.6">
      <c r="A462" s="100" t="s">
        <v>1095</v>
      </c>
      <c r="B462" s="101" t="s">
        <v>1096</v>
      </c>
      <c r="C462" s="102" t="s">
        <v>1462</v>
      </c>
    </row>
    <row r="463" spans="1:3" s="99" customFormat="1" ht="15.6">
      <c r="A463" s="100" t="s">
        <v>1805</v>
      </c>
      <c r="B463" s="101" t="s">
        <v>1806</v>
      </c>
      <c r="C463" s="102" t="s">
        <v>1451</v>
      </c>
    </row>
    <row r="464" spans="1:3" s="99" customFormat="1" ht="15.6">
      <c r="A464" s="100" t="s">
        <v>1561</v>
      </c>
      <c r="B464" s="101" t="s">
        <v>1562</v>
      </c>
      <c r="C464" s="102" t="s">
        <v>1563</v>
      </c>
    </row>
    <row r="465" spans="1:3" s="99" customFormat="1" ht="15.6">
      <c r="A465" s="100" t="s">
        <v>2142</v>
      </c>
      <c r="B465" s="101" t="s">
        <v>2299</v>
      </c>
      <c r="C465" s="102" t="s">
        <v>1563</v>
      </c>
    </row>
    <row r="466" spans="1:3" s="99" customFormat="1" ht="15.6">
      <c r="A466" s="100" t="s">
        <v>1584</v>
      </c>
      <c r="B466" s="101" t="s">
        <v>1585</v>
      </c>
      <c r="C466" s="102" t="s">
        <v>1563</v>
      </c>
    </row>
    <row r="467" spans="1:3" s="99" customFormat="1" ht="15.6">
      <c r="A467" s="100" t="s">
        <v>1722</v>
      </c>
      <c r="B467" s="101" t="s">
        <v>1723</v>
      </c>
      <c r="C467" s="102" t="s">
        <v>1563</v>
      </c>
    </row>
    <row r="468" spans="1:3" s="99" customFormat="1" ht="15.6">
      <c r="A468" s="100"/>
      <c r="B468" s="101" t="s">
        <v>2482</v>
      </c>
      <c r="C468" s="102"/>
    </row>
    <row r="469" spans="1:3" s="99" customFormat="1" ht="15.6">
      <c r="A469" s="100" t="s">
        <v>1004</v>
      </c>
      <c r="B469" s="101" t="s">
        <v>1005</v>
      </c>
      <c r="C469" s="102" t="s">
        <v>1444</v>
      </c>
    </row>
    <row r="470" spans="1:3" s="99" customFormat="1" ht="15.6">
      <c r="A470" s="100" t="s">
        <v>380</v>
      </c>
      <c r="B470" s="101" t="s">
        <v>381</v>
      </c>
      <c r="C470" s="102" t="s">
        <v>1438</v>
      </c>
    </row>
    <row r="471" spans="1:3" s="99" customFormat="1" ht="15.6">
      <c r="A471" s="100" t="s">
        <v>383</v>
      </c>
      <c r="B471" s="101" t="s">
        <v>384</v>
      </c>
      <c r="C471" s="102" t="s">
        <v>1438</v>
      </c>
    </row>
    <row r="472" spans="1:3" s="99" customFormat="1" ht="15.6">
      <c r="A472" s="100" t="s">
        <v>683</v>
      </c>
      <c r="B472" s="101" t="s">
        <v>684</v>
      </c>
      <c r="C472" s="102" t="s">
        <v>1420</v>
      </c>
    </row>
    <row r="473" spans="1:3" s="99" customFormat="1" ht="15.6">
      <c r="A473" s="100" t="s">
        <v>1642</v>
      </c>
      <c r="B473" s="101" t="s">
        <v>1643</v>
      </c>
      <c r="C473" s="102" t="s">
        <v>1509</v>
      </c>
    </row>
    <row r="474" spans="1:3" s="99" customFormat="1" ht="15.6">
      <c r="A474" s="100" t="s">
        <v>2144</v>
      </c>
      <c r="B474" s="101" t="s">
        <v>2301</v>
      </c>
      <c r="C474" s="102" t="s">
        <v>2302</v>
      </c>
    </row>
    <row r="475" spans="1:3" s="99" customFormat="1" ht="15.6">
      <c r="A475" s="100" t="s">
        <v>2046</v>
      </c>
      <c r="B475" s="101" t="s">
        <v>2390</v>
      </c>
      <c r="C475" s="102" t="s">
        <v>2391</v>
      </c>
    </row>
    <row r="476" spans="1:3" s="99" customFormat="1" ht="15.6">
      <c r="A476" s="100" t="s">
        <v>624</v>
      </c>
      <c r="B476" s="101" t="s">
        <v>625</v>
      </c>
      <c r="C476" s="102" t="s">
        <v>1453</v>
      </c>
    </row>
    <row r="477" spans="1:3" s="99" customFormat="1" ht="15.6">
      <c r="A477" s="100" t="s">
        <v>706</v>
      </c>
      <c r="B477" s="101" t="s">
        <v>707</v>
      </c>
      <c r="C477" s="102" t="s">
        <v>1459</v>
      </c>
    </row>
    <row r="478" spans="1:3" s="99" customFormat="1" ht="15.6">
      <c r="A478" s="100" t="s">
        <v>709</v>
      </c>
      <c r="B478" s="101" t="s">
        <v>710</v>
      </c>
      <c r="C478" s="102" t="s">
        <v>1445</v>
      </c>
    </row>
    <row r="479" spans="1:3" s="99" customFormat="1" ht="15.6">
      <c r="A479" s="100" t="s">
        <v>535</v>
      </c>
      <c r="B479" s="101" t="s">
        <v>536</v>
      </c>
      <c r="C479" s="102" t="s">
        <v>1448</v>
      </c>
    </row>
    <row r="480" spans="1:3" s="99" customFormat="1" ht="15.6">
      <c r="A480" s="100" t="s">
        <v>694</v>
      </c>
      <c r="B480" s="101" t="s">
        <v>695</v>
      </c>
      <c r="C480" s="102" t="s">
        <v>1459</v>
      </c>
    </row>
    <row r="481" spans="1:3" s="99" customFormat="1" ht="15.6">
      <c r="A481" s="100" t="s">
        <v>471</v>
      </c>
      <c r="B481" s="101" t="s">
        <v>472</v>
      </c>
      <c r="C481" s="102" t="s">
        <v>1452</v>
      </c>
    </row>
    <row r="482" spans="1:3" s="99" customFormat="1" ht="15.6">
      <c r="A482" s="100"/>
      <c r="B482" s="101" t="s">
        <v>2533</v>
      </c>
      <c r="C482" s="102"/>
    </row>
    <row r="483" spans="1:3" s="99" customFormat="1" ht="15.6">
      <c r="A483" s="100"/>
      <c r="B483" s="101" t="s">
        <v>2509</v>
      </c>
      <c r="C483" s="102"/>
    </row>
    <row r="484" spans="1:3" s="99" customFormat="1" ht="15.6">
      <c r="A484" s="100" t="s">
        <v>2116</v>
      </c>
      <c r="B484" s="101" t="s">
        <v>2270</v>
      </c>
      <c r="C484" s="102" t="s">
        <v>1485</v>
      </c>
    </row>
    <row r="485" spans="1:3" s="99" customFormat="1" ht="15.6">
      <c r="A485" s="100" t="s">
        <v>389</v>
      </c>
      <c r="B485" s="101" t="s">
        <v>390</v>
      </c>
      <c r="C485" s="102" t="s">
        <v>1461</v>
      </c>
    </row>
    <row r="486" spans="1:3" s="99" customFormat="1" ht="15.6">
      <c r="A486" s="100" t="s">
        <v>482</v>
      </c>
      <c r="B486" s="101" t="s">
        <v>483</v>
      </c>
      <c r="C486" s="102" t="s">
        <v>1452</v>
      </c>
    </row>
    <row r="487" spans="1:3" s="99" customFormat="1" ht="15.6">
      <c r="A487" s="100" t="s">
        <v>737</v>
      </c>
      <c r="B487" s="101" t="s">
        <v>738</v>
      </c>
      <c r="C487" s="102" t="s">
        <v>1442</v>
      </c>
    </row>
    <row r="488" spans="1:3" s="99" customFormat="1" ht="15.6">
      <c r="A488" s="100" t="s">
        <v>565</v>
      </c>
      <c r="B488" s="101" t="s">
        <v>566</v>
      </c>
      <c r="C488" s="102" t="s">
        <v>1505</v>
      </c>
    </row>
    <row r="489" spans="1:3" s="99" customFormat="1" ht="15.6">
      <c r="A489" s="100"/>
      <c r="B489" s="101" t="s">
        <v>2534</v>
      </c>
      <c r="C489" s="102"/>
    </row>
    <row r="490" spans="1:3" s="99" customFormat="1" ht="15.6">
      <c r="A490" s="100"/>
      <c r="B490" s="101" t="s">
        <v>2536</v>
      </c>
      <c r="C490" s="102"/>
    </row>
    <row r="491" spans="1:3" s="99" customFormat="1" ht="15.6">
      <c r="A491" s="100" t="s">
        <v>1848</v>
      </c>
      <c r="B491" s="101" t="s">
        <v>1849</v>
      </c>
      <c r="C491" s="102" t="s">
        <v>1463</v>
      </c>
    </row>
    <row r="492" spans="1:3" s="99" customFormat="1" ht="15.6">
      <c r="A492" s="100" t="s">
        <v>1977</v>
      </c>
      <c r="B492" s="101" t="s">
        <v>2350</v>
      </c>
      <c r="C492" s="102" t="s">
        <v>2351</v>
      </c>
    </row>
    <row r="493" spans="1:3" s="99" customFormat="1" ht="15.6">
      <c r="A493" s="100" t="s">
        <v>836</v>
      </c>
      <c r="B493" s="101" t="s">
        <v>837</v>
      </c>
      <c r="C493" s="102" t="s">
        <v>1456</v>
      </c>
    </row>
    <row r="494" spans="1:3" s="99" customFormat="1" ht="15.6">
      <c r="A494" s="100"/>
      <c r="B494" s="101" t="s">
        <v>2522</v>
      </c>
      <c r="C494" s="102"/>
    </row>
    <row r="495" spans="1:3" s="99" customFormat="1" ht="15.6">
      <c r="A495" s="100" t="s">
        <v>451</v>
      </c>
      <c r="B495" s="101" t="s">
        <v>452</v>
      </c>
      <c r="C495" s="102" t="s">
        <v>1452</v>
      </c>
    </row>
    <row r="496" spans="1:3" s="99" customFormat="1" ht="15.6">
      <c r="A496" s="100" t="s">
        <v>442</v>
      </c>
      <c r="B496" s="101" t="s">
        <v>443</v>
      </c>
      <c r="C496" s="102" t="s">
        <v>1452</v>
      </c>
    </row>
    <row r="497" spans="1:3" s="99" customFormat="1" ht="15.6">
      <c r="A497" s="100" t="s">
        <v>448</v>
      </c>
      <c r="B497" s="101" t="s">
        <v>449</v>
      </c>
      <c r="C497" s="102" t="s">
        <v>1452</v>
      </c>
    </row>
    <row r="498" spans="1:3" s="99" customFormat="1" ht="15.6">
      <c r="A498" s="100" t="s">
        <v>2017</v>
      </c>
      <c r="B498" s="101" t="s">
        <v>2220</v>
      </c>
      <c r="C498" s="102" t="s">
        <v>2221</v>
      </c>
    </row>
    <row r="499" spans="1:3" s="99" customFormat="1" ht="15.6">
      <c r="A499" s="100"/>
      <c r="B499" s="101" t="s">
        <v>2571</v>
      </c>
      <c r="C499" s="102"/>
    </row>
    <row r="500" spans="1:3" s="99" customFormat="1" ht="15.6">
      <c r="A500" s="100" t="s">
        <v>990</v>
      </c>
      <c r="B500" s="101" t="s">
        <v>991</v>
      </c>
      <c r="C500" s="102" t="s">
        <v>1449</v>
      </c>
    </row>
    <row r="501" spans="1:3" s="99" customFormat="1" ht="15.6">
      <c r="A501" s="100" t="s">
        <v>1729</v>
      </c>
      <c r="B501" s="101" t="s">
        <v>1730</v>
      </c>
      <c r="C501" s="102" t="s">
        <v>1731</v>
      </c>
    </row>
    <row r="502" spans="1:3" s="99" customFormat="1" ht="15.6">
      <c r="A502" s="100" t="s">
        <v>2074</v>
      </c>
      <c r="B502" s="101" t="s">
        <v>2431</v>
      </c>
      <c r="C502" s="102" t="s">
        <v>1456</v>
      </c>
    </row>
    <row r="503" spans="1:3" s="99" customFormat="1" ht="15.6">
      <c r="A503" s="100"/>
      <c r="B503" s="101" t="s">
        <v>2572</v>
      </c>
      <c r="C503" s="102"/>
    </row>
    <row r="504" spans="1:3" s="99" customFormat="1" ht="15.6">
      <c r="A504" s="100"/>
      <c r="B504" s="101" t="s">
        <v>2573</v>
      </c>
      <c r="C504" s="102"/>
    </row>
    <row r="505" spans="1:3" s="99" customFormat="1" ht="15.6">
      <c r="A505" s="100"/>
      <c r="B505" s="101" t="s">
        <v>2574</v>
      </c>
      <c r="C505" s="102"/>
    </row>
    <row r="506" spans="1:3" s="99" customFormat="1" ht="15.6">
      <c r="A506" s="100"/>
      <c r="B506" s="101" t="s">
        <v>2575</v>
      </c>
      <c r="C506" s="102"/>
    </row>
    <row r="507" spans="1:3" s="99" customFormat="1" ht="15.6">
      <c r="A507" s="100" t="s">
        <v>1082</v>
      </c>
      <c r="B507" s="101" t="s">
        <v>1083</v>
      </c>
      <c r="C507" s="102" t="s">
        <v>1462</v>
      </c>
    </row>
    <row r="508" spans="1:3" s="99" customFormat="1" ht="15.6">
      <c r="A508" s="100"/>
      <c r="B508" s="101" t="s">
        <v>2535</v>
      </c>
      <c r="C508" s="102"/>
    </row>
    <row r="509" spans="1:3" s="99" customFormat="1" ht="15.6">
      <c r="A509" s="100" t="s">
        <v>1999</v>
      </c>
      <c r="B509" s="101" t="s">
        <v>2207</v>
      </c>
      <c r="C509" s="102" t="s">
        <v>1463</v>
      </c>
    </row>
    <row r="510" spans="1:3" s="99" customFormat="1" ht="15.6">
      <c r="A510" s="100" t="s">
        <v>1865</v>
      </c>
      <c r="B510" s="101" t="s">
        <v>1866</v>
      </c>
      <c r="C510" s="102" t="s">
        <v>1455</v>
      </c>
    </row>
    <row r="511" spans="1:3" s="99" customFormat="1" ht="15.6">
      <c r="A511" s="100"/>
      <c r="B511" s="109" t="s">
        <v>895</v>
      </c>
      <c r="C511" s="102"/>
    </row>
    <row r="512" spans="1:3" s="99" customFormat="1" ht="15.6">
      <c r="A512" s="100" t="s">
        <v>459</v>
      </c>
      <c r="B512" s="101" t="s">
        <v>460</v>
      </c>
      <c r="C512" s="102" t="s">
        <v>1452</v>
      </c>
    </row>
    <row r="513" spans="1:3" s="99" customFormat="1" ht="15.6">
      <c r="A513" s="100"/>
      <c r="B513" s="108" t="s">
        <v>432</v>
      </c>
      <c r="C513" s="102"/>
    </row>
    <row r="514" spans="1:3" s="99" customFormat="1" ht="15.6">
      <c r="A514" s="100" t="s">
        <v>1961</v>
      </c>
      <c r="B514" s="101" t="s">
        <v>2171</v>
      </c>
      <c r="C514" s="102" t="s">
        <v>1445</v>
      </c>
    </row>
    <row r="515" spans="1:3" s="99" customFormat="1" ht="15.6">
      <c r="A515" s="100"/>
      <c r="B515" s="101" t="s">
        <v>2570</v>
      </c>
      <c r="C515" s="102"/>
    </row>
    <row r="516" spans="1:3" s="99" customFormat="1" ht="15.6">
      <c r="A516" s="100" t="s">
        <v>1227</v>
      </c>
      <c r="B516" s="101" t="s">
        <v>1228</v>
      </c>
      <c r="C516" s="102" t="s">
        <v>1447</v>
      </c>
    </row>
    <row r="517" spans="1:3" s="99" customFormat="1" ht="15.6">
      <c r="A517" s="100" t="s">
        <v>530</v>
      </c>
      <c r="B517" s="101" t="s">
        <v>531</v>
      </c>
      <c r="C517" s="102" t="s">
        <v>1448</v>
      </c>
    </row>
    <row r="518" spans="1:3" s="99" customFormat="1" ht="15.6">
      <c r="A518" s="100" t="s">
        <v>525</v>
      </c>
      <c r="B518" s="101" t="s">
        <v>526</v>
      </c>
      <c r="C518" s="102" t="s">
        <v>1448</v>
      </c>
    </row>
    <row r="519" spans="1:3" s="99" customFormat="1" ht="15.6">
      <c r="A519" s="100" t="s">
        <v>533</v>
      </c>
      <c r="B519" s="101" t="s">
        <v>534</v>
      </c>
      <c r="C519" s="102" t="s">
        <v>1448</v>
      </c>
    </row>
    <row r="520" spans="1:3" s="99" customFormat="1" ht="15.6">
      <c r="A520" s="100"/>
      <c r="B520" s="101" t="s">
        <v>2545</v>
      </c>
      <c r="C520" s="102"/>
    </row>
    <row r="521" spans="1:3" s="99" customFormat="1" ht="15.6">
      <c r="A521" s="116" t="s">
        <v>2609</v>
      </c>
      <c r="B521" s="90" t="s">
        <v>2610</v>
      </c>
      <c r="C521" s="89"/>
    </row>
    <row r="522" spans="1:3" s="99" customFormat="1" ht="15.6">
      <c r="A522" s="100" t="s">
        <v>1060</v>
      </c>
      <c r="B522" s="101" t="s">
        <v>1061</v>
      </c>
      <c r="C522" s="102" t="s">
        <v>1455</v>
      </c>
    </row>
    <row r="523" spans="1:3" s="99" customFormat="1" ht="15.6">
      <c r="A523" s="100" t="s">
        <v>1886</v>
      </c>
      <c r="B523" s="101" t="s">
        <v>1887</v>
      </c>
      <c r="C523" s="102" t="s">
        <v>1888</v>
      </c>
    </row>
    <row r="524" spans="1:3" s="99" customFormat="1" ht="15.6">
      <c r="A524" s="100" t="s">
        <v>2049</v>
      </c>
      <c r="B524" s="104" t="s">
        <v>2396</v>
      </c>
      <c r="C524" s="102" t="s">
        <v>2397</v>
      </c>
    </row>
    <row r="525" spans="1:3" s="99" customFormat="1" ht="15.6">
      <c r="A525" s="100" t="s">
        <v>2084</v>
      </c>
      <c r="B525" s="101" t="s">
        <v>2443</v>
      </c>
      <c r="C525" s="102" t="s">
        <v>1447</v>
      </c>
    </row>
    <row r="526" spans="1:3" s="99" customFormat="1" ht="15.6">
      <c r="A526" s="100" t="s">
        <v>2036</v>
      </c>
      <c r="B526" s="101" t="s">
        <v>2381</v>
      </c>
      <c r="C526" s="102" t="s">
        <v>1888</v>
      </c>
    </row>
    <row r="527" spans="1:3" s="99" customFormat="1" ht="15.6">
      <c r="A527" s="100" t="s">
        <v>2128</v>
      </c>
      <c r="B527" s="101" t="s">
        <v>2283</v>
      </c>
      <c r="C527" s="102" t="s">
        <v>1888</v>
      </c>
    </row>
    <row r="528" spans="1:3" s="99" customFormat="1" ht="15.6">
      <c r="A528" s="100"/>
      <c r="B528" s="101" t="s">
        <v>2479</v>
      </c>
      <c r="C528" s="102"/>
    </row>
    <row r="529" spans="1:3" s="99" customFormat="1" ht="15.6">
      <c r="A529" s="100" t="s">
        <v>644</v>
      </c>
      <c r="B529" s="101" t="s">
        <v>645</v>
      </c>
      <c r="C529" s="102" t="s">
        <v>1445</v>
      </c>
    </row>
    <row r="530" spans="1:3" s="99" customFormat="1" ht="15.6">
      <c r="A530" s="100" t="s">
        <v>546</v>
      </c>
      <c r="B530" s="101" t="s">
        <v>547</v>
      </c>
      <c r="C530" s="102" t="s">
        <v>1448</v>
      </c>
    </row>
    <row r="531" spans="1:3" s="99" customFormat="1" ht="15.6">
      <c r="A531" s="100" t="s">
        <v>1895</v>
      </c>
      <c r="B531" s="101" t="s">
        <v>1896</v>
      </c>
      <c r="C531" s="102" t="s">
        <v>1897</v>
      </c>
    </row>
    <row r="532" spans="1:3" s="99" customFormat="1" ht="15.6">
      <c r="A532" s="100" t="s">
        <v>2089</v>
      </c>
      <c r="B532" s="101" t="s">
        <v>2237</v>
      </c>
      <c r="C532" s="102" t="s">
        <v>1526</v>
      </c>
    </row>
    <row r="533" spans="1:3" s="99" customFormat="1" ht="15.6">
      <c r="A533" s="100"/>
      <c r="B533" s="101" t="s">
        <v>2576</v>
      </c>
      <c r="C533" s="102"/>
    </row>
    <row r="534" spans="1:3" s="99" customFormat="1" ht="15.6">
      <c r="A534" s="100" t="s">
        <v>1969</v>
      </c>
      <c r="B534" s="101" t="s">
        <v>2179</v>
      </c>
      <c r="C534" s="102" t="s">
        <v>1451</v>
      </c>
    </row>
    <row r="535" spans="1:3" s="99" customFormat="1" ht="15.6">
      <c r="A535" s="100" t="s">
        <v>1666</v>
      </c>
      <c r="B535" s="101" t="s">
        <v>1667</v>
      </c>
      <c r="C535" s="102" t="s">
        <v>1668</v>
      </c>
    </row>
    <row r="536" spans="1:3" s="99" customFormat="1" ht="15.6">
      <c r="A536" s="100" t="s">
        <v>409</v>
      </c>
      <c r="B536" s="101" t="s">
        <v>410</v>
      </c>
      <c r="C536" s="102" t="s">
        <v>1461</v>
      </c>
    </row>
    <row r="537" spans="1:3" s="99" customFormat="1" ht="15.6">
      <c r="A537" s="100" t="s">
        <v>406</v>
      </c>
      <c r="B537" s="101" t="s">
        <v>407</v>
      </c>
      <c r="C537" s="102" t="s">
        <v>1461</v>
      </c>
    </row>
    <row r="538" spans="1:3" s="99" customFormat="1" ht="15.6">
      <c r="A538" s="100"/>
      <c r="B538" s="101" t="s">
        <v>2493</v>
      </c>
      <c r="C538" s="102"/>
    </row>
    <row r="539" spans="1:3" s="99" customFormat="1" ht="15.6">
      <c r="A539" s="100" t="s">
        <v>1046</v>
      </c>
      <c r="B539" s="101" t="s">
        <v>1047</v>
      </c>
      <c r="C539" s="102" t="s">
        <v>1455</v>
      </c>
    </row>
    <row r="540" spans="1:3" s="99" customFormat="1" ht="15.6">
      <c r="A540" s="100" t="s">
        <v>664</v>
      </c>
      <c r="B540" s="101" t="s">
        <v>665</v>
      </c>
      <c r="C540" s="102" t="s">
        <v>1445</v>
      </c>
    </row>
    <row r="541" spans="1:3" s="99" customFormat="1" ht="15.6">
      <c r="A541" s="100" t="s">
        <v>1807</v>
      </c>
      <c r="B541" s="101" t="s">
        <v>1808</v>
      </c>
      <c r="C541" s="102" t="s">
        <v>1443</v>
      </c>
    </row>
    <row r="542" spans="1:3" s="99" customFormat="1" ht="15.6">
      <c r="A542" s="100" t="s">
        <v>1987</v>
      </c>
      <c r="B542" s="101" t="s">
        <v>2198</v>
      </c>
      <c r="C542" s="102" t="s">
        <v>1449</v>
      </c>
    </row>
    <row r="543" spans="1:3" s="99" customFormat="1" ht="15.6">
      <c r="A543" s="100" t="s">
        <v>2023</v>
      </c>
      <c r="B543" s="104" t="s">
        <v>2369</v>
      </c>
      <c r="C543" s="102" t="s">
        <v>2370</v>
      </c>
    </row>
    <row r="544" spans="1:3" s="99" customFormat="1" ht="15.6">
      <c r="A544" s="100" t="s">
        <v>2037</v>
      </c>
      <c r="B544" s="101" t="s">
        <v>2382</v>
      </c>
      <c r="C544" s="102" t="s">
        <v>2383</v>
      </c>
    </row>
    <row r="545" spans="1:3" s="99" customFormat="1" ht="15.6">
      <c r="A545" s="100"/>
      <c r="B545" s="101" t="s">
        <v>2578</v>
      </c>
      <c r="C545" s="102"/>
    </row>
    <row r="546" spans="1:3" s="99" customFormat="1" ht="15.6">
      <c r="A546" s="100"/>
      <c r="B546" s="101" t="s">
        <v>2553</v>
      </c>
      <c r="C546" s="102"/>
    </row>
    <row r="547" spans="1:3" s="99" customFormat="1" ht="15.6">
      <c r="A547" s="100"/>
      <c r="B547" s="101" t="s">
        <v>2487</v>
      </c>
      <c r="C547" s="102"/>
    </row>
    <row r="548" spans="1:3" s="99" customFormat="1" ht="15.6">
      <c r="A548" s="100"/>
      <c r="B548" s="101" t="s">
        <v>2488</v>
      </c>
      <c r="C548" s="102"/>
    </row>
    <row r="549" spans="1:3" s="99" customFormat="1" ht="15.6">
      <c r="A549" s="100" t="s">
        <v>1353</v>
      </c>
      <c r="B549" s="101" t="s">
        <v>1491</v>
      </c>
      <c r="C549" s="102" t="s">
        <v>1447</v>
      </c>
    </row>
    <row r="550" spans="1:3" s="99" customFormat="1" ht="15.6">
      <c r="A550" s="100" t="s">
        <v>1912</v>
      </c>
      <c r="B550" s="101" t="s">
        <v>1913</v>
      </c>
      <c r="C550" s="102" t="s">
        <v>1440</v>
      </c>
    </row>
    <row r="551" spans="1:3" s="99" customFormat="1" ht="15.6">
      <c r="A551" s="100" t="s">
        <v>1558</v>
      </c>
      <c r="B551" s="101" t="s">
        <v>1560</v>
      </c>
      <c r="C551" s="102" t="s">
        <v>1559</v>
      </c>
    </row>
    <row r="552" spans="1:3" s="99" customFormat="1" ht="15.6">
      <c r="A552" s="100"/>
      <c r="B552" s="101" t="s">
        <v>2565</v>
      </c>
      <c r="C552" s="102"/>
    </row>
    <row r="553" spans="1:3" s="99" customFormat="1" ht="15.6">
      <c r="A553" s="100"/>
      <c r="B553" s="101" t="s">
        <v>2579</v>
      </c>
      <c r="C553" s="102"/>
    </row>
    <row r="554" spans="1:3" s="99" customFormat="1" ht="15.6">
      <c r="A554" s="100" t="s">
        <v>1222</v>
      </c>
      <c r="B554" s="101" t="s">
        <v>1223</v>
      </c>
      <c r="C554" s="102" t="s">
        <v>1447</v>
      </c>
    </row>
    <row r="555" spans="1:3" s="99" customFormat="1" ht="15.6">
      <c r="A555" s="100" t="s">
        <v>1138</v>
      </c>
      <c r="B555" s="101" t="s">
        <v>1139</v>
      </c>
      <c r="C555" s="102" t="s">
        <v>1452</v>
      </c>
    </row>
    <row r="556" spans="1:3" s="99" customFormat="1" ht="15.6">
      <c r="A556" s="100" t="s">
        <v>1090</v>
      </c>
      <c r="B556" s="101" t="s">
        <v>1091</v>
      </c>
      <c r="C556" s="102" t="s">
        <v>1462</v>
      </c>
    </row>
    <row r="557" spans="1:3" s="99" customFormat="1" ht="15.6">
      <c r="A557" s="100" t="s">
        <v>843</v>
      </c>
      <c r="B557" s="101" t="s">
        <v>844</v>
      </c>
      <c r="C557" s="102" t="s">
        <v>1456</v>
      </c>
    </row>
    <row r="558" spans="1:3" s="99" customFormat="1" ht="15.6">
      <c r="A558" s="100" t="s">
        <v>2149</v>
      </c>
      <c r="B558" s="101" t="s">
        <v>2308</v>
      </c>
      <c r="C558" s="102" t="s">
        <v>1456</v>
      </c>
    </row>
    <row r="559" spans="1:3" s="99" customFormat="1" ht="15.6">
      <c r="A559" s="100" t="s">
        <v>1718</v>
      </c>
      <c r="B559" s="101" t="s">
        <v>1719</v>
      </c>
      <c r="C559" s="102" t="s">
        <v>1455</v>
      </c>
    </row>
    <row r="560" spans="1:3" s="99" customFormat="1" ht="15.6">
      <c r="A560" s="100"/>
      <c r="B560" s="101" t="s">
        <v>2481</v>
      </c>
      <c r="C560" s="102"/>
    </row>
    <row r="561" spans="1:3" s="99" customFormat="1" ht="15.6">
      <c r="A561" s="100" t="s">
        <v>653</v>
      </c>
      <c r="B561" s="101" t="s">
        <v>654</v>
      </c>
      <c r="C561" s="102" t="s">
        <v>1445</v>
      </c>
    </row>
    <row r="562" spans="1:3" s="99" customFormat="1" ht="15.6">
      <c r="A562" s="100"/>
      <c r="B562" s="101" t="s">
        <v>2581</v>
      </c>
      <c r="C562" s="102"/>
    </row>
    <row r="563" spans="1:3" s="99" customFormat="1" ht="15.6">
      <c r="A563" s="100"/>
      <c r="B563" s="101" t="s">
        <v>2582</v>
      </c>
      <c r="C563" s="102"/>
    </row>
    <row r="564" spans="1:3" s="99" customFormat="1" ht="15.6">
      <c r="A564" s="100" t="s">
        <v>474</v>
      </c>
      <c r="B564" s="101" t="s">
        <v>475</v>
      </c>
      <c r="C564" s="102" t="s">
        <v>1452</v>
      </c>
    </row>
    <row r="565" spans="1:3" s="99" customFormat="1" ht="15.6">
      <c r="A565" s="100" t="s">
        <v>1131</v>
      </c>
      <c r="B565" s="101" t="s">
        <v>1132</v>
      </c>
      <c r="C565" s="102" t="s">
        <v>1441</v>
      </c>
    </row>
    <row r="566" spans="1:3" s="99" customFormat="1" ht="15.6">
      <c r="A566" s="100"/>
      <c r="B566" s="101" t="s">
        <v>2563</v>
      </c>
      <c r="C566" s="102"/>
    </row>
    <row r="567" spans="1:3" s="99" customFormat="1" ht="15.6">
      <c r="A567" s="100" t="s">
        <v>1937</v>
      </c>
      <c r="B567" s="101" t="s">
        <v>1938</v>
      </c>
      <c r="C567" s="102" t="s">
        <v>1512</v>
      </c>
    </row>
    <row r="568" spans="1:3" s="99" customFormat="1" ht="15.6">
      <c r="A568" s="100" t="s">
        <v>2054</v>
      </c>
      <c r="B568" s="101" t="s">
        <v>2404</v>
      </c>
      <c r="C568" s="102" t="s">
        <v>2405</v>
      </c>
    </row>
    <row r="569" spans="1:3" s="99" customFormat="1" ht="15.6">
      <c r="A569" s="100" t="s">
        <v>1751</v>
      </c>
      <c r="B569" s="101" t="s">
        <v>1752</v>
      </c>
      <c r="C569" s="102" t="s">
        <v>1753</v>
      </c>
    </row>
    <row r="570" spans="1:3" s="99" customFormat="1" ht="15.6">
      <c r="A570" s="100"/>
      <c r="B570" s="101" t="s">
        <v>2583</v>
      </c>
      <c r="C570" s="102"/>
    </row>
    <row r="571" spans="1:3" s="99" customFormat="1" ht="15.6">
      <c r="A571" s="100"/>
      <c r="B571" s="101" t="s">
        <v>2584</v>
      </c>
      <c r="C571" s="102"/>
    </row>
    <row r="572" spans="1:3" s="99" customFormat="1" ht="15.6">
      <c r="A572" s="100" t="s">
        <v>412</v>
      </c>
      <c r="B572" s="101" t="s">
        <v>413</v>
      </c>
      <c r="C572" s="102" t="s">
        <v>1461</v>
      </c>
    </row>
    <row r="573" spans="1:3" s="99" customFormat="1" ht="15.6">
      <c r="A573" s="100"/>
      <c r="B573" s="101" t="s">
        <v>2496</v>
      </c>
      <c r="C573" s="102"/>
    </row>
    <row r="574" spans="1:3" s="99" customFormat="1" ht="15.6">
      <c r="A574" s="100" t="s">
        <v>1918</v>
      </c>
      <c r="B574" s="101" t="s">
        <v>1919</v>
      </c>
      <c r="C574" s="102" t="s">
        <v>1452</v>
      </c>
    </row>
    <row r="575" spans="1:3" s="99" customFormat="1" ht="15.6">
      <c r="A575" s="100" t="s">
        <v>1978</v>
      </c>
      <c r="B575" s="101" t="s">
        <v>2189</v>
      </c>
      <c r="C575" s="102" t="s">
        <v>1706</v>
      </c>
    </row>
    <row r="576" spans="1:3" s="99" customFormat="1" ht="15.6">
      <c r="A576" s="100" t="s">
        <v>2008</v>
      </c>
      <c r="B576" s="101" t="s">
        <v>2215</v>
      </c>
      <c r="C576" s="102" t="s">
        <v>1706</v>
      </c>
    </row>
    <row r="577" spans="1:3" s="99" customFormat="1" ht="15.6">
      <c r="A577" s="100"/>
      <c r="B577" s="106" t="s">
        <v>1410</v>
      </c>
      <c r="C577" s="102"/>
    </row>
    <row r="578" spans="1:3" ht="15.6">
      <c r="A578" s="100" t="s">
        <v>1701</v>
      </c>
      <c r="B578" s="90" t="s">
        <v>1702</v>
      </c>
      <c r="C578" s="89" t="s">
        <v>1703</v>
      </c>
    </row>
    <row r="579" spans="1:3" ht="15.6">
      <c r="A579" s="100" t="s">
        <v>1704</v>
      </c>
      <c r="B579" s="90" t="s">
        <v>1705</v>
      </c>
      <c r="C579" s="89" t="s">
        <v>1706</v>
      </c>
    </row>
    <row r="580" spans="1:3" ht="15.6">
      <c r="A580" s="100" t="s">
        <v>1720</v>
      </c>
      <c r="B580" s="90" t="s">
        <v>1721</v>
      </c>
      <c r="C580" s="89" t="s">
        <v>1706</v>
      </c>
    </row>
    <row r="581" spans="1:3" ht="15.6">
      <c r="A581" s="100" t="s">
        <v>1749</v>
      </c>
      <c r="B581" s="90" t="s">
        <v>1750</v>
      </c>
      <c r="C581" s="89" t="s">
        <v>1706</v>
      </c>
    </row>
    <row r="582" spans="1:3" ht="15.6">
      <c r="A582" s="100" t="s">
        <v>711</v>
      </c>
      <c r="B582" s="90" t="s">
        <v>712</v>
      </c>
      <c r="C582" s="89" t="s">
        <v>1459</v>
      </c>
    </row>
    <row r="583" spans="1:3" ht="15.6">
      <c r="A583" s="100" t="s">
        <v>538</v>
      </c>
      <c r="B583" s="90" t="s">
        <v>539</v>
      </c>
      <c r="C583" s="89" t="s">
        <v>1448</v>
      </c>
    </row>
    <row r="584" spans="1:3" ht="15.6">
      <c r="A584" s="100" t="s">
        <v>1201</v>
      </c>
      <c r="B584" s="90" t="s">
        <v>1176</v>
      </c>
      <c r="C584" s="89" t="s">
        <v>1447</v>
      </c>
    </row>
    <row r="585" spans="1:3" ht="15.6">
      <c r="A585" s="100" t="s">
        <v>1175</v>
      </c>
      <c r="B585" s="90" t="s">
        <v>1176</v>
      </c>
      <c r="C585" s="89" t="s">
        <v>1440</v>
      </c>
    </row>
    <row r="586" spans="1:3" ht="15.6">
      <c r="A586" s="100" t="s">
        <v>585</v>
      </c>
      <c r="B586" s="90" t="s">
        <v>586</v>
      </c>
      <c r="C586" s="89" t="s">
        <v>1446</v>
      </c>
    </row>
    <row r="587" spans="1:3" ht="15.6">
      <c r="A587" s="100" t="s">
        <v>1031</v>
      </c>
      <c r="B587" s="90" t="s">
        <v>1032</v>
      </c>
      <c r="C587" s="89" t="s">
        <v>1444</v>
      </c>
    </row>
    <row r="588" spans="1:3" ht="15.6">
      <c r="A588" s="100" t="s">
        <v>749</v>
      </c>
      <c r="B588" s="90" t="s">
        <v>750</v>
      </c>
      <c r="C588" s="89" t="s">
        <v>1519</v>
      </c>
    </row>
    <row r="589" spans="1:3" ht="15.6">
      <c r="A589" s="100" t="s">
        <v>1970</v>
      </c>
      <c r="B589" s="90" t="s">
        <v>2180</v>
      </c>
      <c r="C589" s="89" t="s">
        <v>2181</v>
      </c>
    </row>
    <row r="590" spans="1:3" ht="15.6">
      <c r="A590" s="100" t="s">
        <v>1934</v>
      </c>
      <c r="B590" s="90" t="s">
        <v>1935</v>
      </c>
      <c r="C590" s="89" t="s">
        <v>1936</v>
      </c>
    </row>
    <row r="591" spans="1:3" ht="15.6">
      <c r="A591" s="100"/>
      <c r="B591" s="90" t="s">
        <v>2585</v>
      </c>
      <c r="C591" s="89"/>
    </row>
    <row r="592" spans="1:3" ht="15.6">
      <c r="A592" s="100" t="s">
        <v>397</v>
      </c>
      <c r="B592" s="90" t="s">
        <v>398</v>
      </c>
      <c r="C592" s="89" t="s">
        <v>1461</v>
      </c>
    </row>
    <row r="593" spans="1:3" ht="15.6">
      <c r="A593" s="100"/>
      <c r="B593" s="90" t="s">
        <v>2518</v>
      </c>
      <c r="C593" s="89"/>
    </row>
    <row r="594" spans="1:3" ht="15.6">
      <c r="A594" s="100" t="s">
        <v>1974</v>
      </c>
      <c r="B594" s="90" t="s">
        <v>2347</v>
      </c>
      <c r="C594" s="89" t="s">
        <v>2348</v>
      </c>
    </row>
    <row r="595" spans="1:3" ht="15.6">
      <c r="A595" s="100" t="s">
        <v>2081</v>
      </c>
      <c r="B595" s="90" t="s">
        <v>2440</v>
      </c>
      <c r="C595" s="89" t="s">
        <v>2441</v>
      </c>
    </row>
    <row r="596" spans="1:3" ht="15.6">
      <c r="A596" s="100" t="s">
        <v>2166</v>
      </c>
      <c r="B596" s="90" t="s">
        <v>2330</v>
      </c>
      <c r="C596" s="89" t="s">
        <v>2331</v>
      </c>
    </row>
    <row r="597" spans="1:3" ht="15.6">
      <c r="A597" s="100" t="s">
        <v>1049</v>
      </c>
      <c r="B597" s="90" t="s">
        <v>1050</v>
      </c>
      <c r="C597" s="89" t="s">
        <v>1455</v>
      </c>
    </row>
    <row r="598" spans="1:3" ht="15.6">
      <c r="A598" s="100" t="s">
        <v>1015</v>
      </c>
      <c r="B598" s="90" t="s">
        <v>1016</v>
      </c>
      <c r="C598" s="89" t="s">
        <v>1444</v>
      </c>
    </row>
    <row r="599" spans="1:3" ht="15.6">
      <c r="A599" s="100" t="s">
        <v>1857</v>
      </c>
      <c r="B599" s="90" t="s">
        <v>1858</v>
      </c>
      <c r="C599" s="89" t="s">
        <v>1456</v>
      </c>
    </row>
    <row r="600" spans="1:3" ht="15.6">
      <c r="A600" s="100"/>
      <c r="B600" s="93" t="s">
        <v>2450</v>
      </c>
      <c r="C600" s="89"/>
    </row>
    <row r="601" spans="1:3" ht="15.6">
      <c r="A601" s="100" t="s">
        <v>2145</v>
      </c>
      <c r="B601" s="90" t="s">
        <v>2303</v>
      </c>
      <c r="C601" s="89" t="s">
        <v>2304</v>
      </c>
    </row>
    <row r="602" spans="1:3" ht="15.6">
      <c r="A602" s="100"/>
      <c r="B602" s="90" t="s">
        <v>2586</v>
      </c>
      <c r="C602" s="89"/>
    </row>
    <row r="603" spans="1:3" ht="15.6">
      <c r="A603" s="100" t="s">
        <v>1064</v>
      </c>
      <c r="B603" s="90" t="s">
        <v>1065</v>
      </c>
      <c r="C603" s="89" t="s">
        <v>1512</v>
      </c>
    </row>
    <row r="604" spans="1:3" ht="15.6">
      <c r="A604" s="100"/>
      <c r="B604" s="90" t="s">
        <v>2538</v>
      </c>
      <c r="C604" s="89"/>
    </row>
    <row r="605" spans="1:3" ht="15.6">
      <c r="A605" s="100" t="s">
        <v>1345</v>
      </c>
      <c r="B605" s="90" t="s">
        <v>1469</v>
      </c>
      <c r="C605" s="89" t="s">
        <v>1457</v>
      </c>
    </row>
    <row r="606" spans="1:3" ht="15.6">
      <c r="A606" s="100"/>
      <c r="B606" s="90" t="s">
        <v>2587</v>
      </c>
      <c r="C606" s="89"/>
    </row>
    <row r="607" spans="1:3" ht="15.6">
      <c r="A607" s="100" t="s">
        <v>775</v>
      </c>
      <c r="B607" s="90" t="s">
        <v>776</v>
      </c>
      <c r="C607" s="89" t="s">
        <v>1463</v>
      </c>
    </row>
    <row r="608" spans="1:3" ht="15.6">
      <c r="A608" s="100" t="s">
        <v>773</v>
      </c>
      <c r="B608" s="90" t="s">
        <v>774</v>
      </c>
      <c r="C608" s="89" t="s">
        <v>1463</v>
      </c>
    </row>
    <row r="609" spans="1:3" ht="15.6">
      <c r="A609" s="100" t="s">
        <v>456</v>
      </c>
      <c r="B609" s="90" t="s">
        <v>457</v>
      </c>
      <c r="C609" s="89" t="s">
        <v>1452</v>
      </c>
    </row>
    <row r="610" spans="1:3" ht="15.6">
      <c r="A610" s="100" t="s">
        <v>1216</v>
      </c>
      <c r="B610" s="90" t="s">
        <v>1217</v>
      </c>
      <c r="C610" s="89" t="s">
        <v>1447</v>
      </c>
    </row>
    <row r="611" spans="1:3" ht="15.6">
      <c r="A611" s="100" t="s">
        <v>445</v>
      </c>
      <c r="B611" s="90" t="s">
        <v>446</v>
      </c>
      <c r="C611" s="89" t="s">
        <v>1452</v>
      </c>
    </row>
    <row r="612" spans="1:3" ht="15.6">
      <c r="A612" s="100" t="s">
        <v>1097</v>
      </c>
      <c r="B612" s="90" t="s">
        <v>1098</v>
      </c>
      <c r="C612" s="89" t="s">
        <v>1462</v>
      </c>
    </row>
    <row r="613" spans="1:3" ht="15.6">
      <c r="A613" s="100" t="s">
        <v>1726</v>
      </c>
      <c r="B613" s="90" t="s">
        <v>1727</v>
      </c>
      <c r="C613" s="89" t="s">
        <v>1728</v>
      </c>
    </row>
    <row r="614" spans="1:3" ht="15.6">
      <c r="A614" s="100" t="s">
        <v>1757</v>
      </c>
      <c r="B614" s="90" t="s">
        <v>1758</v>
      </c>
      <c r="C614" s="89" t="s">
        <v>1728</v>
      </c>
    </row>
    <row r="615" spans="1:3" ht="15.6">
      <c r="A615" s="100"/>
      <c r="B615" s="90" t="s">
        <v>2588</v>
      </c>
      <c r="C615" s="89"/>
    </row>
    <row r="616" spans="1:3" ht="15.6">
      <c r="A616" s="100"/>
      <c r="B616" s="90" t="s">
        <v>2589</v>
      </c>
      <c r="C616" s="89"/>
    </row>
    <row r="617" spans="1:3" ht="15.6">
      <c r="A617" s="100" t="s">
        <v>922</v>
      </c>
      <c r="B617" s="90" t="s">
        <v>923</v>
      </c>
      <c r="C617" s="89" t="s">
        <v>1443</v>
      </c>
    </row>
    <row r="618" spans="1:3" ht="15.6">
      <c r="A618" s="100"/>
      <c r="B618" s="90" t="s">
        <v>2485</v>
      </c>
      <c r="C618" s="89"/>
    </row>
    <row r="619" spans="1:3" ht="15.6">
      <c r="A619" s="100" t="s">
        <v>1291</v>
      </c>
      <c r="B619" s="90" t="s">
        <v>1292</v>
      </c>
      <c r="C619" s="89" t="s">
        <v>1290</v>
      </c>
    </row>
    <row r="620" spans="1:3" ht="15.6">
      <c r="A620" s="100"/>
      <c r="B620" s="90" t="s">
        <v>2484</v>
      </c>
      <c r="C620" s="89"/>
    </row>
    <row r="621" spans="1:3" ht="15.6">
      <c r="A621" s="100" t="s">
        <v>549</v>
      </c>
      <c r="B621" s="90" t="s">
        <v>550</v>
      </c>
      <c r="C621" s="89" t="s">
        <v>1448</v>
      </c>
    </row>
    <row r="622" spans="1:3" ht="15.6">
      <c r="A622" s="100" t="s">
        <v>828</v>
      </c>
      <c r="B622" s="90" t="s">
        <v>829</v>
      </c>
      <c r="C622" s="89" t="s">
        <v>1456</v>
      </c>
    </row>
    <row r="623" spans="1:3" ht="15.6">
      <c r="A623" s="100" t="s">
        <v>1956</v>
      </c>
      <c r="B623" s="90" t="s">
        <v>1957</v>
      </c>
      <c r="C623" s="89" t="s">
        <v>1768</v>
      </c>
    </row>
    <row r="624" spans="1:3" ht="15.6">
      <c r="A624" s="100" t="s">
        <v>966</v>
      </c>
      <c r="B624" s="90" t="s">
        <v>967</v>
      </c>
      <c r="C624" s="89" t="s">
        <v>1457</v>
      </c>
    </row>
    <row r="625" spans="1:3" ht="15.6">
      <c r="A625" s="100" t="s">
        <v>1164</v>
      </c>
      <c r="B625" s="90" t="s">
        <v>1165</v>
      </c>
      <c r="C625" s="89" t="s">
        <v>1440</v>
      </c>
    </row>
    <row r="626" spans="1:3" ht="15.6">
      <c r="A626" s="100" t="s">
        <v>562</v>
      </c>
      <c r="B626" s="90" t="s">
        <v>563</v>
      </c>
      <c r="C626" s="89" t="s">
        <v>1448</v>
      </c>
    </row>
    <row r="627" spans="1:3" ht="15.6">
      <c r="A627" s="100" t="s">
        <v>1948</v>
      </c>
      <c r="B627" s="90" t="s">
        <v>1949</v>
      </c>
      <c r="C627" s="89" t="s">
        <v>1446</v>
      </c>
    </row>
    <row r="628" spans="1:3" ht="15.6">
      <c r="A628" s="100"/>
      <c r="B628" s="93" t="s">
        <v>1289</v>
      </c>
      <c r="C628" s="89"/>
    </row>
    <row r="629" spans="1:3" ht="15.6">
      <c r="A629" s="100" t="s">
        <v>2077</v>
      </c>
      <c r="B629" s="90" t="s">
        <v>2436</v>
      </c>
      <c r="C629" s="103" t="s">
        <v>2437</v>
      </c>
    </row>
    <row r="630" spans="1:3" ht="15.6">
      <c r="A630" s="100" t="s">
        <v>395</v>
      </c>
      <c r="B630" s="90" t="s">
        <v>396</v>
      </c>
      <c r="C630" s="89" t="s">
        <v>1461</v>
      </c>
    </row>
    <row r="631" spans="1:3" ht="15.6">
      <c r="A631" s="100" t="s">
        <v>1080</v>
      </c>
      <c r="B631" s="90" t="s">
        <v>1081</v>
      </c>
      <c r="C631" s="89" t="s">
        <v>1462</v>
      </c>
    </row>
    <row r="632" spans="1:3" ht="15.6">
      <c r="A632" s="100"/>
      <c r="B632" s="90" t="s">
        <v>2537</v>
      </c>
      <c r="C632" s="89"/>
    </row>
    <row r="633" spans="1:3" ht="15.6">
      <c r="A633" s="100" t="s">
        <v>1100</v>
      </c>
      <c r="B633" s="90" t="s">
        <v>1101</v>
      </c>
      <c r="C633" s="89" t="s">
        <v>1509</v>
      </c>
    </row>
    <row r="634" spans="1:3" ht="15.6">
      <c r="A634" s="100" t="s">
        <v>2040</v>
      </c>
      <c r="B634" s="90" t="s">
        <v>2226</v>
      </c>
      <c r="C634" s="89" t="s">
        <v>2227</v>
      </c>
    </row>
    <row r="635" spans="1:3" ht="15.6">
      <c r="A635" s="100"/>
      <c r="B635" s="90" t="s">
        <v>2590</v>
      </c>
      <c r="C635" s="89"/>
    </row>
    <row r="636" spans="1:3" ht="15.6">
      <c r="A636" s="100" t="s">
        <v>1018</v>
      </c>
      <c r="B636" s="90" t="s">
        <v>1019</v>
      </c>
      <c r="C636" s="89" t="s">
        <v>1444</v>
      </c>
    </row>
    <row r="637" spans="1:3" ht="15.6">
      <c r="A637" s="100" t="s">
        <v>744</v>
      </c>
      <c r="B637" s="90" t="s">
        <v>745</v>
      </c>
      <c r="C637" s="89" t="s">
        <v>1442</v>
      </c>
    </row>
    <row r="638" spans="1:3" ht="15.6">
      <c r="A638" s="100" t="s">
        <v>1172</v>
      </c>
      <c r="B638" s="90" t="s">
        <v>1173</v>
      </c>
      <c r="C638" s="89" t="s">
        <v>1440</v>
      </c>
    </row>
    <row r="639" spans="1:3" ht="15.6">
      <c r="A639" s="100" t="s">
        <v>1168</v>
      </c>
      <c r="B639" s="90" t="s">
        <v>1169</v>
      </c>
      <c r="C639" s="89" t="s">
        <v>1440</v>
      </c>
    </row>
    <row r="640" spans="1:3" ht="15.6">
      <c r="A640" s="100" t="s">
        <v>994</v>
      </c>
      <c r="B640" s="90" t="s">
        <v>995</v>
      </c>
      <c r="C640" s="89" t="s">
        <v>1514</v>
      </c>
    </row>
    <row r="641" spans="1:3" ht="15.6">
      <c r="A641" s="100" t="s">
        <v>1187</v>
      </c>
      <c r="B641" s="90" t="s">
        <v>1188</v>
      </c>
      <c r="C641" s="89" t="s">
        <v>1440</v>
      </c>
    </row>
    <row r="642" spans="1:3" ht="15.6">
      <c r="A642" s="100" t="s">
        <v>1819</v>
      </c>
      <c r="B642" s="90" t="s">
        <v>1820</v>
      </c>
      <c r="C642" s="89" t="s">
        <v>1821</v>
      </c>
    </row>
    <row r="643" spans="1:3" ht="15.6">
      <c r="A643" s="100" t="s">
        <v>1992</v>
      </c>
      <c r="B643" s="90" t="s">
        <v>2203</v>
      </c>
      <c r="C643" s="89" t="s">
        <v>1821</v>
      </c>
    </row>
    <row r="644" spans="1:3" ht="15.6">
      <c r="A644" s="100" t="s">
        <v>2115</v>
      </c>
      <c r="B644" s="90" t="s">
        <v>2269</v>
      </c>
      <c r="C644" s="89" t="s">
        <v>1821</v>
      </c>
    </row>
    <row r="645" spans="1:3" ht="15.6">
      <c r="A645" s="100"/>
      <c r="B645" s="90" t="s">
        <v>2591</v>
      </c>
      <c r="C645" s="89"/>
    </row>
    <row r="646" spans="1:3" ht="15.6">
      <c r="A646" s="100" t="s">
        <v>864</v>
      </c>
      <c r="B646" s="90" t="s">
        <v>865</v>
      </c>
      <c r="C646" s="89" t="s">
        <v>1451</v>
      </c>
    </row>
    <row r="647" spans="1:3" ht="15.6">
      <c r="A647" s="100" t="s">
        <v>902</v>
      </c>
      <c r="B647" s="90" t="s">
        <v>903</v>
      </c>
      <c r="C647" s="89" t="s">
        <v>1443</v>
      </c>
    </row>
    <row r="648" spans="1:3" ht="15.6">
      <c r="A648" s="100" t="s">
        <v>2130</v>
      </c>
      <c r="B648" s="90" t="s">
        <v>903</v>
      </c>
      <c r="C648" s="89" t="s">
        <v>2285</v>
      </c>
    </row>
    <row r="649" spans="1:3" ht="15.6">
      <c r="A649" s="100" t="s">
        <v>1135</v>
      </c>
      <c r="B649" s="90" t="s">
        <v>1136</v>
      </c>
      <c r="C649" s="89" t="s">
        <v>1441</v>
      </c>
    </row>
    <row r="650" spans="1:3" ht="15.6">
      <c r="A650" s="100" t="s">
        <v>1994</v>
      </c>
      <c r="B650" s="90" t="s">
        <v>2204</v>
      </c>
      <c r="C650" s="89" t="s">
        <v>1447</v>
      </c>
    </row>
    <row r="651" spans="1:3" ht="15.6">
      <c r="A651" s="100" t="s">
        <v>2020</v>
      </c>
      <c r="B651" s="90" t="s">
        <v>2365</v>
      </c>
      <c r="C651" s="89" t="s">
        <v>2339</v>
      </c>
    </row>
    <row r="652" spans="1:3" ht="15.6">
      <c r="A652" s="100" t="s">
        <v>1732</v>
      </c>
      <c r="B652" s="90" t="s">
        <v>1733</v>
      </c>
      <c r="C652" s="89" t="s">
        <v>1734</v>
      </c>
    </row>
    <row r="653" spans="1:3" ht="15.6">
      <c r="A653" s="100" t="s">
        <v>2027</v>
      </c>
      <c r="B653" s="94" t="s">
        <v>2373</v>
      </c>
      <c r="C653" s="89" t="s">
        <v>2339</v>
      </c>
    </row>
    <row r="654" spans="1:3" ht="15.6">
      <c r="A654" s="100" t="s">
        <v>2332</v>
      </c>
      <c r="B654" s="90" t="s">
        <v>2338</v>
      </c>
      <c r="C654" s="89" t="s">
        <v>2339</v>
      </c>
    </row>
    <row r="655" spans="1:3" ht="15.6">
      <c r="A655" s="100" t="s">
        <v>2337</v>
      </c>
      <c r="B655" s="98" t="s">
        <v>2345</v>
      </c>
      <c r="C655" s="89" t="s">
        <v>2339</v>
      </c>
    </row>
    <row r="656" spans="1:3" ht="15.6">
      <c r="A656" s="100"/>
      <c r="B656" s="90" t="s">
        <v>2592</v>
      </c>
      <c r="C656" s="89"/>
    </row>
    <row r="657" spans="1:3" ht="15.6">
      <c r="A657" s="100" t="s">
        <v>479</v>
      </c>
      <c r="B657" s="90" t="s">
        <v>480</v>
      </c>
      <c r="C657" s="89" t="s">
        <v>1452</v>
      </c>
    </row>
    <row r="658" spans="1:3" ht="15.6">
      <c r="A658" s="100" t="s">
        <v>867</v>
      </c>
      <c r="B658" s="90" t="s">
        <v>868</v>
      </c>
      <c r="C658" s="89" t="s">
        <v>1451</v>
      </c>
    </row>
    <row r="659" spans="1:3" ht="15.6">
      <c r="A659" s="100" t="s">
        <v>1898</v>
      </c>
      <c r="B659" s="90" t="s">
        <v>1899</v>
      </c>
      <c r="C659" s="89" t="s">
        <v>1447</v>
      </c>
    </row>
    <row r="660" spans="1:3" ht="15.6">
      <c r="A660" s="100" t="s">
        <v>2031</v>
      </c>
      <c r="B660" s="90" t="s">
        <v>2222</v>
      </c>
      <c r="C660" s="89" t="s">
        <v>2223</v>
      </c>
    </row>
    <row r="661" spans="1:3" ht="15.6">
      <c r="A661" s="100"/>
      <c r="B661" s="90" t="s">
        <v>2593</v>
      </c>
      <c r="C661" s="89"/>
    </row>
    <row r="662" spans="1:3" ht="15.6">
      <c r="A662" s="100" t="s">
        <v>522</v>
      </c>
      <c r="B662" s="90" t="s">
        <v>523</v>
      </c>
      <c r="C662" s="89" t="s">
        <v>1448</v>
      </c>
    </row>
    <row r="663" spans="1:3" ht="15.6">
      <c r="A663" s="100" t="s">
        <v>873</v>
      </c>
      <c r="B663" s="90" t="s">
        <v>874</v>
      </c>
      <c r="C663" s="89" t="s">
        <v>1451</v>
      </c>
    </row>
    <row r="664" spans="1:3" ht="15.6">
      <c r="A664" s="100"/>
      <c r="B664" s="90" t="s">
        <v>2495</v>
      </c>
      <c r="C664" s="89"/>
    </row>
    <row r="665" spans="1:3" ht="15.6">
      <c r="A665" s="100" t="s">
        <v>587</v>
      </c>
      <c r="B665" s="90" t="s">
        <v>588</v>
      </c>
      <c r="C665" s="89" t="s">
        <v>1446</v>
      </c>
    </row>
    <row r="666" spans="1:3" ht="15.6">
      <c r="A666" s="100" t="s">
        <v>421</v>
      </c>
      <c r="B666" s="90" t="s">
        <v>422</v>
      </c>
      <c r="C666" s="89" t="s">
        <v>1461</v>
      </c>
    </row>
    <row r="667" spans="1:3" ht="15.6">
      <c r="A667" s="100"/>
      <c r="B667" s="90" t="s">
        <v>2505</v>
      </c>
      <c r="C667" s="89"/>
    </row>
    <row r="668" spans="1:3" ht="15.6">
      <c r="A668" s="100" t="s">
        <v>1833</v>
      </c>
      <c r="B668" s="90" t="s">
        <v>1834</v>
      </c>
      <c r="C668" s="89" t="s">
        <v>1459</v>
      </c>
    </row>
    <row r="669" spans="1:3" ht="15.6">
      <c r="A669" s="100" t="s">
        <v>1133</v>
      </c>
      <c r="B669" s="90" t="s">
        <v>1134</v>
      </c>
      <c r="C669" s="89" t="s">
        <v>1441</v>
      </c>
    </row>
    <row r="670" spans="1:3" ht="15.6">
      <c r="A670" s="100" t="s">
        <v>2018</v>
      </c>
      <c r="B670" s="90" t="s">
        <v>2363</v>
      </c>
      <c r="C670" s="89" t="s">
        <v>1742</v>
      </c>
    </row>
    <row r="671" spans="1:3" ht="15.6">
      <c r="A671" s="100" t="s">
        <v>1740</v>
      </c>
      <c r="B671" s="90" t="s">
        <v>1741</v>
      </c>
      <c r="C671" s="89" t="s">
        <v>1742</v>
      </c>
    </row>
    <row r="672" spans="1:3" ht="15.6">
      <c r="A672" s="100" t="s">
        <v>2159</v>
      </c>
      <c r="B672" s="90" t="s">
        <v>2321</v>
      </c>
      <c r="C672" s="89" t="s">
        <v>1742</v>
      </c>
    </row>
    <row r="673" spans="1:3" ht="15.6">
      <c r="A673" s="100"/>
      <c r="B673" s="90" t="s">
        <v>2456</v>
      </c>
      <c r="C673" s="89"/>
    </row>
    <row r="674" spans="1:3" ht="15.6">
      <c r="A674" s="100"/>
      <c r="B674" s="90" t="s">
        <v>2528</v>
      </c>
      <c r="C674" s="89"/>
    </row>
    <row r="675" spans="1:3" ht="15.6">
      <c r="A675" s="100" t="s">
        <v>805</v>
      </c>
      <c r="B675" s="90" t="s">
        <v>806</v>
      </c>
      <c r="C675" s="89" t="s">
        <v>1415</v>
      </c>
    </row>
    <row r="676" spans="1:3" ht="15.6">
      <c r="A676" s="100"/>
      <c r="B676" s="90" t="s">
        <v>2486</v>
      </c>
      <c r="C676" s="89"/>
    </row>
    <row r="677" spans="1:3" ht="15.6">
      <c r="A677" s="100" t="s">
        <v>1040</v>
      </c>
      <c r="B677" s="90" t="s">
        <v>1041</v>
      </c>
      <c r="C677" s="89" t="s">
        <v>1414</v>
      </c>
    </row>
    <row r="678" spans="1:3" ht="15.6">
      <c r="A678" s="100" t="s">
        <v>1128</v>
      </c>
      <c r="B678" s="90" t="s">
        <v>1129</v>
      </c>
      <c r="C678" s="89" t="s">
        <v>1441</v>
      </c>
    </row>
    <row r="679" spans="1:3" ht="15.6">
      <c r="A679" s="100" t="s">
        <v>485</v>
      </c>
      <c r="B679" s="90" t="s">
        <v>486</v>
      </c>
      <c r="C679" s="89" t="s">
        <v>1452</v>
      </c>
    </row>
    <row r="680" spans="1:3" ht="15.6">
      <c r="A680" s="100" t="s">
        <v>1872</v>
      </c>
      <c r="B680" s="90" t="s">
        <v>1873</v>
      </c>
      <c r="C680" s="89" t="s">
        <v>1748</v>
      </c>
    </row>
    <row r="681" spans="1:3" ht="15.6">
      <c r="A681" s="100" t="s">
        <v>1963</v>
      </c>
      <c r="B681" s="90" t="s">
        <v>2346</v>
      </c>
      <c r="C681" s="89" t="s">
        <v>1748</v>
      </c>
    </row>
    <row r="682" spans="1:3" ht="15.6">
      <c r="A682" s="100"/>
      <c r="B682" s="93" t="s">
        <v>1288</v>
      </c>
      <c r="C682" s="89"/>
    </row>
    <row r="683" spans="1:3" ht="15.6">
      <c r="A683" s="100" t="s">
        <v>1646</v>
      </c>
      <c r="B683" s="90" t="s">
        <v>1647</v>
      </c>
      <c r="C683" s="89" t="s">
        <v>1575</v>
      </c>
    </row>
    <row r="684" spans="1:3" ht="15.6">
      <c r="A684" s="100" t="s">
        <v>1573</v>
      </c>
      <c r="B684" s="90" t="s">
        <v>1574</v>
      </c>
      <c r="C684" s="89" t="s">
        <v>1575</v>
      </c>
    </row>
    <row r="685" spans="1:3" ht="15.6">
      <c r="A685" s="100" t="s">
        <v>2107</v>
      </c>
      <c r="B685" s="90" t="s">
        <v>2258</v>
      </c>
      <c r="C685" s="89" t="s">
        <v>1452</v>
      </c>
    </row>
    <row r="686" spans="1:3" ht="15.6">
      <c r="A686" s="100" t="s">
        <v>2333</v>
      </c>
      <c r="B686" s="90" t="s">
        <v>2340</v>
      </c>
      <c r="C686" s="89" t="s">
        <v>1441</v>
      </c>
    </row>
    <row r="687" spans="1:3" ht="15.6">
      <c r="A687" s="100" t="s">
        <v>1746</v>
      </c>
      <c r="B687" s="90" t="s">
        <v>1747</v>
      </c>
      <c r="C687" s="89" t="s">
        <v>1748</v>
      </c>
    </row>
    <row r="688" spans="1:3" ht="15.6">
      <c r="A688" s="100"/>
      <c r="B688" s="110" t="s">
        <v>428</v>
      </c>
      <c r="C688" s="89"/>
    </row>
    <row r="689" spans="1:3" ht="15.6">
      <c r="A689" s="100" t="s">
        <v>1113</v>
      </c>
      <c r="B689" s="90" t="s">
        <v>1114</v>
      </c>
      <c r="C689" s="89" t="s">
        <v>1416</v>
      </c>
    </row>
    <row r="690" spans="1:3" ht="15.6">
      <c r="A690" s="100"/>
      <c r="B690" s="90" t="s">
        <v>2455</v>
      </c>
      <c r="C690" s="89"/>
    </row>
    <row r="691" spans="1:3" ht="15.6">
      <c r="A691" s="100" t="s">
        <v>1120</v>
      </c>
      <c r="B691" s="90" t="s">
        <v>1121</v>
      </c>
      <c r="C691" s="89" t="s">
        <v>1441</v>
      </c>
    </row>
    <row r="692" spans="1:3" ht="15.6">
      <c r="A692" s="100" t="s">
        <v>1189</v>
      </c>
      <c r="B692" s="90" t="s">
        <v>1190</v>
      </c>
      <c r="C692" s="89" t="s">
        <v>1526</v>
      </c>
    </row>
    <row r="693" spans="1:3" ht="15.6">
      <c r="A693" s="100"/>
      <c r="B693" s="90" t="s">
        <v>2513</v>
      </c>
      <c r="C693" s="89"/>
    </row>
    <row r="694" spans="1:3" ht="15.6">
      <c r="A694" s="100" t="s">
        <v>2131</v>
      </c>
      <c r="B694" s="90" t="s">
        <v>2286</v>
      </c>
      <c r="C694" s="89" t="s">
        <v>1462</v>
      </c>
    </row>
    <row r="695" spans="1:3" ht="15.6">
      <c r="A695" s="100" t="s">
        <v>1788</v>
      </c>
      <c r="B695" s="90" t="s">
        <v>1789</v>
      </c>
      <c r="C695" s="89" t="s">
        <v>1451</v>
      </c>
    </row>
    <row r="696" spans="1:3" ht="15.6">
      <c r="A696" s="100" t="s">
        <v>655</v>
      </c>
      <c r="B696" s="90" t="s">
        <v>656</v>
      </c>
      <c r="C696" s="89" t="s">
        <v>1445</v>
      </c>
    </row>
    <row r="697" spans="1:3" ht="15.6">
      <c r="A697" s="100" t="s">
        <v>661</v>
      </c>
      <c r="B697" s="90" t="s">
        <v>662</v>
      </c>
      <c r="C697" s="89" t="s">
        <v>1445</v>
      </c>
    </row>
    <row r="698" spans="1:3" ht="15.6">
      <c r="A698" s="100"/>
      <c r="B698" s="111" t="s">
        <v>934</v>
      </c>
      <c r="C698" s="89"/>
    </row>
    <row r="699" spans="1:3" ht="15.6">
      <c r="A699" s="100" t="s">
        <v>1196</v>
      </c>
      <c r="B699" s="90" t="s">
        <v>1197</v>
      </c>
      <c r="C699" s="89" t="s">
        <v>1418</v>
      </c>
    </row>
    <row r="700" spans="1:3" ht="15.6">
      <c r="A700" s="100" t="s">
        <v>1214</v>
      </c>
      <c r="B700" s="90" t="s">
        <v>1215</v>
      </c>
      <c r="C700" s="89" t="s">
        <v>1447</v>
      </c>
    </row>
    <row r="701" spans="1:3" ht="15.6">
      <c r="A701" s="100" t="s">
        <v>997</v>
      </c>
      <c r="B701" s="90" t="s">
        <v>998</v>
      </c>
      <c r="C701" s="89" t="s">
        <v>1417</v>
      </c>
    </row>
    <row r="702" spans="1:3" ht="15.6">
      <c r="A702" s="100" t="s">
        <v>1348</v>
      </c>
      <c r="B702" s="90" t="s">
        <v>1476</v>
      </c>
      <c r="C702" s="89" t="s">
        <v>1442</v>
      </c>
    </row>
    <row r="703" spans="1:3" ht="15.6">
      <c r="A703" s="100" t="s">
        <v>626</v>
      </c>
      <c r="B703" s="90" t="s">
        <v>627</v>
      </c>
      <c r="C703" s="89" t="s">
        <v>1453</v>
      </c>
    </row>
    <row r="704" spans="1:3" ht="15.6">
      <c r="A704" s="100" t="s">
        <v>677</v>
      </c>
      <c r="B704" s="90" t="s">
        <v>678</v>
      </c>
      <c r="C704" s="89" t="s">
        <v>1420</v>
      </c>
    </row>
    <row r="705" spans="1:3" ht="15.6">
      <c r="A705" s="100"/>
      <c r="B705" s="90" t="s">
        <v>678</v>
      </c>
      <c r="C705" s="89"/>
    </row>
    <row r="706" spans="1:3" ht="15.6">
      <c r="A706" s="100" t="s">
        <v>692</v>
      </c>
      <c r="B706" s="90" t="s">
        <v>693</v>
      </c>
      <c r="C706" s="89" t="s">
        <v>1459</v>
      </c>
    </row>
    <row r="707" spans="1:3" ht="15.6">
      <c r="A707" s="100" t="s">
        <v>945</v>
      </c>
      <c r="B707" s="90" t="s">
        <v>946</v>
      </c>
      <c r="C707" s="89" t="s">
        <v>1419</v>
      </c>
    </row>
    <row r="708" spans="1:3" ht="15.6">
      <c r="A708" s="100" t="s">
        <v>1357</v>
      </c>
      <c r="B708" s="90" t="s">
        <v>1496</v>
      </c>
      <c r="C708" s="89" t="s">
        <v>1456</v>
      </c>
    </row>
    <row r="709" spans="1:3" ht="15.6">
      <c r="A709" s="100" t="s">
        <v>752</v>
      </c>
      <c r="B709" s="90" t="s">
        <v>753</v>
      </c>
      <c r="C709" s="89" t="s">
        <v>1442</v>
      </c>
    </row>
    <row r="710" spans="1:3" ht="15.6">
      <c r="A710" s="100" t="s">
        <v>2150</v>
      </c>
      <c r="B710" s="90" t="s">
        <v>2309</v>
      </c>
      <c r="C710" s="89" t="s">
        <v>1456</v>
      </c>
    </row>
    <row r="711" spans="1:3" ht="15.6">
      <c r="A711" s="100" t="s">
        <v>742</v>
      </c>
      <c r="B711" s="90" t="s">
        <v>743</v>
      </c>
      <c r="C711" s="89" t="s">
        <v>1442</v>
      </c>
    </row>
    <row r="712" spans="1:3" ht="15.6">
      <c r="A712" s="100"/>
      <c r="B712" s="90" t="s">
        <v>2542</v>
      </c>
      <c r="C712" s="89"/>
    </row>
    <row r="713" spans="1:3" ht="15.6">
      <c r="A713" s="100" t="s">
        <v>1361</v>
      </c>
      <c r="B713" s="90" t="s">
        <v>1502</v>
      </c>
      <c r="C713" s="89" t="s">
        <v>1503</v>
      </c>
    </row>
    <row r="714" spans="1:3" ht="15.6">
      <c r="A714" s="100" t="s">
        <v>1867</v>
      </c>
      <c r="B714" s="90" t="s">
        <v>1868</v>
      </c>
      <c r="C714" s="89" t="s">
        <v>1449</v>
      </c>
    </row>
    <row r="715" spans="1:3" ht="15.6">
      <c r="A715" s="100" t="s">
        <v>2139</v>
      </c>
      <c r="B715" s="90" t="s">
        <v>2296</v>
      </c>
      <c r="C715" s="89" t="s">
        <v>1503</v>
      </c>
    </row>
    <row r="716" spans="1:3" ht="15.6">
      <c r="A716" s="100" t="s">
        <v>650</v>
      </c>
      <c r="B716" s="90" t="s">
        <v>651</v>
      </c>
      <c r="C716" s="89" t="s">
        <v>1445</v>
      </c>
    </row>
    <row r="717" spans="1:3" ht="15.6">
      <c r="A717" s="100" t="s">
        <v>1480</v>
      </c>
      <c r="B717" s="90" t="s">
        <v>1481</v>
      </c>
      <c r="C717" s="89" t="s">
        <v>1452</v>
      </c>
    </row>
    <row r="718" spans="1:3" ht="15.6">
      <c r="A718" s="100"/>
      <c r="B718" s="90" t="s">
        <v>2544</v>
      </c>
      <c r="C718" s="89"/>
    </row>
    <row r="719" spans="1:3" ht="15.6">
      <c r="A719" s="100"/>
      <c r="B719" s="93" t="s">
        <v>2453</v>
      </c>
      <c r="C719" s="89"/>
    </row>
    <row r="720" spans="1:3" ht="15.6">
      <c r="A720" s="100" t="s">
        <v>1839</v>
      </c>
      <c r="B720" s="90" t="s">
        <v>1840</v>
      </c>
      <c r="C720" s="89" t="s">
        <v>1841</v>
      </c>
    </row>
    <row r="721" spans="1:3" ht="15.6">
      <c r="A721" s="100" t="s">
        <v>605</v>
      </c>
      <c r="B721" s="90" t="s">
        <v>606</v>
      </c>
      <c r="C721" s="89" t="s">
        <v>1446</v>
      </c>
    </row>
    <row r="722" spans="1:3" ht="15.6">
      <c r="A722" s="100" t="s">
        <v>2148</v>
      </c>
      <c r="B722" s="90" t="s">
        <v>2307</v>
      </c>
      <c r="C722" s="89" t="s">
        <v>1455</v>
      </c>
    </row>
    <row r="723" spans="1:3" ht="15.6">
      <c r="A723" s="100" t="s">
        <v>808</v>
      </c>
      <c r="B723" s="90" t="s">
        <v>809</v>
      </c>
      <c r="C723" s="89" t="s">
        <v>1415</v>
      </c>
    </row>
    <row r="724" spans="1:3" ht="15.6">
      <c r="A724" s="100" t="s">
        <v>680</v>
      </c>
      <c r="B724" s="90" t="s">
        <v>681</v>
      </c>
      <c r="C724" s="89" t="s">
        <v>1420</v>
      </c>
    </row>
    <row r="725" spans="1:3" ht="15.6">
      <c r="A725" s="100" t="s">
        <v>1012</v>
      </c>
      <c r="B725" s="90" t="s">
        <v>1013</v>
      </c>
      <c r="C725" s="89" t="s">
        <v>1444</v>
      </c>
    </row>
    <row r="726" spans="1:3" ht="15.6">
      <c r="A726" s="100" t="s">
        <v>848</v>
      </c>
      <c r="B726" s="90" t="s">
        <v>849</v>
      </c>
      <c r="C726" s="89" t="s">
        <v>1456</v>
      </c>
    </row>
    <row r="727" spans="1:3" ht="15.6">
      <c r="A727" s="100" t="s">
        <v>1809</v>
      </c>
      <c r="B727" s="90" t="s">
        <v>1810</v>
      </c>
      <c r="C727" s="89" t="s">
        <v>1441</v>
      </c>
    </row>
    <row r="728" spans="1:3" ht="15.6">
      <c r="A728" s="100" t="s">
        <v>1709</v>
      </c>
      <c r="B728" s="90" t="s">
        <v>1710</v>
      </c>
      <c r="C728" s="89" t="s">
        <v>1711</v>
      </c>
    </row>
    <row r="729" spans="1:3" ht="15.6">
      <c r="A729" s="100" t="s">
        <v>735</v>
      </c>
      <c r="B729" s="90" t="s">
        <v>736</v>
      </c>
      <c r="C729" s="89" t="s">
        <v>1442</v>
      </c>
    </row>
    <row r="730" spans="1:3" ht="15.6">
      <c r="A730" s="100" t="s">
        <v>822</v>
      </c>
      <c r="B730" s="90" t="s">
        <v>2606</v>
      </c>
      <c r="C730" s="89" t="s">
        <v>1456</v>
      </c>
    </row>
    <row r="731" spans="1:3" ht="15.6">
      <c r="A731" s="100" t="s">
        <v>1362</v>
      </c>
      <c r="B731" s="90" t="s">
        <v>1508</v>
      </c>
      <c r="C731" s="89" t="s">
        <v>1449</v>
      </c>
    </row>
    <row r="732" spans="1:3" ht="15.6">
      <c r="A732" s="100" t="s">
        <v>1140</v>
      </c>
      <c r="B732" s="90" t="s">
        <v>1141</v>
      </c>
      <c r="C732" s="89" t="s">
        <v>1416</v>
      </c>
    </row>
    <row r="733" spans="1:3" ht="15.6">
      <c r="A733" s="100" t="s">
        <v>717</v>
      </c>
      <c r="B733" s="90" t="s">
        <v>718</v>
      </c>
      <c r="C733" s="89" t="s">
        <v>1459</v>
      </c>
    </row>
    <row r="734" spans="1:3" ht="15.6">
      <c r="A734" s="100" t="s">
        <v>1996</v>
      </c>
      <c r="B734" s="90" t="s">
        <v>2206</v>
      </c>
      <c r="C734" s="89" t="s">
        <v>1456</v>
      </c>
    </row>
    <row r="735" spans="1:3" ht="15.6">
      <c r="A735" s="100" t="s">
        <v>1876</v>
      </c>
      <c r="B735" s="90" t="s">
        <v>1877</v>
      </c>
      <c r="C735" s="89" t="s">
        <v>1714</v>
      </c>
    </row>
    <row r="736" spans="1:3" ht="15.6">
      <c r="A736" s="100" t="s">
        <v>2069</v>
      </c>
      <c r="B736" s="90" t="s">
        <v>2423</v>
      </c>
      <c r="C736" s="89" t="s">
        <v>2424</v>
      </c>
    </row>
    <row r="737" spans="1:3" ht="15.6">
      <c r="A737" s="100" t="s">
        <v>1368</v>
      </c>
      <c r="B737" s="90" t="s">
        <v>1535</v>
      </c>
      <c r="C737" s="89" t="s">
        <v>1536</v>
      </c>
    </row>
    <row r="738" spans="1:3" ht="15.6">
      <c r="A738" s="100" t="s">
        <v>2117</v>
      </c>
      <c r="B738" s="90" t="s">
        <v>2271</v>
      </c>
      <c r="C738" s="89" t="s">
        <v>1714</v>
      </c>
    </row>
    <row r="739" spans="1:3" ht="15.6">
      <c r="A739" s="100" t="s">
        <v>1712</v>
      </c>
      <c r="B739" s="90" t="s">
        <v>1713</v>
      </c>
      <c r="C739" s="89" t="s">
        <v>1714</v>
      </c>
    </row>
    <row r="740" spans="1:3" ht="15.6">
      <c r="A740" s="100" t="s">
        <v>2030</v>
      </c>
      <c r="B740" s="90" t="s">
        <v>2376</v>
      </c>
      <c r="C740" s="89" t="s">
        <v>1714</v>
      </c>
    </row>
    <row r="741" spans="1:3" ht="15.6">
      <c r="A741" s="100" t="s">
        <v>1759</v>
      </c>
      <c r="B741" s="90" t="s">
        <v>1760</v>
      </c>
      <c r="C741" s="89" t="s">
        <v>1714</v>
      </c>
    </row>
    <row r="742" spans="1:3" ht="15.6">
      <c r="A742" s="100" t="s">
        <v>956</v>
      </c>
      <c r="B742" s="90" t="s">
        <v>957</v>
      </c>
      <c r="C742" s="89" t="s">
        <v>1457</v>
      </c>
    </row>
    <row r="743" spans="1:3" ht="15.6">
      <c r="A743" s="100" t="s">
        <v>1339</v>
      </c>
      <c r="B743" s="90" t="s">
        <v>1454</v>
      </c>
      <c r="C743" s="89" t="s">
        <v>1442</v>
      </c>
    </row>
    <row r="744" spans="1:3" ht="15.6">
      <c r="A744" s="100" t="s">
        <v>620</v>
      </c>
      <c r="B744" s="90" t="s">
        <v>621</v>
      </c>
      <c r="C744" s="89" t="s">
        <v>1453</v>
      </c>
    </row>
    <row r="745" spans="1:3" ht="15.6">
      <c r="A745" s="100"/>
      <c r="B745" s="90" t="s">
        <v>2558</v>
      </c>
      <c r="C745" s="89"/>
    </row>
    <row r="746" spans="1:3" ht="15.6">
      <c r="A746" s="100"/>
      <c r="B746" s="93" t="s">
        <v>1280</v>
      </c>
      <c r="C746" s="89"/>
    </row>
    <row r="747" spans="1:3" ht="15.6">
      <c r="A747" s="100"/>
      <c r="B747" s="90" t="s">
        <v>2550</v>
      </c>
      <c r="C747" s="89"/>
    </row>
    <row r="748" spans="1:3" ht="15.6">
      <c r="A748" s="100" t="s">
        <v>885</v>
      </c>
      <c r="B748" s="90" t="s">
        <v>886</v>
      </c>
      <c r="C748" s="89" t="s">
        <v>1451</v>
      </c>
    </row>
    <row r="749" spans="1:3" ht="15.6">
      <c r="A749" s="100"/>
      <c r="B749" s="90" t="s">
        <v>2507</v>
      </c>
      <c r="C749" s="89"/>
    </row>
    <row r="750" spans="1:3" ht="15.6">
      <c r="A750" s="100" t="s">
        <v>2154</v>
      </c>
      <c r="B750" s="90" t="s">
        <v>2315</v>
      </c>
      <c r="C750" s="89" t="s">
        <v>1445</v>
      </c>
    </row>
    <row r="751" spans="1:3" ht="15.6">
      <c r="A751" s="100" t="s">
        <v>2071</v>
      </c>
      <c r="B751" s="90" t="s">
        <v>2426</v>
      </c>
      <c r="C751" s="89" t="s">
        <v>2427</v>
      </c>
    </row>
    <row r="752" spans="1:3" ht="15.6">
      <c r="A752" s="100" t="s">
        <v>2075</v>
      </c>
      <c r="B752" s="90" t="s">
        <v>2432</v>
      </c>
      <c r="C752" s="89" t="s">
        <v>2433</v>
      </c>
    </row>
    <row r="753" spans="1:3" ht="15.6">
      <c r="A753" s="100" t="s">
        <v>1337</v>
      </c>
      <c r="B753" s="90" t="s">
        <v>1421</v>
      </c>
      <c r="C753" s="89" t="s">
        <v>1422</v>
      </c>
    </row>
    <row r="754" spans="1:3" ht="15.6">
      <c r="A754" s="100" t="s">
        <v>1224</v>
      </c>
      <c r="B754" s="90" t="s">
        <v>1225</v>
      </c>
      <c r="C754" s="89" t="s">
        <v>1447</v>
      </c>
    </row>
    <row r="755" spans="1:3" ht="15.6">
      <c r="A755" s="100" t="s">
        <v>1540</v>
      </c>
      <c r="B755" s="90" t="s">
        <v>1541</v>
      </c>
      <c r="C755" s="89" t="s">
        <v>1542</v>
      </c>
    </row>
    <row r="756" spans="1:3" ht="15.6">
      <c r="A756" s="100" t="s">
        <v>1707</v>
      </c>
      <c r="B756" s="90" t="s">
        <v>1708</v>
      </c>
      <c r="C756" s="89" t="s">
        <v>1441</v>
      </c>
    </row>
    <row r="757" spans="1:3" ht="15.6">
      <c r="A757" s="100" t="s">
        <v>1769</v>
      </c>
      <c r="B757" s="90" t="s">
        <v>1770</v>
      </c>
      <c r="C757" s="89" t="s">
        <v>1542</v>
      </c>
    </row>
    <row r="758" spans="1:3" ht="15.6">
      <c r="A758" s="100" t="s">
        <v>1124</v>
      </c>
      <c r="B758" s="90" t="s">
        <v>1125</v>
      </c>
      <c r="C758" s="89" t="s">
        <v>1441</v>
      </c>
    </row>
    <row r="759" spans="1:3" ht="15.6">
      <c r="A759" s="100" t="s">
        <v>1166</v>
      </c>
      <c r="B759" s="90" t="s">
        <v>1167</v>
      </c>
      <c r="C759" s="89" t="s">
        <v>1440</v>
      </c>
    </row>
    <row r="760" spans="1:3" ht="15.6">
      <c r="A760" s="100" t="s">
        <v>861</v>
      </c>
      <c r="B760" s="90" t="s">
        <v>862</v>
      </c>
      <c r="C760" s="89" t="s">
        <v>1433</v>
      </c>
    </row>
    <row r="761" spans="1:3" ht="15.6">
      <c r="A761" s="100" t="s">
        <v>504</v>
      </c>
      <c r="B761" s="90" t="s">
        <v>505</v>
      </c>
      <c r="C761" s="89" t="s">
        <v>1426</v>
      </c>
    </row>
    <row r="762" spans="1:3" ht="15.6">
      <c r="A762" s="100" t="s">
        <v>386</v>
      </c>
      <c r="B762" s="90" t="s">
        <v>387</v>
      </c>
      <c r="C762" s="89" t="s">
        <v>1438</v>
      </c>
    </row>
    <row r="763" spans="1:3" ht="15.6">
      <c r="A763" s="100"/>
      <c r="B763" s="90" t="s">
        <v>2517</v>
      </c>
      <c r="C763" s="89"/>
    </row>
    <row r="764" spans="1:3" ht="15.6">
      <c r="A764" s="100" t="s">
        <v>1021</v>
      </c>
      <c r="B764" s="90" t="s">
        <v>1022</v>
      </c>
      <c r="C764" s="89" t="s">
        <v>1444</v>
      </c>
    </row>
    <row r="765" spans="1:3" ht="15.6">
      <c r="A765" s="100" t="s">
        <v>633</v>
      </c>
      <c r="B765" s="90" t="s">
        <v>634</v>
      </c>
      <c r="C765" s="89" t="s">
        <v>1427</v>
      </c>
    </row>
    <row r="766" spans="1:3" ht="15.6">
      <c r="A766" s="100" t="s">
        <v>763</v>
      </c>
      <c r="B766" s="90" t="s">
        <v>764</v>
      </c>
      <c r="C766" s="89" t="s">
        <v>1428</v>
      </c>
    </row>
    <row r="767" spans="1:3" ht="15.6">
      <c r="A767" s="100" t="s">
        <v>602</v>
      </c>
      <c r="B767" s="90" t="s">
        <v>603</v>
      </c>
      <c r="C767" s="89" t="s">
        <v>1446</v>
      </c>
    </row>
    <row r="768" spans="1:3" ht="15.6">
      <c r="A768" s="100" t="s">
        <v>1997</v>
      </c>
      <c r="B768" s="90" t="s">
        <v>2355</v>
      </c>
      <c r="C768" s="89" t="s">
        <v>2354</v>
      </c>
    </row>
    <row r="769" spans="1:3" ht="15.6">
      <c r="A769" s="100" t="s">
        <v>1993</v>
      </c>
      <c r="B769" s="90" t="s">
        <v>2353</v>
      </c>
      <c r="C769" s="89" t="s">
        <v>2354</v>
      </c>
    </row>
    <row r="770" spans="1:3" ht="15.6">
      <c r="A770" s="100" t="s">
        <v>552</v>
      </c>
      <c r="B770" s="90" t="s">
        <v>553</v>
      </c>
      <c r="C770" s="89" t="s">
        <v>1448</v>
      </c>
    </row>
    <row r="771" spans="1:3" ht="15.6">
      <c r="A771" s="100"/>
      <c r="B771" s="90" t="s">
        <v>2547</v>
      </c>
      <c r="C771" s="89"/>
    </row>
    <row r="772" spans="1:3" ht="15.6">
      <c r="A772" s="100" t="s">
        <v>468</v>
      </c>
      <c r="B772" s="90" t="s">
        <v>469</v>
      </c>
      <c r="C772" s="89" t="s">
        <v>1452</v>
      </c>
    </row>
    <row r="773" spans="1:3" ht="15.6">
      <c r="A773" s="100" t="s">
        <v>1211</v>
      </c>
      <c r="B773" s="90" t="s">
        <v>1212</v>
      </c>
      <c r="C773" s="89" t="s">
        <v>1447</v>
      </c>
    </row>
    <row r="774" spans="1:3" ht="15.6">
      <c r="A774" s="100" t="s">
        <v>491</v>
      </c>
      <c r="B774" s="90" t="s">
        <v>492</v>
      </c>
      <c r="C774" s="89" t="s">
        <v>1452</v>
      </c>
    </row>
    <row r="775" spans="1:3" ht="15.6">
      <c r="A775" s="100" t="s">
        <v>1281</v>
      </c>
      <c r="B775" s="90" t="s">
        <v>1282</v>
      </c>
      <c r="C775" s="89" t="s">
        <v>1504</v>
      </c>
    </row>
    <row r="776" spans="1:3" ht="15.6">
      <c r="A776" s="100" t="s">
        <v>1932</v>
      </c>
      <c r="B776" s="90" t="s">
        <v>1933</v>
      </c>
      <c r="C776" s="89" t="s">
        <v>1456</v>
      </c>
    </row>
    <row r="777" spans="1:3" ht="15.6">
      <c r="A777" s="100" t="s">
        <v>618</v>
      </c>
      <c r="B777" s="90" t="s">
        <v>619</v>
      </c>
      <c r="C777" s="89" t="s">
        <v>1430</v>
      </c>
    </row>
    <row r="778" spans="1:3" ht="15.6">
      <c r="A778" s="100" t="s">
        <v>2002</v>
      </c>
      <c r="B778" s="90" t="s">
        <v>2210</v>
      </c>
      <c r="C778" s="89" t="s">
        <v>1681</v>
      </c>
    </row>
    <row r="779" spans="1:3" ht="15.6">
      <c r="A779" s="100" t="s">
        <v>1679</v>
      </c>
      <c r="B779" s="90" t="s">
        <v>1680</v>
      </c>
      <c r="C779" s="89" t="s">
        <v>1681</v>
      </c>
    </row>
    <row r="780" spans="1:3" ht="15.6">
      <c r="A780" s="100" t="s">
        <v>2078</v>
      </c>
      <c r="B780" s="90" t="s">
        <v>2438</v>
      </c>
      <c r="C780" s="89" t="s">
        <v>1681</v>
      </c>
    </row>
    <row r="781" spans="1:3" ht="15.6">
      <c r="A781" s="100" t="s">
        <v>1761</v>
      </c>
      <c r="B781" s="90" t="s">
        <v>1762</v>
      </c>
      <c r="C781" s="89" t="s">
        <v>1681</v>
      </c>
    </row>
    <row r="782" spans="1:3" ht="15.6">
      <c r="A782" s="100" t="s">
        <v>568</v>
      </c>
      <c r="B782" s="90" t="s">
        <v>569</v>
      </c>
      <c r="C782" s="89" t="s">
        <v>1448</v>
      </c>
    </row>
    <row r="783" spans="1:3" ht="15.6">
      <c r="A783" s="100" t="s">
        <v>1364</v>
      </c>
      <c r="B783" s="90" t="s">
        <v>1517</v>
      </c>
      <c r="C783" s="89" t="s">
        <v>1448</v>
      </c>
    </row>
    <row r="784" spans="1:3" ht="15.6">
      <c r="A784" s="100" t="s">
        <v>1995</v>
      </c>
      <c r="B784" s="90" t="s">
        <v>2205</v>
      </c>
      <c r="C784" s="89" t="s">
        <v>1455</v>
      </c>
    </row>
    <row r="785" spans="1:3" ht="15.6">
      <c r="A785" s="100" t="s">
        <v>1555</v>
      </c>
      <c r="B785" s="90" t="s">
        <v>1556</v>
      </c>
      <c r="C785" s="89" t="s">
        <v>1557</v>
      </c>
    </row>
    <row r="786" spans="1:3" ht="15.6">
      <c r="A786" s="100" t="s">
        <v>2006</v>
      </c>
      <c r="B786" s="90" t="s">
        <v>2213</v>
      </c>
      <c r="C786" s="89" t="s">
        <v>1557</v>
      </c>
    </row>
    <row r="787" spans="1:3" ht="15.6">
      <c r="A787" s="100" t="s">
        <v>2119</v>
      </c>
      <c r="B787" s="90" t="s">
        <v>2273</v>
      </c>
      <c r="C787" s="89" t="s">
        <v>1557</v>
      </c>
    </row>
    <row r="788" spans="1:3" ht="15.6">
      <c r="A788" s="100" t="s">
        <v>658</v>
      </c>
      <c r="B788" s="90" t="s">
        <v>659</v>
      </c>
      <c r="C788" s="89" t="s">
        <v>1445</v>
      </c>
    </row>
    <row r="789" spans="1:3" ht="15.6">
      <c r="A789" s="100"/>
      <c r="B789" s="90" t="s">
        <v>2454</v>
      </c>
      <c r="C789" s="89"/>
    </row>
    <row r="790" spans="1:3" ht="15.6">
      <c r="A790" s="100" t="s">
        <v>825</v>
      </c>
      <c r="B790" s="90" t="s">
        <v>826</v>
      </c>
      <c r="C790" s="89" t="s">
        <v>1456</v>
      </c>
    </row>
    <row r="791" spans="1:3" ht="15.6">
      <c r="A791" s="100"/>
      <c r="B791" s="90" t="s">
        <v>2557</v>
      </c>
      <c r="C791" s="89"/>
    </row>
    <row r="792" spans="1:3" ht="15.6">
      <c r="A792" s="112" t="s">
        <v>1939</v>
      </c>
      <c r="B792" s="90" t="s">
        <v>1940</v>
      </c>
      <c r="C792" s="89" t="s">
        <v>1512</v>
      </c>
    </row>
    <row r="793" spans="1:3" ht="15.6">
      <c r="A793" s="112" t="s">
        <v>1698</v>
      </c>
      <c r="B793" s="90" t="s">
        <v>1699</v>
      </c>
      <c r="C793" s="89" t="s">
        <v>1700</v>
      </c>
    </row>
    <row r="794" spans="1:3" ht="15.6">
      <c r="A794" s="112" t="s">
        <v>2129</v>
      </c>
      <c r="B794" s="90" t="s">
        <v>1699</v>
      </c>
      <c r="C794" s="89" t="s">
        <v>2284</v>
      </c>
    </row>
    <row r="795" spans="1:3" ht="15.6">
      <c r="A795" s="112" t="s">
        <v>2127</v>
      </c>
      <c r="B795" s="90" t="s">
        <v>2282</v>
      </c>
      <c r="C795" s="89" t="s">
        <v>1447</v>
      </c>
    </row>
    <row r="796" spans="1:3" ht="15.6">
      <c r="A796" s="112" t="s">
        <v>1356</v>
      </c>
      <c r="B796" s="90" t="s">
        <v>1495</v>
      </c>
      <c r="C796" s="89" t="s">
        <v>1459</v>
      </c>
    </row>
    <row r="797" spans="1:3" ht="15.6">
      <c r="A797" s="112" t="s">
        <v>1359</v>
      </c>
      <c r="B797" s="90" t="s">
        <v>1499</v>
      </c>
      <c r="C797" s="89" t="s">
        <v>1500</v>
      </c>
    </row>
    <row r="798" spans="1:3" ht="15.6">
      <c r="A798" s="112" t="s">
        <v>1319</v>
      </c>
      <c r="B798" s="113" t="s">
        <v>1320</v>
      </c>
      <c r="C798" s="89" t="s">
        <v>1525</v>
      </c>
    </row>
    <row r="799" spans="1:3" ht="15.6">
      <c r="A799" s="112" t="s">
        <v>2003</v>
      </c>
      <c r="B799" s="90" t="s">
        <v>2211</v>
      </c>
      <c r="C799" s="89" t="s">
        <v>1447</v>
      </c>
    </row>
    <row r="800" spans="1:3" ht="15.6">
      <c r="A800" s="112" t="s">
        <v>1677</v>
      </c>
      <c r="B800" s="90" t="s">
        <v>1678</v>
      </c>
      <c r="C800" s="89" t="s">
        <v>1525</v>
      </c>
    </row>
    <row r="801" spans="1:3" ht="15.6">
      <c r="A801" s="112" t="s">
        <v>962</v>
      </c>
      <c r="B801" s="90" t="s">
        <v>963</v>
      </c>
      <c r="C801" s="89" t="s">
        <v>1457</v>
      </c>
    </row>
    <row r="802" spans="1:3" ht="15.6">
      <c r="A802" s="112"/>
      <c r="B802" s="93" t="s">
        <v>969</v>
      </c>
      <c r="C802" s="89"/>
    </row>
    <row r="803" spans="1:3" ht="15.6">
      <c r="A803" s="112" t="s">
        <v>855</v>
      </c>
      <c r="B803" s="90" t="s">
        <v>856</v>
      </c>
      <c r="C803" s="89" t="s">
        <v>1433</v>
      </c>
    </row>
    <row r="804" spans="1:3" ht="15.6">
      <c r="A804" s="112" t="s">
        <v>857</v>
      </c>
      <c r="B804" s="90" t="s">
        <v>856</v>
      </c>
      <c r="C804" s="89" t="s">
        <v>1433</v>
      </c>
    </row>
    <row r="805" spans="1:3" ht="15.6">
      <c r="A805" s="112" t="s">
        <v>686</v>
      </c>
      <c r="B805" s="90" t="s">
        <v>687</v>
      </c>
      <c r="C805" s="89" t="s">
        <v>1420</v>
      </c>
    </row>
    <row r="806" spans="1:3" ht="15.6">
      <c r="A806" s="112" t="s">
        <v>1342</v>
      </c>
      <c r="B806" s="90" t="s">
        <v>1464</v>
      </c>
      <c r="C806" s="89" t="s">
        <v>1452</v>
      </c>
    </row>
    <row r="807" spans="1:3" ht="15.6">
      <c r="A807" s="112" t="s">
        <v>1979</v>
      </c>
      <c r="B807" s="90" t="s">
        <v>2190</v>
      </c>
      <c r="C807" s="89" t="s">
        <v>1442</v>
      </c>
    </row>
    <row r="808" spans="1:3" ht="15.6">
      <c r="A808" s="112" t="s">
        <v>1715</v>
      </c>
      <c r="B808" s="90" t="s">
        <v>1716</v>
      </c>
      <c r="C808" s="89" t="s">
        <v>1717</v>
      </c>
    </row>
    <row r="809" spans="1:3" ht="15.6">
      <c r="A809" s="112" t="s">
        <v>1735</v>
      </c>
      <c r="B809" s="90" t="s">
        <v>1736</v>
      </c>
      <c r="C809" s="89" t="s">
        <v>1443</v>
      </c>
    </row>
    <row r="810" spans="1:3" ht="15.6">
      <c r="A810" s="112" t="s">
        <v>1056</v>
      </c>
      <c r="B810" s="90" t="s">
        <v>1057</v>
      </c>
      <c r="C810" s="89" t="s">
        <v>1455</v>
      </c>
    </row>
    <row r="811" spans="1:3" ht="15.6">
      <c r="A811" s="112"/>
      <c r="B811" s="90" t="s">
        <v>2480</v>
      </c>
      <c r="C811" s="89"/>
    </row>
    <row r="812" spans="1:3" ht="15.6">
      <c r="A812" s="112" t="s">
        <v>1118</v>
      </c>
      <c r="B812" s="90" t="s">
        <v>1119</v>
      </c>
      <c r="C812" s="89" t="s">
        <v>1441</v>
      </c>
    </row>
    <row r="813" spans="1:3" ht="15.6">
      <c r="A813" s="112" t="s">
        <v>1093</v>
      </c>
      <c r="B813" s="90" t="s">
        <v>1094</v>
      </c>
      <c r="C813" s="89" t="s">
        <v>1462</v>
      </c>
    </row>
    <row r="814" spans="1:3" ht="15.6">
      <c r="A814" s="112" t="s">
        <v>1842</v>
      </c>
      <c r="B814" s="90" t="s">
        <v>1843</v>
      </c>
      <c r="C814" s="89" t="s">
        <v>1844</v>
      </c>
    </row>
    <row r="815" spans="1:3" ht="15.6">
      <c r="A815" s="112" t="s">
        <v>1831</v>
      </c>
      <c r="B815" s="90" t="s">
        <v>1832</v>
      </c>
      <c r="C815" s="89" t="s">
        <v>1453</v>
      </c>
    </row>
    <row r="816" spans="1:3" ht="15.6">
      <c r="A816" s="112"/>
      <c r="B816" s="93" t="s">
        <v>1265</v>
      </c>
      <c r="C816" s="89"/>
    </row>
    <row r="817" spans="1:3" ht="15.6">
      <c r="A817" s="112" t="s">
        <v>1570</v>
      </c>
      <c r="B817" s="90" t="s">
        <v>1571</v>
      </c>
      <c r="C817" s="89" t="s">
        <v>1572</v>
      </c>
    </row>
    <row r="818" spans="1:3" ht="15.6">
      <c r="A818" s="112" t="s">
        <v>2158</v>
      </c>
      <c r="B818" s="90" t="s">
        <v>2320</v>
      </c>
      <c r="C818" s="89" t="s">
        <v>1572</v>
      </c>
    </row>
    <row r="819" spans="1:3" ht="15.6">
      <c r="A819" s="112" t="s">
        <v>1743</v>
      </c>
      <c r="B819" s="90" t="s">
        <v>1744</v>
      </c>
      <c r="C819" s="89" t="s">
        <v>1745</v>
      </c>
    </row>
    <row r="820" spans="1:3" ht="15.6">
      <c r="A820" s="112"/>
      <c r="B820" s="90" t="s">
        <v>2567</v>
      </c>
      <c r="C820" s="89"/>
    </row>
    <row r="821" spans="1:3" ht="15.6">
      <c r="A821" s="112" t="s">
        <v>820</v>
      </c>
      <c r="B821" s="90" t="s">
        <v>1439</v>
      </c>
      <c r="C821" s="89" t="s">
        <v>1450</v>
      </c>
    </row>
    <row r="822" spans="1:3" ht="15.6">
      <c r="A822" s="112" t="s">
        <v>869</v>
      </c>
      <c r="B822" s="90" t="s">
        <v>870</v>
      </c>
      <c r="C822" s="89" t="s">
        <v>1451</v>
      </c>
    </row>
    <row r="823" spans="1:3" ht="15.6">
      <c r="A823" s="112" t="s">
        <v>813</v>
      </c>
      <c r="B823" s="90" t="s">
        <v>814</v>
      </c>
      <c r="C823" s="89" t="s">
        <v>1415</v>
      </c>
    </row>
    <row r="824" spans="1:3" ht="15.6">
      <c r="A824" s="112" t="s">
        <v>436</v>
      </c>
      <c r="B824" s="90" t="s">
        <v>437</v>
      </c>
      <c r="C824" s="89" t="s">
        <v>1435</v>
      </c>
    </row>
    <row r="825" spans="1:3" ht="15.6">
      <c r="A825" s="112" t="s">
        <v>1066</v>
      </c>
      <c r="B825" s="90" t="s">
        <v>1067</v>
      </c>
      <c r="C825" s="89" t="s">
        <v>1455</v>
      </c>
    </row>
    <row r="826" spans="1:3" ht="15.6">
      <c r="A826" s="112" t="s">
        <v>1861</v>
      </c>
      <c r="B826" s="90" t="s">
        <v>1862</v>
      </c>
      <c r="C826" s="89" t="s">
        <v>1801</v>
      </c>
    </row>
    <row r="827" spans="1:3" ht="15.6">
      <c r="A827" s="112" t="s">
        <v>2028</v>
      </c>
      <c r="B827" s="94" t="s">
        <v>2374</v>
      </c>
      <c r="C827" s="89" t="s">
        <v>1801</v>
      </c>
    </row>
    <row r="828" spans="1:3" ht="15.6">
      <c r="A828" s="112" t="s">
        <v>815</v>
      </c>
      <c r="B828" s="90" t="s">
        <v>816</v>
      </c>
      <c r="C828" s="89" t="s">
        <v>1415</v>
      </c>
    </row>
    <row r="829" spans="1:3" ht="15.6">
      <c r="A829" s="112"/>
      <c r="B829" s="90" t="s">
        <v>2548</v>
      </c>
      <c r="C829" s="89"/>
    </row>
    <row r="830" spans="1:3" ht="15.6">
      <c r="A830" s="112" t="s">
        <v>622</v>
      </c>
      <c r="B830" s="90" t="s">
        <v>623</v>
      </c>
      <c r="C830" s="89" t="s">
        <v>1430</v>
      </c>
    </row>
    <row r="831" spans="1:3" ht="15.6">
      <c r="A831" s="112" t="s">
        <v>2048</v>
      </c>
      <c r="B831" s="90" t="s">
        <v>2394</v>
      </c>
      <c r="C831" s="89" t="s">
        <v>2395</v>
      </c>
    </row>
    <row r="832" spans="1:3" ht="15.6">
      <c r="A832" s="112"/>
      <c r="B832" s="90" t="s">
        <v>2523</v>
      </c>
      <c r="C832" s="89"/>
    </row>
    <row r="833" spans="1:3" ht="15.6">
      <c r="A833" s="112" t="s">
        <v>465</v>
      </c>
      <c r="B833" s="90" t="s">
        <v>466</v>
      </c>
      <c r="C833" s="89" t="s">
        <v>1452</v>
      </c>
    </row>
    <row r="834" spans="1:3" ht="15.6">
      <c r="A834" s="112" t="s">
        <v>439</v>
      </c>
      <c r="B834" s="90" t="s">
        <v>440</v>
      </c>
      <c r="C834" s="89" t="s">
        <v>1437</v>
      </c>
    </row>
    <row r="835" spans="1:3" ht="15.6">
      <c r="A835" s="112" t="s">
        <v>453</v>
      </c>
      <c r="B835" s="90" t="s">
        <v>454</v>
      </c>
      <c r="C835" s="89" t="s">
        <v>1452</v>
      </c>
    </row>
    <row r="836" spans="1:3" ht="15.6">
      <c r="A836" s="112" t="s">
        <v>720</v>
      </c>
      <c r="B836" s="90" t="s">
        <v>721</v>
      </c>
      <c r="C836" s="89" t="s">
        <v>1459</v>
      </c>
    </row>
    <row r="837" spans="1:3" ht="15.6">
      <c r="A837" s="112" t="s">
        <v>1964</v>
      </c>
      <c r="B837" s="90" t="s">
        <v>2173</v>
      </c>
      <c r="C837" s="89" t="s">
        <v>2174</v>
      </c>
    </row>
    <row r="838" spans="1:3" ht="15.6">
      <c r="A838" s="112"/>
      <c r="B838" s="93" t="s">
        <v>1194</v>
      </c>
      <c r="C838" s="89"/>
    </row>
    <row r="839" spans="1:3" ht="15.6">
      <c r="A839" s="112" t="s">
        <v>1349</v>
      </c>
      <c r="B839" s="90" t="s">
        <v>1478</v>
      </c>
      <c r="C839" s="89" t="s">
        <v>1479</v>
      </c>
    </row>
    <row r="840" spans="1:3" ht="15.6">
      <c r="A840" s="112" t="s">
        <v>1346</v>
      </c>
      <c r="B840" s="90" t="s">
        <v>1470</v>
      </c>
      <c r="C840" s="89" t="s">
        <v>1448</v>
      </c>
    </row>
    <row r="841" spans="1:3" ht="15.6">
      <c r="A841" s="112" t="s">
        <v>1724</v>
      </c>
      <c r="B841" s="90" t="s">
        <v>1725</v>
      </c>
      <c r="C841" s="89" t="s">
        <v>1452</v>
      </c>
    </row>
    <row r="842" spans="1:3" ht="15.6">
      <c r="A842" s="112" t="s">
        <v>2057</v>
      </c>
      <c r="B842" s="90" t="s">
        <v>2408</v>
      </c>
      <c r="C842" s="89" t="s">
        <v>2409</v>
      </c>
    </row>
    <row r="843" spans="1:3" ht="15.6">
      <c r="A843" s="112" t="s">
        <v>1754</v>
      </c>
      <c r="B843" s="90" t="s">
        <v>1755</v>
      </c>
      <c r="C843" s="89" t="s">
        <v>1756</v>
      </c>
    </row>
    <row r="844" spans="1:3" ht="15.6">
      <c r="A844" s="112"/>
      <c r="B844" s="90" t="s">
        <v>2491</v>
      </c>
      <c r="C844" s="89"/>
    </row>
    <row r="845" spans="1:3" ht="15.6">
      <c r="A845" s="112" t="s">
        <v>1042</v>
      </c>
      <c r="B845" s="90" t="s">
        <v>1043</v>
      </c>
      <c r="C845" s="89" t="s">
        <v>1455</v>
      </c>
    </row>
    <row r="846" spans="1:3" ht="15.6">
      <c r="A846" s="112" t="s">
        <v>1178</v>
      </c>
      <c r="B846" s="90" t="s">
        <v>1179</v>
      </c>
      <c r="C846" s="89" t="s">
        <v>1440</v>
      </c>
    </row>
    <row r="847" spans="1:3" ht="15.6">
      <c r="A847" s="112" t="s">
        <v>746</v>
      </c>
      <c r="B847" s="90" t="s">
        <v>747</v>
      </c>
      <c r="C847" s="89" t="s">
        <v>1516</v>
      </c>
    </row>
    <row r="848" spans="1:3" ht="15.6">
      <c r="A848" s="112" t="s">
        <v>1922</v>
      </c>
      <c r="B848" s="90" t="s">
        <v>1923</v>
      </c>
      <c r="C848" s="89" t="s">
        <v>1443</v>
      </c>
    </row>
    <row r="849" spans="1:3" ht="15.6">
      <c r="A849" s="112" t="s">
        <v>1737</v>
      </c>
      <c r="B849" s="90" t="s">
        <v>1738</v>
      </c>
      <c r="C849" s="89" t="s">
        <v>1739</v>
      </c>
    </row>
    <row r="850" spans="1:3" ht="15.6">
      <c r="A850" s="112"/>
      <c r="B850" s="90" t="s">
        <v>2525</v>
      </c>
      <c r="C850" s="89"/>
    </row>
    <row r="851" spans="1:3" ht="15.6">
      <c r="A851" s="112" t="s">
        <v>929</v>
      </c>
      <c r="B851" s="90" t="s">
        <v>930</v>
      </c>
      <c r="C851" s="89" t="s">
        <v>1443</v>
      </c>
    </row>
    <row r="852" spans="1:3" ht="15.6">
      <c r="A852" s="112" t="s">
        <v>541</v>
      </c>
      <c r="B852" s="90" t="s">
        <v>542</v>
      </c>
      <c r="C852" s="89" t="s">
        <v>1448</v>
      </c>
    </row>
    <row r="853" spans="1:3" ht="15.6">
      <c r="A853" s="112" t="s">
        <v>507</v>
      </c>
      <c r="B853" s="90" t="s">
        <v>508</v>
      </c>
      <c r="C853" s="89" t="s">
        <v>1426</v>
      </c>
    </row>
    <row r="854" spans="1:3" ht="15.6">
      <c r="A854" s="112"/>
      <c r="B854" s="90" t="s">
        <v>2490</v>
      </c>
      <c r="C854" s="89"/>
    </row>
    <row r="855" spans="1:3" ht="15.6">
      <c r="A855" s="112" t="s">
        <v>714</v>
      </c>
      <c r="B855" s="90" t="s">
        <v>715</v>
      </c>
      <c r="C855" s="89" t="s">
        <v>1459</v>
      </c>
    </row>
    <row r="856" spans="1:3" ht="15.6">
      <c r="A856" s="112" t="s">
        <v>1270</v>
      </c>
      <c r="B856" s="90" t="s">
        <v>1271</v>
      </c>
      <c r="C856" s="89" t="s">
        <v>1269</v>
      </c>
    </row>
    <row r="857" spans="1:3" ht="15.6">
      <c r="A857" s="112"/>
      <c r="B857" s="90" t="s">
        <v>2532</v>
      </c>
      <c r="C857" s="89"/>
    </row>
    <row r="858" spans="1:3" ht="15.6">
      <c r="A858" s="112" t="s">
        <v>1351</v>
      </c>
      <c r="B858" s="90" t="s">
        <v>1484</v>
      </c>
      <c r="C858" s="89" t="s">
        <v>1485</v>
      </c>
    </row>
    <row r="859" spans="1:3" ht="15.6">
      <c r="A859" s="112" t="s">
        <v>1152</v>
      </c>
      <c r="B859" s="90" t="s">
        <v>1153</v>
      </c>
      <c r="C859" s="89" t="s">
        <v>1440</v>
      </c>
    </row>
    <row r="860" spans="1:3" ht="15.6">
      <c r="A860" s="112" t="s">
        <v>1115</v>
      </c>
      <c r="B860" s="90" t="s">
        <v>1116</v>
      </c>
      <c r="C860" s="89" t="s">
        <v>1441</v>
      </c>
    </row>
    <row r="861" spans="1:3" ht="15.6">
      <c r="A861" s="112" t="s">
        <v>1763</v>
      </c>
      <c r="B861" s="90" t="s">
        <v>1764</v>
      </c>
      <c r="C861" s="89" t="s">
        <v>1765</v>
      </c>
    </row>
    <row r="862" spans="1:3" ht="15.6">
      <c r="A862" s="112" t="s">
        <v>1170</v>
      </c>
      <c r="B862" s="90" t="s">
        <v>1171</v>
      </c>
      <c r="C862" s="89" t="s">
        <v>1440</v>
      </c>
    </row>
    <row r="863" spans="1:3" ht="15.6">
      <c r="A863" s="112" t="s">
        <v>559</v>
      </c>
      <c r="B863" s="90" t="s">
        <v>560</v>
      </c>
      <c r="C863" s="89" t="s">
        <v>1448</v>
      </c>
    </row>
    <row r="864" spans="1:3" ht="15.6">
      <c r="A864" s="112" t="s">
        <v>599</v>
      </c>
      <c r="B864" s="90" t="s">
        <v>600</v>
      </c>
      <c r="C864" s="89" t="s">
        <v>1446</v>
      </c>
    </row>
    <row r="865" spans="1:3" ht="15.6">
      <c r="A865" s="112" t="s">
        <v>1002</v>
      </c>
      <c r="B865" s="90" t="s">
        <v>1003</v>
      </c>
      <c r="C865" s="89" t="s">
        <v>1444</v>
      </c>
    </row>
    <row r="866" spans="1:3" ht="15.6">
      <c r="A866" s="112" t="s">
        <v>999</v>
      </c>
      <c r="B866" s="90" t="s">
        <v>1000</v>
      </c>
      <c r="C866" s="89" t="s">
        <v>1444</v>
      </c>
    </row>
    <row r="867" spans="1:3" ht="15.6">
      <c r="A867" s="112" t="s">
        <v>730</v>
      </c>
      <c r="B867" s="90" t="s">
        <v>731</v>
      </c>
      <c r="C867" s="89" t="s">
        <v>1442</v>
      </c>
    </row>
    <row r="868" spans="1:3" ht="15.6">
      <c r="A868" s="112"/>
      <c r="B868" s="90" t="s">
        <v>2604</v>
      </c>
      <c r="C868" s="89"/>
    </row>
    <row r="869" spans="1:3" ht="15.6">
      <c r="A869" s="112"/>
      <c r="B869" s="90" t="s">
        <v>2549</v>
      </c>
      <c r="C869" s="89"/>
    </row>
    <row r="870" spans="1:3" ht="15.6">
      <c r="A870" s="112" t="s">
        <v>779</v>
      </c>
      <c r="B870" s="90" t="s">
        <v>780</v>
      </c>
      <c r="C870" s="89" t="s">
        <v>1463</v>
      </c>
    </row>
    <row r="871" spans="1:3" ht="15.6">
      <c r="A871" s="112" t="s">
        <v>739</v>
      </c>
      <c r="B871" s="90" t="s">
        <v>740</v>
      </c>
      <c r="C871" s="89" t="s">
        <v>1442</v>
      </c>
    </row>
    <row r="872" spans="1:3" ht="15.6">
      <c r="A872" s="112" t="s">
        <v>582</v>
      </c>
      <c r="B872" s="90" t="s">
        <v>583</v>
      </c>
      <c r="C872" s="89" t="s">
        <v>1446</v>
      </c>
    </row>
    <row r="873" spans="1:3" ht="15.6">
      <c r="A873" s="112" t="s">
        <v>906</v>
      </c>
      <c r="B873" s="90" t="s">
        <v>907</v>
      </c>
      <c r="C873" s="89" t="s">
        <v>1443</v>
      </c>
    </row>
    <row r="874" spans="1:3" ht="15.6">
      <c r="A874" s="112" t="s">
        <v>635</v>
      </c>
      <c r="B874" s="90" t="s">
        <v>636</v>
      </c>
      <c r="C874" s="89" t="s">
        <v>1445</v>
      </c>
    </row>
    <row r="875" spans="1:3" ht="15.6">
      <c r="A875" s="112" t="s">
        <v>984</v>
      </c>
      <c r="B875" s="90" t="s">
        <v>985</v>
      </c>
      <c r="C875" s="89" t="s">
        <v>1449</v>
      </c>
    </row>
    <row r="876" spans="1:3" ht="15.6">
      <c r="A876" s="112"/>
      <c r="B876" s="93" t="s">
        <v>1274</v>
      </c>
      <c r="C876" s="89"/>
    </row>
    <row r="877" spans="1:3" ht="15.6">
      <c r="A877" s="112" t="s">
        <v>777</v>
      </c>
      <c r="B877" s="90" t="s">
        <v>778</v>
      </c>
      <c r="C877" s="89" t="s">
        <v>1463</v>
      </c>
    </row>
    <row r="878" spans="1:3" ht="15.6">
      <c r="A878" s="112" t="s">
        <v>1436</v>
      </c>
      <c r="B878" s="90" t="s">
        <v>819</v>
      </c>
      <c r="C878" s="89" t="s">
        <v>1415</v>
      </c>
    </row>
    <row r="879" spans="1:3" ht="15.6">
      <c r="A879" s="112" t="s">
        <v>1206</v>
      </c>
      <c r="B879" s="90" t="s">
        <v>1207</v>
      </c>
      <c r="C879" s="89" t="s">
        <v>1447</v>
      </c>
    </row>
    <row r="880" spans="1:3" ht="15.6">
      <c r="A880" s="112" t="s">
        <v>1209</v>
      </c>
      <c r="B880" s="90" t="s">
        <v>1210</v>
      </c>
      <c r="C880" s="89" t="s">
        <v>1447</v>
      </c>
    </row>
    <row r="881" spans="1:3" ht="15.6">
      <c r="A881" s="112" t="s">
        <v>1068</v>
      </c>
      <c r="B881" s="90" t="s">
        <v>1069</v>
      </c>
      <c r="C881" s="89" t="s">
        <v>1455</v>
      </c>
    </row>
    <row r="882" spans="1:3" ht="15.6">
      <c r="A882" s="112"/>
      <c r="B882" s="93" t="s">
        <v>1389</v>
      </c>
      <c r="C882" s="89"/>
    </row>
    <row r="883" spans="1:3" ht="15.6">
      <c r="A883" s="112"/>
      <c r="B883" s="93" t="s">
        <v>1313</v>
      </c>
      <c r="C883" s="89"/>
    </row>
    <row r="884" spans="1:3" ht="15.6">
      <c r="A884" s="112"/>
      <c r="B884" s="93" t="s">
        <v>2602</v>
      </c>
      <c r="C884" s="89"/>
    </row>
    <row r="885" spans="1:3" ht="15.6">
      <c r="A885" s="112"/>
      <c r="B885" s="111" t="s">
        <v>803</v>
      </c>
      <c r="C885" s="89"/>
    </row>
    <row r="886" spans="1:3" ht="15.6">
      <c r="A886" s="112" t="s">
        <v>841</v>
      </c>
      <c r="B886" s="90" t="s">
        <v>842</v>
      </c>
      <c r="C886" s="89" t="s">
        <v>1456</v>
      </c>
    </row>
    <row r="887" spans="1:3" ht="15.6">
      <c r="A887" s="112" t="s">
        <v>904</v>
      </c>
      <c r="B887" s="90" t="s">
        <v>905</v>
      </c>
      <c r="C887" s="89" t="s">
        <v>1443</v>
      </c>
    </row>
    <row r="888" spans="1:3" ht="15.6">
      <c r="A888" s="112"/>
      <c r="B888" s="90" t="s">
        <v>2543</v>
      </c>
      <c r="C888" s="89"/>
    </row>
    <row r="889" spans="1:3" ht="15.6">
      <c r="A889" s="112"/>
      <c r="B889" s="90" t="s">
        <v>2541</v>
      </c>
      <c r="C889" s="89"/>
    </row>
    <row r="890" spans="1:3" ht="15.6">
      <c r="A890" s="112" t="s">
        <v>638</v>
      </c>
      <c r="B890" s="90" t="s">
        <v>639</v>
      </c>
      <c r="C890" s="89" t="s">
        <v>1445</v>
      </c>
    </row>
    <row r="891" spans="1:3" ht="15.6">
      <c r="A891" s="112" t="s">
        <v>510</v>
      </c>
      <c r="B891" s="90" t="s">
        <v>511</v>
      </c>
      <c r="C891" s="89" t="s">
        <v>1448</v>
      </c>
    </row>
    <row r="892" spans="1:3" ht="15.6">
      <c r="A892" s="112" t="s">
        <v>488</v>
      </c>
      <c r="B892" s="90" t="s">
        <v>489</v>
      </c>
      <c r="C892" s="89" t="s">
        <v>96</v>
      </c>
    </row>
    <row r="893" spans="1:3" ht="15.6">
      <c r="A893" s="112" t="s">
        <v>1360</v>
      </c>
      <c r="B893" s="90" t="s">
        <v>1501</v>
      </c>
      <c r="C893" s="89" t="s">
        <v>1453</v>
      </c>
    </row>
    <row r="894" spans="1:3" ht="15.6">
      <c r="A894" s="112"/>
      <c r="B894" s="90" t="s">
        <v>2477</v>
      </c>
      <c r="C894" s="89"/>
    </row>
    <row r="895" spans="1:3" ht="15.6">
      <c r="A895" s="112" t="s">
        <v>914</v>
      </c>
      <c r="B895" s="90" t="s">
        <v>915</v>
      </c>
      <c r="C895" s="89" t="s">
        <v>1443</v>
      </c>
    </row>
    <row r="896" spans="1:3" ht="15.6">
      <c r="A896" s="112" t="s">
        <v>896</v>
      </c>
      <c r="B896" s="90" t="s">
        <v>897</v>
      </c>
      <c r="C896" s="89" t="s">
        <v>1443</v>
      </c>
    </row>
    <row r="897" spans="1:3" ht="15.6">
      <c r="A897" s="112"/>
      <c r="B897" s="90" t="s">
        <v>2478</v>
      </c>
      <c r="C897" s="89"/>
    </row>
    <row r="898" spans="1:3" ht="15.6">
      <c r="A898" s="112"/>
      <c r="B898" s="90" t="s">
        <v>2521</v>
      </c>
      <c r="C898" s="89"/>
    </row>
    <row r="899" spans="1:3" ht="15.6">
      <c r="A899" s="112" t="s">
        <v>909</v>
      </c>
      <c r="B899" s="90" t="s">
        <v>910</v>
      </c>
      <c r="C899" s="89" t="s">
        <v>1443</v>
      </c>
    </row>
    <row r="900" spans="1:3" ht="15.6">
      <c r="A900" s="112"/>
      <c r="B900" s="90" t="s">
        <v>2560</v>
      </c>
      <c r="C900" s="89"/>
    </row>
    <row r="901" spans="1:3" ht="15.6">
      <c r="A901" s="112"/>
      <c r="B901" s="93" t="s">
        <v>1294</v>
      </c>
      <c r="C901" s="89"/>
    </row>
    <row r="902" spans="1:3" ht="15.6">
      <c r="A902" s="112" t="s">
        <v>1088</v>
      </c>
      <c r="B902" s="90" t="s">
        <v>1089</v>
      </c>
      <c r="C902" s="89" t="s">
        <v>1462</v>
      </c>
    </row>
    <row r="903" spans="1:3" ht="15.6">
      <c r="A903" s="112" t="s">
        <v>1086</v>
      </c>
      <c r="B903" s="90" t="s">
        <v>1087</v>
      </c>
      <c r="C903" s="89" t="s">
        <v>1462</v>
      </c>
    </row>
    <row r="904" spans="1:3" ht="15.6">
      <c r="A904" s="112" t="s">
        <v>960</v>
      </c>
      <c r="B904" s="90" t="s">
        <v>961</v>
      </c>
      <c r="C904" s="89" t="s">
        <v>1457</v>
      </c>
    </row>
    <row r="905" spans="1:3" ht="15.6">
      <c r="A905" s="112" t="s">
        <v>964</v>
      </c>
      <c r="B905" s="90" t="s">
        <v>965</v>
      </c>
      <c r="C905" s="89" t="s">
        <v>1457</v>
      </c>
    </row>
    <row r="906" spans="1:3" ht="15.6">
      <c r="A906" s="112" t="s">
        <v>516</v>
      </c>
      <c r="B906" s="90" t="s">
        <v>517</v>
      </c>
      <c r="C906" s="89" t="s">
        <v>1448</v>
      </c>
    </row>
    <row r="907" spans="1:3" ht="15.6">
      <c r="A907" s="112" t="s">
        <v>513</v>
      </c>
      <c r="B907" s="90" t="s">
        <v>514</v>
      </c>
      <c r="C907" s="89" t="s">
        <v>1448</v>
      </c>
    </row>
    <row r="908" spans="1:3" ht="15.6">
      <c r="A908" s="112" t="s">
        <v>1347</v>
      </c>
      <c r="B908" s="90" t="s">
        <v>1471</v>
      </c>
      <c r="C908" s="89" t="s">
        <v>1452</v>
      </c>
    </row>
    <row r="909" spans="1:3" ht="15.6">
      <c r="A909" s="112"/>
      <c r="B909" s="114" t="s">
        <v>979</v>
      </c>
      <c r="C909" s="89"/>
    </row>
    <row r="910" spans="1:3" ht="15.6">
      <c r="A910" s="112" t="s">
        <v>1371</v>
      </c>
      <c r="B910" s="90" t="s">
        <v>1527</v>
      </c>
      <c r="C910" s="89" t="s">
        <v>1451</v>
      </c>
    </row>
    <row r="911" spans="1:3" ht="15.6">
      <c r="A911" s="112"/>
      <c r="B911" s="93" t="s">
        <v>1293</v>
      </c>
      <c r="C911" s="89"/>
    </row>
    <row r="912" spans="1:3" ht="15.6">
      <c r="A912" s="112" t="s">
        <v>2151</v>
      </c>
      <c r="B912" s="90" t="s">
        <v>2310</v>
      </c>
      <c r="C912" s="89" t="s">
        <v>2311</v>
      </c>
    </row>
    <row r="913" spans="1:3" ht="15.6">
      <c r="A913" s="112" t="s">
        <v>2165</v>
      </c>
      <c r="B913" s="90" t="s">
        <v>2328</v>
      </c>
      <c r="C913" s="89" t="s">
        <v>2329</v>
      </c>
    </row>
    <row r="914" spans="1:3" ht="15.6">
      <c r="A914" s="112" t="s">
        <v>1329</v>
      </c>
      <c r="B914" s="90" t="s">
        <v>1330</v>
      </c>
      <c r="C914" s="89" t="s">
        <v>1328</v>
      </c>
    </row>
    <row r="915" spans="1:3" ht="15.6">
      <c r="A915" s="112" t="s">
        <v>528</v>
      </c>
      <c r="B915" s="90" t="s">
        <v>529</v>
      </c>
      <c r="C915" s="89" t="s">
        <v>1448</v>
      </c>
    </row>
    <row r="916" spans="1:3" ht="15.6">
      <c r="A916" s="112" t="s">
        <v>958</v>
      </c>
      <c r="B916" s="90" t="s">
        <v>959</v>
      </c>
      <c r="C916" s="89" t="s">
        <v>1457</v>
      </c>
    </row>
    <row r="917" spans="1:3" ht="15.6">
      <c r="A917" s="112" t="s">
        <v>1891</v>
      </c>
      <c r="B917" s="90" t="s">
        <v>1892</v>
      </c>
      <c r="C917" s="89" t="s">
        <v>1446</v>
      </c>
    </row>
    <row r="918" spans="1:3" ht="15.6">
      <c r="A918" s="112" t="s">
        <v>1157</v>
      </c>
      <c r="B918" s="90" t="s">
        <v>1158</v>
      </c>
      <c r="C918" s="89" t="s">
        <v>1440</v>
      </c>
    </row>
    <row r="919" spans="1:3" ht="15.6">
      <c r="A919" s="112" t="s">
        <v>1159</v>
      </c>
      <c r="B919" s="90" t="s">
        <v>1160</v>
      </c>
      <c r="C919" s="89" t="s">
        <v>1440</v>
      </c>
    </row>
    <row r="920" spans="1:3" ht="15.6">
      <c r="A920" s="112" t="s">
        <v>1155</v>
      </c>
      <c r="B920" s="90" t="s">
        <v>1156</v>
      </c>
      <c r="C920" s="89" t="s">
        <v>1440</v>
      </c>
    </row>
    <row r="921" spans="1:3" ht="15.6">
      <c r="A921" s="112" t="s">
        <v>986</v>
      </c>
      <c r="B921" s="90" t="s">
        <v>987</v>
      </c>
      <c r="C921" s="89" t="s">
        <v>1449</v>
      </c>
    </row>
    <row r="922" spans="1:3" ht="15.6">
      <c r="A922" s="112"/>
      <c r="B922" s="90" t="s">
        <v>2524</v>
      </c>
      <c r="C922" s="89"/>
    </row>
    <row r="923" spans="1:3" ht="15.6">
      <c r="A923" s="112"/>
      <c r="B923" s="93" t="s">
        <v>1266</v>
      </c>
      <c r="C923" s="89"/>
    </row>
    <row r="924" spans="1:3" ht="15.6">
      <c r="A924" s="112" t="s">
        <v>1354</v>
      </c>
      <c r="B924" s="90" t="s">
        <v>1492</v>
      </c>
      <c r="C924" s="89" t="s">
        <v>1446</v>
      </c>
    </row>
    <row r="925" spans="1:3" ht="15.6">
      <c r="A925" s="112"/>
      <c r="B925" s="90" t="s">
        <v>2457</v>
      </c>
      <c r="C925" s="89"/>
    </row>
    <row r="926" spans="1:3" ht="15.6">
      <c r="A926" s="112" t="s">
        <v>641</v>
      </c>
      <c r="B926" s="90" t="s">
        <v>642</v>
      </c>
      <c r="C926" s="89" t="s">
        <v>1445</v>
      </c>
    </row>
    <row r="927" spans="1:3" ht="15.6">
      <c r="A927" s="112"/>
      <c r="B927" s="90" t="s">
        <v>2540</v>
      </c>
      <c r="C927" s="89"/>
    </row>
    <row r="928" spans="1:3" ht="15.6">
      <c r="A928" s="112"/>
      <c r="B928" s="90" t="s">
        <v>2510</v>
      </c>
      <c r="C928" s="89"/>
    </row>
    <row r="929" spans="1:3" ht="15.6">
      <c r="A929" s="112" t="s">
        <v>881</v>
      </c>
      <c r="B929" s="90" t="s">
        <v>882</v>
      </c>
      <c r="C929" s="89" t="s">
        <v>1493</v>
      </c>
    </row>
    <row r="930" spans="1:3" ht="15.6">
      <c r="A930" s="112" t="s">
        <v>1010</v>
      </c>
      <c r="B930" s="90" t="s">
        <v>1011</v>
      </c>
      <c r="C930" s="89" t="s">
        <v>1451</v>
      </c>
    </row>
    <row r="931" spans="1:3" ht="15.6">
      <c r="A931" s="112"/>
      <c r="B931" s="90" t="s">
        <v>2502</v>
      </c>
      <c r="C931" s="89"/>
    </row>
    <row r="932" spans="1:3" ht="15.6">
      <c r="A932" s="112" t="s">
        <v>782</v>
      </c>
      <c r="B932" s="90" t="s">
        <v>783</v>
      </c>
      <c r="C932" s="89" t="s">
        <v>1463</v>
      </c>
    </row>
    <row r="933" spans="1:3" ht="15.6">
      <c r="A933" s="112"/>
      <c r="B933" s="93" t="s">
        <v>1150</v>
      </c>
      <c r="C933" s="89"/>
    </row>
    <row r="934" spans="1:3" ht="15.6">
      <c r="A934" s="112"/>
      <c r="B934" s="90" t="s">
        <v>2531</v>
      </c>
      <c r="C934" s="89"/>
    </row>
    <row r="935" spans="1:3" ht="15.6">
      <c r="A935" s="112"/>
      <c r="B935" s="90" t="s">
        <v>2568</v>
      </c>
      <c r="C935" s="89"/>
    </row>
    <row r="936" spans="1:3" s="99" customFormat="1" ht="15.6">
      <c r="A936" s="100" t="s">
        <v>858</v>
      </c>
      <c r="B936" s="101" t="s">
        <v>859</v>
      </c>
      <c r="C936" s="102" t="s">
        <v>1451</v>
      </c>
    </row>
    <row r="937" spans="1:3" ht="15.6">
      <c r="A937" s="112"/>
      <c r="B937" s="90" t="s">
        <v>2556</v>
      </c>
      <c r="C937" s="89"/>
    </row>
    <row r="938" spans="1:3" ht="15.6">
      <c r="A938" s="112" t="s">
        <v>845</v>
      </c>
      <c r="B938" s="90" t="s">
        <v>846</v>
      </c>
      <c r="C938" s="89" t="s">
        <v>1456</v>
      </c>
    </row>
    <row r="939" spans="1:3" ht="15.6">
      <c r="A939" s="112" t="s">
        <v>1350</v>
      </c>
      <c r="B939" s="90" t="s">
        <v>1483</v>
      </c>
      <c r="C939" s="89" t="s">
        <v>1462</v>
      </c>
    </row>
    <row r="940" spans="1:3" ht="15.6">
      <c r="A940" s="112"/>
      <c r="B940" s="90" t="s">
        <v>2489</v>
      </c>
      <c r="C940" s="89"/>
    </row>
    <row r="941" spans="1:3" ht="15.6">
      <c r="A941" s="112"/>
      <c r="B941" s="90" t="s">
        <v>2546</v>
      </c>
      <c r="C941" s="89"/>
    </row>
    <row r="942" spans="1:3" ht="15.6">
      <c r="A942" s="112" t="s">
        <v>876</v>
      </c>
      <c r="B942" s="90" t="s">
        <v>877</v>
      </c>
      <c r="C942" s="89" t="s">
        <v>1451</v>
      </c>
    </row>
    <row r="943" spans="1:3" ht="15.6">
      <c r="A943" s="112" t="s">
        <v>1355</v>
      </c>
      <c r="B943" s="90" t="s">
        <v>1494</v>
      </c>
      <c r="C943" s="89" t="s">
        <v>1462</v>
      </c>
    </row>
    <row r="944" spans="1:3" ht="15.6">
      <c r="A944" s="112" t="s">
        <v>1343</v>
      </c>
      <c r="B944" s="90" t="s">
        <v>1465</v>
      </c>
      <c r="C944" s="89" t="s">
        <v>1449</v>
      </c>
    </row>
    <row r="945" spans="1:3" ht="15.6">
      <c r="A945" s="112" t="s">
        <v>1579</v>
      </c>
      <c r="B945" s="90" t="s">
        <v>1580</v>
      </c>
      <c r="C945" s="89" t="s">
        <v>1581</v>
      </c>
    </row>
    <row r="946" spans="1:3" ht="15.6">
      <c r="A946" s="112"/>
      <c r="B946" s="90" t="s">
        <v>2561</v>
      </c>
      <c r="C946" s="89"/>
    </row>
    <row r="947" spans="1:3" ht="15.6">
      <c r="A947" s="112"/>
      <c r="B947" s="110" t="s">
        <v>853</v>
      </c>
      <c r="C947" s="89"/>
    </row>
    <row r="948" spans="1:3" ht="15.6">
      <c r="A948" s="112" t="s">
        <v>1323</v>
      </c>
      <c r="B948" s="90" t="s">
        <v>1324</v>
      </c>
      <c r="C948" s="89" t="s">
        <v>1506</v>
      </c>
    </row>
    <row r="949" spans="1:3" ht="15.6">
      <c r="A949" s="112" t="s">
        <v>883</v>
      </c>
      <c r="B949" s="90" t="s">
        <v>884</v>
      </c>
      <c r="C949" s="89" t="s">
        <v>1451</v>
      </c>
    </row>
    <row r="950" spans="1:3" ht="15.6">
      <c r="A950" s="112" t="s">
        <v>1077</v>
      </c>
      <c r="B950" s="90" t="s">
        <v>1078</v>
      </c>
      <c r="C950" s="89" t="s">
        <v>1458</v>
      </c>
    </row>
    <row r="951" spans="1:3" ht="15.6">
      <c r="A951" s="112" t="s">
        <v>1219</v>
      </c>
      <c r="B951" s="90" t="s">
        <v>1220</v>
      </c>
      <c r="C951" s="89" t="s">
        <v>1447</v>
      </c>
    </row>
    <row r="952" spans="1:3" ht="15.6">
      <c r="A952" s="112"/>
      <c r="B952" s="90" t="s">
        <v>2530</v>
      </c>
      <c r="C952" s="89"/>
    </row>
    <row r="953" spans="1:3" ht="15.6">
      <c r="A953" s="112"/>
      <c r="B953" s="90" t="s">
        <v>2539</v>
      </c>
      <c r="C953" s="89"/>
    </row>
    <row r="954" spans="1:3" ht="15.6">
      <c r="A954" s="112" t="s">
        <v>732</v>
      </c>
      <c r="B954" s="90" t="s">
        <v>733</v>
      </c>
      <c r="C954" s="89" t="s">
        <v>1442</v>
      </c>
    </row>
    <row r="955" spans="1:3" ht="15.6">
      <c r="A955" s="112"/>
      <c r="B955" s="90" t="s">
        <v>2503</v>
      </c>
      <c r="C955" s="89"/>
    </row>
    <row r="956" spans="1:3" ht="15.6">
      <c r="A956" s="112" t="s">
        <v>787</v>
      </c>
      <c r="B956" s="90" t="s">
        <v>788</v>
      </c>
      <c r="C956" s="89" t="s">
        <v>1463</v>
      </c>
    </row>
    <row r="957" spans="1:3" ht="15.6">
      <c r="A957" s="112" t="s">
        <v>418</v>
      </c>
      <c r="B957" s="90" t="s">
        <v>419</v>
      </c>
      <c r="C957" s="89" t="s">
        <v>1461</v>
      </c>
    </row>
    <row r="958" spans="1:3" ht="15.6">
      <c r="A958" s="112" t="s">
        <v>2120</v>
      </c>
      <c r="B958" s="90" t="s">
        <v>2274</v>
      </c>
      <c r="C958" s="89" t="s">
        <v>1441</v>
      </c>
    </row>
    <row r="959" spans="1:3" ht="15.6">
      <c r="A959" s="112" t="s">
        <v>557</v>
      </c>
      <c r="B959" s="90" t="s">
        <v>558</v>
      </c>
      <c r="C959" s="89" t="s">
        <v>1448</v>
      </c>
    </row>
    <row r="960" spans="1:3" ht="15.6">
      <c r="A960" s="112" t="s">
        <v>2114</v>
      </c>
      <c r="B960" s="90" t="s">
        <v>2267</v>
      </c>
      <c r="C960" s="89" t="s">
        <v>2268</v>
      </c>
    </row>
    <row r="961" spans="1:3" ht="15.6">
      <c r="A961" s="112" t="s">
        <v>462</v>
      </c>
      <c r="B961" s="90" t="s">
        <v>463</v>
      </c>
      <c r="C961" s="89" t="s">
        <v>1452</v>
      </c>
    </row>
    <row r="962" spans="1:3" ht="15.6">
      <c r="A962" s="112" t="s">
        <v>589</v>
      </c>
      <c r="B962" s="90" t="s">
        <v>590</v>
      </c>
      <c r="C962" s="89" t="s">
        <v>1446</v>
      </c>
    </row>
    <row r="963" spans="1:3" ht="15.6">
      <c r="A963" s="112" t="s">
        <v>1317</v>
      </c>
      <c r="B963" s="90" t="s">
        <v>1318</v>
      </c>
      <c r="C963" s="89" t="s">
        <v>1316</v>
      </c>
    </row>
    <row r="964" spans="1:3" ht="15.6">
      <c r="A964" s="112" t="s">
        <v>1062</v>
      </c>
      <c r="B964" s="90" t="s">
        <v>1063</v>
      </c>
      <c r="C964" s="89" t="s">
        <v>1512</v>
      </c>
    </row>
    <row r="965" spans="1:3" ht="15.6">
      <c r="A965" s="112" t="s">
        <v>2336</v>
      </c>
      <c r="B965" s="90" t="s">
        <v>2343</v>
      </c>
      <c r="C965" s="97" t="s">
        <v>2344</v>
      </c>
    </row>
    <row r="966" spans="1:3" ht="15.6">
      <c r="A966" s="112" t="s">
        <v>2053</v>
      </c>
      <c r="B966" s="90" t="s">
        <v>2402</v>
      </c>
      <c r="C966" s="89" t="s">
        <v>2403</v>
      </c>
    </row>
    <row r="967" spans="1:3" ht="15.6">
      <c r="A967" s="112"/>
      <c r="B967" s="90" t="s">
        <v>2504</v>
      </c>
      <c r="C967" s="89"/>
    </row>
    <row r="968" spans="1:3" ht="15.6">
      <c r="A968" s="112" t="s">
        <v>2121</v>
      </c>
      <c r="B968" s="90" t="s">
        <v>2275</v>
      </c>
      <c r="C968" s="89" t="s">
        <v>2231</v>
      </c>
    </row>
    <row r="969" spans="1:3" ht="15.6">
      <c r="A969" s="112" t="s">
        <v>1874</v>
      </c>
      <c r="B969" s="90" t="s">
        <v>1875</v>
      </c>
      <c r="C969" s="89" t="s">
        <v>1453</v>
      </c>
    </row>
    <row r="970" spans="1:3" ht="15.6">
      <c r="A970" s="112"/>
      <c r="B970" s="93" t="s">
        <v>499</v>
      </c>
      <c r="C970" s="89"/>
    </row>
    <row r="971" spans="1:3" ht="15.6">
      <c r="A971" s="112"/>
      <c r="B971" s="93" t="s">
        <v>1331</v>
      </c>
      <c r="C971" s="89"/>
    </row>
    <row r="972" spans="1:3" ht="15.6">
      <c r="A972" s="112"/>
      <c r="B972" s="93" t="s">
        <v>1333</v>
      </c>
      <c r="C972" s="89"/>
    </row>
    <row r="973" spans="1:3" ht="15.6">
      <c r="A973" s="112"/>
      <c r="B973" s="93" t="s">
        <v>1332</v>
      </c>
      <c r="C973" s="89"/>
    </row>
    <row r="974" spans="1:3" ht="15.6">
      <c r="A974" s="112"/>
      <c r="B974" s="93" t="s">
        <v>1334</v>
      </c>
      <c r="C974" s="89"/>
    </row>
    <row r="975" spans="1:3" ht="15.6">
      <c r="A975" s="112" t="s">
        <v>1335</v>
      </c>
      <c r="B975" s="90" t="s">
        <v>1336</v>
      </c>
      <c r="C975" s="89" t="s">
        <v>1520</v>
      </c>
    </row>
    <row r="976" spans="1:3" ht="15.6">
      <c r="A976" s="112" t="s">
        <v>2062</v>
      </c>
      <c r="B976" s="90" t="s">
        <v>2415</v>
      </c>
      <c r="C976" s="89" t="s">
        <v>1520</v>
      </c>
    </row>
    <row r="977" spans="1:3" ht="15.6">
      <c r="A977" s="112" t="s">
        <v>2034</v>
      </c>
      <c r="B977" s="90" t="s">
        <v>2378</v>
      </c>
      <c r="C977" s="89" t="s">
        <v>2379</v>
      </c>
    </row>
    <row r="978" spans="1:3" ht="15.6">
      <c r="A978" s="112" t="s">
        <v>2135</v>
      </c>
      <c r="B978" s="90" t="s">
        <v>2291</v>
      </c>
      <c r="C978" s="89" t="s">
        <v>2292</v>
      </c>
    </row>
    <row r="979" spans="1:3" ht="15.6">
      <c r="A979" s="112"/>
      <c r="B979" s="90" t="s">
        <v>2476</v>
      </c>
      <c r="C979" s="89"/>
    </row>
    <row r="980" spans="1:3" ht="15.6">
      <c r="A980" s="112" t="s">
        <v>1586</v>
      </c>
      <c r="B980" s="90" t="s">
        <v>1587</v>
      </c>
      <c r="C980" s="89" t="s">
        <v>1588</v>
      </c>
    </row>
    <row r="981" spans="1:3" ht="15.6">
      <c r="A981" s="112" t="s">
        <v>2157</v>
      </c>
      <c r="B981" s="90" t="s">
        <v>2319</v>
      </c>
      <c r="C981" s="89" t="s">
        <v>1449</v>
      </c>
    </row>
    <row r="982" spans="1:3" ht="15.6">
      <c r="A982" s="112" t="s">
        <v>2016</v>
      </c>
      <c r="B982" s="90" t="s">
        <v>2361</v>
      </c>
      <c r="C982" s="89" t="s">
        <v>2362</v>
      </c>
    </row>
    <row r="983" spans="1:3" ht="15.6">
      <c r="A983" s="112"/>
      <c r="B983" s="111" t="s">
        <v>800</v>
      </c>
      <c r="C983" s="89"/>
    </row>
    <row r="984" spans="1:3" ht="15.6">
      <c r="A984" s="112" t="s">
        <v>1795</v>
      </c>
      <c r="B984" s="90" t="s">
        <v>1796</v>
      </c>
      <c r="C984" s="89" t="s">
        <v>1797</v>
      </c>
    </row>
    <row r="985" spans="1:3" ht="15.6">
      <c r="A985" s="112" t="s">
        <v>423</v>
      </c>
      <c r="B985" s="90" t="s">
        <v>1522</v>
      </c>
      <c r="C985" s="89" t="s">
        <v>1461</v>
      </c>
    </row>
    <row r="986" spans="1:3" ht="15.6">
      <c r="A986" s="112" t="s">
        <v>2161</v>
      </c>
      <c r="B986" s="90" t="s">
        <v>2323</v>
      </c>
      <c r="C986" s="89" t="s">
        <v>2324</v>
      </c>
    </row>
    <row r="987" spans="1:3" ht="15.6">
      <c r="A987" s="112"/>
      <c r="B987" s="93" t="s">
        <v>1327</v>
      </c>
      <c r="C987" s="89"/>
    </row>
    <row r="988" spans="1:3" ht="15.6">
      <c r="A988" s="112" t="s">
        <v>2015</v>
      </c>
      <c r="B988" s="90" t="s">
        <v>2360</v>
      </c>
      <c r="C988" s="89" t="s">
        <v>2285</v>
      </c>
    </row>
    <row r="989" spans="1:3" ht="15.6">
      <c r="A989" s="112" t="s">
        <v>2163</v>
      </c>
      <c r="B989" s="90" t="s">
        <v>2326</v>
      </c>
      <c r="C989" s="89" t="s">
        <v>2327</v>
      </c>
    </row>
    <row r="990" spans="1:3" ht="15.6">
      <c r="A990" s="112" t="s">
        <v>1325</v>
      </c>
      <c r="B990" s="90" t="s">
        <v>1326</v>
      </c>
      <c r="C990" s="89" t="s">
        <v>1524</v>
      </c>
    </row>
    <row r="991" spans="1:3" ht="15.6">
      <c r="A991" s="112" t="s">
        <v>1798</v>
      </c>
      <c r="B991" s="90" t="s">
        <v>1799</v>
      </c>
      <c r="C991" s="89" t="s">
        <v>1800</v>
      </c>
    </row>
    <row r="992" spans="1:3" ht="15.6">
      <c r="A992" s="112" t="s">
        <v>2122</v>
      </c>
      <c r="B992" s="90" t="s">
        <v>2276</v>
      </c>
      <c r="C992" s="89" t="s">
        <v>2277</v>
      </c>
    </row>
    <row r="993" spans="1:3" ht="15.6">
      <c r="A993" s="112"/>
      <c r="B993" s="93" t="s">
        <v>1411</v>
      </c>
      <c r="C993" s="89"/>
    </row>
    <row r="994" spans="1:3" ht="15.6">
      <c r="A994" s="112" t="s">
        <v>2147</v>
      </c>
      <c r="B994" s="90" t="s">
        <v>2306</v>
      </c>
      <c r="C994" s="89" t="s">
        <v>1539</v>
      </c>
    </row>
    <row r="995" spans="1:3" ht="15.6">
      <c r="A995" s="112" t="s">
        <v>2134</v>
      </c>
      <c r="B995" s="90" t="s">
        <v>2290</v>
      </c>
      <c r="C995" s="89" t="s">
        <v>1539</v>
      </c>
    </row>
    <row r="996" spans="1:3" ht="15.6">
      <c r="A996" s="112" t="s">
        <v>1537</v>
      </c>
      <c r="B996" s="90" t="s">
        <v>1538</v>
      </c>
      <c r="C996" s="89" t="s">
        <v>1539</v>
      </c>
    </row>
    <row r="997" spans="1:3" ht="15.6">
      <c r="A997" s="112" t="s">
        <v>2105</v>
      </c>
      <c r="B997" s="90" t="s">
        <v>2254</v>
      </c>
      <c r="C997" s="89" t="s">
        <v>2255</v>
      </c>
    </row>
    <row r="998" spans="1:3" ht="15.6">
      <c r="A998" s="112" t="s">
        <v>2164</v>
      </c>
      <c r="B998" s="90" t="s">
        <v>2603</v>
      </c>
      <c r="C998" s="89"/>
    </row>
    <row r="999" spans="1:3" ht="15.6">
      <c r="A999" s="112" t="s">
        <v>2136</v>
      </c>
      <c r="B999" s="90" t="s">
        <v>2293</v>
      </c>
      <c r="C999" s="89" t="s">
        <v>2231</v>
      </c>
    </row>
    <row r="1000" spans="1:3" ht="15.6">
      <c r="A1000" s="112"/>
      <c r="B1000" s="93" t="s">
        <v>1264</v>
      </c>
      <c r="C1000" s="89"/>
    </row>
    <row r="1001" spans="1:3" ht="15.6">
      <c r="A1001" s="112" t="s">
        <v>2137</v>
      </c>
      <c r="B1001" s="90" t="s">
        <v>2294</v>
      </c>
      <c r="C1001" s="89" t="s">
        <v>2231</v>
      </c>
    </row>
    <row r="1002" spans="1:3" ht="15.6">
      <c r="A1002" s="112" t="s">
        <v>2140</v>
      </c>
      <c r="B1002" s="90" t="s">
        <v>2297</v>
      </c>
      <c r="C1002" s="89" t="s">
        <v>2231</v>
      </c>
    </row>
    <row r="1003" spans="1:3" ht="15.6">
      <c r="A1003" s="112" t="s">
        <v>2125</v>
      </c>
      <c r="B1003" s="90" t="s">
        <v>2280</v>
      </c>
      <c r="C1003" s="89" t="s">
        <v>2231</v>
      </c>
    </row>
    <row r="1004" spans="1:3" ht="15.6">
      <c r="A1004" s="112" t="s">
        <v>1959</v>
      </c>
      <c r="B1004" s="90" t="s">
        <v>2168</v>
      </c>
      <c r="C1004" s="89" t="s">
        <v>2169</v>
      </c>
    </row>
    <row r="1005" spans="1:3" ht="15.6">
      <c r="A1005" s="112"/>
      <c r="B1005" s="93" t="s">
        <v>1261</v>
      </c>
      <c r="C1005" s="89"/>
    </row>
    <row r="1006" spans="1:3" ht="15.6">
      <c r="A1006" s="112"/>
      <c r="B1006" s="93" t="s">
        <v>1263</v>
      </c>
      <c r="C1006" s="89"/>
    </row>
    <row r="1007" spans="1:3" ht="15.6">
      <c r="A1007" s="112"/>
      <c r="B1007" s="110" t="s">
        <v>1382</v>
      </c>
      <c r="C1007" s="89"/>
    </row>
    <row r="1008" spans="1:3" ht="15.6">
      <c r="A1008" s="117"/>
      <c r="B1008" s="118" t="s">
        <v>2611</v>
      </c>
      <c r="C1008" s="119"/>
    </row>
  </sheetData>
  <phoneticPr fontId="1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EJECUCION CIRCUITO</vt:lpstr>
      <vt:lpstr>FOLDER ROJO</vt:lpstr>
      <vt:lpstr>CONSULTA UNIFICADA DE PROCESOS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Thomas Esteban Ariza Forero</cp:lastModifiedBy>
  <cp:revision/>
  <dcterms:created xsi:type="dcterms:W3CDTF">2020-04-30T20:11:25Z</dcterms:created>
  <dcterms:modified xsi:type="dcterms:W3CDTF">2024-10-18T01:40:01Z</dcterms:modified>
  <cp:category/>
  <cp:contentStatus/>
</cp:coreProperties>
</file>