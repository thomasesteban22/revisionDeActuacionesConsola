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Escritorio\revisionActuacionesSinInterfaz\"/>
    </mc:Choice>
  </mc:AlternateContent>
  <xr:revisionPtr revIDLastSave="0" documentId="13_ncr:1_{F5DB21D5-1463-4148-B2CC-AE3422F01C22}" xr6:coauthVersionLast="47" xr6:coauthVersionMax="47" xr10:uidLastSave="{00000000-0000-0000-0000-000000000000}"/>
  <bookViews>
    <workbookView xWindow="-108" yWindow="-108" windowWidth="23256" windowHeight="12456" firstSheet="2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  <sheet name="ESTADO POR ESTADO " sheetId="15" r:id="rId4"/>
    <sheet name="FOLDER NEGRO" sheetId="2" r:id="rId5"/>
    <sheet name="FOLDER VINOTINTO" sheetId="3" r:id="rId6"/>
    <sheet name="FOLDER VERDE" sheetId="4" r:id="rId7"/>
    <sheet name="FOLDER ROSADO" sheetId="7" r:id="rId8"/>
    <sheet name="VIABILIDAD" sheetId="12" r:id="rId9"/>
    <sheet name="TERMINADOS" sheetId="13" r:id="rId10"/>
  </sheets>
  <definedNames>
    <definedName name="_xlnm._FilterDatabase" localSheetId="5" hidden="1">'FOLDER VINOTINTO'!$A$8:$F$105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H191" authorId="0" shapeId="0" xr:uid="{8A87C301-053C-4FEB-8B4E-50C218E0B66C}">
      <text>
        <r>
          <rPr>
            <b/>
            <sz val="14"/>
            <color indexed="81"/>
            <rFont val="Tahoma"/>
            <family val="2"/>
          </rPr>
          <t>SE TOMA ESTE VALOR DE LA SUBROGACION NO ESTABA EN ESTA LISTA Y SE AGREGA PROCESO EN CEROS TEMIS 4-1-23</t>
        </r>
      </text>
    </comment>
    <comment ref="A478" authorId="0" shapeId="0" xr:uid="{80A931FA-7262-4FC7-835D-7B71C9002DFF}">
      <text>
        <r>
          <rPr>
            <sz val="14"/>
            <color indexed="81"/>
            <rFont val="Tahoma"/>
            <family val="2"/>
          </rPr>
          <t>PROCESO NO HAN OTORGADO PODER SE REMITE CORREOS</t>
        </r>
      </text>
    </comment>
    <comment ref="A560" authorId="0" shapeId="0" xr:uid="{BF6AC15C-D4C8-4255-9603-3115C9E635BA}">
      <text>
        <r>
          <rPr>
            <sz val="14"/>
            <color indexed="81"/>
            <rFont val="Tahoma"/>
            <family val="2"/>
          </rPr>
          <t xml:space="preserve">SE ENVIA DOCUMENTOS SIN PODER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I2" authorId="0" shapeId="0" xr:uid="{B7ED9CD2-3500-4E14-B87F-E7456738197F}">
      <text>
        <r>
          <rPr>
            <b/>
            <sz val="14"/>
            <color indexed="81"/>
            <rFont val="Tahoma"/>
            <family val="2"/>
          </rPr>
          <t>REMITIDOS CORREOS ACISA PARA DAR DE BAJA PROCESO</t>
        </r>
      </text>
    </comment>
    <comment ref="I6" authorId="0" shapeId="0" xr:uid="{E3BEA200-A640-4725-BCCA-ACA4690DB0A1}">
      <text>
        <r>
          <rPr>
            <b/>
            <sz val="14"/>
            <color indexed="81"/>
            <rFont val="Tahoma"/>
            <family val="2"/>
          </rPr>
          <t>REMITIDO CORREO A CISA PARA DAR DE BAJA PROCESO</t>
        </r>
      </text>
    </comment>
    <comment ref="A7" authorId="0" shapeId="0" xr:uid="{E4AEAA98-8D02-433E-B32B-38BFAA1FA261}">
      <text>
        <r>
          <rPr>
            <b/>
            <sz val="12"/>
            <color indexed="81"/>
            <rFont val="Tahoma"/>
            <family val="2"/>
          </rPr>
          <t xml:space="preserve">Proceso enviado poder cisa febrero del 2021, ya estaba terminado por desistimiento tacito. Solicitar dar de baja del temis.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" authorId="0" shapeId="0" xr:uid="{2DBF88F4-F18B-4AF7-A18C-0E6D3ADFACE2}">
      <text>
        <r>
          <rPr>
            <sz val="15"/>
            <color indexed="81"/>
            <rFont val="Tahoma"/>
            <family val="2"/>
          </rPr>
          <t>SEGÚN INFORMACION REMITIDA POR GINNA EL PROCESO NO ESTA SIGNADO AL SISTEMA TEMIS 12-01-23, EN LA BUSQUEDA DE LA RAMA JUDICIAL EL PROCESO FUE REMITIDO A LA SUPERSOCIEDADES (HAY PERSONAS NATURALES EJECUTADAS) JUANA INFORMA NO DAR TRAMITE AL PODER DE FECHA -2 -2021, POR LAS SIGUIENTES RAZONES EL PROCESO NO TIENE MOVIMIENTO DESDE 2018-MARZO 14, EL PROCESO NO FIGURA CON SENTENCIA Y SINACTUACIONES ANTE LOS CODEUDORES, POR O TANTO NO SE INGRESA A BASE DE BATOS , EN ZOHO MAIL, HAY REQUERIMIENTOS DE ENTREGA DE DOCUMENTOS Y SOLICITUDES DE REMISION DE LA SUBROGACION, SEGUN JUANA NO SE ESTABLECE SI HAY DOCUMENTOS DE CESION Y SUBROGACION PORQUE NO HAY NUMERO DE CARPETA</t>
        </r>
      </text>
    </comment>
    <comment ref="I22" authorId="0" shapeId="0" xr:uid="{220B79E0-6539-43BE-9B7D-FBA3ABF63174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09-09-2019 Correo CISA, no aplica honorarios.  </t>
        </r>
      </text>
    </comment>
    <comment ref="I25" authorId="0" shapeId="0" xr:uid="{464A3CC2-A44E-4D2D-9BDD-98D1E91EE660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Temis en 0, proceso sin validar honorarios. </t>
        </r>
      </text>
    </comment>
    <comment ref="I26" authorId="0" shapeId="0" xr:uid="{616A44AB-9008-42CF-BA6C-FC6ED9928576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02-02-2017 Correo pago de honorarios $ 1,249,368, consignados caja social. </t>
        </r>
      </text>
    </comment>
    <comment ref="I27" authorId="0" shapeId="0" xr:uid="{18A5C693-EBDF-4D2F-B943-613196D925E7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11-04-2019 $ 663,423 BANCO CAJA SOCIAL - PAGADOS POR CISA. 
 </t>
        </r>
      </text>
    </comment>
    <comment ref="I30" authorId="0" shapeId="0" xr:uid="{5859B79A-4326-4A0C-8967-6367BCFC430E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27-10-2022 $ 629,170 Consignados a traves de nequi.  </t>
        </r>
      </text>
    </comment>
    <comment ref="A99" authorId="0" shapeId="0" xr:uid="{468B8381-1572-42BD-8DA2-31661A5F5BC4}">
      <text>
        <r>
          <rPr>
            <sz val="12"/>
            <color indexed="81"/>
            <rFont val="Tahoma"/>
            <family val="2"/>
          </rPr>
          <t xml:space="preserve">Entregados documentos 18/03/2021, pero el proceso se encontraba terminado por pago 29-01-2021
 </t>
        </r>
      </text>
    </comment>
    <comment ref="A102" authorId="0" shapeId="0" xr:uid="{D80B93F3-A93D-4CBB-A2AC-0892E33BA2A4}">
      <text>
        <r>
          <rPr>
            <b/>
            <sz val="12"/>
            <color indexed="81"/>
            <rFont val="Tahoma"/>
            <family val="2"/>
          </rPr>
          <t xml:space="preserve">Enviado memorial de terminación el 22/10/2022 CISA - Validar honorarios 13-01-2023
 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<sst xmlns="http://schemas.openxmlformats.org/spreadsheetml/2006/main" count="23959" uniqueCount="20151">
  <si>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</si>
  <si>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</si>
  <si>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</si>
  <si>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</si>
  <si>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</si>
  <si>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</si>
  <si>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</si>
  <si>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</si>
  <si>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</si>
  <si>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</si>
  <si>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</si>
  <si>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</si>
  <si>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</si>
  <si>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</si>
  <si>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</si>
  <si>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</si>
  <si>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</si>
  <si>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</si>
  <si>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</si>
  <si>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</si>
  <si>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</si>
  <si>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</si>
  <si>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</si>
  <si>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</si>
  <si>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</si>
  <si>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</si>
  <si>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</si>
  <si>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</si>
  <si>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</si>
  <si>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</si>
  <si>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</si>
  <si>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</si>
  <si>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</si>
  <si>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</si>
  <si>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</si>
  <si>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</si>
  <si>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</si>
  <si>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</si>
  <si>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</si>
  <si>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</si>
  <si>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</si>
  <si>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</si>
  <si>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</si>
  <si>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</si>
  <si>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</si>
  <si>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</si>
  <si>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</si>
  <si>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</si>
  <si>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</si>
  <si>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</si>
  <si>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</si>
  <si>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</si>
  <si>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</si>
  <si>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</si>
  <si>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11001310300120080023700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</si>
  <si>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</si>
  <si>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</si>
  <si>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</si>
  <si>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</si>
  <si>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</si>
  <si>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</si>
  <si>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</si>
  <si>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</si>
  <si>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</si>
  <si>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</si>
  <si>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</si>
  <si>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</si>
  <si>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</si>
  <si>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</si>
  <si>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</si>
  <si>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</si>
  <si>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</si>
  <si>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</si>
  <si>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</si>
  <si>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</si>
  <si>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</si>
  <si>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</si>
  <si>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</si>
  <si>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</si>
  <si>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</si>
  <si>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</si>
  <si>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</si>
  <si>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</si>
  <si>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</si>
  <si>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</si>
  <si>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</si>
  <si>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</si>
  <si>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</si>
  <si>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</si>
  <si>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</si>
  <si>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</si>
  <si>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</si>
  <si>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</si>
  <si>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</si>
  <si>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</si>
  <si>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</si>
  <si>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</si>
  <si>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</si>
  <si>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</si>
  <si>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</si>
  <si>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</si>
  <si>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</si>
  <si>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</si>
  <si>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</si>
  <si>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</si>
  <si>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</si>
  <si>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</si>
  <si>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</si>
  <si>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</si>
  <si>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</si>
  <si>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</si>
  <si>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</si>
  <si>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</si>
  <si>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</si>
  <si>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</si>
  <si>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</si>
  <si>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</si>
  <si>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</si>
  <si>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</si>
  <si>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</si>
  <si>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</si>
  <si>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</si>
  <si>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</si>
  <si>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</si>
  <si>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</si>
  <si>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</si>
  <si>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</si>
  <si>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</si>
  <si>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</si>
  <si>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</si>
  <si>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</si>
  <si>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</si>
  <si>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</si>
  <si>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</si>
  <si>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</si>
  <si>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</si>
  <si>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</si>
  <si>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</si>
  <si>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</si>
  <si>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</si>
  <si>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</si>
  <si>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</si>
  <si>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</si>
  <si>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</si>
  <si>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</si>
  <si>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</si>
  <si>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</si>
  <si>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</si>
  <si>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</si>
  <si>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</si>
  <si>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</si>
  <si>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</si>
  <si>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</si>
  <si>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</si>
  <si>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</si>
  <si>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</si>
  <si>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</si>
  <si>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</si>
  <si>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</si>
  <si>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</si>
  <si>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</si>
  <si>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</si>
  <si>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</si>
  <si>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</si>
  <si>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</si>
  <si>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</si>
  <si>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</si>
  <si>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</si>
  <si>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</si>
  <si>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</si>
  <si>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</si>
  <si>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</si>
  <si>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</si>
  <si>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</si>
  <si>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</si>
  <si>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</si>
  <si>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</si>
  <si>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</si>
  <si>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</si>
  <si>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</si>
  <si>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</si>
  <si>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</si>
  <si>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</si>
  <si>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</si>
  <si>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</si>
  <si>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</si>
  <si>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</si>
  <si>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</si>
  <si>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</si>
  <si>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</si>
  <si>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</si>
  <si>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</si>
  <si>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</si>
  <si>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</si>
  <si>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</si>
  <si>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</si>
  <si>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</si>
  <si>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</si>
  <si>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</si>
  <si>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</si>
  <si>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</si>
  <si>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</si>
  <si>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</si>
  <si>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</si>
  <si>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</si>
  <si>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</si>
  <si>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</si>
  <si>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</si>
  <si>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</si>
  <si>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</si>
  <si>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</si>
  <si>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</si>
  <si>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</si>
  <si>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</si>
  <si>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</si>
  <si>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</si>
  <si>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</si>
  <si>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</si>
  <si>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</si>
  <si>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</si>
  <si>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</si>
  <si>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</si>
  <si>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</si>
  <si>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</si>
  <si>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</si>
  <si>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</si>
  <si>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</si>
  <si>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</si>
  <si>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</si>
  <si>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</si>
  <si>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</si>
  <si>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</si>
  <si>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</si>
  <si>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</si>
  <si>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</si>
  <si>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</si>
  <si>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</si>
  <si>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</si>
  <si>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</si>
  <si>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</si>
  <si>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</si>
  <si>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</si>
  <si>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</si>
  <si>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</si>
  <si>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</si>
  <si>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</si>
  <si>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</si>
  <si>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</si>
  <si>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</si>
  <si>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</si>
  <si>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</si>
  <si>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</si>
  <si>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</si>
  <si>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</si>
  <si>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</si>
  <si>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</si>
  <si>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</si>
  <si>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</si>
  <si>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</si>
  <si>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</si>
  <si>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</si>
  <si>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</si>
  <si>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</si>
  <si>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</si>
  <si>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</si>
  <si>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</si>
  <si>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</si>
  <si>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</si>
  <si>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</si>
  <si>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</si>
  <si>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</si>
  <si>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</si>
  <si>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</si>
  <si>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11001310302520170083400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</si>
  <si>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</si>
  <si>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</si>
  <si>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</si>
  <si>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</si>
  <si>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</si>
  <si>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</si>
  <si>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</si>
  <si>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</si>
  <si>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</si>
  <si>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</si>
  <si>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</si>
  <si>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</si>
  <si>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</si>
  <si>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</si>
  <si>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</si>
  <si>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</si>
  <si>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</si>
  <si>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</si>
  <si>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</si>
  <si>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</si>
  <si>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</si>
  <si>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</si>
  <si>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</si>
  <si>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</si>
  <si>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</si>
  <si>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</si>
  <si>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</si>
  <si>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</si>
  <si>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</si>
  <si>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</si>
  <si>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</si>
  <si>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</si>
  <si>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</si>
  <si>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</si>
  <si>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</si>
  <si>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</si>
  <si>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</si>
  <si>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</si>
  <si>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</si>
  <si>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</si>
  <si>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</si>
  <si>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</si>
  <si>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</si>
  <si>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</si>
  <si>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</si>
  <si>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</si>
  <si>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</si>
  <si>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</si>
  <si>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</si>
  <si>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</si>
  <si>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</si>
  <si>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</si>
  <si>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</si>
  <si>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</si>
  <si>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</si>
  <si>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</si>
  <si>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</si>
  <si>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</si>
  <si>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</si>
  <si>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</si>
  <si>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</si>
  <si>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</si>
  <si>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</si>
  <si>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</si>
  <si>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</si>
  <si>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</si>
  <si>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</si>
  <si>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</si>
  <si>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</si>
  <si>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</si>
  <si>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</si>
  <si>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</si>
  <si>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</si>
  <si>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</si>
  <si>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</si>
  <si>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</si>
  <si>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</si>
  <si>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</si>
  <si>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</si>
  <si>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</si>
  <si>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</si>
  <si>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</si>
  <si>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</si>
  <si>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</si>
  <si>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</si>
  <si>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</si>
  <si>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</si>
  <si>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</si>
  <si>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</si>
  <si>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</si>
  <si>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</si>
  <si>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</si>
  <si>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</si>
  <si>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</si>
  <si>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</si>
  <si>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</si>
  <si>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</si>
  <si>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</si>
  <si>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</si>
  <si>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</si>
  <si>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</si>
  <si>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</si>
  <si>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</si>
  <si>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</si>
  <si>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</si>
  <si>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</si>
  <si>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</si>
  <si>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</si>
  <si>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</si>
  <si>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</si>
  <si>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</si>
  <si>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</si>
  <si>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</si>
  <si>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</si>
  <si>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</si>
  <si>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</si>
  <si>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</si>
  <si>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</si>
  <si>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</si>
  <si>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</si>
  <si>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</si>
  <si>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</si>
  <si>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</si>
  <si>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</si>
  <si>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</si>
  <si>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</si>
  <si>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</si>
  <si>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</si>
  <si>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</si>
  <si>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</si>
  <si>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</si>
  <si>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</si>
  <si>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</si>
  <si>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</si>
  <si>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</si>
  <si>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</si>
  <si>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</si>
  <si>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</si>
  <si>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</si>
  <si>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</si>
  <si>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</si>
  <si>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</si>
  <si>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</si>
  <si>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</si>
  <si>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</si>
  <si>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</si>
  <si>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</si>
  <si>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</si>
  <si>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</si>
  <si>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</si>
  <si>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</si>
  <si>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</si>
  <si>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</si>
  <si>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</si>
  <si>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</si>
  <si>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</si>
  <si>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</si>
  <si>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</si>
  <si>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</si>
  <si>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</si>
  <si>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</si>
  <si>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</si>
  <si>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</si>
  <si>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</si>
  <si>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</si>
  <si>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</si>
  <si>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</si>
  <si>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</si>
  <si>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</si>
  <si>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</si>
  <si>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</si>
  <si>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</si>
  <si>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</si>
  <si>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</si>
  <si>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</si>
  <si>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</si>
  <si>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</si>
  <si>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</si>
  <si>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</si>
  <si>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</si>
  <si>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</si>
  <si>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</si>
  <si>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</si>
  <si>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</si>
  <si>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</si>
  <si>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</si>
  <si>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</si>
  <si>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</si>
  <si>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</si>
  <si>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</si>
  <si>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</si>
  <si>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</si>
  <si>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</si>
  <si>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</si>
  <si>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</si>
  <si>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</si>
  <si>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</si>
  <si>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</si>
  <si>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</si>
  <si>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</si>
  <si>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</si>
  <si>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</si>
  <si>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</si>
  <si>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</si>
  <si>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</si>
  <si>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</si>
  <si>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</si>
  <si>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</si>
  <si>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</si>
  <si>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</si>
  <si>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</si>
  <si>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</si>
  <si>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</si>
  <si>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</si>
  <si>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</si>
  <si>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</si>
  <si>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</si>
  <si>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</si>
  <si>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</si>
  <si>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</si>
  <si>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</si>
  <si>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</si>
  <si>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</si>
  <si>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</si>
  <si>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</si>
  <si>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</si>
  <si>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</si>
  <si>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</si>
  <si>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</si>
  <si>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</si>
  <si>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</si>
  <si>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</si>
  <si>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</si>
  <si>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</si>
  <si>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</si>
  <si>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</si>
  <si>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</si>
  <si>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</si>
  <si>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</si>
  <si>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</si>
  <si>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</si>
  <si>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</si>
  <si>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</si>
  <si>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</si>
  <si>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</si>
  <si>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</si>
  <si>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</si>
  <si>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</si>
  <si>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</si>
  <si>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</si>
  <si>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</si>
  <si>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</si>
  <si>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</si>
  <si>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</si>
  <si>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</si>
  <si>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</si>
  <si>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</si>
  <si>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</si>
  <si>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</si>
  <si>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</si>
  <si>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</si>
  <si>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</si>
  <si>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</si>
  <si>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</si>
  <si>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</si>
  <si>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</si>
  <si>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</si>
  <si>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</si>
  <si>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</si>
  <si>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</si>
  <si>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</si>
  <si>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</si>
  <si>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</si>
  <si>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</si>
  <si>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</si>
  <si>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</si>
  <si>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</si>
  <si>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</si>
  <si>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</si>
  <si>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</si>
  <si>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</si>
  <si>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</si>
  <si>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</si>
  <si>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</si>
  <si>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</si>
  <si>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</si>
  <si>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</si>
  <si>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</si>
  <si>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</si>
  <si>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</si>
  <si>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</si>
  <si>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</si>
  <si>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</si>
  <si>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</si>
  <si>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</si>
  <si>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</si>
  <si>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</si>
  <si>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</si>
  <si>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</si>
  <si>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</si>
  <si>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</si>
  <si>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</si>
  <si>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</si>
  <si>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</si>
  <si>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</si>
  <si>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</si>
  <si>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</si>
  <si>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</si>
  <si>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</si>
  <si>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</si>
  <si>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</si>
  <si>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</si>
  <si>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</si>
  <si>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</si>
  <si>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</si>
  <si>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</si>
  <si>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</si>
  <si>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</si>
  <si>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</si>
  <si>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</si>
  <si>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</si>
  <si>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</si>
  <si>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</si>
  <si>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</si>
  <si>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</si>
  <si>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</si>
  <si>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</si>
  <si>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</si>
  <si>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</si>
  <si>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</si>
  <si>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</si>
  <si>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</si>
  <si>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</si>
  <si>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</si>
  <si>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</si>
  <si>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</si>
  <si>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</si>
  <si>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</si>
  <si>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</si>
  <si>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</si>
  <si>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</si>
  <si>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</si>
  <si>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</si>
  <si>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</si>
  <si>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</si>
  <si>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</si>
  <si>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</si>
  <si>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</si>
  <si>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</si>
  <si>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</si>
  <si>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</si>
  <si>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</si>
  <si>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</si>
  <si>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</si>
  <si>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</si>
  <si>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</si>
  <si>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</si>
  <si>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</si>
  <si>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</si>
  <si>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</si>
  <si>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</si>
  <si>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</si>
  <si>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</si>
  <si>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</si>
  <si>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</si>
  <si>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</si>
  <si>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</si>
  <si>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</si>
  <si>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</si>
  <si>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</si>
  <si>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</si>
  <si>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</si>
  <si>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</si>
  <si>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</si>
  <si>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</si>
  <si>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</si>
  <si>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</si>
  <si>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</si>
  <si>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</si>
  <si>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</si>
  <si>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</si>
  <si>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</si>
  <si>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</si>
  <si>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</si>
  <si>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</si>
  <si>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</si>
  <si>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</si>
  <si>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</si>
  <si>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</si>
  <si>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</si>
  <si>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</si>
  <si>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</si>
  <si>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</si>
  <si>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</si>
  <si>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</si>
  <si>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</si>
  <si>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</si>
  <si>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</si>
  <si>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</si>
  <si>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</si>
  <si>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</si>
  <si>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</si>
  <si>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</si>
  <si>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</si>
  <si>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</si>
  <si>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</si>
  <si>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</si>
  <si>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</si>
  <si>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</si>
  <si>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</si>
  <si>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</si>
  <si>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</si>
  <si>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</si>
  <si>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</si>
  <si>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</si>
  <si>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</si>
  <si>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</si>
  <si>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</si>
  <si>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</si>
  <si>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</si>
  <si>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</si>
  <si>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</si>
  <si>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</si>
  <si>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</si>
  <si>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</si>
  <si>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</si>
  <si>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</si>
  <si>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</si>
  <si>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</si>
  <si>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</si>
  <si>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</si>
  <si>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</si>
  <si>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</si>
  <si>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</si>
  <si>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</si>
  <si>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</si>
  <si>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</si>
  <si>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</si>
  <si>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</si>
  <si>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</si>
  <si>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</si>
  <si>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</si>
  <si>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</si>
  <si>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</si>
  <si>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</si>
  <si>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</si>
  <si>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</si>
  <si>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</si>
  <si>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</si>
  <si>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</si>
  <si>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</si>
  <si>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</si>
  <si>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</si>
  <si>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</si>
  <si>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</si>
  <si>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</si>
  <si>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</si>
  <si>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</si>
  <si>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</si>
  <si>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</si>
  <si>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</si>
  <si>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</si>
  <si>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</si>
  <si>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</si>
  <si>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</si>
  <si>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</si>
  <si>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</si>
  <si>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</si>
  <si>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</si>
  <si>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</si>
  <si>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</si>
  <si>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</si>
  <si>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</si>
  <si>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</si>
  <si>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</si>
  <si>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</si>
  <si>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</si>
  <si>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</si>
  <si>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</si>
  <si>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</si>
  <si>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</si>
  <si>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</si>
  <si>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</si>
  <si>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</si>
  <si>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</si>
  <si>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</si>
  <si>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</si>
  <si>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</si>
  <si>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</si>
  <si>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</si>
  <si>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</si>
  <si>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</si>
  <si>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</si>
  <si>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</si>
  <si>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</si>
  <si>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</si>
  <si>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</si>
  <si>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</si>
  <si>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</si>
  <si>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</si>
  <si>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</si>
  <si>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</si>
  <si>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</si>
  <si>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</si>
  <si>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</si>
  <si>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</si>
  <si>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</si>
  <si>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</si>
  <si>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</si>
  <si>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</si>
  <si>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</si>
  <si>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</si>
  <si>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</si>
  <si>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</si>
  <si>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</si>
  <si>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</si>
  <si>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</si>
  <si>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</si>
  <si>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</si>
  <si>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</si>
  <si>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</si>
  <si>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</si>
  <si>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</si>
  <si>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</si>
  <si>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</si>
  <si>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</si>
  <si>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</si>
  <si>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</si>
  <si>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</si>
  <si>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</si>
  <si>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</si>
  <si>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</si>
  <si>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</si>
  <si>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</si>
  <si>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</si>
  <si>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</si>
  <si>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</si>
  <si>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</si>
  <si>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</si>
  <si>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</si>
  <si>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</si>
  <si>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</si>
  <si>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</si>
  <si>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</si>
  <si>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</si>
  <si>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</si>
  <si>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</si>
  <si>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</si>
  <si>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</si>
  <si>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</si>
  <si>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</si>
  <si>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</si>
  <si>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</si>
  <si>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</si>
  <si>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</si>
  <si>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</si>
  <si>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</si>
  <si>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</si>
  <si>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</si>
  <si>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</si>
  <si>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</si>
  <si>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</si>
  <si>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</si>
  <si>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</si>
  <si>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</si>
  <si>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</si>
  <si>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</si>
  <si>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</si>
  <si>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</si>
  <si>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</si>
  <si>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</si>
  <si>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</si>
  <si>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</si>
  <si>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</si>
  <si>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</si>
  <si>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</si>
  <si>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</si>
  <si>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</si>
  <si>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</si>
  <si>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</si>
  <si>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</si>
  <si>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</si>
  <si>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</si>
  <si>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</si>
  <si>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</si>
  <si>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</si>
  <si>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</si>
  <si>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</si>
  <si>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</si>
  <si>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</si>
  <si>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</si>
  <si>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</si>
  <si>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</si>
  <si>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</si>
  <si>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</si>
  <si>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</si>
  <si>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</si>
  <si>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</si>
  <si>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</si>
  <si>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</si>
  <si>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</si>
  <si>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</si>
  <si>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</si>
  <si>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</si>
  <si>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</si>
  <si>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</si>
  <si>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</si>
  <si>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</si>
  <si>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</si>
  <si>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</si>
  <si>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</si>
  <si>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</si>
  <si>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</si>
  <si>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</si>
  <si>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</si>
  <si>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</si>
  <si>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</si>
  <si>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</si>
  <si>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</si>
  <si>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</si>
  <si>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</si>
  <si>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</si>
  <si>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</si>
  <si>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</si>
  <si>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</si>
  <si>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</si>
  <si>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</si>
  <si>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</si>
  <si>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</si>
  <si>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</si>
  <si>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</si>
  <si>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</si>
  <si>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</si>
  <si>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</si>
  <si>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</si>
  <si>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</si>
  <si>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</si>
  <si>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</si>
  <si>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</si>
  <si>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</si>
  <si>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</si>
  <si>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</si>
  <si>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</si>
  <si>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</si>
  <si>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</si>
  <si>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</si>
  <si>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</si>
  <si>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</si>
  <si>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</si>
  <si>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</si>
  <si>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</si>
  <si>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</si>
  <si>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</si>
  <si>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</si>
  <si>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</si>
  <si>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</si>
  <si>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</si>
  <si>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</si>
  <si>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</si>
  <si>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</si>
  <si>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</si>
  <si>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</si>
  <si>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</si>
  <si>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</si>
  <si>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</si>
  <si>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</si>
  <si>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</si>
  <si>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</si>
  <si>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</si>
  <si>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</si>
  <si>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</si>
  <si>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</si>
  <si>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</si>
  <si>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</si>
  <si>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</si>
  <si>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</si>
  <si>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</si>
  <si>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</si>
  <si>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</si>
  <si>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</si>
  <si>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</si>
  <si>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</si>
  <si>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</si>
  <si>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</si>
  <si>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</si>
  <si>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</si>
  <si>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</si>
  <si>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</si>
  <si>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</si>
  <si>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</si>
  <si>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</si>
  <si>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</si>
  <si>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</si>
  <si>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</si>
  <si>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</si>
  <si>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</si>
  <si>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</si>
  <si>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</si>
  <si>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</si>
  <si>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</si>
  <si>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</si>
  <si>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</si>
  <si>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</si>
  <si>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</si>
  <si>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</si>
  <si>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</si>
  <si>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</si>
  <si>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</si>
  <si>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</si>
  <si>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</si>
  <si>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</si>
  <si>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</si>
  <si>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</si>
  <si>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</si>
  <si>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</si>
  <si>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</si>
  <si>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</si>
  <si>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</si>
  <si>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</si>
  <si>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</si>
  <si>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</si>
  <si>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</si>
  <si>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</si>
  <si>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</si>
  <si>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</si>
  <si>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</si>
  <si>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</si>
  <si>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</si>
  <si>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</si>
  <si>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</si>
  <si>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</si>
  <si>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</si>
  <si>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</si>
  <si>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</si>
  <si>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</si>
  <si>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</si>
  <si>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</si>
  <si>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</si>
  <si>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</si>
  <si>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</si>
  <si>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</si>
  <si>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</si>
  <si>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</si>
  <si>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</si>
  <si>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</si>
  <si>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</si>
  <si>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</si>
  <si>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</si>
  <si>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</si>
  <si>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</si>
  <si>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</si>
  <si>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</si>
  <si>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</si>
  <si>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</si>
  <si>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</si>
  <si>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</si>
  <si>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</si>
  <si>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</si>
  <si>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</si>
  <si>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</si>
  <si>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</si>
  <si>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</si>
  <si>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</si>
  <si>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</si>
  <si>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</si>
  <si>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</si>
  <si>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</si>
  <si>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</si>
  <si>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</si>
  <si>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</si>
  <si>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</si>
  <si>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</si>
  <si>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</si>
  <si>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</si>
  <si>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</si>
  <si>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</si>
  <si>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</si>
  <si>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</si>
  <si>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</si>
  <si>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</si>
  <si>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</si>
  <si>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</si>
  <si>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</si>
  <si>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</si>
  <si>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</si>
  <si>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</si>
  <si>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</si>
  <si>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</si>
  <si>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</si>
  <si>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</si>
  <si>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</si>
  <si>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</si>
  <si>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</si>
  <si>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</si>
  <si>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</si>
  <si>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</si>
  <si>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</si>
  <si>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</si>
  <si>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</si>
  <si>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</si>
  <si>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</si>
  <si>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</si>
  <si>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</si>
  <si>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</si>
  <si>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</si>
  <si>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</si>
  <si>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</si>
  <si>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</si>
  <si>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</si>
  <si>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</si>
  <si>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</si>
  <si>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</si>
  <si>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</si>
  <si>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</si>
  <si>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</si>
  <si>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</si>
  <si>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</si>
  <si>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</si>
  <si>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</si>
  <si>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</si>
  <si>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</si>
  <si>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</si>
  <si>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</si>
  <si>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</si>
  <si>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</si>
  <si>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</si>
  <si>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</si>
  <si>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</si>
  <si>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</si>
  <si>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</si>
  <si>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</si>
  <si>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</si>
  <si>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</si>
  <si>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</si>
  <si>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</si>
  <si>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</si>
  <si>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</si>
  <si>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</si>
  <si>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</si>
  <si>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</si>
  <si>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</si>
  <si>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</si>
  <si>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</si>
  <si>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</si>
  <si>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</si>
  <si>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</si>
  <si>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</si>
  <si>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</si>
  <si>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</si>
  <si>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</si>
  <si>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</si>
  <si>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</si>
  <si>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</si>
  <si>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</si>
  <si>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</si>
  <si>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</si>
  <si>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</si>
  <si>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</si>
  <si>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</si>
  <si>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</si>
  <si>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</si>
  <si>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</si>
  <si>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</si>
  <si>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</si>
  <si>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</si>
  <si>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</si>
  <si>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</si>
  <si>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</si>
  <si>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</si>
  <si>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</si>
  <si>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</si>
  <si>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</si>
  <si>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</si>
  <si>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</si>
  <si>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</si>
  <si>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</si>
  <si>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</si>
  <si>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</si>
  <si>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</si>
  <si>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</si>
  <si>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</si>
  <si>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</si>
  <si>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</si>
  <si>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</si>
  <si>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</si>
  <si>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</si>
  <si>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</si>
  <si>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</si>
  <si>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</si>
  <si>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</si>
  <si>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</si>
  <si>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</si>
  <si>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</si>
  <si>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</si>
  <si>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</si>
  <si>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</si>
  <si>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</si>
  <si>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</si>
  <si>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</si>
  <si>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</si>
  <si>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</si>
  <si>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</si>
  <si>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</si>
  <si>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</si>
  <si>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</si>
  <si>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</si>
  <si>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</si>
  <si>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</si>
  <si>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</si>
  <si>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</si>
  <si>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</si>
  <si>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</si>
  <si>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</si>
  <si>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</si>
  <si>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</si>
  <si>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</si>
  <si>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</si>
  <si>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</si>
  <si>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</si>
  <si>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</si>
  <si>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</si>
  <si>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</si>
  <si>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</si>
  <si>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</si>
  <si>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</si>
  <si>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</si>
  <si>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</si>
  <si>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</si>
  <si>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</si>
  <si>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</si>
  <si>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</si>
  <si>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</si>
  <si>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</si>
  <si>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</si>
  <si>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</si>
  <si>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</si>
  <si>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</si>
  <si>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</si>
  <si>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</si>
  <si>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</si>
  <si>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</si>
  <si>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</si>
  <si>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</si>
  <si>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</si>
  <si>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</si>
  <si>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</si>
  <si>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</si>
  <si>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</si>
  <si>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</si>
  <si>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</si>
  <si>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</si>
  <si>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</si>
  <si>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</si>
  <si>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</si>
  <si>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</si>
  <si>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</si>
  <si>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</si>
  <si>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</si>
  <si>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</si>
  <si>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NUMERO DEL PROCESO</t>
  </si>
  <si>
    <t xml:space="preserve">REVISION </t>
  </si>
  <si>
    <t xml:space="preserve">VIRREY TORRE CENTRAL </t>
  </si>
  <si>
    <t>JUZGADOS CIVIL DE CIRCUITO DE BOGOTÁ.</t>
  </si>
  <si>
    <t>003 JUZGADO CIVIL CIRCUITO</t>
  </si>
  <si>
    <t>CISA 586</t>
  </si>
  <si>
    <t>11001310300320190053000</t>
  </si>
  <si>
    <t>002 JUZGADO CIVIL CIRCUITO</t>
  </si>
  <si>
    <t>CISA 582</t>
  </si>
  <si>
    <t>11001310300220190024500</t>
  </si>
  <si>
    <t xml:space="preserve">16-01-2022 Radicada </t>
  </si>
  <si>
    <t>C 365</t>
  </si>
  <si>
    <t>11001310300220190066000</t>
  </si>
  <si>
    <t>007 JUZGADO CIVIL CIRCUITO</t>
  </si>
  <si>
    <t>C 398</t>
  </si>
  <si>
    <t>11001310300720210007400</t>
  </si>
  <si>
    <t>010 JUZGADO CIVIL CIRCUITO</t>
  </si>
  <si>
    <t>CALERA</t>
  </si>
  <si>
    <t>11001310303420100023900</t>
  </si>
  <si>
    <t>009 JUZGADO CIVIL CIRCUITO</t>
  </si>
  <si>
    <t>029 JUZGADO CIVIL CIRCUITO</t>
  </si>
  <si>
    <t>CISA 617</t>
  </si>
  <si>
    <t>C 206</t>
  </si>
  <si>
    <t>11001310302920220001000</t>
  </si>
  <si>
    <t>013 JUZGADO CIVIL CIRCUITO</t>
  </si>
  <si>
    <t>CISA 216</t>
  </si>
  <si>
    <t>11001310301220150063201</t>
  </si>
  <si>
    <t>014 JUZGADO CIVIL CIRCUITO</t>
  </si>
  <si>
    <t>C 346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</si>
  <si>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</si>
  <si>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</si>
  <si>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</si>
  <si>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</si>
  <si>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</si>
  <si>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</si>
  <si>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</si>
  <si>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</si>
  <si>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</si>
  <si>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 xml:space="preserve">VIRREY SUR TORRE SUR </t>
  </si>
  <si>
    <r>
      <t>JUZGADOS</t>
    </r>
    <r>
      <rPr>
        <sz val="12"/>
        <color theme="9" tint="-0.249977111117893"/>
        <rFont val="Helvetica World"/>
        <family val="2"/>
      </rPr>
      <t xml:space="preserve"> 66, 67, 68 Y 69 CIVILES MUNICIPALES - CONVIDA</t>
    </r>
    <r>
      <rPr>
        <sz val="12"/>
        <color theme="1"/>
        <rFont val="Helvetica World"/>
        <family val="2"/>
      </rPr>
      <t xml:space="preserve"> BOGOTÁ.</t>
    </r>
  </si>
  <si>
    <t>49 PEQUEÑAS CAUSAS Y COMPETENCIA MULTIPLE</t>
  </si>
  <si>
    <t>IX 136</t>
  </si>
  <si>
    <t>11001400306720190223700</t>
  </si>
  <si>
    <t xml:space="preserve">JUZGADOS 001 DE EJECUCION DE FAMILIA DEL CIRCUITO DE BOGOTÁ D.C. </t>
  </si>
  <si>
    <t xml:space="preserve">018 DEL CIRCUITO DE FAMILIA </t>
  </si>
  <si>
    <t>C 228</t>
  </si>
  <si>
    <t>11001311001820150041500</t>
  </si>
  <si>
    <t xml:space="preserve">ESTADOS ESTADOS </t>
  </si>
  <si>
    <t xml:space="preserve">031 DEL CIRCUITO DE FAMILIA </t>
  </si>
  <si>
    <t>C 354</t>
  </si>
  <si>
    <t>11001311003120190018400</t>
  </si>
  <si>
    <t xml:space="preserve">JUZGADOS 001  DE EJECUCION DE FAMILIA DEL CIRCUITO DE BOGOTÁ D.C. </t>
  </si>
  <si>
    <t xml:space="preserve">007 DEL CIRCUITO DE FAMILIA </t>
  </si>
  <si>
    <t>C 319</t>
  </si>
  <si>
    <t>11001311000720180079900</t>
  </si>
  <si>
    <t xml:space="preserve">JUZGADOS 002 DE EJECUCION DE FAMILIA DEL CIRCUITO DE BOGOTÁ D.C. </t>
  </si>
  <si>
    <t xml:space="preserve">008 DEL CIRCUITO DE FAMILIA </t>
  </si>
  <si>
    <t>C 257</t>
  </si>
  <si>
    <t>11001311000820160014000</t>
  </si>
  <si>
    <t xml:space="preserve">JUZGADOS 003 DE EJECUCION DE FAMILIA DEL CIRCUITO DE BOGOTÁ D.C. </t>
  </si>
  <si>
    <t>C 329</t>
  </si>
  <si>
    <t>11001311001820180094300</t>
  </si>
  <si>
    <t xml:space="preserve">015 DEL CIRCUITO DE FAMILIA </t>
  </si>
  <si>
    <t>C 050</t>
  </si>
  <si>
    <t>11001311001520050106800</t>
  </si>
  <si>
    <t xml:space="preserve">OJO TENER EN CUENTA QUE LOS PROCESOS RESALTADOS CON AMARILLOS SON PROCESO DE ALERTA DEL 100%, SON PROCESOS CON TERMINOS - REVISAR ENTRADAS, ESTADOS, TRASLADOS ETC., POR SUPUESTO SIN DECUIDAR EL RESTO DE PROCESOS.     </t>
  </si>
  <si>
    <t xml:space="preserve">LABORALES Y FAMILIA </t>
  </si>
  <si>
    <t xml:space="preserve">JUZGADOS LABORALES DELCIRCUITO DE BOGOTÁ D.C. </t>
  </si>
  <si>
    <t xml:space="preserve">015 LABORAL DEL CIRCUITO DE BOGOTÁ D.C. </t>
  </si>
  <si>
    <t xml:space="preserve">C 206A </t>
  </si>
  <si>
    <t>11001310501519940523500</t>
  </si>
  <si>
    <t xml:space="preserve">003 LABORAL DEL CIRCUITO DE BOGOTÁ D.C. </t>
  </si>
  <si>
    <t>C 210</t>
  </si>
  <si>
    <t>11001310500320190067200</t>
  </si>
  <si>
    <t>: JUZGADOS 1,2,3,4,6,7,9,11,12,14,15,16,17,18,20,21 Y 23 AL 32 DE FAMILIA</t>
  </si>
  <si>
    <t xml:space="preserve">024 DE FAMILIA DEL CIRCUITO DE BOGOTÁ D.C. </t>
  </si>
  <si>
    <t>C 416</t>
  </si>
  <si>
    <t>11001311002420220084300</t>
  </si>
  <si>
    <t>CA 009</t>
  </si>
  <si>
    <t>11001311002420170070900</t>
  </si>
  <si>
    <t xml:space="preserve">028 LABORAL DEL CIRCUITO DE BOGOTÁ D.C. </t>
  </si>
  <si>
    <t>C 350</t>
  </si>
  <si>
    <t>11001310502820190010700</t>
  </si>
  <si>
    <t xml:space="preserve">037 LABORAL DEL CIRCUITO DE BOGOTÁ D.C. </t>
  </si>
  <si>
    <t>C 385</t>
  </si>
  <si>
    <t>11001310503720180055600</t>
  </si>
  <si>
    <t xml:space="preserve">036 LABORAL DEL CIRCUITO DE BOGOTÁ D.C. </t>
  </si>
  <si>
    <t>C 383</t>
  </si>
  <si>
    <t>11001310503620170030500</t>
  </si>
  <si>
    <t xml:space="preserve">JUZGADO 8 Y 22 DE FAMILIA DEL CIRCUITO DE BOGOTA </t>
  </si>
  <si>
    <t xml:space="preserve">08 DE FAMILIA DEL CIRCUITO DE BOGOTÁ D.C. </t>
  </si>
  <si>
    <t>C 374</t>
  </si>
  <si>
    <t>11001311000820190110800</t>
  </si>
  <si>
    <t xml:space="preserve">020 DE FAMILIA DEL CIRCUITO DE BOGOTÁ D.C. </t>
  </si>
  <si>
    <t>C 409</t>
  </si>
  <si>
    <t>11001311002020220084800</t>
  </si>
  <si>
    <t xml:space="preserve">015 DE FAMILIA DEL CIRCUITO DE BOGOTÁ D.C. </t>
  </si>
  <si>
    <t>C 214</t>
  </si>
  <si>
    <t>11001311001520180002700</t>
  </si>
  <si>
    <t>: JUZGADO 13 DE FAMILIA DEL CIRCUITO DE BOGOTA</t>
  </si>
  <si>
    <t xml:space="preserve">013 DE FAMILIA DEL CIRCUITO DE BOGOTÁ D.C. </t>
  </si>
  <si>
    <t>C 366</t>
  </si>
  <si>
    <t>11001311001320200040300</t>
  </si>
  <si>
    <t xml:space="preserve">011 DE FAMILIA DEL CIRCUITO DE BOGOTÁ D.C. </t>
  </si>
  <si>
    <t>C 047</t>
  </si>
  <si>
    <t>11001311001120090061500</t>
  </si>
  <si>
    <t xml:space="preserve">014 DE FAMILIA DEL CIRCUITO DE BOGOTÁ D.C. </t>
  </si>
  <si>
    <t xml:space="preserve">C 206B </t>
  </si>
  <si>
    <t>11001311001419930056100</t>
  </si>
  <si>
    <t xml:space="preserve">001 DE FAMILIA DEL CIRCUITO DE BOGOTÁ D.C. </t>
  </si>
  <si>
    <t>11001311000120200014200</t>
  </si>
  <si>
    <t>C 326</t>
  </si>
  <si>
    <t>11001311000120190065800</t>
  </si>
  <si>
    <t xml:space="preserve">PROCESO FUERA DE BOGOTA </t>
  </si>
  <si>
    <t xml:space="preserve">003 DE PEQUEÑAS CAUSAS DE NEIVA HUILA </t>
  </si>
  <si>
    <t>C 392A</t>
  </si>
  <si>
    <t>41001418900320210045800</t>
  </si>
  <si>
    <t>C 392B</t>
  </si>
  <si>
    <t>41001418900320210054900</t>
  </si>
  <si>
    <t xml:space="preserve">003 CIVIL MUNICIPAL DE BARRANQUILLA ATLANTICO </t>
  </si>
  <si>
    <t xml:space="preserve">C 371 </t>
  </si>
  <si>
    <t>008001405300320220019900</t>
  </si>
  <si>
    <t xml:space="preserve">001 CIVIL MUNICIPAL MOSQUERA CUNDINAMARCA </t>
  </si>
  <si>
    <t>C 403</t>
  </si>
  <si>
    <t>2022 - 01140</t>
  </si>
  <si>
    <t>001 PROMISCUO MUNICIPAL DE GALAPA ATLANTICO</t>
  </si>
  <si>
    <t xml:space="preserve">CISA 604 </t>
  </si>
  <si>
    <t>08296408900120190029100</t>
  </si>
  <si>
    <t xml:space="preserve">REVISAR ENTRADAS, ESTADOS Y TRASLADOS. </t>
  </si>
  <si>
    <t>JUZGADO 001 PROMISCUO MUNICIPAL DE TIBANA BOYACA</t>
  </si>
  <si>
    <t xml:space="preserve">001 PROMISCUO MUNICIPAL DE TIBANA BOYACA </t>
  </si>
  <si>
    <t>C 393</t>
  </si>
  <si>
    <t>15804408900120210004900</t>
  </si>
  <si>
    <t xml:space="preserve">JUZGADO 004 CIVIL DE CIRCUITO DE IBAGUE TOLIMA </t>
  </si>
  <si>
    <t xml:space="preserve">004 CIIVIL DEL CIRCUITO DE IBAGUE TOLIMA </t>
  </si>
  <si>
    <t>C 418</t>
  </si>
  <si>
    <t>73001310300420200020800</t>
  </si>
  <si>
    <t xml:space="preserve">JUZGADO 006 CIVIL DE CIRCUITO DE IBAGUE TOLIMA </t>
  </si>
  <si>
    <t xml:space="preserve">006 CIIVIL DEL CIRCUITO DE IBAGUE TOLIMA </t>
  </si>
  <si>
    <t>C 392</t>
  </si>
  <si>
    <t>73001310300620210004500</t>
  </si>
  <si>
    <t>JUZGADO 001 DE FAMILIA DEL CIRCUITO DE ZIPAQUIRA</t>
  </si>
  <si>
    <t xml:space="preserve">001 DE FAMILIA DEL CIRCUITO DE ZIPAQUIRA </t>
  </si>
  <si>
    <t>C 381</t>
  </si>
  <si>
    <t>25899311000120180033200</t>
  </si>
  <si>
    <t xml:space="preserve">JUZGADO 002 CIVIL DE CIRCUITO DE ZIPAQUIRA  </t>
  </si>
  <si>
    <t xml:space="preserve">002 CIVIL EL CIRCUITO DE ZIPAQUIRA </t>
  </si>
  <si>
    <t xml:space="preserve">C 380 </t>
  </si>
  <si>
    <t>2018 - 00022</t>
  </si>
  <si>
    <t xml:space="preserve">JUZGADO DE FAMILIA DE SOACHA CUNDINAMARCA </t>
  </si>
  <si>
    <t>C 368</t>
  </si>
  <si>
    <t>25754310300120200040500</t>
  </si>
  <si>
    <t xml:space="preserve">Este proceso se revisa en este link y por estados electronicos. </t>
  </si>
  <si>
    <t xml:space="preserve">C 406 </t>
  </si>
  <si>
    <t>028 CIVIL MUNICIPAL DE BUCARAMANGA</t>
  </si>
  <si>
    <t xml:space="preserve">JUZGADOS CIVILES MUNICIPALES DE BUCARAMANGA </t>
  </si>
  <si>
    <t>C 391</t>
  </si>
  <si>
    <t>68001400302820180074200</t>
  </si>
  <si>
    <t xml:space="preserve">JUZGADO PROMISCUO MUNICIPAL DE SIBATE CUNDINAMARCA </t>
  </si>
  <si>
    <t>C 330</t>
  </si>
  <si>
    <t>2018 - 0359</t>
  </si>
  <si>
    <t xml:space="preserve">JUZGADO 003 CIVIL MUNICIPAL DE GIRARDOT CUNDINAMARCA </t>
  </si>
  <si>
    <t>C 314</t>
  </si>
  <si>
    <t>25307400300320110026900</t>
  </si>
  <si>
    <t xml:space="preserve">JUZGADO 001 CIVIL DEL CIRCUITO DE VELEZ - SANTANDER </t>
  </si>
  <si>
    <t>C 302</t>
  </si>
  <si>
    <t>2017 - 012</t>
  </si>
  <si>
    <t xml:space="preserve">ESTADOS ELECTRONICOS </t>
  </si>
  <si>
    <t xml:space="preserve">JUZGADO 002 CIVIL DE CIRCUITO DE VELEZ - SANTANDER </t>
  </si>
  <si>
    <t>C 273</t>
  </si>
  <si>
    <t>2016 - 0052</t>
  </si>
  <si>
    <t xml:space="preserve">C 286A </t>
  </si>
  <si>
    <t>2016 - 0082</t>
  </si>
  <si>
    <t>2016 - 0051</t>
  </si>
  <si>
    <t xml:space="preserve">JUZGADO 002 PROMISCUO MUNICIPAL DE VELEZ - SANTANDER </t>
  </si>
  <si>
    <t>C 370</t>
  </si>
  <si>
    <t>2021 - 00028</t>
  </si>
  <si>
    <t xml:space="preserve">ESTADOS ELECTRONICOS DEMANDA NUEVA </t>
  </si>
  <si>
    <t xml:space="preserve">PROCESO KENNEDY </t>
  </si>
  <si>
    <t>025 PEQUEÑAS CAUSAS Y COMPETENCIA MULTIPLE DE BOGOTÁ D.C.</t>
  </si>
  <si>
    <t xml:space="preserve">25 DE PEQUEÑA CAUSAS Y COMPETENCIA MULTIPLE </t>
  </si>
  <si>
    <t>C 334</t>
  </si>
  <si>
    <t>2017 - 1016</t>
  </si>
  <si>
    <t xml:space="preserve">PROCESOS CARRERA DECIMA </t>
  </si>
  <si>
    <t>JUZGADOS CIVILES MUNICIPALES DE BOGOTA(NEMQUETEBA)</t>
  </si>
  <si>
    <t xml:space="preserve">JUZGADO 052 CIVIL MUNICIPAL DE BOGOTÁ D.C.  </t>
  </si>
  <si>
    <t>C 384</t>
  </si>
  <si>
    <t>11001400305220200001900</t>
  </si>
  <si>
    <t>44 CIVIL MUNICIPAL DE BOGOTÁ D.C.</t>
  </si>
  <si>
    <t>C 351</t>
  </si>
  <si>
    <t>11001400307120170090700</t>
  </si>
  <si>
    <t>017 JUZGADO CIVIL CIRCUITO</t>
  </si>
  <si>
    <t>CA 020</t>
  </si>
  <si>
    <t>C 312</t>
  </si>
  <si>
    <t>11001310301720180009000</t>
  </si>
  <si>
    <t>001 JUZGADO CIVIL CIRCUITO</t>
  </si>
  <si>
    <t>C 201</t>
  </si>
  <si>
    <t>11001310300120150046100</t>
  </si>
  <si>
    <t>JUZGADOS CIVILES MUNICIPALES DE BOGOTÁ (CRA 10).</t>
  </si>
  <si>
    <t>62 CIVIL MUNICIPAL DE BOGOTÁ D.C.</t>
  </si>
  <si>
    <t>C 024</t>
  </si>
  <si>
    <t>11001400306220180076400</t>
  </si>
  <si>
    <t>60 CIVIL MUNICIPAL DE BOGOTÁ D.C.</t>
  </si>
  <si>
    <t>C 376</t>
  </si>
  <si>
    <t>11001400306020210061200</t>
  </si>
  <si>
    <t>59 CIVIL MUNICIPAL DE BOGOTÁ D.C.</t>
  </si>
  <si>
    <t>CISA 050</t>
  </si>
  <si>
    <t>11001400305920150148900</t>
  </si>
  <si>
    <t>021 JUZGADO CIVIL CIRCUITO</t>
  </si>
  <si>
    <t>CISA 526</t>
  </si>
  <si>
    <t>11001310302120180007600</t>
  </si>
  <si>
    <r>
      <t xml:space="preserve">JUZGADOS </t>
    </r>
    <r>
      <rPr>
        <sz val="12"/>
        <color theme="7" tint="-0.249977111117893"/>
        <rFont val="Helvetica World"/>
        <family val="2"/>
      </rPr>
      <t>63, 64, 65, 70 Y 71 CIVILES MUNICIPALES – CRA DECIMA</t>
    </r>
    <r>
      <rPr>
        <sz val="12"/>
        <color theme="1"/>
        <rFont val="Helvetica World"/>
        <family val="2"/>
      </rPr>
      <t xml:space="preserve"> DE BOGOTÁ.</t>
    </r>
  </si>
  <si>
    <t>046 PEQUEÑAS CAUSAS Y COMPETENCIA MULTIPLE DE BOGOTÁ D.C.</t>
  </si>
  <si>
    <t>C 347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</si>
  <si>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</si>
  <si>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</si>
  <si>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</si>
  <si>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</si>
  <si>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</si>
  <si>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</si>
  <si>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JUZGADOS 39, 40, 41 y 42 CIVILES MUNICIPALES DE BOGOTA</t>
  </si>
  <si>
    <t>42 CIVIL MUNICIPAL DE BOGOTÁ D.C.</t>
  </si>
  <si>
    <t>CA 003</t>
  </si>
  <si>
    <t>11001400304220170100700</t>
  </si>
  <si>
    <r>
      <t>JUZGADOS CIVILES MUNICIPALES DE BOGOTÁ (</t>
    </r>
    <r>
      <rPr>
        <sz val="12"/>
        <color rgb="FFC00000"/>
        <rFont val="Helvetica World"/>
        <family val="2"/>
      </rPr>
      <t>NEMQUETEBA</t>
    </r>
    <r>
      <rPr>
        <sz val="12"/>
        <color theme="1"/>
        <rFont val="Helvetica World"/>
        <family val="2"/>
      </rPr>
      <t>).</t>
    </r>
  </si>
  <si>
    <t>46 CIVIL MUNICIPAL DE BOGOTÁ D.C.</t>
  </si>
  <si>
    <t>CISA 551</t>
  </si>
  <si>
    <t>11001400304620190041300</t>
  </si>
  <si>
    <t xml:space="preserve">07-12-2022 ENVIADO MEMO  </t>
  </si>
  <si>
    <t>035 JUZGADO CIVIL CIRCUITO</t>
  </si>
  <si>
    <t>CISA 239</t>
  </si>
  <si>
    <t>11001310303520160011600</t>
  </si>
  <si>
    <t>CISA 675</t>
  </si>
  <si>
    <t>11001310303520190063800</t>
  </si>
  <si>
    <t>34 CIVIL MUNICIPAL DE BOGOTÁ D.C.</t>
  </si>
  <si>
    <t>CA 021</t>
  </si>
  <si>
    <t>11001400303420210091100</t>
  </si>
  <si>
    <t>CA 022</t>
  </si>
  <si>
    <t>11001400303420210103200</t>
  </si>
  <si>
    <t>29 CIVIL MUNICIPAL DE BOGOTÁ D.C.</t>
  </si>
  <si>
    <t>C 351A</t>
  </si>
  <si>
    <t>11001400302920160142700</t>
  </si>
  <si>
    <t>28 CIVIL MUNICIPAL DE BOGOTÁ D.C.</t>
  </si>
  <si>
    <t>C 357</t>
  </si>
  <si>
    <t>11001400302820200065000</t>
  </si>
  <si>
    <t>27 CIVIL MUNICIPAL DE BOGOTÁ D.C.</t>
  </si>
  <si>
    <t>CISA 404</t>
  </si>
  <si>
    <t>11001400302720150089800</t>
  </si>
  <si>
    <t>25 CIVIL MUNICIPAL DE BOGOTÁ D.C.</t>
  </si>
  <si>
    <t>C 305</t>
  </si>
  <si>
    <t>11001400306920180091300</t>
  </si>
  <si>
    <t>24 CIVIL MUNICIPAL DE BOGOTÁ D.C.</t>
  </si>
  <si>
    <t>C 149</t>
  </si>
  <si>
    <t>11001400302419990171100</t>
  </si>
  <si>
    <t xml:space="preserve">C 400A </t>
  </si>
  <si>
    <t>18 CIVIL MUNICIPAL DE BOGOTÁ D.C.</t>
  </si>
  <si>
    <t>C 372</t>
  </si>
  <si>
    <t>11001400301820200074700</t>
  </si>
  <si>
    <t>16 CIVIL MUNICIPAL DE BOGOTÁ D.C.</t>
  </si>
  <si>
    <t>C 348</t>
  </si>
  <si>
    <t>11001400301620190068200</t>
  </si>
  <si>
    <t>14 CIVIL MUNICIPAL DE BOGOTÁ D.C.</t>
  </si>
  <si>
    <t>CISA 107</t>
  </si>
  <si>
    <t>11001400301420160013600</t>
  </si>
  <si>
    <t>15 CIVIL MUNICIPAL DE BOGOTÁ D.C.</t>
  </si>
  <si>
    <t>C 265</t>
  </si>
  <si>
    <t>11001400306820170158500</t>
  </si>
  <si>
    <t>13 CIVIL MUNICIPAL DE BOGOTÁ D.C.</t>
  </si>
  <si>
    <t>FNA 048</t>
  </si>
  <si>
    <t>11001400300820120159200</t>
  </si>
  <si>
    <t>12 CIVIL MUNICIPAL DE BOGOTÁ D.C.</t>
  </si>
  <si>
    <t>C 361</t>
  </si>
  <si>
    <t>11001400301220200002000</t>
  </si>
  <si>
    <t>09 CIVIL MUNICIPAL DE BOGOTÁ D.C.</t>
  </si>
  <si>
    <t>C 389</t>
  </si>
  <si>
    <t>11001400300920210024500</t>
  </si>
  <si>
    <t>03 CIVIL MUNICIPAL DE BOGOTÁ D.C.</t>
  </si>
  <si>
    <t>CISA 345</t>
  </si>
  <si>
    <t>11001400300320150157200</t>
  </si>
  <si>
    <t>CISA 185</t>
  </si>
  <si>
    <t>11001400300320160010900</t>
  </si>
  <si>
    <t>11001400300320170042700</t>
  </si>
  <si>
    <t>11001400300320110070800</t>
  </si>
  <si>
    <t>CISA 641</t>
  </si>
  <si>
    <t>11001400300320190015200</t>
  </si>
  <si>
    <t xml:space="preserve">se elaboro cesion pero no tiene sentencia hasta tanto no esten notificados demandados no se radica </t>
  </si>
  <si>
    <t>01 CIVIL MUNICIPAL DE BOGOTÁ D.C.</t>
  </si>
  <si>
    <t>C 416A</t>
  </si>
  <si>
    <t>DEMANDA PARA CALIFICAR REVISAR PAGINA POR NOMBRES JOSE ALFREDO VENEGAS RONDON, ALFREDO VENEGAS BARATO y MARIA DEL CARMEN RONDON DE VENEGAS</t>
  </si>
  <si>
    <t>026 JUZGADO CIVIL CIRCUITO</t>
  </si>
  <si>
    <t>CISA 661</t>
  </si>
  <si>
    <t>11001310302620170070900</t>
  </si>
  <si>
    <t>C 399</t>
  </si>
  <si>
    <t>11001310302620220020500</t>
  </si>
  <si>
    <t>031 JUZGADO CIVIL CIRCUITO</t>
  </si>
  <si>
    <t>CISA 460</t>
  </si>
  <si>
    <t>11001310303120170063100</t>
  </si>
  <si>
    <t xml:space="preserve">Tribunal superior Sala Civil - </t>
  </si>
  <si>
    <t>CISA 473</t>
  </si>
  <si>
    <t>11001310303120180018500</t>
  </si>
  <si>
    <t xml:space="preserve">NO SE HA RADICADO SUBROGACIÓN HASTA TANTO HAYA SENTENCIA  </t>
  </si>
  <si>
    <t>039 JUZGADO CIVIL CIRCUITO</t>
  </si>
  <si>
    <t>C 309</t>
  </si>
  <si>
    <t>11001310303920170078100</t>
  </si>
  <si>
    <t>41 CIVIL DE CIRCUITO</t>
  </si>
  <si>
    <t>CISA 478</t>
  </si>
  <si>
    <t>11001310304120170065300</t>
  </si>
  <si>
    <t>CISA 639</t>
  </si>
  <si>
    <t>11001310304120180024200</t>
  </si>
  <si>
    <t>047 PEQUEÑAS CAUSAS Y COMPETENCIA MULTIPLE DE BOGOTÁ D.C.</t>
  </si>
  <si>
    <t>C 412</t>
  </si>
  <si>
    <t>11001400306520220123800</t>
  </si>
  <si>
    <t xml:space="preserve">DEMANDA NUEVA: DEMANDANTE MERCANTIL DE INMUEBLES EL CENTRO </t>
  </si>
  <si>
    <t>070 CIVIL MUNICIPAL DE BOGOTÁ D.C.</t>
  </si>
  <si>
    <t>C 299</t>
  </si>
  <si>
    <t>11001400307020170070600</t>
  </si>
  <si>
    <t>040 JUZGADO CIVIL CIRCUITO</t>
  </si>
  <si>
    <t>CISA 596</t>
  </si>
  <si>
    <t>11001310304020190034300</t>
  </si>
  <si>
    <t xml:space="preserve">TRIBUNAL SUPERIOR DE CUNDINAMARCA SALA CIVIL </t>
  </si>
  <si>
    <t>C 373</t>
  </si>
  <si>
    <t>11001310304020170060401</t>
  </si>
  <si>
    <t xml:space="preserve">ESTE PROCESO SE DEBE REVISAR EN EL TRIBUNAL SUPERIOR SALA CIVIL ESTA CON APELACION DE SENTENCIA </t>
  </si>
  <si>
    <t>034 JUZGADO CIVIL CIRCUITO</t>
  </si>
  <si>
    <t>CISA 192</t>
  </si>
  <si>
    <t>11001310303420150039900</t>
  </si>
  <si>
    <t xml:space="preserve">050 CIVIL MUNICIPAL DE BOGOTÁ D.C. </t>
  </si>
  <si>
    <t>CISA 451</t>
  </si>
  <si>
    <t>11001400305020080140000</t>
  </si>
  <si>
    <t>CISA 496</t>
  </si>
  <si>
    <t>11001400308620170116000</t>
  </si>
  <si>
    <t>CISA 640</t>
  </si>
  <si>
    <t>11001400305020190028700</t>
  </si>
  <si>
    <t>025 JUZGADO CIVIL CIRCUITO</t>
  </si>
  <si>
    <t>CISA 488</t>
  </si>
  <si>
    <t>037 JUZGADO CIVIL CIRCUITO</t>
  </si>
  <si>
    <t>CISA 504</t>
  </si>
  <si>
    <t>11001310303720170049100</t>
  </si>
  <si>
    <t>025 PEQUEÑAS CAUSAS Y COMPETENCIA MULTIPLE DE KENNEDY</t>
  </si>
  <si>
    <t>IX 040</t>
  </si>
  <si>
    <t>2017 - 1221</t>
  </si>
  <si>
    <t>JUZGADOS CIVILES MUNICIPALES DE BOGOTÁ (NEMQUETEBA).</t>
  </si>
  <si>
    <t xml:space="preserve">045 CIVIL MUNICIPAL DE BOGOTÁ D.C. </t>
  </si>
  <si>
    <t xml:space="preserve">IX 041 </t>
  </si>
  <si>
    <t>11001400304520170068100</t>
  </si>
  <si>
    <t>IX 176</t>
  </si>
  <si>
    <t>11001400304520190073500</t>
  </si>
  <si>
    <t xml:space="preserve">053 CIVIL MUNICIPAL DE BOGOTÁ D.C. </t>
  </si>
  <si>
    <t>IX 012</t>
  </si>
  <si>
    <t>11001400307420170099300</t>
  </si>
  <si>
    <t>IX 254</t>
  </si>
  <si>
    <t>11001400305320170119600</t>
  </si>
  <si>
    <t>051 PEQUEÑAS CAUSAS Y COMPETENCIA MULTIPLE DE BOGOTÁ D.C.</t>
  </si>
  <si>
    <t>IX 166</t>
  </si>
  <si>
    <t>11001400306920190131700</t>
  </si>
  <si>
    <t>IX 204</t>
  </si>
  <si>
    <t>11001400306920190133200</t>
  </si>
  <si>
    <t>055 PEQUEÑAS CAUSAS Y COMPETENCIA MULTIPLE DE BOGOTÁ D.C.</t>
  </si>
  <si>
    <t xml:space="preserve">IX 202 </t>
  </si>
  <si>
    <t>11001400307320190135700</t>
  </si>
  <si>
    <t>041 PEQUEÑAS CAUSAS Y COMPETENCIA MULTIPLE DE BOGOTÁ D.C.</t>
  </si>
  <si>
    <t>IX 151</t>
  </si>
  <si>
    <t>11001400305920190120900</t>
  </si>
  <si>
    <t>043 PEQUEÑAS CAUSAS Y COMPETENCIA MULTIPLE DE BOGOTÁ D.C.</t>
  </si>
  <si>
    <t>IX 032</t>
  </si>
  <si>
    <t>11001400306120170099200</t>
  </si>
  <si>
    <t>IX 213</t>
  </si>
  <si>
    <t>11001400306120190142400</t>
  </si>
  <si>
    <t>IX 229</t>
  </si>
  <si>
    <t>11001400306120200003300</t>
  </si>
  <si>
    <t>IX 234</t>
  </si>
  <si>
    <t>11001400306120200003100</t>
  </si>
  <si>
    <t>IX 244</t>
  </si>
  <si>
    <t>11001400306120190142300</t>
  </si>
  <si>
    <t>044 PEQUEÑAS CAUSAS Y COMPETENCIA MULTIPLE DE BOGOTÁ D.C.</t>
  </si>
  <si>
    <t>IX 106</t>
  </si>
  <si>
    <t>11001400306220190107700</t>
  </si>
  <si>
    <t>IX 114</t>
  </si>
  <si>
    <t>11001400306220190119000</t>
  </si>
  <si>
    <t>045 PEQUEÑAS CAUSAS Y COMPETENCIA MULTIPLE DE BOGOTÁ D.C.</t>
  </si>
  <si>
    <t>IX 165</t>
  </si>
  <si>
    <t>11001400306320190127400</t>
  </si>
  <si>
    <t>064 PEQUEÑAS CAUSAS Y COMPETENCIA MULTIPLE DE BOGOTÁ D.C.</t>
  </si>
  <si>
    <t>IX 211</t>
  </si>
  <si>
    <t>11001400306420190152500</t>
  </si>
  <si>
    <r>
      <t xml:space="preserve">JUZGADOS </t>
    </r>
    <r>
      <rPr>
        <sz val="12"/>
        <color theme="4"/>
        <rFont val="Helvetica World"/>
        <family val="2"/>
      </rPr>
      <t xml:space="preserve">55, 56, 57 Y 58 CIVILES MUNICIPALES - CONVIDA </t>
    </r>
    <r>
      <rPr>
        <sz val="12"/>
        <color theme="1"/>
        <rFont val="Helvetica World"/>
        <family val="2"/>
      </rPr>
      <t>BOGOTÁ.</t>
    </r>
  </si>
  <si>
    <t xml:space="preserve">056 CIVIL MUNICIPAL DE BOGOTÁ D.C. </t>
  </si>
  <si>
    <t>IX 185</t>
  </si>
  <si>
    <t>11001400305620190078900</t>
  </si>
  <si>
    <t>048 PEQUEÑAS CAUSAS Y COMPETENCIA MULTIPLE DE BOGOTÁ D.C.</t>
  </si>
  <si>
    <t>IX 089</t>
  </si>
  <si>
    <t>11001400306620200003600</t>
  </si>
  <si>
    <t>IX 187</t>
  </si>
  <si>
    <t>11001400306620190222200</t>
  </si>
  <si>
    <t>IX 198</t>
  </si>
  <si>
    <t>11001400306620190216600</t>
  </si>
  <si>
    <t>IX 222</t>
  </si>
  <si>
    <t>11001400306620190192900</t>
  </si>
  <si>
    <t xml:space="preserve">034 CIVIL MUNICIPAL DE BOGOTÁ D.C. </t>
  </si>
  <si>
    <t>IX 177</t>
  </si>
  <si>
    <t>11001400303420190089200</t>
  </si>
  <si>
    <t xml:space="preserve">028 CIVIL MUNICIPAL DE BOGOTÁ D.C. </t>
  </si>
  <si>
    <t>IX 048</t>
  </si>
  <si>
    <t>11001400302820170081200</t>
  </si>
  <si>
    <t xml:space="preserve">024 CIVIL MUNICIPAL DE BOGOTÁ D.C. </t>
  </si>
  <si>
    <t>IX 188</t>
  </si>
  <si>
    <t>11001400302420190098600</t>
  </si>
  <si>
    <t xml:space="preserve">021 CIVIL MUNICIPAL DE BOGOTÁ D.C. </t>
  </si>
  <si>
    <t>IX 001</t>
  </si>
  <si>
    <t>11001400302120170132000</t>
  </si>
  <si>
    <t xml:space="preserve">020 CIVIL MUNICIPAL DE BOGOTÁ D.C. </t>
  </si>
  <si>
    <t>IX 036</t>
  </si>
  <si>
    <t>11001400302020170123100</t>
  </si>
  <si>
    <t xml:space="preserve">015 CIVIL MUNICIPAL DE BOGOTÁ D.C. </t>
  </si>
  <si>
    <t>IX 243</t>
  </si>
  <si>
    <t>11001400301520190086200</t>
  </si>
  <si>
    <t xml:space="preserve">014 CIVIL MUNICIPAL DE BOGOTÁ D.C. </t>
  </si>
  <si>
    <t>IX 018</t>
  </si>
  <si>
    <t>11001400301420170111400</t>
  </si>
  <si>
    <t xml:space="preserve">013 CIVIL MUNICIPAL DE BOGOTÁ D.C. </t>
  </si>
  <si>
    <t>IX 023</t>
  </si>
  <si>
    <t>11001400306020170077900</t>
  </si>
  <si>
    <t xml:space="preserve">011 CIVIL MUNICIPAL DE BOGOTÁ D.C. </t>
  </si>
  <si>
    <t>IX 082</t>
  </si>
  <si>
    <t>11001400301120170054800</t>
  </si>
  <si>
    <t xml:space="preserve">010 CIVIL MUNICIPAL DE BOGOTÁ D.C. </t>
  </si>
  <si>
    <t>IX 021</t>
  </si>
  <si>
    <t>11001400301020170097500</t>
  </si>
  <si>
    <t>057 PEQUEÑAS CAUSAS Y COMPETENCIA MULTIPLE DE BOGOTÁ D.C.</t>
  </si>
  <si>
    <t>IX 061</t>
  </si>
  <si>
    <t>11001400307520170078000</t>
  </si>
  <si>
    <t>IX 201</t>
  </si>
  <si>
    <t>11001400307520190158500</t>
  </si>
  <si>
    <t>040 PEQUEÑAS CAUSAS Y COMPETENCIA MULTIPLE DE BOGOTÁ D.C.</t>
  </si>
  <si>
    <t>IX 206</t>
  </si>
  <si>
    <t>11001400305820190177700</t>
  </si>
  <si>
    <t>IX 209</t>
  </si>
  <si>
    <t>11001400305820190147400</t>
  </si>
  <si>
    <t xml:space="preserve">049 CIVIL MUNICIPAL DE BOGOTÁ D.C. </t>
  </si>
  <si>
    <t>IX 042</t>
  </si>
  <si>
    <t>11001400305920170041000</t>
  </si>
  <si>
    <t>IX 011</t>
  </si>
  <si>
    <t>11001400305020170107000</t>
  </si>
  <si>
    <t>052 PEQUEÑAS CAUSAS Y COMPETENCIA MULTIPLE DE BOGOTÁ D.C.</t>
  </si>
  <si>
    <t>IX 104 A</t>
  </si>
  <si>
    <t>11001400307020200032000</t>
  </si>
  <si>
    <t>053 PEQUEÑAS CAUSAS Y COMPETENCIA MULTIPLE DE BOGOTÁ D.C.</t>
  </si>
  <si>
    <t>IX 107</t>
  </si>
  <si>
    <t>11001400307120190114500</t>
  </si>
  <si>
    <t>IX 120</t>
  </si>
  <si>
    <t>11001400307120190127100</t>
  </si>
  <si>
    <t>IX 208</t>
  </si>
  <si>
    <t>11001400307120190140800</t>
  </si>
  <si>
    <t>IX 228</t>
  </si>
  <si>
    <t>11001400307120200004500</t>
  </si>
  <si>
    <t>IX 232</t>
  </si>
  <si>
    <t>11001400307120190197100</t>
  </si>
  <si>
    <t xml:space="preserve">KAISSER </t>
  </si>
  <si>
    <t>035 PEQUEÑAS CAUSAS Y COMPETENCIA MULTIPLE DE BOGOTÁ D.C.</t>
  </si>
  <si>
    <t>C 395</t>
  </si>
  <si>
    <t>11001418903520210205600</t>
  </si>
  <si>
    <t xml:space="preserve">063 PEQUEÑAS CAUSAS Y COMPETENCIA MULTIPLE </t>
  </si>
  <si>
    <t>IX 099</t>
  </si>
  <si>
    <t>11001400308120190123700</t>
  </si>
  <si>
    <t>IX 220</t>
  </si>
  <si>
    <t>11001400308120190211000</t>
  </si>
  <si>
    <t xml:space="preserve">065 PEQUEÑAS CAUSAS Y COMPETENCIA MULTIPLE </t>
  </si>
  <si>
    <t>IX 142</t>
  </si>
  <si>
    <t>11001400308320190139900</t>
  </si>
  <si>
    <t>IX 162</t>
  </si>
  <si>
    <t>11001400308320190212100</t>
  </si>
  <si>
    <t>IX 203</t>
  </si>
  <si>
    <t>11001400308320190146100</t>
  </si>
  <si>
    <t xml:space="preserve">061 PEQUEÑAS CAUSAS Y COMPETENCIA MULTIPLE </t>
  </si>
  <si>
    <t>CISA 569</t>
  </si>
  <si>
    <t>11001400307920190113100</t>
  </si>
  <si>
    <t xml:space="preserve">060 PEQUEÑAS CAUSAS Y COMPETENCIA MULTIPLE </t>
  </si>
  <si>
    <t>CISA VER 2</t>
  </si>
  <si>
    <t>11001400307820190055300</t>
  </si>
  <si>
    <t xml:space="preserve">CASA JUSTICIA CHAPINERO </t>
  </si>
  <si>
    <t xml:space="preserve">033 PEQUEÑAS CAUSAS Y COMPETENCIA MULTIPLE </t>
  </si>
  <si>
    <t>CISA 622</t>
  </si>
  <si>
    <t>11001418903320190035000</t>
  </si>
  <si>
    <t xml:space="preserve">05-12-2022 Radicada </t>
  </si>
  <si>
    <t xml:space="preserve">ESTE FOLDER SE REVISA POR ESTADOS ELECTRONICOS Y ALGUNOS POR PAGINA DE CONSULTA DE PROCESO, CUANDO SE ANOTE NOMBRE DE LA PARTE ES DEMANDA NUEVA PARA REVISAR POR NOMBRES EN LO ESTADOS </t>
  </si>
  <si>
    <t>CAMACOL</t>
  </si>
  <si>
    <t xml:space="preserve">004 PEQUEÑAS CAUSAS Y COMPETENCIA MULTIPLE </t>
  </si>
  <si>
    <t>IX 205</t>
  </si>
  <si>
    <t>11001418900420190127100</t>
  </si>
  <si>
    <t xml:space="preserve">008 PEQUEÑAS CAUSAS Y COMPETENCIA MULTIPLE </t>
  </si>
  <si>
    <t>C 363</t>
  </si>
  <si>
    <t>11001418900820190189300</t>
  </si>
  <si>
    <t>CA 006</t>
  </si>
  <si>
    <t>11001418900820190041200</t>
  </si>
  <si>
    <t xml:space="preserve">011 PEQUEÑAS CAUSAS Y COMPETENCIA MULTIPLE </t>
  </si>
  <si>
    <t>IX 139</t>
  </si>
  <si>
    <t>11001418901120190109900</t>
  </si>
  <si>
    <t>IX 172</t>
  </si>
  <si>
    <t>11001418901120200002800</t>
  </si>
  <si>
    <t>IX 190</t>
  </si>
  <si>
    <t>11001418901120190124200</t>
  </si>
  <si>
    <t xml:space="preserve">012 PEQUEÑAS CAUSAS Y COMPETENCIA MULTIPLE </t>
  </si>
  <si>
    <t>IX 183</t>
  </si>
  <si>
    <t>11001418901220190115500</t>
  </si>
  <si>
    <t>IX 199</t>
  </si>
  <si>
    <t>11001418901220190013300</t>
  </si>
  <si>
    <t>C 410</t>
  </si>
  <si>
    <t>11001418901220190128100</t>
  </si>
  <si>
    <t xml:space="preserve">020 PEQUEÑAS CAUSAS Y COMPETENCIA MULTIPLE </t>
  </si>
  <si>
    <t xml:space="preserve">018 PEQUEÑAS CAUSAS Y COMPETENCIA MULTIPLE </t>
  </si>
  <si>
    <t>IX 103</t>
  </si>
  <si>
    <t>11001418901820190120100</t>
  </si>
  <si>
    <t>IX 130</t>
  </si>
  <si>
    <t>11001418901820190133900</t>
  </si>
  <si>
    <t>IX 197</t>
  </si>
  <si>
    <t>11001418901820190238200</t>
  </si>
  <si>
    <t xml:space="preserve">019 PEQUEÑAS CAUSAS Y COMPETENCIA MULTIPLE </t>
  </si>
  <si>
    <t>C 377</t>
  </si>
  <si>
    <t>11001418901920210016500</t>
  </si>
  <si>
    <t xml:space="preserve">062 PEQUEÑAS CAUSAS Y COMPETENCIA MULTIPLE </t>
  </si>
  <si>
    <t>IX 125</t>
  </si>
  <si>
    <t>11001400308020190106200</t>
  </si>
  <si>
    <t>IX 235</t>
  </si>
  <si>
    <t>11001400308020190186000</t>
  </si>
  <si>
    <t>IX 043</t>
  </si>
  <si>
    <t>11001400308020170049800</t>
  </si>
  <si>
    <t>C 401</t>
  </si>
  <si>
    <t xml:space="preserve">068 PEQUEÑAS CAUSAS Y COMPETENCIA MULTIPLE </t>
  </si>
  <si>
    <t>IX 127</t>
  </si>
  <si>
    <t>11001400308620190132400</t>
  </si>
  <si>
    <t>C 173</t>
  </si>
  <si>
    <t>11001400308020130012000</t>
  </si>
  <si>
    <t>IX 155</t>
  </si>
  <si>
    <t>11001400308620190148200</t>
  </si>
  <si>
    <t xml:space="preserve">021 PEQUEÑAS CAUSAS Y COMPETENCIA MULTIPLE </t>
  </si>
  <si>
    <t>IX 122</t>
  </si>
  <si>
    <t>11001418902120190121600</t>
  </si>
  <si>
    <t>IX 123</t>
  </si>
  <si>
    <t>11001418902120190114100</t>
  </si>
  <si>
    <t>IX 141</t>
  </si>
  <si>
    <t>11001418902120190126700</t>
  </si>
  <si>
    <t xml:space="preserve">VIRREY SUR </t>
  </si>
  <si>
    <t xml:space="preserve">023 PEQUEÑAS CAUSAS Y COMPETENCIA MULTIPLE </t>
  </si>
  <si>
    <t>IX 241</t>
  </si>
  <si>
    <t>11001418902320190135900</t>
  </si>
  <si>
    <t xml:space="preserve">024 PEQUEÑAS CAUSAS Y COMPETENCIA MULTIPLE </t>
  </si>
  <si>
    <t>IX 154</t>
  </si>
  <si>
    <t>11001418902420190114100</t>
  </si>
  <si>
    <t>C 402</t>
  </si>
  <si>
    <t>11001418902420220040600</t>
  </si>
  <si>
    <t xml:space="preserve">022 PEQUEÑAS CAUSAS Y COMPETENCIA MULTIPLE </t>
  </si>
  <si>
    <t>IX 173</t>
  </si>
  <si>
    <t>11001418902220190139900</t>
  </si>
  <si>
    <t>JARAMILLO</t>
  </si>
  <si>
    <t xml:space="preserve">016 PEQUEÑAS CAUSAS Y COMPETENCIA MULTIPLE </t>
  </si>
  <si>
    <t>C 375</t>
  </si>
  <si>
    <t xml:space="preserve">017 CIVIL MUNICIPAL DE DESCONGESTION </t>
  </si>
  <si>
    <t>CISA 085</t>
  </si>
  <si>
    <t>11001400307020150006200</t>
  </si>
  <si>
    <t xml:space="preserve">017 PEQUEÑAS CAUSAS Y COMPETENCIA MULTIPLE </t>
  </si>
  <si>
    <t>IX 098</t>
  </si>
  <si>
    <t>11001418901720190213000</t>
  </si>
  <si>
    <t>IX 135</t>
  </si>
  <si>
    <t>11001418901720190218200</t>
  </si>
  <si>
    <t>IX 189</t>
  </si>
  <si>
    <t>11001418901720190169600</t>
  </si>
  <si>
    <t>11001418901720190207100</t>
  </si>
  <si>
    <t xml:space="preserve">005 PEQUEÑAS CAUSAS Y COMPETENCIA MULTIPLE </t>
  </si>
  <si>
    <t>IX 226</t>
  </si>
  <si>
    <t>11001418900520190167500</t>
  </si>
  <si>
    <t>C 113</t>
  </si>
  <si>
    <t>11001418900520200024400</t>
  </si>
  <si>
    <t xml:space="preserve">005 CIVIL MUNICIPAL DE DESCONGESTION </t>
  </si>
  <si>
    <t>FNA 069</t>
  </si>
  <si>
    <t>11001410300320130019300</t>
  </si>
  <si>
    <t xml:space="preserve">015 PEQUEÑAS CAUSAS Y COMPETENCIA MULTIPLE </t>
  </si>
  <si>
    <t>IX 119</t>
  </si>
  <si>
    <t>11001418901520190118900</t>
  </si>
  <si>
    <t>IX 109</t>
  </si>
  <si>
    <t>11001418901520190115900</t>
  </si>
  <si>
    <t>IX 194</t>
  </si>
  <si>
    <t>11001418901520190204900</t>
  </si>
  <si>
    <t>IX 255</t>
  </si>
  <si>
    <t>11001418901520190088400</t>
  </si>
  <si>
    <t>C 347A</t>
  </si>
  <si>
    <t>11001418901520200003400</t>
  </si>
  <si>
    <t xml:space="preserve">007 PEQUEÑAS CAUSAS Y COMPETENCIA MULTIPLE </t>
  </si>
  <si>
    <t>CA 007</t>
  </si>
  <si>
    <t>11001418900720190017700</t>
  </si>
  <si>
    <t>CA 010</t>
  </si>
  <si>
    <t>11001418900720110030200</t>
  </si>
  <si>
    <t>CA 012</t>
  </si>
  <si>
    <t>11001418900720190076200</t>
  </si>
  <si>
    <t>CA 013</t>
  </si>
  <si>
    <t>11001418900720190035000</t>
  </si>
  <si>
    <t>CA 015</t>
  </si>
  <si>
    <t>11001418900720190128100</t>
  </si>
  <si>
    <t>CISA 615</t>
  </si>
  <si>
    <t>11001418900720190221400</t>
  </si>
  <si>
    <t>BUSCAR</t>
  </si>
  <si>
    <t>DIGITALIZACION</t>
  </si>
  <si>
    <t xml:space="preserve">REVISIÓN </t>
  </si>
  <si>
    <t>CAPITAL</t>
  </si>
  <si>
    <t>RECUPERACION</t>
  </si>
  <si>
    <t>OBSERVACION</t>
  </si>
  <si>
    <t>CUADERNO 1</t>
  </si>
  <si>
    <t>CUADERNO  2</t>
  </si>
  <si>
    <t>SI/ NO/ PARCIAL</t>
  </si>
  <si>
    <t xml:space="preserve">GINNA </t>
  </si>
  <si>
    <t xml:space="preserve">CARLOS </t>
  </si>
  <si>
    <t xml:space="preserve">LADY </t>
  </si>
  <si>
    <t>SALDO CAPITAL</t>
  </si>
  <si>
    <t xml:space="preserve">SI </t>
  </si>
  <si>
    <t xml:space="preserve">NO </t>
  </si>
  <si>
    <t xml:space="preserve">DAR DE BAJA </t>
  </si>
  <si>
    <t xml:space="preserve">PROCESO SUSTANCIADO </t>
  </si>
  <si>
    <t>04-11-2022 GINNA GENERO IMPULSO</t>
  </si>
  <si>
    <t>X</t>
  </si>
  <si>
    <t xml:space="preserve">29-10-2022 QUEDO A CARGO DE GINNA TAREA CREAR CARPETA, ESTUDIO E IMPULSO. </t>
  </si>
  <si>
    <t xml:space="preserve">27-10-2022 SE REALIZO EL PAGO DE HONORARIOS A CARLOS A TRAVES DE NEQUI. </t>
  </si>
  <si>
    <t>CISA 019</t>
  </si>
  <si>
    <t>CISA 021</t>
  </si>
  <si>
    <t>CISA 026</t>
  </si>
  <si>
    <t>x</t>
  </si>
  <si>
    <t xml:space="preserve">QUEDO A CARGO DE GINNA TAREA CREAR CARPETA, ESTUDIO E IMPULSO. </t>
  </si>
  <si>
    <t>CISA 037</t>
  </si>
  <si>
    <t>CISA 041</t>
  </si>
  <si>
    <t>NO</t>
  </si>
  <si>
    <t>PROCESO CON SENTENCIA Y LIQUIDADO PROCESO SIN ÉXITO MEDIDAS</t>
  </si>
  <si>
    <t>CISA 047</t>
  </si>
  <si>
    <t>CISA 052</t>
  </si>
  <si>
    <t>CISA 059</t>
  </si>
  <si>
    <t>CISA 068</t>
  </si>
  <si>
    <t>CISA 074</t>
  </si>
  <si>
    <t>CISA 075</t>
  </si>
  <si>
    <t>CISA 079</t>
  </si>
  <si>
    <t>CISA 083</t>
  </si>
  <si>
    <t>03-11-2022 GINNA GENERO IMPULSO</t>
  </si>
  <si>
    <t>CISA 091</t>
  </si>
  <si>
    <t>CISA 092</t>
  </si>
  <si>
    <t>CISA 095</t>
  </si>
  <si>
    <t>CISA 096</t>
  </si>
  <si>
    <t>CISA 101</t>
  </si>
  <si>
    <t>CISA 104</t>
  </si>
  <si>
    <t xml:space="preserve">09-11-2022 QUEDO A CARGO DE GINNA TAREA CREAR CARPETA, ESTUDIO E IMPULSO, SE ENCIAN MEMORIALES GENERADOS Y NO TRAMITADOS POR EL JUZGADO  </t>
  </si>
  <si>
    <t>CISA 111</t>
  </si>
  <si>
    <t>CISA 114</t>
  </si>
  <si>
    <t>CISA 118</t>
  </si>
  <si>
    <t>CISA 120</t>
  </si>
  <si>
    <t>CISA 125</t>
  </si>
  <si>
    <t>CISA 128</t>
  </si>
  <si>
    <t>CISA 132</t>
  </si>
  <si>
    <t>CISA 133</t>
  </si>
  <si>
    <t>CISA 134</t>
  </si>
  <si>
    <t>CISA 135</t>
  </si>
  <si>
    <t>CISA 137</t>
  </si>
  <si>
    <t>CISA 138</t>
  </si>
  <si>
    <t>CISA 141</t>
  </si>
  <si>
    <t>SI</t>
  </si>
  <si>
    <t>BUSQUEDA MEDIDAS</t>
  </si>
  <si>
    <t>CON SENTENCIA LIQUIDADO Y RECONOCIDO</t>
  </si>
  <si>
    <t>SIN MEDIDAS SE SOLICITO BANCOS</t>
  </si>
  <si>
    <t>CISA 152</t>
  </si>
  <si>
    <t>CISA 159</t>
  </si>
  <si>
    <t xml:space="preserve">X </t>
  </si>
  <si>
    <t>17-10-2022 GINNA GENERO IMPULSO</t>
  </si>
  <si>
    <t>CISA 181</t>
  </si>
  <si>
    <t>CISA 182</t>
  </si>
  <si>
    <t>21-10-2022 GINNA GENERO IMPULSO</t>
  </si>
  <si>
    <t>18-10-2022 GINNA GENERO IMPULSO</t>
  </si>
  <si>
    <t xml:space="preserve">QUEDO A CARGO DE GINNA TAREA CREAR CARPETA, ESTUDIO MEDIDAS CAUTELARES Y INFORMACION GENERAL FORMATO </t>
  </si>
  <si>
    <t>CISA 199</t>
  </si>
  <si>
    <t>CISA 201</t>
  </si>
  <si>
    <t>PROCESO TOP 50</t>
  </si>
  <si>
    <t>PROCESO EN TEMIS CERO SALDO OBLIGACION - CORREO PROCESO DUPLICADO POR CARGUE MASIVO</t>
  </si>
  <si>
    <t>CISA 240</t>
  </si>
  <si>
    <t>EL PROCESO NO APARECE EN TEMIS</t>
  </si>
  <si>
    <t>CISA 247</t>
  </si>
  <si>
    <t>CISA 251</t>
  </si>
  <si>
    <t xml:space="preserve">proceso no relacionado en temis, no esta con documentos poca informacion correos, aparece otro apoderado de cisa no se relacion en revision al no estar con personeria proceso dado a principios de entrega de procesos cisa </t>
  </si>
  <si>
    <t>CISA 263</t>
  </si>
  <si>
    <t>CISA 264</t>
  </si>
  <si>
    <t>CISA 270</t>
  </si>
  <si>
    <t>CISA 273</t>
  </si>
  <si>
    <t>CISA 274</t>
  </si>
  <si>
    <t>CISA 277</t>
  </si>
  <si>
    <t xml:space="preserve">09-11-2022 QUEDO A CARGO DE GINNA TAREA CREAR CARPETA, ESTUDIO E IMPULSO. </t>
  </si>
  <si>
    <t>CISA 287</t>
  </si>
  <si>
    <t>CISA 288</t>
  </si>
  <si>
    <t>CISA 293</t>
  </si>
  <si>
    <t>CISA 297</t>
  </si>
  <si>
    <t>CISA 298</t>
  </si>
  <si>
    <t>CISA 306</t>
  </si>
  <si>
    <t>CISA 309</t>
  </si>
  <si>
    <t>CISA 312</t>
  </si>
  <si>
    <t>CISA 318</t>
  </si>
  <si>
    <t>CISA 319</t>
  </si>
  <si>
    <t>CISA 321</t>
  </si>
  <si>
    <t>CISA 322</t>
  </si>
  <si>
    <t>CISA 323</t>
  </si>
  <si>
    <t>CISA 324</t>
  </si>
  <si>
    <t>CISA 326</t>
  </si>
  <si>
    <t>CISA 328</t>
  </si>
  <si>
    <t>CISA 331</t>
  </si>
  <si>
    <t>CISA 332</t>
  </si>
  <si>
    <t>CISA 335</t>
  </si>
  <si>
    <t>CISA 339</t>
  </si>
  <si>
    <t>CISA 341</t>
  </si>
  <si>
    <t>CISA 342</t>
  </si>
  <si>
    <t>CISA 344</t>
  </si>
  <si>
    <t>CISA 346</t>
  </si>
  <si>
    <t>CISA 349</t>
  </si>
  <si>
    <t>CISA 350</t>
  </si>
  <si>
    <t>CISA 351</t>
  </si>
  <si>
    <t xml:space="preserve">GINNA IMPULSO Y GENERO REVISIÓN ENVIADOS MEMOS EL 18-10-2022 PARA CARLOS ENVIAR </t>
  </si>
  <si>
    <t xml:space="preserve">LADY PARA PEDIR NUEVAMENTE TITULOS, REVISAR LIQUIDACION CREDITO CISA  </t>
  </si>
  <si>
    <t>CISA 372</t>
  </si>
  <si>
    <t>CISA 375</t>
  </si>
  <si>
    <t>CISA 378</t>
  </si>
  <si>
    <t>CISA 379</t>
  </si>
  <si>
    <t>CISA 386</t>
  </si>
  <si>
    <t>CISA 387</t>
  </si>
  <si>
    <t>CISA 388</t>
  </si>
  <si>
    <t>CISA 395</t>
  </si>
  <si>
    <t xml:space="preserve">PROCESO NO SE ECNUENTAR EN TEMIS, EN BASE DE DATOS DE REVISION, SOLICITAR INFORMACION DEL PROCESO A CISA </t>
  </si>
  <si>
    <t>CISA 399</t>
  </si>
  <si>
    <t>CISA 400</t>
  </si>
  <si>
    <t xml:space="preserve">SE ENVIAN FOTOS REQUERIDAS POR GINNA </t>
  </si>
  <si>
    <t>CISA 405</t>
  </si>
  <si>
    <t>CISA 407</t>
  </si>
  <si>
    <t>CISA 408</t>
  </si>
  <si>
    <t>CISA 411</t>
  </si>
  <si>
    <t xml:space="preserve">PROCESO CON INMUEBLE EMBARGADO POSIBLE RECUPERACION </t>
  </si>
  <si>
    <t>CISA 419</t>
  </si>
  <si>
    <t>CISA 428</t>
  </si>
  <si>
    <t>CISA 429</t>
  </si>
  <si>
    <t>CISA 430</t>
  </si>
  <si>
    <t>CISA 431</t>
  </si>
  <si>
    <t>CISA 437</t>
  </si>
  <si>
    <t>CISA 445</t>
  </si>
  <si>
    <t>CISA 446</t>
  </si>
  <si>
    <t>CISA 447</t>
  </si>
  <si>
    <t>VENTA DE CARTERA</t>
  </si>
  <si>
    <t>CISA 453</t>
  </si>
  <si>
    <t>CISA 465</t>
  </si>
  <si>
    <t>CISA 472</t>
  </si>
  <si>
    <t>INCIERTO</t>
  </si>
  <si>
    <t>30-11-2022 GINNA GENERO IMPULSO</t>
  </si>
  <si>
    <t>CISA 479</t>
  </si>
  <si>
    <t>CISA 489</t>
  </si>
  <si>
    <t>CISA 492</t>
  </si>
  <si>
    <t>CISA 495</t>
  </si>
  <si>
    <t>CISA 497</t>
  </si>
  <si>
    <t>CISA 501</t>
  </si>
  <si>
    <t>CISA 506</t>
  </si>
  <si>
    <t>CISA 511</t>
  </si>
  <si>
    <t>CISA 512</t>
  </si>
  <si>
    <t>CISA 514</t>
  </si>
  <si>
    <t>CISA 516</t>
  </si>
  <si>
    <t>PROCESO TOP 50 PROCESO NO SE PUEDE CREAR EKOGUI PORQUE APARECE ASIGNADO A OTRO APODERADO</t>
  </si>
  <si>
    <t>CISA 518</t>
  </si>
  <si>
    <t>15-10-2022 GINNA GENERO IMPULSO</t>
  </si>
  <si>
    <t>CISA 520</t>
  </si>
  <si>
    <t>CISA 521</t>
  </si>
  <si>
    <t>CISA 525</t>
  </si>
  <si>
    <t>CISA 530</t>
  </si>
  <si>
    <t>CISA 531</t>
  </si>
  <si>
    <t>CISA 534</t>
  </si>
  <si>
    <t>CISA 535</t>
  </si>
  <si>
    <t>CISA 536</t>
  </si>
  <si>
    <t>CISA 539</t>
  </si>
  <si>
    <t>CISA 541</t>
  </si>
  <si>
    <t>CISA 542</t>
  </si>
  <si>
    <t>CISA 543</t>
  </si>
  <si>
    <t>CISA 545</t>
  </si>
  <si>
    <t>CISA 546</t>
  </si>
  <si>
    <t>CISA 547</t>
  </si>
  <si>
    <t>CISA 548</t>
  </si>
  <si>
    <t>CISA 549</t>
  </si>
  <si>
    <t>PROCESO TERMINADO POR PAGO BANCO GESTOR, SE RADICO SUBROGACION Y CESION HASTA EL 09-12-2022</t>
  </si>
  <si>
    <t>CISA 554</t>
  </si>
  <si>
    <t>CISA 555</t>
  </si>
  <si>
    <t>CISA 558</t>
  </si>
  <si>
    <t>CISA 561</t>
  </si>
  <si>
    <t>CISA 565</t>
  </si>
  <si>
    <t>CISA 566</t>
  </si>
  <si>
    <t>CISA 567</t>
  </si>
  <si>
    <t>CISA 568</t>
  </si>
  <si>
    <t>CISA 570</t>
  </si>
  <si>
    <t>CISA 571</t>
  </si>
  <si>
    <t>CISA 572</t>
  </si>
  <si>
    <t>CISA 575</t>
  </si>
  <si>
    <t>PROCESOS TOP 50</t>
  </si>
  <si>
    <t>CISA 583</t>
  </si>
  <si>
    <t>CISA 585</t>
  </si>
  <si>
    <t xml:space="preserve">TERMINA POR PAGO BANCO GESTOR </t>
  </si>
  <si>
    <t>CISA 590</t>
  </si>
  <si>
    <t>CISA 591</t>
  </si>
  <si>
    <t xml:space="preserve">TERMINADO POR PAGO CISA VALIDAR HONORARIOS </t>
  </si>
  <si>
    <t xml:space="preserve">LADY IMPULSAR INSITIR RECONOCIMIENTO FNG Y CISA </t>
  </si>
  <si>
    <t>CISA 604</t>
  </si>
  <si>
    <t>CISA 611</t>
  </si>
  <si>
    <t>22-10-2022 GINNA GENERO IMPULSO</t>
  </si>
  <si>
    <t>19-01-202</t>
  </si>
  <si>
    <t>CISA 624</t>
  </si>
  <si>
    <t>CISA 625</t>
  </si>
  <si>
    <t>CISA 626</t>
  </si>
  <si>
    <t>CISA 628</t>
  </si>
  <si>
    <t>CISA 631</t>
  </si>
  <si>
    <t>CISA 632</t>
  </si>
  <si>
    <t>CISA 633</t>
  </si>
  <si>
    <t>CISA 634</t>
  </si>
  <si>
    <t>CISA 635</t>
  </si>
  <si>
    <t>CISA 636</t>
  </si>
  <si>
    <t>CISA 637</t>
  </si>
  <si>
    <t>CISA 638</t>
  </si>
  <si>
    <t>CISA 642</t>
  </si>
  <si>
    <t xml:space="preserve">TERMINADO POR PAGO TOTAL NO SE RADICO SUBROGACIÓN, CESION NI PODER. </t>
  </si>
  <si>
    <t>28-10-2022 GINNA GENERO IMPULSO</t>
  </si>
  <si>
    <t>CISA 659</t>
  </si>
  <si>
    <t>CISA 662</t>
  </si>
  <si>
    <t>CISA 664</t>
  </si>
  <si>
    <t>CISA 665</t>
  </si>
  <si>
    <t>CISA 667</t>
  </si>
  <si>
    <t>CISA 668</t>
  </si>
  <si>
    <t>CISA 669</t>
  </si>
  <si>
    <t>CISA 671</t>
  </si>
  <si>
    <t>CISA 674</t>
  </si>
  <si>
    <t>CISA 676</t>
  </si>
  <si>
    <t>CISA 679</t>
  </si>
  <si>
    <t>CISA 680</t>
  </si>
  <si>
    <t>CISA 681</t>
  </si>
  <si>
    <t>CISA 682</t>
  </si>
  <si>
    <t>IX 003</t>
  </si>
  <si>
    <t>IX 006</t>
  </si>
  <si>
    <t>IX 009</t>
  </si>
  <si>
    <t>IX 010</t>
  </si>
  <si>
    <t>IX 013</t>
  </si>
  <si>
    <t>IX 014</t>
  </si>
  <si>
    <t xml:space="preserve">QUEDO A CARGO DE GINNA TAREA CREAR CARPETA y ESTUDIO. </t>
  </si>
  <si>
    <t>IX 019</t>
  </si>
  <si>
    <t>IX 020</t>
  </si>
  <si>
    <t>IX 022</t>
  </si>
  <si>
    <t>IX 024</t>
  </si>
  <si>
    <t>IX 026</t>
  </si>
  <si>
    <t>IX 028</t>
  </si>
  <si>
    <t>IX 031</t>
  </si>
  <si>
    <t>IX 033</t>
  </si>
  <si>
    <t>IX 037</t>
  </si>
  <si>
    <t>IX 038</t>
  </si>
  <si>
    <t>IX 039</t>
  </si>
  <si>
    <t>IX 041</t>
  </si>
  <si>
    <t>IX 044</t>
  </si>
  <si>
    <t>IX 047</t>
  </si>
  <si>
    <t>IX 051</t>
  </si>
  <si>
    <t>19-09-2022 GINNA GENERO IMPULSO</t>
  </si>
  <si>
    <t>IX 063</t>
  </si>
  <si>
    <t>IX 064</t>
  </si>
  <si>
    <t>IX 065</t>
  </si>
  <si>
    <t>IX 067</t>
  </si>
  <si>
    <t>IX 068</t>
  </si>
  <si>
    <t>IX 072</t>
  </si>
  <si>
    <t>IX 074</t>
  </si>
  <si>
    <t xml:space="preserve">QUEDO CON IMPULSO GINNA. </t>
  </si>
  <si>
    <t>IX 078</t>
  </si>
  <si>
    <t>IX 079</t>
  </si>
  <si>
    <t>IX 083</t>
  </si>
  <si>
    <t>IX 086</t>
  </si>
  <si>
    <t>IX 093</t>
  </si>
  <si>
    <t>IX 094</t>
  </si>
  <si>
    <t>IX 096</t>
  </si>
  <si>
    <t>IX 097</t>
  </si>
  <si>
    <t>IX 101</t>
  </si>
  <si>
    <t>IX 102</t>
  </si>
  <si>
    <t>IX 110</t>
  </si>
  <si>
    <t>IX 113</t>
  </si>
  <si>
    <t>IX 116</t>
  </si>
  <si>
    <t>IX 126</t>
  </si>
  <si>
    <t>IX 128</t>
  </si>
  <si>
    <t>IX 131</t>
  </si>
  <si>
    <t>IX 132</t>
  </si>
  <si>
    <t>IX 133</t>
  </si>
  <si>
    <t>IX 140</t>
  </si>
  <si>
    <t>IX 144</t>
  </si>
  <si>
    <t>IX 145</t>
  </si>
  <si>
    <t>IX 146</t>
  </si>
  <si>
    <t>IX 147</t>
  </si>
  <si>
    <t>IX 148</t>
  </si>
  <si>
    <t>IX 149</t>
  </si>
  <si>
    <t>IX 150</t>
  </si>
  <si>
    <t>IX 152</t>
  </si>
  <si>
    <t>IX 156</t>
  </si>
  <si>
    <t>IX 158</t>
  </si>
  <si>
    <t>IX 168</t>
  </si>
  <si>
    <t>IX 169</t>
  </si>
  <si>
    <t>IX 171</t>
  </si>
  <si>
    <t>IX 179</t>
  </si>
  <si>
    <t>IX 181</t>
  </si>
  <si>
    <t>IX 184</t>
  </si>
  <si>
    <t>IX 186</t>
  </si>
  <si>
    <t>IX 191</t>
  </si>
  <si>
    <t>IX 192</t>
  </si>
  <si>
    <t>IX 193</t>
  </si>
  <si>
    <t>IX 195</t>
  </si>
  <si>
    <t>IX 196</t>
  </si>
  <si>
    <t>IX 200</t>
  </si>
  <si>
    <t xml:space="preserve">IX 203 </t>
  </si>
  <si>
    <t>IX 207</t>
  </si>
  <si>
    <t>IX 210</t>
  </si>
  <si>
    <t>IX 212</t>
  </si>
  <si>
    <t>IX 214</t>
  </si>
  <si>
    <t>IX 215</t>
  </si>
  <si>
    <t>IX 217</t>
  </si>
  <si>
    <t>IX 218</t>
  </si>
  <si>
    <t>IX 221</t>
  </si>
  <si>
    <t>IX 225</t>
  </si>
  <si>
    <t>IX 227</t>
  </si>
  <si>
    <t>IX 230</t>
  </si>
  <si>
    <t>IX 231</t>
  </si>
  <si>
    <t>IX 233</t>
  </si>
  <si>
    <t>IX 237</t>
  </si>
  <si>
    <t>IX 238</t>
  </si>
  <si>
    <t>IX 239</t>
  </si>
  <si>
    <t>IX 242</t>
  </si>
  <si>
    <t>IX 245</t>
  </si>
  <si>
    <t>IX 250</t>
  </si>
  <si>
    <t>IX 253</t>
  </si>
  <si>
    <t>VER 1</t>
  </si>
  <si>
    <t>VER 2</t>
  </si>
  <si>
    <t xml:space="preserve">FECHA </t>
  </si>
  <si>
    <t>ESTADO</t>
  </si>
  <si>
    <t xml:space="preserve">TERMINADO JUDICIAL </t>
  </si>
  <si>
    <t xml:space="preserve">TIPO DE TERMINACIÓN </t>
  </si>
  <si>
    <t xml:space="preserve">TEMIS </t>
  </si>
  <si>
    <t xml:space="preserve">BAJA </t>
  </si>
  <si>
    <t>HONORARIOS</t>
  </si>
  <si>
    <t>RADICACION</t>
  </si>
  <si>
    <t>DESPACHO</t>
  </si>
  <si>
    <t>JUZGADO ACTUAL</t>
  </si>
  <si>
    <t>APODERADO</t>
  </si>
  <si>
    <t>TERMINA POR DESISTIMIENTO TACITO OJO PROCESO TOP 50 SIN DOCUMENTOS</t>
  </si>
  <si>
    <t>11001310300520150071300</t>
  </si>
  <si>
    <t>LADY MARTINEZ FORERO</t>
  </si>
  <si>
    <t>DESISTIMIENTO</t>
  </si>
  <si>
    <t xml:space="preserve">TERMINA POR DESISTIMIENTO TACITO EL PODER FUE REMITIDO EL 26-10-2021, CUANDO EL PROCESO YA SE ENCONTRABA TERMINADO </t>
  </si>
  <si>
    <t>11001400301920130164700</t>
  </si>
  <si>
    <t>11001400301420140050800</t>
  </si>
  <si>
    <t>TERMINA POR DESISTMIENTO TACITO, EL PROCESO FUE TERMINADO ANTES DE LA ENTREGA DE PODER 26-10-2021, EN LE TEMIS PARECE CON UN APELLIDO Y EN LA PAGINA DE LA RAMA CON EL NUMERO DE EXPEDIENTE APARECE GIOVANNI SCALETA</t>
  </si>
  <si>
    <t>11001310303720150038100</t>
  </si>
  <si>
    <t>11001310300820150047900</t>
  </si>
  <si>
    <t>TERMINA POR DESISTIMIENTO</t>
  </si>
  <si>
    <t>11001310302720170079900</t>
  </si>
  <si>
    <t xml:space="preserve">TERMINA POR DESISTIMIENTO TACITO </t>
  </si>
  <si>
    <t xml:space="preserve">NO EXISTE TEMIS C Y L </t>
  </si>
  <si>
    <t>11001400306920170091800</t>
  </si>
  <si>
    <t>SUPERSOCIEDADES</t>
  </si>
  <si>
    <t>PROCESO SIN MEDIANA CLARIDAD</t>
  </si>
  <si>
    <t xml:space="preserve">TERMINA POR PAGO TOTAL DE LA OBLIGACIÓN.  </t>
  </si>
  <si>
    <t xml:space="preserve">TERMINA POR DESISTIMIENTO TACITO - NO SE ENVIO SUBROGACIÓN  </t>
  </si>
  <si>
    <t xml:space="preserve">APARECE EN EL JUZGADO DE MADRID NO SE HA UBICADO </t>
  </si>
  <si>
    <t xml:space="preserve">APARECE EN EL JUZGADO 3 PEQUEÑAS CAUSAS NO SE HA UBICADO </t>
  </si>
  <si>
    <t xml:space="preserve">AUTO RECHAZA DEMANDA, NO TENEMOS DOCUMENTOS DAVIVIENDA TENEMOS BANCOLOMBIA LA DEMANDA DE BANCOLOMBIA ESTA RECHAZADA Y NO APARECE RAMA JUDICIAL, EMPRESA EN LA SUPER, PROCESO ENVIADO A LA SUPER   </t>
  </si>
  <si>
    <t xml:space="preserve">SE HIZO ENTREGA DE PODER EL 26-10-2021, NO SE RADICO PODER, PUES ESTE ESTABA DIRIGIDO AL 19 PCCM, Y EN LA PAGINA DE LA RAMA NO APARECE ESTE PROCESO, NO ESTA ACTIVO TEMIS, Y AL VERIFICAR POR NOMBRE DEMANDADO APARECEN 3 PROCESO DEL 8 CM, 46 CM Y 58 CM, SE DESCONOCE BANCO GESTOR. </t>
  </si>
  <si>
    <t>RADICADO MEMORIAL DE TERMINACIÓN POR PAGO</t>
  </si>
  <si>
    <t>11001400302520180078400</t>
  </si>
  <si>
    <t xml:space="preserve">TERMINA POR PAGO TOTAL DE LA OBLIGACIÓN BANCOLOMBIA, NO ESTABAMOS RECONOCIDOS.  </t>
  </si>
  <si>
    <t xml:space="preserve">AUTO RESUELVE CORRECCION PROVIDENCIA NO CESION Y PODER </t>
  </si>
  <si>
    <t xml:space="preserve">CARGADO TEMIS CARLOS </t>
  </si>
  <si>
    <t>11001400305520190069500</t>
  </si>
  <si>
    <t>AUTO RESUELVE RESUELTO POR EL SUPERIOR, NO TENEMOS SUBROGACION, CESION, PODER,</t>
  </si>
  <si>
    <t>NO RECONOCIDO CISA</t>
  </si>
  <si>
    <t>VIGENTE</t>
  </si>
  <si>
    <t xml:space="preserve">13-07-2017 RADIADO MEMO CISA TERMINACIÓN. AUTO DEL 27-07-2017 NO TIENE EN CTA TERMINACIÓN NO ESTAMOS RECONOCIDOS CON CORREO DEL 09-09-2019 NO APLICA HONORARIOS  </t>
  </si>
  <si>
    <t xml:space="preserve">CEROS </t>
  </si>
  <si>
    <t>CISA 005</t>
  </si>
  <si>
    <t xml:space="preserve">28-03-2019 TERMINA POR DESISTIMIENTO TACITO - 23-01-2020 ARCHIVADO CAJA 125, SE RADICO DOCUMENTOS CESION Y SUBROGACION PERO POR AUTO 24-01-2017 NO RECONOCIERON ALLEGAR CAMARA DE COMERCIO </t>
  </si>
  <si>
    <t xml:space="preserve">DEUDA </t>
  </si>
  <si>
    <t>CISA 006</t>
  </si>
  <si>
    <t xml:space="preserve">31-05-2022 TERMINADO POR DESISTIMIENTO TACITO - 14-10-2022 ARCHIVADO CAJA 429, PROCESO RECONOCIDOS OBLIGACION EN TEMIS EN CEROS NO FIGURA EN CORREO ELECTRONICO VALIDACION DE HONORARIOS  </t>
  </si>
  <si>
    <t xml:space="preserve">VALIDAR </t>
  </si>
  <si>
    <t>CISA 007</t>
  </si>
  <si>
    <t xml:space="preserve">PAGO </t>
  </si>
  <si>
    <t>19-04-2017 TERMINA POR PAGO - 19-09-2019 ARCHIVADO PAQUETE 343</t>
  </si>
  <si>
    <t xml:space="preserve">PROCESO RADICADA TERMINACION CISA, PERO A LA FECHA NO SE HA DADO CUMPLIMIENTO REQUERIMIENTO REALIZADO POR EL JUZGADO </t>
  </si>
  <si>
    <t>CISA 013</t>
  </si>
  <si>
    <t>NO SE RADICO SUBROGACION Y CESION, ESTABA EN DESCONGESTIÓN  - 23-09-2021 TERMINA POR DESISTIMIENTO TACITO - 22-10-2021 ARCHIVADO CAJA 333</t>
  </si>
  <si>
    <t xml:space="preserve">AUN NO HAN DADO ORDEN DE TERMINACION DEL PROCESO </t>
  </si>
  <si>
    <t>CISA 017</t>
  </si>
  <si>
    <t>CISA 018</t>
  </si>
  <si>
    <t xml:space="preserve">TERMINADO POR DESISTIMIENTO TACITO </t>
  </si>
  <si>
    <t>CISA 022</t>
  </si>
  <si>
    <t>CISA 028</t>
  </si>
  <si>
    <t>CISA 034</t>
  </si>
  <si>
    <t>CISA 038</t>
  </si>
  <si>
    <t>CISA 043</t>
  </si>
  <si>
    <t>CISA 048</t>
  </si>
  <si>
    <t>CISA 049</t>
  </si>
  <si>
    <t>CISA 054</t>
  </si>
  <si>
    <t>CISA 055</t>
  </si>
  <si>
    <t>CISA 071</t>
  </si>
  <si>
    <t>CISA 072</t>
  </si>
  <si>
    <t>CISA 078</t>
  </si>
  <si>
    <t xml:space="preserve">TERMINA DESISTIMIENTO TACITO </t>
  </si>
  <si>
    <t>CISA 090</t>
  </si>
  <si>
    <t>CISA 093</t>
  </si>
  <si>
    <t>CISA 099</t>
  </si>
  <si>
    <t>CISA 102</t>
  </si>
  <si>
    <t>CISA 109</t>
  </si>
  <si>
    <t>CISA 117</t>
  </si>
  <si>
    <t xml:space="preserve">12-08-2022 TERMINA POR DESISTIMIENTO TACITO </t>
  </si>
  <si>
    <t>CISA 131</t>
  </si>
  <si>
    <t>CISA 136</t>
  </si>
  <si>
    <t>CISA 147</t>
  </si>
  <si>
    <t>CISA 148</t>
  </si>
  <si>
    <t>CISA 157</t>
  </si>
  <si>
    <t>CISA 174</t>
  </si>
  <si>
    <t>CISA 186</t>
  </si>
  <si>
    <t>CISA 187</t>
  </si>
  <si>
    <t>CISA 194</t>
  </si>
  <si>
    <t xml:space="preserve">TERMINADO POR DESISTIMIENTO TACITO RECONOCIDOS  </t>
  </si>
  <si>
    <t>CISA 207</t>
  </si>
  <si>
    <t>CISA 211</t>
  </si>
  <si>
    <t xml:space="preserve">TERMINA POR DESISTIMIENTO ESTABAMOS RECONOCIDOS, SE BUSCO POR TEMIS, NUMERO OBLIGACIO E IDENTIFICACION Y NO APARECE  </t>
  </si>
  <si>
    <t xml:space="preserve">NO APARECE </t>
  </si>
  <si>
    <t>CISA 213</t>
  </si>
  <si>
    <t xml:space="preserve">TERMINA POR DESISTIMIENTO RECONOCIDOS </t>
  </si>
  <si>
    <t>CISA 250</t>
  </si>
  <si>
    <t>CISA 268</t>
  </si>
  <si>
    <t>CANCELARON HONORARIOS EN CUENTA</t>
  </si>
  <si>
    <t xml:space="preserve">TERMINA POR DESSITIMIENTO TACITO RECONOCIDOS  </t>
  </si>
  <si>
    <t>CISA 286</t>
  </si>
  <si>
    <t>CISA 290</t>
  </si>
  <si>
    <t>CISA 292</t>
  </si>
  <si>
    <t>CISA 295</t>
  </si>
  <si>
    <t>CISA 296</t>
  </si>
  <si>
    <t>CISA 300</t>
  </si>
  <si>
    <t>CISA 303</t>
  </si>
  <si>
    <t>CISA 310</t>
  </si>
  <si>
    <t xml:space="preserve">TERMINADO DESISTIIENTO TEMIS EN CEROS, RADICADO MEMO SIN RECONOCIMIENTO DE PERSONERIA </t>
  </si>
  <si>
    <t>CISA 320</t>
  </si>
  <si>
    <t>CISA 327</t>
  </si>
  <si>
    <t>CISA 329</t>
  </si>
  <si>
    <t>CISA 330</t>
  </si>
  <si>
    <t>CISA 336</t>
  </si>
  <si>
    <t>CISA 340</t>
  </si>
  <si>
    <t>CISA 343</t>
  </si>
  <si>
    <t>CISA 347</t>
  </si>
  <si>
    <t>CISA 366</t>
  </si>
  <si>
    <t xml:space="preserve">TERMINADO DESISTIIENTO RECONOCIDOS </t>
  </si>
  <si>
    <t>TERMINA POR DESSITIMIENTO TACITO RECONOCIDOS DESDE EL 2018</t>
  </si>
  <si>
    <t xml:space="preserve">TERMINADO POR PAGO TOTAL </t>
  </si>
  <si>
    <t xml:space="preserve">PROCESO RADICADO MEMO TERMINACION 26-05-2022 </t>
  </si>
  <si>
    <t>CISA 470</t>
  </si>
  <si>
    <t xml:space="preserve">TERMINA POR PAGO TOTAL </t>
  </si>
  <si>
    <t>CISA 485</t>
  </si>
  <si>
    <t>CISA 508</t>
  </si>
  <si>
    <t xml:space="preserve">TERMINA POR PAGO - RADICADO MEMORIAL NEGADA PARA ACREDITAR SUBROGACION  VALIDACION DE HONORARIOS </t>
  </si>
  <si>
    <t xml:space="preserve">SE RADICO CUENTA DE COBRO # 83 NO HABIAN RECONOCIDO A CARLOS PODER </t>
  </si>
  <si>
    <t xml:space="preserve">TERMINA POR PAGO CISA, EL PROCESO NO HA SIDO FACTURADO - SOLICITAR VALIDACION DE HONORARIOS </t>
  </si>
  <si>
    <t xml:space="preserve">TERMINA POR PAGO CISA VALIDACION HONORARIOS </t>
  </si>
  <si>
    <t xml:space="preserve">TERMINADO POR PAGO TOTAL EL DÍA 21-01-2022 NOS ENTREGARON PODER YA ESTABA TERMINADO  </t>
  </si>
  <si>
    <t>CISA 646</t>
  </si>
  <si>
    <t>CISA 647</t>
  </si>
  <si>
    <t xml:space="preserve">TERMINA POR DESISTIMIENTO SOLICITAR DAR DE BAJA </t>
  </si>
  <si>
    <t>CISA 650</t>
  </si>
  <si>
    <t>CISA 651</t>
  </si>
  <si>
    <t>PROCESO TERMINADO POR PAGO POR LA ENTIDAD FINANCIERA NO SE RADICARON DOCUMENTOS EL PROCESO TIENE DEUDA SEGÚN TEMIS</t>
  </si>
  <si>
    <t>181739</t>
  </si>
  <si>
    <t>IX 002</t>
  </si>
  <si>
    <t>IX 005</t>
  </si>
  <si>
    <t>IX 016</t>
  </si>
  <si>
    <t>IX 025</t>
  </si>
  <si>
    <t>IX 027</t>
  </si>
  <si>
    <t>IX 030</t>
  </si>
  <si>
    <t>IX 045</t>
  </si>
  <si>
    <t>IX 049</t>
  </si>
  <si>
    <t>IX 050</t>
  </si>
  <si>
    <t>IX 055</t>
  </si>
  <si>
    <t>IX 056</t>
  </si>
  <si>
    <t>IX 058</t>
  </si>
  <si>
    <t>IX 062</t>
  </si>
  <si>
    <t>IX 069</t>
  </si>
  <si>
    <t>IX 070</t>
  </si>
  <si>
    <t>IX 073</t>
  </si>
  <si>
    <t>IX 084</t>
  </si>
  <si>
    <t>IX 085</t>
  </si>
  <si>
    <t>IX 088</t>
  </si>
  <si>
    <t>IX 090</t>
  </si>
  <si>
    <t>IX 091</t>
  </si>
  <si>
    <t>IX 092</t>
  </si>
  <si>
    <t>IX 095</t>
  </si>
  <si>
    <t>IX 100</t>
  </si>
  <si>
    <t>IX 104</t>
  </si>
  <si>
    <t>IX 105</t>
  </si>
  <si>
    <t>IX 108</t>
  </si>
  <si>
    <t>IX 111</t>
  </si>
  <si>
    <t>IX 112</t>
  </si>
  <si>
    <t>IX 115</t>
  </si>
  <si>
    <t>IX 117</t>
  </si>
  <si>
    <t>IX 118</t>
  </si>
  <si>
    <t>IX 121</t>
  </si>
  <si>
    <t>IX 124</t>
  </si>
  <si>
    <t>IX 129</t>
  </si>
  <si>
    <t>IX 134</t>
  </si>
  <si>
    <t>IX 137</t>
  </si>
  <si>
    <t>IX 138</t>
  </si>
  <si>
    <t>IX 143</t>
  </si>
  <si>
    <t>IX 153</t>
  </si>
  <si>
    <t>IX 157</t>
  </si>
  <si>
    <t>IX 159</t>
  </si>
  <si>
    <t>IX 160</t>
  </si>
  <si>
    <t>IX 161</t>
  </si>
  <si>
    <t>IX 163</t>
  </si>
  <si>
    <t>IX 167</t>
  </si>
  <si>
    <t>IX 170</t>
  </si>
  <si>
    <t>IX 174</t>
  </si>
  <si>
    <t>IX 175</t>
  </si>
  <si>
    <t>IX 178</t>
  </si>
  <si>
    <t>IX 180</t>
  </si>
  <si>
    <t>IX 182</t>
  </si>
  <si>
    <t>09-10-2019 RECHAZA DEMANDA, RETIRADA DEMANDA EL 11-12-2019 Y ARCHICADO CAJA 40 EL 06-05-2022</t>
  </si>
  <si>
    <t xml:space="preserve">DEVOLVER GARANTIAS </t>
  </si>
  <si>
    <t>IX 202</t>
  </si>
  <si>
    <t>IX 216</t>
  </si>
  <si>
    <t>IX 223</t>
  </si>
  <si>
    <t>IX 224</t>
  </si>
  <si>
    <t>IX 236</t>
  </si>
  <si>
    <t>IX 246</t>
  </si>
  <si>
    <t>IX 247</t>
  </si>
  <si>
    <t>IX 248</t>
  </si>
  <si>
    <t>IX 249</t>
  </si>
  <si>
    <t>IX 251</t>
  </si>
  <si>
    <t xml:space="preserve">10-07-2022 PROCESO EN CEROS TEMIS, NEGADA CTA DE COBRO, SIN ADMISION, NEGO TERMINACIÓN DEMANDA RECHAZADA  </t>
  </si>
  <si>
    <t>IX 252</t>
  </si>
  <si>
    <t xml:space="preserve">TERMINA POR DESISTIMIENTO TACITO - NO APARECE ASIGNADO TEMIS </t>
  </si>
  <si>
    <t>11001400306120180005400</t>
  </si>
  <si>
    <t xml:space="preserve">SE BUSCO </t>
  </si>
  <si>
    <t>Auto reconoce personería CARLOS ARTURO ARIZA MARIN</t>
  </si>
  <si>
    <t>Auto resuelve Solicitud AUTO NIEGA ACTUALZACION DE OFICIO</t>
  </si>
  <si>
    <t>se radico memorial 06/02/23</t>
  </si>
  <si>
    <t xml:space="preserve">PARCIAL 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</si>
  <si>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</si>
  <si>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</si>
  <si>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</si>
  <si>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</si>
  <si>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</si>
  <si>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</si>
  <si>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</si>
  <si>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JUZGADO 001 CIVIL DEL CIRCUITO ESPECIALIZADO EN RESTITUCIÓN DE TIERRAS DE IBAGUÉ (TOLIMA)</t>
  </si>
  <si>
    <t xml:space="preserve">001 CIIVIL DEL CIRCUITO ESPECIALIZADO EN RESTITUCIÓN DE TIERRES DE IBAGUE TOLIMA </t>
  </si>
  <si>
    <t>C 420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</si>
  <si>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</si>
  <si>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</si>
  <si>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</si>
  <si>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</si>
  <si>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</si>
  <si>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</si>
  <si>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</si>
  <si>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C 422</t>
  </si>
  <si>
    <t>11001400306520210078500</t>
  </si>
  <si>
    <t>011 JUZGADO CIVIL CIRCUITO</t>
  </si>
  <si>
    <t>PINK LIFE</t>
  </si>
  <si>
    <t>11001310301120200017800</t>
  </si>
  <si>
    <t xml:space="preserve">C 366 A </t>
  </si>
  <si>
    <t>se envia a cisa solicitud</t>
  </si>
  <si>
    <t>AUTO RESULEVE RENUNCIA DE PODER</t>
  </si>
  <si>
    <t xml:space="preserve">REVISAR ENTRADAS, ESTADOS Y TRASLADOS EL PROCESO AUN NO APARECE EN LA RAMA 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</si>
  <si>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</si>
  <si>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</si>
  <si>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</si>
  <si>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</si>
  <si>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</si>
  <si>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</si>
  <si>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110013103017198800078701</t>
  </si>
  <si>
    <t xml:space="preserve">002 JUZGADO MUNICIPAL DE SOACHA 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</si>
  <si>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</si>
  <si>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</si>
  <si>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</si>
  <si>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</si>
  <si>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</si>
  <si>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DTE: VICTOR ARIZA MARIN </t>
  </si>
  <si>
    <t xml:space="preserve">DDO: CHRISTIAN FABIAN CAJAMARCA MENESES </t>
  </si>
  <si>
    <t>BUSCAR NUMERO PROCESO</t>
  </si>
  <si>
    <t>11001418901620210058000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</si>
  <si>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</si>
  <si>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</si>
  <si>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</si>
  <si>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2023 - 00226</t>
  </si>
  <si>
    <t xml:space="preserve">REVISAR ENTRADAS, SALIDAS, ESTADOS, TRASLADOS CAUSANTE  ELCIRA BURGOS </t>
  </si>
  <si>
    <t>AUTO PONE EN CONOCIMIENTO CERTIFICADO CAMARA DE COMERCIO AECSA S.A.S</t>
  </si>
  <si>
    <t xml:space="preserve">037 DE FAMILIA DEL CIRCUITO DE BOGOTÁ D.C. </t>
  </si>
  <si>
    <t>11001310300820140035800</t>
  </si>
  <si>
    <t>Auto decreta medida cautela</t>
  </si>
  <si>
    <t>C 424</t>
  </si>
  <si>
    <t>11001310302920220038700</t>
  </si>
  <si>
    <t>21 CIVIL MUNICIPAL DE BOGOTÁ D.C.</t>
  </si>
  <si>
    <t>C 423</t>
  </si>
  <si>
    <t>11001400302120220021200</t>
  </si>
  <si>
    <t>,</t>
  </si>
  <si>
    <t xml:space="preserve">ESTADOS </t>
  </si>
  <si>
    <t xml:space="preserve">BUSCAR </t>
  </si>
  <si>
    <t>pagina</t>
  </si>
  <si>
    <t>estados</t>
  </si>
  <si>
    <t>042 PEQUEÑAS CAUSAS Y COMPETENCIA MULTIPLE</t>
  </si>
  <si>
    <t>C 425</t>
  </si>
  <si>
    <t>11001418904220230010400</t>
  </si>
  <si>
    <t>NUMERO DE RADICACION</t>
  </si>
  <si>
    <t>JUZGADO</t>
  </si>
  <si>
    <t>FECHA ULTIMA ACTUACION</t>
  </si>
  <si>
    <t>16 CIVIL MUNICIPAL DE EJECUCIÓN DE SENTENCIAS</t>
  </si>
  <si>
    <t xml:space="preserve">Auto de tramite 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</si>
  <si>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</si>
  <si>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</si>
  <si>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</si>
  <si>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</si>
  <si>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</si>
  <si>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</si>
  <si>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Auto pone en conocimiento SE PONE EN CONOCIMIENTO INFORME DE TITULOS JUDICIALES</t>
  </si>
  <si>
    <t>Auto de tramite  ENTREGA TÍTULOS JUDICIALES</t>
  </si>
  <si>
    <t xml:space="preserve">Auto ordena entregar títulos	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</si>
  <si>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</si>
  <si>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</si>
  <si>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</si>
  <si>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</si>
  <si>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</si>
  <si>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</si>
  <si>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</si>
  <si>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 xml:space="preserve">Auto ordena correr traslado -ENTREGA TITULOS 2023-01-19 MEMORIAL </t>
  </si>
  <si>
    <t>09 CIVIL MUNICIPAL DE EJECUCIÓN DE SENTENCIAS</t>
  </si>
  <si>
    <t>en la base de apoderados de cisa aparece el proceso a nombre de otra abogada , mandar a cisa correo para entregar proceso</t>
  </si>
  <si>
    <t>Auto resuelve solicitud-  en la base de apoderados de cisa aparece el proceso a nombre de otra abogada , mandar a cisa correo para entregar proceso</t>
  </si>
  <si>
    <t>Auto resuelve solicitud	-no aparece en base de revision de folderes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</si>
  <si>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</si>
  <si>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</si>
  <si>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</si>
  <si>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</si>
  <si>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 xml:space="preserve">Auto decreta medida cautelar	</t>
  </si>
  <si>
    <t>CISA RADICO TERMINACION PERO NO SE A DADO CUMPLIMIENTO -YA PAGARON HONORARIOS</t>
  </si>
  <si>
    <t xml:space="preserve">02 CIVIL MUNICIPAL DE EJECUCIÓN DE SENTENCIAS </t>
  </si>
  <si>
    <t xml:space="preserve">Auto resuelve Solicitud- ENTIDAD EXTERNA </t>
  </si>
  <si>
    <t xml:space="preserve">Auto reconoce personería	</t>
  </si>
  <si>
    <t xml:space="preserve">Auto resuelve Solicitud  -en la base de apoderados de cisa aparece el proceso a nombre de otra abogada , mirar viavilidad del proceso	</t>
  </si>
  <si>
    <t xml:space="preserve">CISA 040 </t>
  </si>
  <si>
    <t>Auto resuelve Solicitud actualizacion de credito</t>
  </si>
  <si>
    <t>02 CIVIL MUNICIPAL DE EJECUCIÓN DE SENTENCIAS</t>
  </si>
  <si>
    <t>01 CIVIL MUNICIPAL DE EJECUCIÓN DE SENTENCIAS</t>
  </si>
  <si>
    <t>CONSULTADO</t>
  </si>
  <si>
    <t>Auto estese a lo dispuesto en auto anterior</t>
  </si>
  <si>
    <t>Auto fija caución</t>
  </si>
  <si>
    <t>Auto declara desierto recurso</t>
  </si>
  <si>
    <t>Auto aprueba liquidación</t>
  </si>
  <si>
    <t>SE ENVIA PROCESO AL JUZGADO 17 CIVIL MUNICIPAL DESCONGESTION CON OFICIO # 566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</si>
  <si>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</si>
  <si>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</si>
  <si>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</si>
  <si>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</si>
  <si>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</si>
  <si>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</si>
  <si>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</si>
  <si>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</si>
  <si>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</si>
  <si>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</si>
  <si>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</si>
  <si>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</si>
  <si>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</si>
  <si>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</si>
  <si>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</si>
  <si>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</si>
  <si>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</si>
  <si>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Auto decide recurso</t>
  </si>
  <si>
    <t>Auto resuelve Solicitud  NIEGA CESION</t>
  </si>
  <si>
    <t>010 CIVIL MUNICIPAL DE EJECUCIÓN DE SENTENCIAS</t>
  </si>
  <si>
    <t>013 CIVIL MUNICIPAL DE EJECUCIÓN DE SENTENCIAS</t>
  </si>
  <si>
    <t>Diligencia remate</t>
  </si>
  <si>
    <t>raslado Liquidación Credito Art. 446 C.G.P.</t>
  </si>
  <si>
    <t>17 CIVIL MUNICIPAL DE EJECUCIÓN DE SENTENCIAS</t>
  </si>
  <si>
    <t>007 CIVIL MUNICIPAL DE EJECUCIÓN DE SENTENCIAS</t>
  </si>
  <si>
    <t>Auto resuelve corrección providencia</t>
  </si>
  <si>
    <t>Auto resuelve solicitud remanentes</t>
  </si>
  <si>
    <t>Auto ordena comisión</t>
  </si>
  <si>
    <t>Auto ordena oficiar DIAN</t>
  </si>
  <si>
    <t>Auto resuelve nulidad</t>
  </si>
  <si>
    <t>Auto decreta levantar medida cautelar</t>
  </si>
  <si>
    <t>11001310304320150126200</t>
  </si>
  <si>
    <t>001 CIVIL MUNICIPAL DE EJECUCIÓN DE SENTENCIAS</t>
  </si>
  <si>
    <t>Auto declara ilegalidad de providencia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</si>
  <si>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</si>
  <si>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</si>
  <si>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</si>
  <si>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</si>
  <si>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</si>
  <si>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</si>
  <si>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</si>
  <si>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</si>
  <si>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</si>
  <si>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</si>
  <si>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</si>
  <si>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</si>
  <si>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</si>
  <si>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</si>
  <si>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</si>
  <si>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</si>
  <si>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</si>
  <si>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</si>
  <si>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</si>
  <si>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</si>
  <si>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</si>
  <si>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</si>
  <si>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</si>
  <si>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</si>
  <si>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</si>
  <si>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</si>
  <si>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</si>
  <si>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</si>
  <si>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</si>
  <si>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</si>
  <si>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</si>
  <si>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</si>
  <si>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</si>
  <si>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</si>
  <si>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</si>
  <si>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</si>
  <si>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</si>
  <si>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</si>
  <si>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</si>
  <si>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</si>
  <si>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</si>
  <si>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</si>
  <si>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</si>
  <si>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</si>
  <si>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</si>
  <si>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</si>
  <si>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</si>
  <si>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</si>
  <si>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</si>
  <si>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</si>
  <si>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</si>
  <si>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</si>
  <si>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</si>
  <si>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</si>
  <si>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</si>
  <si>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</si>
  <si>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</si>
  <si>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</si>
  <si>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</si>
  <si>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</si>
  <si>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</si>
  <si>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</si>
  <si>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</si>
  <si>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</si>
  <si>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</si>
  <si>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</si>
  <si>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</si>
  <si>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</si>
  <si>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</si>
  <si>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</si>
  <si>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</si>
  <si>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</si>
  <si>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</si>
  <si>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</si>
  <si>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</si>
  <si>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</si>
  <si>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</si>
  <si>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</si>
  <si>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</si>
  <si>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</si>
  <si>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</si>
  <si>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</si>
  <si>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</si>
  <si>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</si>
  <si>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</si>
  <si>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</si>
  <si>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</si>
  <si>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</si>
  <si>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</si>
  <si>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</si>
  <si>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</si>
  <si>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</si>
  <si>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</si>
  <si>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</si>
  <si>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</si>
  <si>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</si>
  <si>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</si>
  <si>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</si>
  <si>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</si>
  <si>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</si>
  <si>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</si>
  <si>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</si>
  <si>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</si>
  <si>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</si>
  <si>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</si>
  <si>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</si>
  <si>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</si>
  <si>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</si>
  <si>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</si>
  <si>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</si>
  <si>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</si>
  <si>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</si>
  <si>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</si>
  <si>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</si>
  <si>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</si>
  <si>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</si>
  <si>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</si>
  <si>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</si>
  <si>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</si>
  <si>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</si>
  <si>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</si>
  <si>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</si>
  <si>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</si>
  <si>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</si>
  <si>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</si>
  <si>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</si>
  <si>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</si>
  <si>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</si>
  <si>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</si>
  <si>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</si>
  <si>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</si>
  <si>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</si>
  <si>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</si>
  <si>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</si>
  <si>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</si>
  <si>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</si>
  <si>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</si>
  <si>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</si>
  <si>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</si>
  <si>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</si>
  <si>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</si>
  <si>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</si>
  <si>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</si>
  <si>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</si>
  <si>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</si>
  <si>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</si>
  <si>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</si>
  <si>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</si>
  <si>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</si>
  <si>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</si>
  <si>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</si>
  <si>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</si>
  <si>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</si>
  <si>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</si>
  <si>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</si>
  <si>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</si>
  <si>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</si>
  <si>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</si>
  <si>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</si>
  <si>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</si>
  <si>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</si>
  <si>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</si>
  <si>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</si>
  <si>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</si>
  <si>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</si>
  <si>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</si>
  <si>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</si>
  <si>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</si>
  <si>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</si>
  <si>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</si>
  <si>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</si>
  <si>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</si>
  <si>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</si>
  <si>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</si>
  <si>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</si>
  <si>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</si>
  <si>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</si>
  <si>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</si>
  <si>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</si>
  <si>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</si>
  <si>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</si>
  <si>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</si>
  <si>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</si>
  <si>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</si>
  <si>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</si>
  <si>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</si>
  <si>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</si>
  <si>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</si>
  <si>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</si>
  <si>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</si>
  <si>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</si>
  <si>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</si>
  <si>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</si>
  <si>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</si>
  <si>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</si>
  <si>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</si>
  <si>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</si>
  <si>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</si>
  <si>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</si>
  <si>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</si>
  <si>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</si>
  <si>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</si>
  <si>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</si>
  <si>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</si>
  <si>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</si>
  <si>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</si>
  <si>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</si>
  <si>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</si>
  <si>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</si>
  <si>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</si>
  <si>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</si>
  <si>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</si>
  <si>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</si>
  <si>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</si>
  <si>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</si>
  <si>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</si>
  <si>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</si>
  <si>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</si>
  <si>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</si>
  <si>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</si>
  <si>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</si>
  <si>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</si>
  <si>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</si>
  <si>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</si>
  <si>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</si>
  <si>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</si>
  <si>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</si>
  <si>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</si>
  <si>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</si>
  <si>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</si>
  <si>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</si>
  <si>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</si>
  <si>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</si>
  <si>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</si>
  <si>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</si>
  <si>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</si>
  <si>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</si>
  <si>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</si>
  <si>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</si>
  <si>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</si>
  <si>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</si>
  <si>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</si>
  <si>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</si>
  <si>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</si>
  <si>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</si>
  <si>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</si>
  <si>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</si>
  <si>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</si>
  <si>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</si>
  <si>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</si>
  <si>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</si>
  <si>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</si>
  <si>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</si>
  <si>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</si>
  <si>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</si>
  <si>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</si>
  <si>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</si>
  <si>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</si>
  <si>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</si>
  <si>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</si>
  <si>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</si>
  <si>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</si>
  <si>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</si>
  <si>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</si>
  <si>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</si>
  <si>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</si>
  <si>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</si>
  <si>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</si>
  <si>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</si>
  <si>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</si>
  <si>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</si>
  <si>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</si>
  <si>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</si>
  <si>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</si>
  <si>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</si>
  <si>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</si>
  <si>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</si>
  <si>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</si>
  <si>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</si>
  <si>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</si>
  <si>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</si>
  <si>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</si>
  <si>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</si>
  <si>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</si>
  <si>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</si>
  <si>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</si>
  <si>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</si>
  <si>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</si>
  <si>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</si>
  <si>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</si>
  <si>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</si>
  <si>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</si>
  <si>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</si>
  <si>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</si>
  <si>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</si>
  <si>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</si>
  <si>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</si>
  <si>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</si>
  <si>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</si>
  <si>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</si>
  <si>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</si>
  <si>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</si>
  <si>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</si>
  <si>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</si>
  <si>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</si>
  <si>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</si>
  <si>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</si>
  <si>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</si>
  <si>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</si>
  <si>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</si>
  <si>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</si>
  <si>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</si>
  <si>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</si>
  <si>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</si>
  <si>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</si>
  <si>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</si>
  <si>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</si>
  <si>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</si>
  <si>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</si>
  <si>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</si>
  <si>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</si>
  <si>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</si>
  <si>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</si>
  <si>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</si>
  <si>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</si>
  <si>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</si>
  <si>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</si>
  <si>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</si>
  <si>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</si>
  <si>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</si>
  <si>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</si>
  <si>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</si>
  <si>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</si>
  <si>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</si>
  <si>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</si>
  <si>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</si>
  <si>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</si>
  <si>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</si>
  <si>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</si>
  <si>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</si>
  <si>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</si>
  <si>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</si>
  <si>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</si>
  <si>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</si>
  <si>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</si>
  <si>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</si>
  <si>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</si>
  <si>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</si>
  <si>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</si>
  <si>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</si>
  <si>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</si>
  <si>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</si>
  <si>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</si>
  <si>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</si>
  <si>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</si>
  <si>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</si>
  <si>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</si>
  <si>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</si>
  <si>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</si>
  <si>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</si>
  <si>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</si>
  <si>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</si>
  <si>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</si>
  <si>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</si>
  <si>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</si>
  <si>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</si>
  <si>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</si>
  <si>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</si>
  <si>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</si>
  <si>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</si>
  <si>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</si>
  <si>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</si>
  <si>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</si>
  <si>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</si>
  <si>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</si>
  <si>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</si>
  <si>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</si>
  <si>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</si>
  <si>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</si>
  <si>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</si>
  <si>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</si>
  <si>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</si>
  <si>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</si>
  <si>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</si>
  <si>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</si>
  <si>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</si>
  <si>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</si>
  <si>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</si>
  <si>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</si>
  <si>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</si>
  <si>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</si>
  <si>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</si>
  <si>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</si>
  <si>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</si>
  <si>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</si>
  <si>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</si>
  <si>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</si>
  <si>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</si>
  <si>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</si>
  <si>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</si>
  <si>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</si>
  <si>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</si>
  <si>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</si>
  <si>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</si>
  <si>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</si>
  <si>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</si>
  <si>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</si>
  <si>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</si>
  <si>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</si>
  <si>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</si>
  <si>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</si>
  <si>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</si>
  <si>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</si>
  <si>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</si>
  <si>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</si>
  <si>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</si>
  <si>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</si>
  <si>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</si>
  <si>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</si>
  <si>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</si>
  <si>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</si>
  <si>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</si>
  <si>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</si>
  <si>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</si>
  <si>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</si>
  <si>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</si>
  <si>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</si>
  <si>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</si>
  <si>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</si>
  <si>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</si>
  <si>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</si>
  <si>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</si>
  <si>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</si>
  <si>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</si>
  <si>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</si>
  <si>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</si>
  <si>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</si>
  <si>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</si>
  <si>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</si>
  <si>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</si>
  <si>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</si>
  <si>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</si>
  <si>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</si>
  <si>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</si>
  <si>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</si>
  <si>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</si>
  <si>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</si>
  <si>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</si>
  <si>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</si>
  <si>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</si>
  <si>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</si>
  <si>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</si>
  <si>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</si>
  <si>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</si>
  <si>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</si>
  <si>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</si>
  <si>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</si>
  <si>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</si>
  <si>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</si>
  <si>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</si>
  <si>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</si>
  <si>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</si>
  <si>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</si>
  <si>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</si>
  <si>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</si>
  <si>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</si>
  <si>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</si>
  <si>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</si>
  <si>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</si>
  <si>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</si>
  <si>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</si>
  <si>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</si>
  <si>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</si>
  <si>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</si>
  <si>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</si>
  <si>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</si>
  <si>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</si>
  <si>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</si>
  <si>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</si>
  <si>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</si>
  <si>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</si>
  <si>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</si>
  <si>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</si>
  <si>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</si>
  <si>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</si>
  <si>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</si>
  <si>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</si>
  <si>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</si>
  <si>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</si>
  <si>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</si>
  <si>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</si>
  <si>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</si>
  <si>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</si>
  <si>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</si>
  <si>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</si>
  <si>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</si>
  <si>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</si>
  <si>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</si>
  <si>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</si>
  <si>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</si>
  <si>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</si>
  <si>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</si>
  <si>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</si>
  <si>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</si>
  <si>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</si>
  <si>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</si>
  <si>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</si>
  <si>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</si>
  <si>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</si>
  <si>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</si>
  <si>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</si>
  <si>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</si>
  <si>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</si>
  <si>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</si>
  <si>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</si>
  <si>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</si>
  <si>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</si>
  <si>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</si>
  <si>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</si>
  <si>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</si>
  <si>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</si>
  <si>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</si>
  <si>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</si>
  <si>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</si>
  <si>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</si>
  <si>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</si>
  <si>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</si>
  <si>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</si>
  <si>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</si>
  <si>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</si>
  <si>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</si>
  <si>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</si>
  <si>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</si>
  <si>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</si>
  <si>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</si>
  <si>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</si>
  <si>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</si>
  <si>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</si>
  <si>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</si>
  <si>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</si>
  <si>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</si>
  <si>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</si>
  <si>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</si>
  <si>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</si>
  <si>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</si>
  <si>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</si>
  <si>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</si>
  <si>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</si>
  <si>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</si>
  <si>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</si>
  <si>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</si>
  <si>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</si>
  <si>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</si>
  <si>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</si>
  <si>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</si>
  <si>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</si>
  <si>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</si>
  <si>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</si>
  <si>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</si>
  <si>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</si>
  <si>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</si>
  <si>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</si>
  <si>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</si>
  <si>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</si>
  <si>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</si>
  <si>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</si>
  <si>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</si>
  <si>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</si>
  <si>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</si>
  <si>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</si>
  <si>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</si>
  <si>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</si>
  <si>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</si>
  <si>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</si>
  <si>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</si>
  <si>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</si>
  <si>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</si>
  <si>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</si>
  <si>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</si>
  <si>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</si>
  <si>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</si>
  <si>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</si>
  <si>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</si>
  <si>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</si>
  <si>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</si>
  <si>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</si>
  <si>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</si>
  <si>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</si>
  <si>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</si>
  <si>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</si>
  <si>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</si>
  <si>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</si>
  <si>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</si>
  <si>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</si>
  <si>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</si>
  <si>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</si>
  <si>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</si>
  <si>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</si>
  <si>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</si>
  <si>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</si>
  <si>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</si>
  <si>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</si>
  <si>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</si>
  <si>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</si>
  <si>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</si>
  <si>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</si>
  <si>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</si>
  <si>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</si>
  <si>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</si>
  <si>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</si>
  <si>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</si>
  <si>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</si>
  <si>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</si>
  <si>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</si>
  <si>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</si>
  <si>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</si>
  <si>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</si>
  <si>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</si>
  <si>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</si>
  <si>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</si>
  <si>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</si>
  <si>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</si>
  <si>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</si>
  <si>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</si>
  <si>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</si>
  <si>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</si>
  <si>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</si>
  <si>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</si>
  <si>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</si>
  <si>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</si>
  <si>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</si>
  <si>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</si>
  <si>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</si>
  <si>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</si>
  <si>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</si>
  <si>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</si>
  <si>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</si>
  <si>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</si>
  <si>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</si>
  <si>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</si>
  <si>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</si>
  <si>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</si>
  <si>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</si>
  <si>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</si>
  <si>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</si>
  <si>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</si>
  <si>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</si>
  <si>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</si>
  <si>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</si>
  <si>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</si>
  <si>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</si>
  <si>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</si>
  <si>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</si>
  <si>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</si>
  <si>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</si>
  <si>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</si>
  <si>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</si>
  <si>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</si>
  <si>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</si>
  <si>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</si>
  <si>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</si>
  <si>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</si>
  <si>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</si>
  <si>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</si>
  <si>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</si>
  <si>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</si>
  <si>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</si>
  <si>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</si>
  <si>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</si>
  <si>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</si>
  <si>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</si>
  <si>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</si>
  <si>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</si>
  <si>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</si>
  <si>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</si>
  <si>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</si>
  <si>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</si>
  <si>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</si>
  <si>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</si>
  <si>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</si>
  <si>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</si>
  <si>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</si>
  <si>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</si>
  <si>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</si>
  <si>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</si>
  <si>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</si>
  <si>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</si>
  <si>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</si>
  <si>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</si>
  <si>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</si>
  <si>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</si>
  <si>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</si>
  <si>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</si>
  <si>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</si>
  <si>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</si>
  <si>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</si>
  <si>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</si>
  <si>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</si>
  <si>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</si>
  <si>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</si>
  <si>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</si>
  <si>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</si>
  <si>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</si>
  <si>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</si>
  <si>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</si>
  <si>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</si>
  <si>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</si>
  <si>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</si>
  <si>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</si>
  <si>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</si>
  <si>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</si>
  <si>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</si>
  <si>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</si>
  <si>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</si>
  <si>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</si>
  <si>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</si>
  <si>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</si>
  <si>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</si>
  <si>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</si>
  <si>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</si>
  <si>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</si>
  <si>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</si>
  <si>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</si>
  <si>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</si>
  <si>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</si>
  <si>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</si>
  <si>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</si>
  <si>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</si>
  <si>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</si>
  <si>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</si>
  <si>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</si>
  <si>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</si>
  <si>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</si>
  <si>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</si>
  <si>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</si>
  <si>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</si>
  <si>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</si>
  <si>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</si>
  <si>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</si>
  <si>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</si>
  <si>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</si>
  <si>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</si>
  <si>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</si>
  <si>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</si>
  <si>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</si>
  <si>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</si>
  <si>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</si>
  <si>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</si>
  <si>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</si>
  <si>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</si>
  <si>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</si>
  <si>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</si>
  <si>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</si>
  <si>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</si>
  <si>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</si>
  <si>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</si>
  <si>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</si>
  <si>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</si>
  <si>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</si>
  <si>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</si>
  <si>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</si>
  <si>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</si>
  <si>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</si>
  <si>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</si>
  <si>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</si>
  <si>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</si>
  <si>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</si>
  <si>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</si>
  <si>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</si>
  <si>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</si>
  <si>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</si>
  <si>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</si>
  <si>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</si>
  <si>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</si>
  <si>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</si>
  <si>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</si>
  <si>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</si>
  <si>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</si>
  <si>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</si>
  <si>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</si>
  <si>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</si>
  <si>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</si>
  <si>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</si>
  <si>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</si>
  <si>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</si>
  <si>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</si>
  <si>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</si>
  <si>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</si>
  <si>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</si>
  <si>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</si>
  <si>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</si>
  <si>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</si>
  <si>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</si>
  <si>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</si>
  <si>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</si>
  <si>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</si>
  <si>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</si>
  <si>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</si>
  <si>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</si>
  <si>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</si>
  <si>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</si>
  <si>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</si>
  <si>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</si>
  <si>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</si>
  <si>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</si>
  <si>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</si>
  <si>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</si>
  <si>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</si>
  <si>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</si>
  <si>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</si>
  <si>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</si>
  <si>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</si>
  <si>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</si>
  <si>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</si>
  <si>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</si>
  <si>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</si>
  <si>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</si>
  <si>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</si>
  <si>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</si>
  <si>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</si>
  <si>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</si>
  <si>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</si>
  <si>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</si>
  <si>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</si>
  <si>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</si>
  <si>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</si>
  <si>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</si>
  <si>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</si>
  <si>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</si>
  <si>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</si>
  <si>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</si>
  <si>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</si>
  <si>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</si>
  <si>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</si>
  <si>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</si>
  <si>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</si>
  <si>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</si>
  <si>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</si>
  <si>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</si>
  <si>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</si>
  <si>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</si>
  <si>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</si>
  <si>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</si>
  <si>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</si>
  <si>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</si>
  <si>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</si>
  <si>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</si>
  <si>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</si>
  <si>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</si>
  <si>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</si>
  <si>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</si>
  <si>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</si>
  <si>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</si>
  <si>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</si>
  <si>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</si>
  <si>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</si>
  <si>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</si>
  <si>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</si>
  <si>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</si>
  <si>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</si>
  <si>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</si>
  <si>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</si>
  <si>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</si>
  <si>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</si>
  <si>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</si>
  <si>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</si>
  <si>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</si>
  <si>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</si>
  <si>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</si>
  <si>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</si>
  <si>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</si>
  <si>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</si>
  <si>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</si>
  <si>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</si>
  <si>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</si>
  <si>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</si>
  <si>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</si>
  <si>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</si>
  <si>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</si>
  <si>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</si>
  <si>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</si>
  <si>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</si>
  <si>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</si>
  <si>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</si>
  <si>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</si>
  <si>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</si>
  <si>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</si>
  <si>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</si>
  <si>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</si>
  <si>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</si>
  <si>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</si>
  <si>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</si>
  <si>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</si>
  <si>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</si>
  <si>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</si>
  <si>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</si>
  <si>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</si>
  <si>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</si>
  <si>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</si>
  <si>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</si>
  <si>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</si>
  <si>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</si>
  <si>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</si>
  <si>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</si>
  <si>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</si>
  <si>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</si>
  <si>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</si>
  <si>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</si>
  <si>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</si>
  <si>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</si>
  <si>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</si>
  <si>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</si>
  <si>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</si>
  <si>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</si>
  <si>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</si>
  <si>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</si>
  <si>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</si>
  <si>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</si>
  <si>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</si>
  <si>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</si>
  <si>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</si>
  <si>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</si>
  <si>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</si>
  <si>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</si>
  <si>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</si>
  <si>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</si>
  <si>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</si>
  <si>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</si>
  <si>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</si>
  <si>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</si>
  <si>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</si>
  <si>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</si>
  <si>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</si>
  <si>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</si>
  <si>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</si>
  <si>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</si>
  <si>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</si>
  <si>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</si>
  <si>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</si>
  <si>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</si>
  <si>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</si>
  <si>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</si>
  <si>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</si>
  <si>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</si>
  <si>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</si>
  <si>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</si>
  <si>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</si>
  <si>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</si>
  <si>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</si>
  <si>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</si>
  <si>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</si>
  <si>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</si>
  <si>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</si>
  <si>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</si>
  <si>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</si>
  <si>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</si>
  <si>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</si>
  <si>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</si>
  <si>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</si>
  <si>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</si>
  <si>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</si>
  <si>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</si>
  <si>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</si>
  <si>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</si>
  <si>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</si>
  <si>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</si>
  <si>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</si>
  <si>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</si>
  <si>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</si>
  <si>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</si>
  <si>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</si>
  <si>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</si>
  <si>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</si>
  <si>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</si>
  <si>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</si>
  <si>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</si>
  <si>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</si>
  <si>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</si>
  <si>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</si>
  <si>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</si>
  <si>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</si>
  <si>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</si>
  <si>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</si>
  <si>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</si>
  <si>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</si>
  <si>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</si>
  <si>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</si>
  <si>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</si>
  <si>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</si>
  <si>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</si>
  <si>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</si>
  <si>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</si>
  <si>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</si>
  <si>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</si>
  <si>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</si>
  <si>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</si>
  <si>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</si>
  <si>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</si>
  <si>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</si>
  <si>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</si>
  <si>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</si>
  <si>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</si>
  <si>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</si>
  <si>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</si>
  <si>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</si>
  <si>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</si>
  <si>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</si>
  <si>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</si>
  <si>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</si>
  <si>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</si>
  <si>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</si>
  <si>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</si>
  <si>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</si>
  <si>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</si>
  <si>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</si>
  <si>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</si>
  <si>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</si>
  <si>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</si>
  <si>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</si>
  <si>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</si>
  <si>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</si>
  <si>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</si>
  <si>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</si>
  <si>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</si>
  <si>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</si>
  <si>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</si>
  <si>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</si>
  <si>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</si>
  <si>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</si>
  <si>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</si>
  <si>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</si>
  <si>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</si>
  <si>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</si>
  <si>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</si>
  <si>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</si>
  <si>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</si>
  <si>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</si>
  <si>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</si>
  <si>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</si>
  <si>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</si>
  <si>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</si>
  <si>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</si>
  <si>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</si>
  <si>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</si>
  <si>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</si>
  <si>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</si>
  <si>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</si>
  <si>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</si>
  <si>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</si>
  <si>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</si>
  <si>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</si>
  <si>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</si>
  <si>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</si>
  <si>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</si>
  <si>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</si>
  <si>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</si>
  <si>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</si>
  <si>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</si>
  <si>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</si>
  <si>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</si>
  <si>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</si>
  <si>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</si>
  <si>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</si>
  <si>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</si>
  <si>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</si>
  <si>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</si>
  <si>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</si>
  <si>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</si>
  <si>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</si>
  <si>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</si>
  <si>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</si>
  <si>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</si>
  <si>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</si>
  <si>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</si>
  <si>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</si>
  <si>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</si>
  <si>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</si>
  <si>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</si>
  <si>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</si>
  <si>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</si>
  <si>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</si>
  <si>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</si>
  <si>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</si>
  <si>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</si>
  <si>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</si>
  <si>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</si>
  <si>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</si>
  <si>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</si>
  <si>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</si>
  <si>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</si>
  <si>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</si>
  <si>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</si>
  <si>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</si>
  <si>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</si>
  <si>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</si>
  <si>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</si>
  <si>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</si>
  <si>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</si>
  <si>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</si>
  <si>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</si>
  <si>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</si>
  <si>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</si>
  <si>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</si>
  <si>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</si>
  <si>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</si>
  <si>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</si>
  <si>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</si>
  <si>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</si>
  <si>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</si>
  <si>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</si>
  <si>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</si>
  <si>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</si>
  <si>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</si>
  <si>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</si>
  <si>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</si>
  <si>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</si>
  <si>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</si>
  <si>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</si>
  <si>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</si>
  <si>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</si>
  <si>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</si>
  <si>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</si>
  <si>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</si>
  <si>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</si>
  <si>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</si>
  <si>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</si>
  <si>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</si>
  <si>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</si>
  <si>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</si>
  <si>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</si>
  <si>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</si>
  <si>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</si>
  <si>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</si>
  <si>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</si>
  <si>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</si>
  <si>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</si>
  <si>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</si>
  <si>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</si>
  <si>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</si>
  <si>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</si>
  <si>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</si>
  <si>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</si>
  <si>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</si>
  <si>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</si>
  <si>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</si>
  <si>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</si>
  <si>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</si>
  <si>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</si>
  <si>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</si>
  <si>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</si>
  <si>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</si>
  <si>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</si>
  <si>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</si>
  <si>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</si>
  <si>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</si>
  <si>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</si>
  <si>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</si>
  <si>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</si>
  <si>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</si>
  <si>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</si>
  <si>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</si>
  <si>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</si>
  <si>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</si>
  <si>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</si>
  <si>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</si>
  <si>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</si>
  <si>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</si>
  <si>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</si>
  <si>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</si>
  <si>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</si>
  <si>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</si>
  <si>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</si>
  <si>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</si>
  <si>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</si>
  <si>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</si>
  <si>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</si>
  <si>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</si>
  <si>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</si>
  <si>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</si>
  <si>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</si>
  <si>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</si>
  <si>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</si>
  <si>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</si>
  <si>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</si>
  <si>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</si>
  <si>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</si>
  <si>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</si>
  <si>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</si>
  <si>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</si>
  <si>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</si>
  <si>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</si>
  <si>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</si>
  <si>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</si>
  <si>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</si>
  <si>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</si>
  <si>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</si>
  <si>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</si>
  <si>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</si>
  <si>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</si>
  <si>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</si>
  <si>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</si>
  <si>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</si>
  <si>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</si>
  <si>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</si>
  <si>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</si>
  <si>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</si>
  <si>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</si>
  <si>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</si>
  <si>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</si>
  <si>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</si>
  <si>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</si>
  <si>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</si>
  <si>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</si>
  <si>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</si>
  <si>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</si>
  <si>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</si>
  <si>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</si>
  <si>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</si>
  <si>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</si>
  <si>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</si>
  <si>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</si>
  <si>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</si>
  <si>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</si>
  <si>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</si>
  <si>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</si>
  <si>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</si>
  <si>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</si>
  <si>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</si>
  <si>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</si>
  <si>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</si>
  <si>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</si>
  <si>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</si>
  <si>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</si>
  <si>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</si>
  <si>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</si>
  <si>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</si>
  <si>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</si>
  <si>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</si>
  <si>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</si>
  <si>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</si>
  <si>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</si>
  <si>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</si>
  <si>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</si>
  <si>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</si>
  <si>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</si>
  <si>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</si>
  <si>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</si>
  <si>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</si>
  <si>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</si>
  <si>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</si>
  <si>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</si>
  <si>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</si>
  <si>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</si>
  <si>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</si>
  <si>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</si>
  <si>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</si>
  <si>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</si>
  <si>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</si>
  <si>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</si>
  <si>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</si>
  <si>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</si>
  <si>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</si>
  <si>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</si>
  <si>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</si>
  <si>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</si>
  <si>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</si>
  <si>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</si>
  <si>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</si>
  <si>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</si>
  <si>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</si>
  <si>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</si>
  <si>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</si>
  <si>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</si>
  <si>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</si>
  <si>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</si>
  <si>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</si>
  <si>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</si>
  <si>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</si>
  <si>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</si>
  <si>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</si>
  <si>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</si>
  <si>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</si>
  <si>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</si>
  <si>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</si>
  <si>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</si>
  <si>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</si>
  <si>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</si>
  <si>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</si>
  <si>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</si>
  <si>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</si>
  <si>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</si>
  <si>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</si>
  <si>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</si>
  <si>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</si>
  <si>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</si>
  <si>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</si>
  <si>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</si>
  <si>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</si>
  <si>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</si>
  <si>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</si>
  <si>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</si>
  <si>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</si>
  <si>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</si>
  <si>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</si>
  <si>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</si>
  <si>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</si>
  <si>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</si>
  <si>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</si>
  <si>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</si>
  <si>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</si>
  <si>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</si>
  <si>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</si>
  <si>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</si>
  <si>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</si>
  <si>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</si>
  <si>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</si>
  <si>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</si>
  <si>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</si>
  <si>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</si>
  <si>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</si>
  <si>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</si>
  <si>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</si>
  <si>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</si>
  <si>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</si>
  <si>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</si>
  <si>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</si>
  <si>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</si>
  <si>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</si>
  <si>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</si>
  <si>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</si>
  <si>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</si>
  <si>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</si>
  <si>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</si>
  <si>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</si>
  <si>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</si>
  <si>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</si>
  <si>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</si>
  <si>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</si>
  <si>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</si>
  <si>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</si>
  <si>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</si>
  <si>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</si>
  <si>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</si>
  <si>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</si>
  <si>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</si>
  <si>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</si>
  <si>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</si>
  <si>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</si>
  <si>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</si>
  <si>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</si>
  <si>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</si>
  <si>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</si>
  <si>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</si>
  <si>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</si>
  <si>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</si>
  <si>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</si>
  <si>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</si>
  <si>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</si>
  <si>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</si>
  <si>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</si>
  <si>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</si>
  <si>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</si>
  <si>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</si>
  <si>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</si>
  <si>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</si>
  <si>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</si>
  <si>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</si>
  <si>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</si>
  <si>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</si>
  <si>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</si>
  <si>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</si>
  <si>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</si>
  <si>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</si>
  <si>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</si>
  <si>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</si>
  <si>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</si>
  <si>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</si>
  <si>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</si>
  <si>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</si>
  <si>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</si>
  <si>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</si>
  <si>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</si>
  <si>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</si>
  <si>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</si>
  <si>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</si>
  <si>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</si>
  <si>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</si>
  <si>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</si>
  <si>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</si>
  <si>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</si>
  <si>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</si>
  <si>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</si>
  <si>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</si>
  <si>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</si>
  <si>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</si>
  <si>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</si>
  <si>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</si>
  <si>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</si>
  <si>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</si>
  <si>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</si>
  <si>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</si>
  <si>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</si>
  <si>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</si>
  <si>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</si>
  <si>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</si>
  <si>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</si>
  <si>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</si>
  <si>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</si>
  <si>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</si>
  <si>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</si>
  <si>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</si>
  <si>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</si>
  <si>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</si>
  <si>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</si>
  <si>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</si>
  <si>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</si>
  <si>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</si>
  <si>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</si>
  <si>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</si>
  <si>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</si>
  <si>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</si>
  <si>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</si>
  <si>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</si>
  <si>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</si>
  <si>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</si>
  <si>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</si>
  <si>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</si>
  <si>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</si>
  <si>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</si>
  <si>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</si>
  <si>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</si>
  <si>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</si>
  <si>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</si>
  <si>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</si>
  <si>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</si>
  <si>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</si>
  <si>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</si>
  <si>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</si>
  <si>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</si>
  <si>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</si>
  <si>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</si>
  <si>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</si>
  <si>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</si>
  <si>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</si>
  <si>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</si>
  <si>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</si>
  <si>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</si>
  <si>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</si>
  <si>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</si>
  <si>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</si>
  <si>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</si>
  <si>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</si>
  <si>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</si>
  <si>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</si>
  <si>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</si>
  <si>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</si>
  <si>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</si>
  <si>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</si>
  <si>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</si>
  <si>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</si>
  <si>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</si>
  <si>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</si>
  <si>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</si>
  <si>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</si>
  <si>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</si>
  <si>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</si>
  <si>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</si>
  <si>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</si>
  <si>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</si>
  <si>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</si>
  <si>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</si>
  <si>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</si>
  <si>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</si>
  <si>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</si>
  <si>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</si>
  <si>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</si>
  <si>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</si>
  <si>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</si>
  <si>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</si>
  <si>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</si>
  <si>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</si>
  <si>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</si>
  <si>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</si>
  <si>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</si>
  <si>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</si>
  <si>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</si>
  <si>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</si>
  <si>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</si>
  <si>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</si>
  <si>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</si>
  <si>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</si>
  <si>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</si>
  <si>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</si>
  <si>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</si>
  <si>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</si>
  <si>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</si>
  <si>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</si>
  <si>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</si>
  <si>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</si>
  <si>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</si>
  <si>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</si>
  <si>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</si>
  <si>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</si>
  <si>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</si>
  <si>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</si>
  <si>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</si>
  <si>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</si>
  <si>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</si>
  <si>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</si>
  <si>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</si>
  <si>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</si>
  <si>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</si>
  <si>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</si>
  <si>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</si>
  <si>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</si>
  <si>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</si>
  <si>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</si>
  <si>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</si>
  <si>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</si>
  <si>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</si>
  <si>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</si>
  <si>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</si>
  <si>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</si>
  <si>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</si>
  <si>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</si>
  <si>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</si>
  <si>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</si>
  <si>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</si>
  <si>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</si>
  <si>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</si>
  <si>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</si>
  <si>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</si>
  <si>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</si>
  <si>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</si>
  <si>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</si>
  <si>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</si>
  <si>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</si>
  <si>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</si>
  <si>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</si>
  <si>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</si>
  <si>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</si>
  <si>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</si>
  <si>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</si>
  <si>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</si>
  <si>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</si>
  <si>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</si>
  <si>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</si>
  <si>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</si>
  <si>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</si>
  <si>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</si>
  <si>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</si>
  <si>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</si>
  <si>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</si>
  <si>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</si>
  <si>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</si>
  <si>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</si>
  <si>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</si>
  <si>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</si>
  <si>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</si>
  <si>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</si>
  <si>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</si>
  <si>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</si>
  <si>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</si>
  <si>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</si>
  <si>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</si>
  <si>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</si>
  <si>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</si>
  <si>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</si>
  <si>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</si>
  <si>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</si>
  <si>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</si>
  <si>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</si>
  <si>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</si>
  <si>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</si>
  <si>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</si>
  <si>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</si>
  <si>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</si>
  <si>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</si>
  <si>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</si>
  <si>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</si>
  <si>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</si>
  <si>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</si>
  <si>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</si>
  <si>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</si>
  <si>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</si>
  <si>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</si>
  <si>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</si>
  <si>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</si>
  <si>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</si>
  <si>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</si>
  <si>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</si>
  <si>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</si>
  <si>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</si>
  <si>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</si>
  <si>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</si>
  <si>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</si>
  <si>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</si>
  <si>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</si>
  <si>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</si>
  <si>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</si>
  <si>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</si>
  <si>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</si>
  <si>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</si>
  <si>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</si>
  <si>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</si>
  <si>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</si>
  <si>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</si>
  <si>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</si>
  <si>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</si>
  <si>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</si>
  <si>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</si>
  <si>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</si>
  <si>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</si>
  <si>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</si>
  <si>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</si>
  <si>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</si>
  <si>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</si>
  <si>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</si>
  <si>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</si>
  <si>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</si>
  <si>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</si>
  <si>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</si>
  <si>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</si>
  <si>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</si>
  <si>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</si>
  <si>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</si>
  <si>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</si>
  <si>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</si>
  <si>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</si>
  <si>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</si>
  <si>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</si>
  <si>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</si>
  <si>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</si>
  <si>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</si>
  <si>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</si>
  <si>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</si>
  <si>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</si>
  <si>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</si>
  <si>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</si>
  <si>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</si>
  <si>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</si>
  <si>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</si>
  <si>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</si>
  <si>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</si>
  <si>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</si>
  <si>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</si>
  <si>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</si>
  <si>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</si>
  <si>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</si>
  <si>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</si>
  <si>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</si>
  <si>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</si>
  <si>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</si>
  <si>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</si>
  <si>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</si>
  <si>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</si>
  <si>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</si>
  <si>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</si>
  <si>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</si>
  <si>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</si>
  <si>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</si>
  <si>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</si>
  <si>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</si>
  <si>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</si>
  <si>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</si>
  <si>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</si>
  <si>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</si>
  <si>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</si>
  <si>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</si>
  <si>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</si>
  <si>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</si>
  <si>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</si>
  <si>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</si>
  <si>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</si>
  <si>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</si>
  <si>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</si>
  <si>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</si>
  <si>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</si>
  <si>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</si>
  <si>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</si>
  <si>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</si>
  <si>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</si>
  <si>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</si>
  <si>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</si>
  <si>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</si>
  <si>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</si>
  <si>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</si>
  <si>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</si>
  <si>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</si>
  <si>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</si>
  <si>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</si>
  <si>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</si>
  <si>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</si>
  <si>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</si>
  <si>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</si>
  <si>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</si>
  <si>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</si>
  <si>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</si>
  <si>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</si>
  <si>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</si>
  <si>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</si>
  <si>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</si>
  <si>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</si>
  <si>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</si>
  <si>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</si>
  <si>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</si>
  <si>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</si>
  <si>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</si>
  <si>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</si>
  <si>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</si>
  <si>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</si>
  <si>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</si>
  <si>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</si>
  <si>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</si>
  <si>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</si>
  <si>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</si>
  <si>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</si>
  <si>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</si>
  <si>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</si>
  <si>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</si>
  <si>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</si>
  <si>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</si>
  <si>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</si>
  <si>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</si>
  <si>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</si>
  <si>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</si>
  <si>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</si>
  <si>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</si>
  <si>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</si>
  <si>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</si>
  <si>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</si>
  <si>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</si>
  <si>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</si>
  <si>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</si>
  <si>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</si>
  <si>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</si>
  <si>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</si>
  <si>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</si>
  <si>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</si>
  <si>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</si>
  <si>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</si>
  <si>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</si>
  <si>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</si>
  <si>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</si>
  <si>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</si>
  <si>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</si>
  <si>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</si>
  <si>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</si>
  <si>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</si>
  <si>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</si>
  <si>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</si>
  <si>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</si>
  <si>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</si>
  <si>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</si>
  <si>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</si>
  <si>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</si>
  <si>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</si>
  <si>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</si>
  <si>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</si>
  <si>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</si>
  <si>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</si>
  <si>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</si>
  <si>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</si>
  <si>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</si>
  <si>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</si>
  <si>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</si>
  <si>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</si>
  <si>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</si>
  <si>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</si>
  <si>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</si>
  <si>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</si>
  <si>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</si>
  <si>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</si>
  <si>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</si>
  <si>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</si>
  <si>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</si>
  <si>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</si>
  <si>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</si>
  <si>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</si>
  <si>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</si>
  <si>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</si>
  <si>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</si>
  <si>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</si>
  <si>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</si>
  <si>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</si>
  <si>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</si>
  <si>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</si>
  <si>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</si>
  <si>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</si>
  <si>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</si>
  <si>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</si>
  <si>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</si>
  <si>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</si>
  <si>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</si>
  <si>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</si>
  <si>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</si>
  <si>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</si>
  <si>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</si>
  <si>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</si>
  <si>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</si>
  <si>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</si>
  <si>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</si>
  <si>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</si>
  <si>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</si>
  <si>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</si>
  <si>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</si>
  <si>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</si>
  <si>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</si>
  <si>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</si>
  <si>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</si>
  <si>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</si>
  <si>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</si>
  <si>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</si>
  <si>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</si>
  <si>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</si>
  <si>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</si>
  <si>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</si>
  <si>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</si>
  <si>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</si>
  <si>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</si>
  <si>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</si>
  <si>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</si>
  <si>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</si>
  <si>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</si>
  <si>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</si>
  <si>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</si>
  <si>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</si>
  <si>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</si>
  <si>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</si>
  <si>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</si>
  <si>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</si>
  <si>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</si>
  <si>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</si>
  <si>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</si>
  <si>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</si>
  <si>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</si>
  <si>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</si>
  <si>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</si>
  <si>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</si>
  <si>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</si>
  <si>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</si>
  <si>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</si>
  <si>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</si>
  <si>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</si>
  <si>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</si>
  <si>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</si>
  <si>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</si>
  <si>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</si>
  <si>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</si>
  <si>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</si>
  <si>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</si>
  <si>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</si>
  <si>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</si>
  <si>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</si>
  <si>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</si>
  <si>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</si>
  <si>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</si>
  <si>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</si>
  <si>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</si>
  <si>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</si>
  <si>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</si>
  <si>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</si>
  <si>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</si>
  <si>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</si>
  <si>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</si>
  <si>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</si>
  <si>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</si>
  <si>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</si>
  <si>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</si>
  <si>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</si>
  <si>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</si>
  <si>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</si>
  <si>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</si>
  <si>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</si>
  <si>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</si>
  <si>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</si>
  <si>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</si>
  <si>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</si>
  <si>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</si>
  <si>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</si>
  <si>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</si>
  <si>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</si>
  <si>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</si>
  <si>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</si>
  <si>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</si>
  <si>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</si>
  <si>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</si>
  <si>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</si>
  <si>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</si>
  <si>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</si>
  <si>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</si>
  <si>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</si>
  <si>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</si>
  <si>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</si>
  <si>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</si>
  <si>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</si>
  <si>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</si>
  <si>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</si>
  <si>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</si>
  <si>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</si>
  <si>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</si>
  <si>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</si>
  <si>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</si>
  <si>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</si>
  <si>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</si>
  <si>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</si>
  <si>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</si>
  <si>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</si>
  <si>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</si>
  <si>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</si>
  <si>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</si>
  <si>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</si>
  <si>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</si>
  <si>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</si>
  <si>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</si>
  <si>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</si>
  <si>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</si>
  <si>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</si>
  <si>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</si>
  <si>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</si>
  <si>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</si>
  <si>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</si>
  <si>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</si>
  <si>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</si>
  <si>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</si>
  <si>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</si>
  <si>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</si>
  <si>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</si>
  <si>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</si>
  <si>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</si>
  <si>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</si>
  <si>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</si>
  <si>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</si>
  <si>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</si>
  <si>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</si>
  <si>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</si>
  <si>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</si>
  <si>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</si>
  <si>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</si>
  <si>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</si>
  <si>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</si>
  <si>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</si>
  <si>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</si>
  <si>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</si>
  <si>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</si>
  <si>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</si>
  <si>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</si>
  <si>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</si>
  <si>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</si>
  <si>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</si>
  <si>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</si>
  <si>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</si>
  <si>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</si>
  <si>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</si>
  <si>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</si>
  <si>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</si>
  <si>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</si>
  <si>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</si>
  <si>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</si>
  <si>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</si>
  <si>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</si>
  <si>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</si>
  <si>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</si>
  <si>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</si>
  <si>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</si>
  <si>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</si>
  <si>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</si>
  <si>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</si>
  <si>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</si>
  <si>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</si>
  <si>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</si>
  <si>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</si>
  <si>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</si>
  <si>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</si>
  <si>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</si>
  <si>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</si>
  <si>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</si>
  <si>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</si>
  <si>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</si>
  <si>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</si>
  <si>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</si>
  <si>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</si>
  <si>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</si>
  <si>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</si>
  <si>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</si>
  <si>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</si>
  <si>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</si>
  <si>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</si>
  <si>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</si>
  <si>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</si>
  <si>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</si>
  <si>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</si>
  <si>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</si>
  <si>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</si>
  <si>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</si>
  <si>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</si>
  <si>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</si>
  <si>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</si>
  <si>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</si>
  <si>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</si>
  <si>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</si>
  <si>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</si>
  <si>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</si>
  <si>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</si>
  <si>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</si>
  <si>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</si>
  <si>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</si>
  <si>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</si>
  <si>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</si>
  <si>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</si>
  <si>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</si>
  <si>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</si>
  <si>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</si>
  <si>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</si>
  <si>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</si>
  <si>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</si>
  <si>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</si>
  <si>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</si>
  <si>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</si>
  <si>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</si>
  <si>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</si>
  <si>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</si>
  <si>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</si>
  <si>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</si>
  <si>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</si>
  <si>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</si>
  <si>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</si>
  <si>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</si>
  <si>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</si>
  <si>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</si>
  <si>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</si>
  <si>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</si>
  <si>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</si>
  <si>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</si>
  <si>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</si>
  <si>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</si>
  <si>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</si>
  <si>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</si>
  <si>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</si>
  <si>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</si>
  <si>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</si>
  <si>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</si>
  <si>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</si>
  <si>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</si>
  <si>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</si>
  <si>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</si>
  <si>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</si>
  <si>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</si>
  <si>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</si>
  <si>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</si>
  <si>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</si>
  <si>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</si>
  <si>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</si>
  <si>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</si>
  <si>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</si>
  <si>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</si>
  <si>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</si>
  <si>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</si>
  <si>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</si>
  <si>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</si>
  <si>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</si>
  <si>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</si>
  <si>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</si>
  <si>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</si>
  <si>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</si>
  <si>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</si>
  <si>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</si>
  <si>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</si>
  <si>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</si>
  <si>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</si>
  <si>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</si>
  <si>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</si>
  <si>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</si>
  <si>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</si>
  <si>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</si>
  <si>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</si>
  <si>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</si>
  <si>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</si>
  <si>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</si>
  <si>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</si>
  <si>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</si>
  <si>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</si>
  <si>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</si>
  <si>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</si>
  <si>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</si>
  <si>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</si>
  <si>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</si>
  <si>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</si>
  <si>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</si>
  <si>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</si>
  <si>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</si>
  <si>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</si>
  <si>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</si>
  <si>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</si>
  <si>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</si>
  <si>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</si>
  <si>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</si>
  <si>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</si>
  <si>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</si>
  <si>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</si>
  <si>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</si>
  <si>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</si>
  <si>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</si>
  <si>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</si>
  <si>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</si>
  <si>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</si>
  <si>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</si>
  <si>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</si>
  <si>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</si>
  <si>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</si>
  <si>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</si>
  <si>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</si>
  <si>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</si>
  <si>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</si>
  <si>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</si>
  <si>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</si>
  <si>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</si>
  <si>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</si>
  <si>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</si>
  <si>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</si>
  <si>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</si>
  <si>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</si>
  <si>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</si>
  <si>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</si>
  <si>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</si>
  <si>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</si>
  <si>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</si>
  <si>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</si>
  <si>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</si>
  <si>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</si>
  <si>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</si>
  <si>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</si>
  <si>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</si>
  <si>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</si>
  <si>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</si>
  <si>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</si>
  <si>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</si>
  <si>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</si>
  <si>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</si>
  <si>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</si>
  <si>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</si>
  <si>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</si>
  <si>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</si>
  <si>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</si>
  <si>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</si>
  <si>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</si>
  <si>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</si>
  <si>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</si>
  <si>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</si>
  <si>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</si>
  <si>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</si>
  <si>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</si>
  <si>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</si>
  <si>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</si>
  <si>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</si>
  <si>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</si>
  <si>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</si>
  <si>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</si>
  <si>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</si>
  <si>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</si>
  <si>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</si>
  <si>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</si>
  <si>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</si>
  <si>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</si>
  <si>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</si>
  <si>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</si>
  <si>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</si>
  <si>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</si>
  <si>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</si>
  <si>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</si>
  <si>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</si>
  <si>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</si>
  <si>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</si>
  <si>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</si>
  <si>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</si>
  <si>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</si>
  <si>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</si>
  <si>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</si>
  <si>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</si>
  <si>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</si>
  <si>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</si>
  <si>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</si>
  <si>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</si>
  <si>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</si>
  <si>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</si>
  <si>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</si>
  <si>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</si>
  <si>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</si>
  <si>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</si>
  <si>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</si>
  <si>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</si>
  <si>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</si>
  <si>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</si>
  <si>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</si>
  <si>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</si>
  <si>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</si>
  <si>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</si>
  <si>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</si>
  <si>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</si>
  <si>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</si>
  <si>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</si>
  <si>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</si>
  <si>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</si>
  <si>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</si>
  <si>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</si>
  <si>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</si>
  <si>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</si>
  <si>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</si>
  <si>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</si>
  <si>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</si>
  <si>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</si>
  <si>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</si>
  <si>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</si>
  <si>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</si>
  <si>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</si>
  <si>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</si>
  <si>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</si>
  <si>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</si>
  <si>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</si>
  <si>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</si>
  <si>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</si>
  <si>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</si>
  <si>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</si>
  <si>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</si>
  <si>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</si>
  <si>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</si>
  <si>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</si>
  <si>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</si>
  <si>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</si>
  <si>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</si>
  <si>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</si>
  <si>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</si>
  <si>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</si>
  <si>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</si>
  <si>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</si>
  <si>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</si>
  <si>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</si>
  <si>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</si>
  <si>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</si>
  <si>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</si>
  <si>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</si>
  <si>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</si>
  <si>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</si>
  <si>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</si>
  <si>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</si>
  <si>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</si>
  <si>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</si>
  <si>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</si>
  <si>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</si>
  <si>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</si>
  <si>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</si>
  <si>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</si>
  <si>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</si>
  <si>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</si>
  <si>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</si>
  <si>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</si>
  <si>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</si>
  <si>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</si>
  <si>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</si>
  <si>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</si>
  <si>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</si>
  <si>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</si>
  <si>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</si>
  <si>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</si>
  <si>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</si>
  <si>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</si>
  <si>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</si>
  <si>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</si>
  <si>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</si>
  <si>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</si>
  <si>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</si>
  <si>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</si>
  <si>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</si>
  <si>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</si>
  <si>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</si>
  <si>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</si>
  <si>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</si>
  <si>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</si>
  <si>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</si>
  <si>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</si>
  <si>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</si>
  <si>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</si>
  <si>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</si>
  <si>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</si>
  <si>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</si>
  <si>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</si>
  <si>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</si>
  <si>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</si>
  <si>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</si>
  <si>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</si>
  <si>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</si>
  <si>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</si>
  <si>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</si>
  <si>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</si>
  <si>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</si>
  <si>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</si>
  <si>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</si>
  <si>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</si>
  <si>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</si>
  <si>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</si>
  <si>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</si>
  <si>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</si>
  <si>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</si>
  <si>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</si>
  <si>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</si>
  <si>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</si>
  <si>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</si>
  <si>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</si>
  <si>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</si>
  <si>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</si>
  <si>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</si>
  <si>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</si>
  <si>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</si>
  <si>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</si>
  <si>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</si>
  <si>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</si>
  <si>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</si>
  <si>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</si>
  <si>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</si>
  <si>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</si>
  <si>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</si>
  <si>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</si>
  <si>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</si>
  <si>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</si>
  <si>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</si>
  <si>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</si>
  <si>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</si>
  <si>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</si>
  <si>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</si>
  <si>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</si>
  <si>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</si>
  <si>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</si>
  <si>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</si>
  <si>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</si>
  <si>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</si>
  <si>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</si>
  <si>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</si>
  <si>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</si>
  <si>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</si>
  <si>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</si>
  <si>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</si>
  <si>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</si>
  <si>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</si>
  <si>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</si>
  <si>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</si>
  <si>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</si>
  <si>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</si>
  <si>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</si>
  <si>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</si>
  <si>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</si>
  <si>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</si>
  <si>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</si>
  <si>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</si>
  <si>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</si>
  <si>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</si>
  <si>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</si>
  <si>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</si>
  <si>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</si>
  <si>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</si>
  <si>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</si>
  <si>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</si>
  <si>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</si>
  <si>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</si>
  <si>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</si>
  <si>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</si>
  <si>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</si>
  <si>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</si>
  <si>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</si>
  <si>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</si>
  <si>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</si>
  <si>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</si>
  <si>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</si>
  <si>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</si>
  <si>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</si>
  <si>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</si>
  <si>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</si>
  <si>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</si>
  <si>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</si>
  <si>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</si>
  <si>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</si>
  <si>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</si>
  <si>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</si>
  <si>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</si>
  <si>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</si>
  <si>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</si>
  <si>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</si>
  <si>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</si>
  <si>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</si>
  <si>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</si>
  <si>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</si>
  <si>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</si>
  <si>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</si>
  <si>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</si>
  <si>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</si>
  <si>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</si>
  <si>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</si>
  <si>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</si>
  <si>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</si>
  <si>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</si>
  <si>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</si>
  <si>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</si>
  <si>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</si>
  <si>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</si>
  <si>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</si>
  <si>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</si>
  <si>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</si>
  <si>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</si>
  <si>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</si>
  <si>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</si>
  <si>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</si>
  <si>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</si>
  <si>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</si>
  <si>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</si>
  <si>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</si>
  <si>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</si>
  <si>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</si>
  <si>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</si>
  <si>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</si>
  <si>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</si>
  <si>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</si>
  <si>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</si>
  <si>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</si>
  <si>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</si>
  <si>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</si>
  <si>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</si>
  <si>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</si>
  <si>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</si>
  <si>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</si>
  <si>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</si>
  <si>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</si>
  <si>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</si>
  <si>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</si>
  <si>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</si>
  <si>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</si>
  <si>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</si>
  <si>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</si>
  <si>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</si>
  <si>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</si>
  <si>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</si>
  <si>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</si>
  <si>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</si>
  <si>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</si>
  <si>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</si>
  <si>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</si>
  <si>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</si>
  <si>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</si>
  <si>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</si>
  <si>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</si>
  <si>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</si>
  <si>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</si>
  <si>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</si>
  <si>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</si>
  <si>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</si>
  <si>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</si>
  <si>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</si>
  <si>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</si>
  <si>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</si>
  <si>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</si>
  <si>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</si>
  <si>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</si>
  <si>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</si>
  <si>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</si>
  <si>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</si>
  <si>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</si>
  <si>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</si>
  <si>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</si>
  <si>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</si>
  <si>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</si>
  <si>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</si>
  <si>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</si>
  <si>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</si>
  <si>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</si>
  <si>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</si>
  <si>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</si>
  <si>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</si>
  <si>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</si>
  <si>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</si>
  <si>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</si>
  <si>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</si>
  <si>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</si>
  <si>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</si>
  <si>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</si>
  <si>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</si>
  <si>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</si>
  <si>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</si>
  <si>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</si>
  <si>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</si>
  <si>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</si>
  <si>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</si>
  <si>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</si>
  <si>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</si>
  <si>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</si>
  <si>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</si>
  <si>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</si>
  <si>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</si>
  <si>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</si>
  <si>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</si>
  <si>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</si>
  <si>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</si>
  <si>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</si>
  <si>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</si>
  <si>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</si>
  <si>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</si>
  <si>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</si>
  <si>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</si>
  <si>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</si>
  <si>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</si>
  <si>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</si>
  <si>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</si>
  <si>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</si>
  <si>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</si>
  <si>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</si>
  <si>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</si>
  <si>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</si>
  <si>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</si>
  <si>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</si>
  <si>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</si>
  <si>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</si>
  <si>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</si>
  <si>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</si>
  <si>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</si>
  <si>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</si>
  <si>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</si>
  <si>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</si>
  <si>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</si>
  <si>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</si>
  <si>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</si>
  <si>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</si>
  <si>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</si>
  <si>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</si>
  <si>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</si>
  <si>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</si>
  <si>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</si>
  <si>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</si>
  <si>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</si>
  <si>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</si>
  <si>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</si>
  <si>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</si>
  <si>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</si>
  <si>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</si>
  <si>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</si>
  <si>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</si>
  <si>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</si>
  <si>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</si>
  <si>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</si>
  <si>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</si>
  <si>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</si>
  <si>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</si>
  <si>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</si>
  <si>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</si>
  <si>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</si>
  <si>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</si>
  <si>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</si>
  <si>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</si>
  <si>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</si>
  <si>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</si>
  <si>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</si>
  <si>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</si>
  <si>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</si>
  <si>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</si>
  <si>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</si>
  <si>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</si>
  <si>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</si>
  <si>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</si>
  <si>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</si>
  <si>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</si>
  <si>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</si>
  <si>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</si>
  <si>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</si>
  <si>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</si>
  <si>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</si>
  <si>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</si>
  <si>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</si>
  <si>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</si>
  <si>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</si>
  <si>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</si>
  <si>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</si>
  <si>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</si>
  <si>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</si>
  <si>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</si>
  <si>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</si>
  <si>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</si>
  <si>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</si>
  <si>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</si>
  <si>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</si>
  <si>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</si>
  <si>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</si>
  <si>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</si>
  <si>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</si>
  <si>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</si>
  <si>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</si>
  <si>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</si>
  <si>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</si>
  <si>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</si>
  <si>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</si>
  <si>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</si>
  <si>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</si>
  <si>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</si>
  <si>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</si>
  <si>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</si>
  <si>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</si>
  <si>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</si>
  <si>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</si>
  <si>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</si>
  <si>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</si>
  <si>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</si>
  <si>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</si>
  <si>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</si>
  <si>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</si>
  <si>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</si>
  <si>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</si>
  <si>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</si>
  <si>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</si>
  <si>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</si>
  <si>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</si>
  <si>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</si>
  <si>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</si>
  <si>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</si>
  <si>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</si>
  <si>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</si>
  <si>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</si>
  <si>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</si>
  <si>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</si>
  <si>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</si>
  <si>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</si>
  <si>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</si>
  <si>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</si>
  <si>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</si>
  <si>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</si>
  <si>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</si>
  <si>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</si>
  <si>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</si>
  <si>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</si>
  <si>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</si>
  <si>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</si>
  <si>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</si>
  <si>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</si>
  <si>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</si>
  <si>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</si>
  <si>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</si>
  <si>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</si>
  <si>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</si>
  <si>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</si>
  <si>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</si>
  <si>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</si>
  <si>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</si>
  <si>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</si>
  <si>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</si>
  <si>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</si>
  <si>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</si>
  <si>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</si>
  <si>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</si>
  <si>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</si>
  <si>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</si>
  <si>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</si>
  <si>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</si>
  <si>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</si>
  <si>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</si>
  <si>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</si>
  <si>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</si>
  <si>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</si>
  <si>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</si>
  <si>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</si>
  <si>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</si>
  <si>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</si>
  <si>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</si>
  <si>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</si>
  <si>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</si>
  <si>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</si>
  <si>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</si>
  <si>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</si>
  <si>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</si>
  <si>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</si>
  <si>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</si>
  <si>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</si>
  <si>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</si>
  <si>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</si>
  <si>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</si>
  <si>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</si>
  <si>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</si>
  <si>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</si>
  <si>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</si>
  <si>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</si>
  <si>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</si>
  <si>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</si>
  <si>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</si>
  <si>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</si>
  <si>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</si>
  <si>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</si>
  <si>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</si>
  <si>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</si>
  <si>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</si>
  <si>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</si>
  <si>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</si>
  <si>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</si>
  <si>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</si>
  <si>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</si>
  <si>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</si>
  <si>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</si>
  <si>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</si>
  <si>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</si>
  <si>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</si>
  <si>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</si>
  <si>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</si>
  <si>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</si>
  <si>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</si>
  <si>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</si>
  <si>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</si>
  <si>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</si>
  <si>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</si>
  <si>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</si>
  <si>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</si>
  <si>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</si>
  <si>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</si>
  <si>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</si>
  <si>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</si>
  <si>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</si>
  <si>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</si>
  <si>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</si>
  <si>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</si>
  <si>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</si>
  <si>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</si>
  <si>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</si>
  <si>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</si>
  <si>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</si>
  <si>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</si>
  <si>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</si>
  <si>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</si>
  <si>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</si>
  <si>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</si>
  <si>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</si>
  <si>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</si>
  <si>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</si>
  <si>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</si>
  <si>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</si>
  <si>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</si>
  <si>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</si>
  <si>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</si>
  <si>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</si>
  <si>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</si>
  <si>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</si>
  <si>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</si>
  <si>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</si>
  <si>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</si>
  <si>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</si>
  <si>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</si>
  <si>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</si>
  <si>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</si>
  <si>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</si>
  <si>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</si>
  <si>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</si>
  <si>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</si>
  <si>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</si>
  <si>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</si>
  <si>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</si>
  <si>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</si>
  <si>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</si>
  <si>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</si>
  <si>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</si>
  <si>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</si>
  <si>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</si>
  <si>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</si>
  <si>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</si>
  <si>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</si>
  <si>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</si>
  <si>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</si>
  <si>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</si>
  <si>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</si>
  <si>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</si>
  <si>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</si>
  <si>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</si>
  <si>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</si>
  <si>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</si>
  <si>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</si>
  <si>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</si>
  <si>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</si>
  <si>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</si>
  <si>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</si>
  <si>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</si>
  <si>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</si>
  <si>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</si>
  <si>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</si>
  <si>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</si>
  <si>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</si>
  <si>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</si>
  <si>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</si>
  <si>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</si>
  <si>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</si>
  <si>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</si>
  <si>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</si>
  <si>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</si>
  <si>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</si>
  <si>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</si>
  <si>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</si>
  <si>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</si>
  <si>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</si>
  <si>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</si>
  <si>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</si>
  <si>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</si>
  <si>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</si>
  <si>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</si>
  <si>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</si>
  <si>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</si>
  <si>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</si>
  <si>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</si>
  <si>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</si>
  <si>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</si>
  <si>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</si>
  <si>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</si>
  <si>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</si>
  <si>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</si>
  <si>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</si>
  <si>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</si>
  <si>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</si>
  <si>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</si>
  <si>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</si>
  <si>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</si>
  <si>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</si>
  <si>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</si>
  <si>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</si>
  <si>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</si>
  <si>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</si>
  <si>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</si>
  <si>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</si>
  <si>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</si>
  <si>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</si>
  <si>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</si>
  <si>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</si>
  <si>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</si>
  <si>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</si>
  <si>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</si>
  <si>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</si>
  <si>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</si>
  <si>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</si>
  <si>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</si>
  <si>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</si>
  <si>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</si>
  <si>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</si>
  <si>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</si>
  <si>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</si>
  <si>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</si>
  <si>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</si>
  <si>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</si>
  <si>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</si>
  <si>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</si>
  <si>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</si>
  <si>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</si>
  <si>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</si>
  <si>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</si>
  <si>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</si>
  <si>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</si>
  <si>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</si>
  <si>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</si>
  <si>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</si>
  <si>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</si>
  <si>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</si>
  <si>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</si>
  <si>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</si>
  <si>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</si>
  <si>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</si>
  <si>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</si>
  <si>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</si>
  <si>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</si>
  <si>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</si>
  <si>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</si>
  <si>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</si>
  <si>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</si>
  <si>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</si>
  <si>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</si>
  <si>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</si>
  <si>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</si>
  <si>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</si>
  <si>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</si>
  <si>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</si>
  <si>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</si>
  <si>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</si>
  <si>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</si>
  <si>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</si>
  <si>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</si>
  <si>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</si>
  <si>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</si>
  <si>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</si>
  <si>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</si>
  <si>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</si>
  <si>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</si>
  <si>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</si>
  <si>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</si>
  <si>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</si>
  <si>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</si>
  <si>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</si>
  <si>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</si>
  <si>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</si>
  <si>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</si>
  <si>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</si>
  <si>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</si>
  <si>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</si>
  <si>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</si>
  <si>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</si>
  <si>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</si>
  <si>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</si>
  <si>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</si>
  <si>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</si>
  <si>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</si>
  <si>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</si>
  <si>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</si>
  <si>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</si>
  <si>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</si>
  <si>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</si>
  <si>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</si>
  <si>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</si>
  <si>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</si>
  <si>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</si>
  <si>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</si>
  <si>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</si>
  <si>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</si>
  <si>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</si>
  <si>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</si>
  <si>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</si>
  <si>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</si>
  <si>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</si>
  <si>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</si>
  <si>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</si>
  <si>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</si>
  <si>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</si>
  <si>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</si>
  <si>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</si>
  <si>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</si>
  <si>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</si>
  <si>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</si>
  <si>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</si>
  <si>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</si>
  <si>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</si>
  <si>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</si>
  <si>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</si>
  <si>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</si>
  <si>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</si>
  <si>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</si>
  <si>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</si>
  <si>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</si>
  <si>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</si>
  <si>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</si>
  <si>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</si>
  <si>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</si>
  <si>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</si>
  <si>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</si>
  <si>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</si>
  <si>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</si>
  <si>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</si>
  <si>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</si>
  <si>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</si>
  <si>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</si>
  <si>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</si>
  <si>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</si>
  <si>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</si>
  <si>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</si>
  <si>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</si>
  <si>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</si>
  <si>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</si>
  <si>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</si>
  <si>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</si>
  <si>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</si>
  <si>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</si>
  <si>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</si>
  <si>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</si>
  <si>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</si>
  <si>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</si>
  <si>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</si>
  <si>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</si>
  <si>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</si>
  <si>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</si>
  <si>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</si>
  <si>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</si>
  <si>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</si>
  <si>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</si>
  <si>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</si>
  <si>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</si>
  <si>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</si>
  <si>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</si>
  <si>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</si>
  <si>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</si>
  <si>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</si>
  <si>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</si>
  <si>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</si>
  <si>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</si>
  <si>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</si>
  <si>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</si>
  <si>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</si>
  <si>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</si>
  <si>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</si>
  <si>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</si>
  <si>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</si>
  <si>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</si>
  <si>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</si>
  <si>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</si>
  <si>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</si>
  <si>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</si>
  <si>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</si>
  <si>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</si>
  <si>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</si>
  <si>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</si>
  <si>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</si>
  <si>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</si>
  <si>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</si>
  <si>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</si>
  <si>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</si>
  <si>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</si>
  <si>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</si>
  <si>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</si>
  <si>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</si>
  <si>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</si>
  <si>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</si>
  <si>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</si>
  <si>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</si>
  <si>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</si>
  <si>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</si>
  <si>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</si>
  <si>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</si>
  <si>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</si>
  <si>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</si>
  <si>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</si>
  <si>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</si>
  <si>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</si>
  <si>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</si>
  <si>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</si>
  <si>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</si>
  <si>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</si>
  <si>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</si>
  <si>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</si>
  <si>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</si>
  <si>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</si>
  <si>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</si>
  <si>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</si>
  <si>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</si>
  <si>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</si>
  <si>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</si>
  <si>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</si>
  <si>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</si>
  <si>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</si>
  <si>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</si>
  <si>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</si>
  <si>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</si>
  <si>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</si>
  <si>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</si>
  <si>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</si>
  <si>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</si>
  <si>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</si>
  <si>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</si>
  <si>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</si>
  <si>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</si>
  <si>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</si>
  <si>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</si>
  <si>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</si>
  <si>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</si>
  <si>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</si>
  <si>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</si>
  <si>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</si>
  <si>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</si>
  <si>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</si>
  <si>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</si>
  <si>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</si>
  <si>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</si>
  <si>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</si>
  <si>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</si>
  <si>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</si>
  <si>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</si>
  <si>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</si>
  <si>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</si>
  <si>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</si>
  <si>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</si>
  <si>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</si>
  <si>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</si>
  <si>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</si>
  <si>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</si>
  <si>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</si>
  <si>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</si>
  <si>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</si>
  <si>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</si>
  <si>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</si>
  <si>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</si>
  <si>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</si>
  <si>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</si>
  <si>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</si>
  <si>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</si>
  <si>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</si>
  <si>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</si>
  <si>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</si>
  <si>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</si>
  <si>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</si>
  <si>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</si>
  <si>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</si>
  <si>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</si>
  <si>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</si>
  <si>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</si>
  <si>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</si>
  <si>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</si>
  <si>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</si>
  <si>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</si>
  <si>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</si>
  <si>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</si>
  <si>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</si>
  <si>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</si>
  <si>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</si>
  <si>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</si>
  <si>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</si>
  <si>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</si>
  <si>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</si>
  <si>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</si>
  <si>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</si>
  <si>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</si>
  <si>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</si>
  <si>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</si>
  <si>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</si>
  <si>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</si>
  <si>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</si>
  <si>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</si>
  <si>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</si>
  <si>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</si>
  <si>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</si>
  <si>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</si>
  <si>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</si>
  <si>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</si>
  <si>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</si>
  <si>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</si>
  <si>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</si>
  <si>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</si>
  <si>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</si>
  <si>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</si>
  <si>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</si>
  <si>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</si>
  <si>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</si>
  <si>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</si>
  <si>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</si>
  <si>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</si>
  <si>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</si>
  <si>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</si>
  <si>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</si>
  <si>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</si>
  <si>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</si>
  <si>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</si>
  <si>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</si>
  <si>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</si>
  <si>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</si>
  <si>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</si>
  <si>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</si>
  <si>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</si>
  <si>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</si>
  <si>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</si>
  <si>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</si>
  <si>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</si>
  <si>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</si>
  <si>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</si>
  <si>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</si>
  <si>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</si>
  <si>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</si>
  <si>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</si>
  <si>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</si>
  <si>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</si>
  <si>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</si>
  <si>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</si>
  <si>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</si>
  <si>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</si>
  <si>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</si>
  <si>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</si>
  <si>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</si>
  <si>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</si>
  <si>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</si>
  <si>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</si>
  <si>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</si>
  <si>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</si>
  <si>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</si>
  <si>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</si>
  <si>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</si>
  <si>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</si>
  <si>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</si>
  <si>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</si>
  <si>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</si>
  <si>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</si>
  <si>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</si>
  <si>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</si>
  <si>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</si>
  <si>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</si>
  <si>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</si>
  <si>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</si>
  <si>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</si>
  <si>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</si>
  <si>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</si>
  <si>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</si>
  <si>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</si>
  <si>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</si>
  <si>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</si>
  <si>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</si>
  <si>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</si>
  <si>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</si>
  <si>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</si>
  <si>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</si>
  <si>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</si>
  <si>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</si>
  <si>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</si>
  <si>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</si>
  <si>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</si>
  <si>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</si>
  <si>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</si>
  <si>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</si>
  <si>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</si>
  <si>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</si>
  <si>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</si>
  <si>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</si>
  <si>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</si>
  <si>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</si>
  <si>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</si>
  <si>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</si>
  <si>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</si>
  <si>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</si>
  <si>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</si>
  <si>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</si>
  <si>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</si>
  <si>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</si>
  <si>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</si>
  <si>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</si>
  <si>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</si>
  <si>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</si>
  <si>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</si>
  <si>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</si>
  <si>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</si>
  <si>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</si>
  <si>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</si>
  <si>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</si>
  <si>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</si>
  <si>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</si>
  <si>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</si>
  <si>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</si>
  <si>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</si>
  <si>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</si>
  <si>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</si>
  <si>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</si>
  <si>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</si>
  <si>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</si>
  <si>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</si>
  <si>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</si>
  <si>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</si>
  <si>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</si>
  <si>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</si>
  <si>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</si>
  <si>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</si>
  <si>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</si>
  <si>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</si>
  <si>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</si>
  <si>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</si>
  <si>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</si>
  <si>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</si>
  <si>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</si>
  <si>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</si>
  <si>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</si>
  <si>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</si>
  <si>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</si>
  <si>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</si>
  <si>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</si>
  <si>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</si>
  <si>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</si>
  <si>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</si>
  <si>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</si>
  <si>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</si>
  <si>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</si>
  <si>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</si>
  <si>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</si>
  <si>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</si>
  <si>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</si>
  <si>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</si>
  <si>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</si>
  <si>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</si>
  <si>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</si>
  <si>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</si>
  <si>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</si>
  <si>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</si>
  <si>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</si>
  <si>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</si>
  <si>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</si>
  <si>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</si>
  <si>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</si>
  <si>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</si>
  <si>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</si>
  <si>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</si>
  <si>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</si>
  <si>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</si>
  <si>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</si>
  <si>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</si>
  <si>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</si>
  <si>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</si>
  <si>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</si>
  <si>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</si>
  <si>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</si>
  <si>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</si>
  <si>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</si>
  <si>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</si>
  <si>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</si>
  <si>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</si>
  <si>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</si>
  <si>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</si>
  <si>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</si>
  <si>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</si>
  <si>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</si>
  <si>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</si>
  <si>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</si>
  <si>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</si>
  <si>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</si>
  <si>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</si>
  <si>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</si>
  <si>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</si>
  <si>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</si>
  <si>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</si>
  <si>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</si>
  <si>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</si>
  <si>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</si>
  <si>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</si>
  <si>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</si>
  <si>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</si>
  <si>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</si>
  <si>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</si>
  <si>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</si>
  <si>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</si>
  <si>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</si>
  <si>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</si>
  <si>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</si>
  <si>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</si>
  <si>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</si>
  <si>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</si>
  <si>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</si>
  <si>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</si>
  <si>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</si>
  <si>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</si>
  <si>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</si>
  <si>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</si>
  <si>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</si>
  <si>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</si>
  <si>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</si>
  <si>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</si>
  <si>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</si>
  <si>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</si>
  <si>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</si>
  <si>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</si>
  <si>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</si>
  <si>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</si>
  <si>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</si>
  <si>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</si>
  <si>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</si>
  <si>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</si>
  <si>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</si>
  <si>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</si>
  <si>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</si>
  <si>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</si>
  <si>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</si>
  <si>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</si>
  <si>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</si>
  <si>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</si>
  <si>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</si>
  <si>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</si>
  <si>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</si>
  <si>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</si>
  <si>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</si>
  <si>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</si>
  <si>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</si>
  <si>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</si>
  <si>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</si>
  <si>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</si>
  <si>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</si>
  <si>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</si>
  <si>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</si>
  <si>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</si>
  <si>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</si>
  <si>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</si>
  <si>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</si>
  <si>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</si>
  <si>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</si>
  <si>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</si>
  <si>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</si>
  <si>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</si>
  <si>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</si>
  <si>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</si>
  <si>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</si>
  <si>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</si>
  <si>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</si>
  <si>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</si>
  <si>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</si>
  <si>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</si>
  <si>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</si>
  <si>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</si>
  <si>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</si>
  <si>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</si>
  <si>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</si>
  <si>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</si>
  <si>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</si>
  <si>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</si>
  <si>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</si>
  <si>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</si>
  <si>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</si>
  <si>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</si>
  <si>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</si>
  <si>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</si>
  <si>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</si>
  <si>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</si>
  <si>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</si>
  <si>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</si>
  <si>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</si>
  <si>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</si>
  <si>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</si>
  <si>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</si>
  <si>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</si>
  <si>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</si>
  <si>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</si>
  <si>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</si>
  <si>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</si>
  <si>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</si>
  <si>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</si>
  <si>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</si>
  <si>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</si>
  <si>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</si>
  <si>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</si>
  <si>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</si>
  <si>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</si>
  <si>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</si>
  <si>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</si>
  <si>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</si>
  <si>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</si>
  <si>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</si>
  <si>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</si>
  <si>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</si>
  <si>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</si>
  <si>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</si>
  <si>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</si>
  <si>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</si>
  <si>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</si>
  <si>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</si>
  <si>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</si>
  <si>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</si>
  <si>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</si>
  <si>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</si>
  <si>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</si>
  <si>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</si>
  <si>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</si>
  <si>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</si>
  <si>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</si>
  <si>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</si>
  <si>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</si>
  <si>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</si>
  <si>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</si>
  <si>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</si>
  <si>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</si>
  <si>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</si>
  <si>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</si>
  <si>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</si>
  <si>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</si>
  <si>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</si>
  <si>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</si>
  <si>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</si>
  <si>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</si>
  <si>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</si>
  <si>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</si>
  <si>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</si>
  <si>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</si>
  <si>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</si>
  <si>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</si>
  <si>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</si>
  <si>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</si>
  <si>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</si>
  <si>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</si>
  <si>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</si>
  <si>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</si>
  <si>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</si>
  <si>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</si>
  <si>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</si>
  <si>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</si>
  <si>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</si>
  <si>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</si>
  <si>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</si>
  <si>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</si>
  <si>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</si>
  <si>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</si>
  <si>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</si>
  <si>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</si>
  <si>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</si>
  <si>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</si>
  <si>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</si>
  <si>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</si>
  <si>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</si>
  <si>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</si>
  <si>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</si>
  <si>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</si>
  <si>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</si>
  <si>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</si>
  <si>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</si>
  <si>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</si>
  <si>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</si>
  <si>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</si>
  <si>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</si>
  <si>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</si>
  <si>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</si>
  <si>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</si>
  <si>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</si>
  <si>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</si>
  <si>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</si>
  <si>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</si>
  <si>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</si>
  <si>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</si>
  <si>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</si>
  <si>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</si>
  <si>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</si>
  <si>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</si>
  <si>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</si>
  <si>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</si>
  <si>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</si>
  <si>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</si>
  <si>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</si>
  <si>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</si>
  <si>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</si>
  <si>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</si>
  <si>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</si>
  <si>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</si>
  <si>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</si>
  <si>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</si>
  <si>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</si>
  <si>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</si>
  <si>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</si>
  <si>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</si>
  <si>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</si>
  <si>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</si>
  <si>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</si>
  <si>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</si>
  <si>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</si>
  <si>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</si>
  <si>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</si>
  <si>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</si>
  <si>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</si>
  <si>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</si>
  <si>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</si>
  <si>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</si>
  <si>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</si>
  <si>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</si>
  <si>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</si>
  <si>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</si>
  <si>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</si>
  <si>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</si>
  <si>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</si>
  <si>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</si>
  <si>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</si>
  <si>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</si>
  <si>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</si>
  <si>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</si>
  <si>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</si>
  <si>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</si>
  <si>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</si>
  <si>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</si>
  <si>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</si>
  <si>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</si>
  <si>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</si>
  <si>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</si>
  <si>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</si>
  <si>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</si>
  <si>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</si>
  <si>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</si>
  <si>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</si>
  <si>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</si>
  <si>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</si>
  <si>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</si>
  <si>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</si>
  <si>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</si>
  <si>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</si>
  <si>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</si>
  <si>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</si>
  <si>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</si>
  <si>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</si>
  <si>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</si>
  <si>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</si>
  <si>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</si>
  <si>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</si>
  <si>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</si>
  <si>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</si>
  <si>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</si>
  <si>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</si>
  <si>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</si>
  <si>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</si>
  <si>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</si>
  <si>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</si>
  <si>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</si>
  <si>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</si>
  <si>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</si>
  <si>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</si>
  <si>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</si>
  <si>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</si>
  <si>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</si>
  <si>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</si>
  <si>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</si>
  <si>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</si>
  <si>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</si>
  <si>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</si>
  <si>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</si>
  <si>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</si>
  <si>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</si>
  <si>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</si>
  <si>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</si>
  <si>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</si>
  <si>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</si>
  <si>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</si>
  <si>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</si>
  <si>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</si>
  <si>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</si>
  <si>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</si>
  <si>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</si>
  <si>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</si>
  <si>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</si>
  <si>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</si>
  <si>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</si>
  <si>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</si>
  <si>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</si>
  <si>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</si>
  <si>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</si>
  <si>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</si>
  <si>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</si>
  <si>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</si>
  <si>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</si>
  <si>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</si>
  <si>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</si>
  <si>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</si>
  <si>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</si>
  <si>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</si>
  <si>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</si>
  <si>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</si>
  <si>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</si>
  <si>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</si>
  <si>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</si>
  <si>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</si>
  <si>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</si>
  <si>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</si>
  <si>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</si>
  <si>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</si>
  <si>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</si>
  <si>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</si>
  <si>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</si>
  <si>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</si>
  <si>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</si>
  <si>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</si>
  <si>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</si>
  <si>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</si>
  <si>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</si>
  <si>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</si>
  <si>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</si>
  <si>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</si>
  <si>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</si>
  <si>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</si>
  <si>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</si>
  <si>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</si>
  <si>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</si>
  <si>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</si>
  <si>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</si>
  <si>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</si>
  <si>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</si>
  <si>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</si>
  <si>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</si>
  <si>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</si>
  <si>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</si>
  <si>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</si>
  <si>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</si>
  <si>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</si>
  <si>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</si>
  <si>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</si>
  <si>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</si>
  <si>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</si>
  <si>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</si>
  <si>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</si>
  <si>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</si>
  <si>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</si>
  <si>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</si>
  <si>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</si>
  <si>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</si>
  <si>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</si>
  <si>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</si>
  <si>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</si>
  <si>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</si>
  <si>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</si>
  <si>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</si>
  <si>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</si>
  <si>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</si>
  <si>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</si>
  <si>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</si>
  <si>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</si>
  <si>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</si>
  <si>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</si>
  <si>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</si>
  <si>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</si>
  <si>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</si>
  <si>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</si>
  <si>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</si>
  <si>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</si>
  <si>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</si>
  <si>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</si>
  <si>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</si>
  <si>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</si>
  <si>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</si>
  <si>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</si>
  <si>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</si>
  <si>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</si>
  <si>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</si>
  <si>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</si>
  <si>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</si>
  <si>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</si>
  <si>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</si>
  <si>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</si>
  <si>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</si>
  <si>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</si>
  <si>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</si>
  <si>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</si>
  <si>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</si>
  <si>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</si>
  <si>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</si>
  <si>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</si>
  <si>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</si>
  <si>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</si>
  <si>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</si>
  <si>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</si>
  <si>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</si>
  <si>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</si>
  <si>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</si>
  <si>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</si>
  <si>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</si>
  <si>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</si>
  <si>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</si>
  <si>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</si>
  <si>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</si>
  <si>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</si>
  <si>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</si>
  <si>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</si>
  <si>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</si>
  <si>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</si>
  <si>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</si>
  <si>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</si>
  <si>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</si>
  <si>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</si>
  <si>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</si>
  <si>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</si>
  <si>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</si>
  <si>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</si>
  <si>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</si>
  <si>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</si>
  <si>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</si>
  <si>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</si>
  <si>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</si>
  <si>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</si>
  <si>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</si>
  <si>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</si>
  <si>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</si>
  <si>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</si>
  <si>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</si>
  <si>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</si>
  <si>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</si>
  <si>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</si>
  <si>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</si>
  <si>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</si>
  <si>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</si>
  <si>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</si>
  <si>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</si>
  <si>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</si>
  <si>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</si>
  <si>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</si>
  <si>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</si>
  <si>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</si>
  <si>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</si>
  <si>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</si>
  <si>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</si>
  <si>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</si>
  <si>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</si>
  <si>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</si>
  <si>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</si>
  <si>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</si>
  <si>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</si>
  <si>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</si>
  <si>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</si>
  <si>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</si>
  <si>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</si>
  <si>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</si>
  <si>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</si>
  <si>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</si>
  <si>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</si>
  <si>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</si>
  <si>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</si>
  <si>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</si>
  <si>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</si>
  <si>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</si>
  <si>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</si>
  <si>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</si>
  <si>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</si>
  <si>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</si>
  <si>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</si>
  <si>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</si>
  <si>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</si>
  <si>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</si>
  <si>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</si>
  <si>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</si>
  <si>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</si>
  <si>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</si>
  <si>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</si>
  <si>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</si>
  <si>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</si>
  <si>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</si>
  <si>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</si>
  <si>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</si>
  <si>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</si>
  <si>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</si>
  <si>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</si>
  <si>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</si>
  <si>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</si>
  <si>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</si>
  <si>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</si>
  <si>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</si>
  <si>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</si>
  <si>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</si>
  <si>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</si>
  <si>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</si>
  <si>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</si>
  <si>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</si>
  <si>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</si>
  <si>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</si>
  <si>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</si>
  <si>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</si>
  <si>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</si>
  <si>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</si>
  <si>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</si>
  <si>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</si>
  <si>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</si>
  <si>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</si>
  <si>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</si>
  <si>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</si>
  <si>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</si>
  <si>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</si>
  <si>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</si>
  <si>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</si>
  <si>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</si>
  <si>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</si>
  <si>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</si>
  <si>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</si>
  <si>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</si>
  <si>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</si>
  <si>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</si>
  <si>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</si>
  <si>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</si>
  <si>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</si>
  <si>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</si>
  <si>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</si>
  <si>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</si>
  <si>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</si>
  <si>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</si>
  <si>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</si>
  <si>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</si>
  <si>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</si>
  <si>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</si>
  <si>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</si>
  <si>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</si>
  <si>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</si>
  <si>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</si>
  <si>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</si>
  <si>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</si>
  <si>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</si>
  <si>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</si>
  <si>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</si>
  <si>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</si>
  <si>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</si>
  <si>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</si>
  <si>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</si>
  <si>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</si>
  <si>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</si>
  <si>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</si>
  <si>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</si>
  <si>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</si>
  <si>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</si>
  <si>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</si>
  <si>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</si>
  <si>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</si>
  <si>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</si>
  <si>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</si>
  <si>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</si>
  <si>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</si>
  <si>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</si>
  <si>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</si>
  <si>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</si>
  <si>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</si>
  <si>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</si>
  <si>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</si>
  <si>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</si>
  <si>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</si>
  <si>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</si>
  <si>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</si>
  <si>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</si>
  <si>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</si>
  <si>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</si>
  <si>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</si>
  <si>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</si>
  <si>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</si>
  <si>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</si>
  <si>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</si>
  <si>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</si>
  <si>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</si>
  <si>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</si>
  <si>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</si>
  <si>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</si>
  <si>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</si>
  <si>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</si>
  <si>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</si>
  <si>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</si>
  <si>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</si>
  <si>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</si>
  <si>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</si>
  <si>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</si>
  <si>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</si>
  <si>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</si>
  <si>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</si>
  <si>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</si>
  <si>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</si>
  <si>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</si>
  <si>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</si>
  <si>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</si>
  <si>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</si>
  <si>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</si>
  <si>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</si>
  <si>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</si>
  <si>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</si>
  <si>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</si>
  <si>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</si>
  <si>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</si>
  <si>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</si>
  <si>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</si>
  <si>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</si>
  <si>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</si>
  <si>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</si>
  <si>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</si>
  <si>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</si>
  <si>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</si>
  <si>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</si>
  <si>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</si>
  <si>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</si>
  <si>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</si>
  <si>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</si>
  <si>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</si>
  <si>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</si>
  <si>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</si>
  <si>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</si>
  <si>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</si>
  <si>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</si>
  <si>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</si>
  <si>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</si>
  <si>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</si>
  <si>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</si>
  <si>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</si>
  <si>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</si>
  <si>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</si>
  <si>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</si>
  <si>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</si>
  <si>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</si>
  <si>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</si>
  <si>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</si>
  <si>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</si>
  <si>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</si>
  <si>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</si>
  <si>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</si>
  <si>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</si>
  <si>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</si>
  <si>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</si>
  <si>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</si>
  <si>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</si>
  <si>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</si>
  <si>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</si>
  <si>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</si>
  <si>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</si>
  <si>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</si>
  <si>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</si>
  <si>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</si>
  <si>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</si>
  <si>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</si>
  <si>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</si>
  <si>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</si>
  <si>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</si>
  <si>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</si>
  <si>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</si>
  <si>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</si>
  <si>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</si>
  <si>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</si>
  <si>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</si>
  <si>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</si>
  <si>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</si>
  <si>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</si>
  <si>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</si>
  <si>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</si>
  <si>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</si>
  <si>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</si>
  <si>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</si>
  <si>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</si>
  <si>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</si>
  <si>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</si>
  <si>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</si>
  <si>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</si>
  <si>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</si>
  <si>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</si>
  <si>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</si>
  <si>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</si>
  <si>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</si>
  <si>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</si>
  <si>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</si>
  <si>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</si>
  <si>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</si>
  <si>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</si>
  <si>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</si>
  <si>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</si>
  <si>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</si>
  <si>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</si>
  <si>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</si>
  <si>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</si>
  <si>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</si>
  <si>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</si>
  <si>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</si>
  <si>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</si>
  <si>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</si>
  <si>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</si>
  <si>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</si>
  <si>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</si>
  <si>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</si>
  <si>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</si>
  <si>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</si>
  <si>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</si>
  <si>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</si>
  <si>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</si>
  <si>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</si>
  <si>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</si>
  <si>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</si>
  <si>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</si>
  <si>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</si>
  <si>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</si>
  <si>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</si>
  <si>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</si>
  <si>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</si>
  <si>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</si>
  <si>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</si>
  <si>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</si>
  <si>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</si>
  <si>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</si>
  <si>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</si>
  <si>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</si>
  <si>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</si>
  <si>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</si>
  <si>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</si>
  <si>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</si>
  <si>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</si>
  <si>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</si>
  <si>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</si>
  <si>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</si>
  <si>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</si>
  <si>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</si>
  <si>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</si>
  <si>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</si>
  <si>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</si>
  <si>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</si>
  <si>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</si>
  <si>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</si>
  <si>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</si>
  <si>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</si>
  <si>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</si>
  <si>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</si>
  <si>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</si>
  <si>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</si>
  <si>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</si>
  <si>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</si>
  <si>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</si>
  <si>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</si>
  <si>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</si>
  <si>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</si>
  <si>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</si>
  <si>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</si>
  <si>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</si>
  <si>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</si>
  <si>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</si>
  <si>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</si>
  <si>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</si>
  <si>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</si>
  <si>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</si>
  <si>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</si>
  <si>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</si>
  <si>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</si>
  <si>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</si>
  <si>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</si>
  <si>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</si>
  <si>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</si>
  <si>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</si>
  <si>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</si>
  <si>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</si>
  <si>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</si>
  <si>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</si>
  <si>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</si>
  <si>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</si>
  <si>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</si>
  <si>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</si>
  <si>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</si>
  <si>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</si>
  <si>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</si>
  <si>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</si>
  <si>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</si>
  <si>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</si>
  <si>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</si>
  <si>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</si>
  <si>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</si>
  <si>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</si>
  <si>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</si>
  <si>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</si>
  <si>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</si>
  <si>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</si>
  <si>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</si>
  <si>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</si>
  <si>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</si>
  <si>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</si>
  <si>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</si>
  <si>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</si>
  <si>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</si>
  <si>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</si>
  <si>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</si>
  <si>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</si>
  <si>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</si>
  <si>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</si>
  <si>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</si>
  <si>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</si>
  <si>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</si>
  <si>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</si>
  <si>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</si>
  <si>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</si>
  <si>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</si>
  <si>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</si>
  <si>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</si>
  <si>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</si>
  <si>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</si>
  <si>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</si>
  <si>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</si>
  <si>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</si>
  <si>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</si>
  <si>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</si>
  <si>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</si>
  <si>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</si>
  <si>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</si>
  <si>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</si>
  <si>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</si>
  <si>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</si>
  <si>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</si>
  <si>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</si>
  <si>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</si>
  <si>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</si>
  <si>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</si>
  <si>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</si>
  <si>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</si>
  <si>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</si>
  <si>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</si>
  <si>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</si>
  <si>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</si>
  <si>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</si>
  <si>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</si>
  <si>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</si>
  <si>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</si>
  <si>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</si>
  <si>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</si>
  <si>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</si>
  <si>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</si>
  <si>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</si>
  <si>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</si>
  <si>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</si>
  <si>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</si>
  <si>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</si>
  <si>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</si>
  <si>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</si>
  <si>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</si>
  <si>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</si>
  <si>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</si>
  <si>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</si>
  <si>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</si>
  <si>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</si>
  <si>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</si>
  <si>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</si>
  <si>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</si>
  <si>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</si>
  <si>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</si>
  <si>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</si>
  <si>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</si>
  <si>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</si>
  <si>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</si>
  <si>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</si>
  <si>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</si>
  <si>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</si>
  <si>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</si>
  <si>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</si>
  <si>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</si>
  <si>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</si>
  <si>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</si>
  <si>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</si>
  <si>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</si>
  <si>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</si>
  <si>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</si>
  <si>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</si>
  <si>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</si>
  <si>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</si>
  <si>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</si>
  <si>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</si>
  <si>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</si>
  <si>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</si>
  <si>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</si>
  <si>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</si>
  <si>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</si>
  <si>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</si>
  <si>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</si>
  <si>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</si>
  <si>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</si>
  <si>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</si>
  <si>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</si>
  <si>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</si>
  <si>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</si>
  <si>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</si>
  <si>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</si>
  <si>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</si>
  <si>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</si>
  <si>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</si>
  <si>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</si>
  <si>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</si>
  <si>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</si>
  <si>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</si>
  <si>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</si>
  <si>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</si>
  <si>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</si>
  <si>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</si>
  <si>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</si>
  <si>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</si>
  <si>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</si>
  <si>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</si>
  <si>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</si>
  <si>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</si>
  <si>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</si>
  <si>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</si>
  <si>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</si>
  <si>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</si>
  <si>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</si>
  <si>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</si>
  <si>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</si>
  <si>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</si>
  <si>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</si>
  <si>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</si>
  <si>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</si>
  <si>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</si>
  <si>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</si>
  <si>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</si>
  <si>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</si>
  <si>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</si>
  <si>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</si>
  <si>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</si>
  <si>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</si>
  <si>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</si>
  <si>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</si>
  <si>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</si>
  <si>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</si>
  <si>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</si>
  <si>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</si>
  <si>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</si>
  <si>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</si>
  <si>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</si>
  <si>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</si>
  <si>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</si>
  <si>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</si>
  <si>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</si>
  <si>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</si>
  <si>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</si>
  <si>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</si>
  <si>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</si>
  <si>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</si>
  <si>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</si>
  <si>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</si>
  <si>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</si>
  <si>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</si>
  <si>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</si>
  <si>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</si>
  <si>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</si>
  <si>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</si>
  <si>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</si>
  <si>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</si>
  <si>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</si>
  <si>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</si>
  <si>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</si>
  <si>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</si>
  <si>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</si>
  <si>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</si>
  <si>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</si>
  <si>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</si>
  <si>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</si>
  <si>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</si>
  <si>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</si>
  <si>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</si>
  <si>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</si>
  <si>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</si>
  <si>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</si>
  <si>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</si>
  <si>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</si>
  <si>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</si>
  <si>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</si>
  <si>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</si>
  <si>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</si>
  <si>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</si>
  <si>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</si>
  <si>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</si>
  <si>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</si>
  <si>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</si>
  <si>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</si>
  <si>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</si>
  <si>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</si>
  <si>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</si>
  <si>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</si>
  <si>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</si>
  <si>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</si>
  <si>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</si>
  <si>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</si>
  <si>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</si>
  <si>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</si>
  <si>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</si>
  <si>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</si>
  <si>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</si>
  <si>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</si>
  <si>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</si>
  <si>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</si>
  <si>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</si>
  <si>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</si>
  <si>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</si>
  <si>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</si>
  <si>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</si>
  <si>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</si>
  <si>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</si>
  <si>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</si>
  <si>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</si>
  <si>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</si>
  <si>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</si>
  <si>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</si>
  <si>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</si>
  <si>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</si>
  <si>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</si>
  <si>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</si>
  <si>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</si>
  <si>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</si>
  <si>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</si>
  <si>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</si>
  <si>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</si>
  <si>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</si>
  <si>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</si>
  <si>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</si>
  <si>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</si>
  <si>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</si>
  <si>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</si>
  <si>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</si>
  <si>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</si>
  <si>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</si>
  <si>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</si>
  <si>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</si>
  <si>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</si>
  <si>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</si>
  <si>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</si>
  <si>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</si>
  <si>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</si>
  <si>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</si>
  <si>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</si>
  <si>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</si>
  <si>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</si>
  <si>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</si>
  <si>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</si>
  <si>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</si>
  <si>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</si>
  <si>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</si>
  <si>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</si>
  <si>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</si>
  <si>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</si>
  <si>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</si>
  <si>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</si>
  <si>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</si>
  <si>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</si>
  <si>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</si>
  <si>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</si>
  <si>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</si>
  <si>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</si>
  <si>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</si>
  <si>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</si>
  <si>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</si>
  <si>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</si>
  <si>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</si>
  <si>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</si>
  <si>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</si>
  <si>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</si>
  <si>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</si>
  <si>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</si>
  <si>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</si>
  <si>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</si>
  <si>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</si>
  <si>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</si>
  <si>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</si>
  <si>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</si>
  <si>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</si>
  <si>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</si>
  <si>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</si>
  <si>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</si>
  <si>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</si>
  <si>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</si>
  <si>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</si>
  <si>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</si>
  <si>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</si>
  <si>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</si>
  <si>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</si>
  <si>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</si>
  <si>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</si>
  <si>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</si>
  <si>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</si>
  <si>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</si>
  <si>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</si>
  <si>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</si>
  <si>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</si>
  <si>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</si>
  <si>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</si>
  <si>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</si>
  <si>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</si>
  <si>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</si>
  <si>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</si>
  <si>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</si>
  <si>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</si>
  <si>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</si>
  <si>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</si>
  <si>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</si>
  <si>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</si>
  <si>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</si>
  <si>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</si>
  <si>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</si>
  <si>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</si>
  <si>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</si>
  <si>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</si>
  <si>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</si>
  <si>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</si>
  <si>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</si>
  <si>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</si>
  <si>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</si>
  <si>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</si>
  <si>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</si>
  <si>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</si>
  <si>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</si>
  <si>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</si>
  <si>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</si>
  <si>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</si>
  <si>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</si>
  <si>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</si>
  <si>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</si>
  <si>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</si>
  <si>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</si>
  <si>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</si>
  <si>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</si>
  <si>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</si>
  <si>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</si>
  <si>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</si>
  <si>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</si>
  <si>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</si>
  <si>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</si>
  <si>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</si>
  <si>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</si>
  <si>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</si>
  <si>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</si>
  <si>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</si>
  <si>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</si>
  <si>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</si>
  <si>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</si>
  <si>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</si>
  <si>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</si>
  <si>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</si>
  <si>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</si>
  <si>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</si>
  <si>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</si>
  <si>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</si>
  <si>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</si>
  <si>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</si>
  <si>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</si>
  <si>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</si>
  <si>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</si>
  <si>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</si>
  <si>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</si>
  <si>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</si>
  <si>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</si>
  <si>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</si>
  <si>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</si>
  <si>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</si>
  <si>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</si>
  <si>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</si>
  <si>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</si>
  <si>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</si>
  <si>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</si>
  <si>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</si>
  <si>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</si>
  <si>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</si>
  <si>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</si>
  <si>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</si>
  <si>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</si>
  <si>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</si>
  <si>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</si>
  <si>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</si>
  <si>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</si>
  <si>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</si>
  <si>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</si>
  <si>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</si>
  <si>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</si>
  <si>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</si>
  <si>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</si>
  <si>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</si>
  <si>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</si>
  <si>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</si>
  <si>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</si>
  <si>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</si>
  <si>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</si>
  <si>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</si>
  <si>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</si>
  <si>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</si>
  <si>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</si>
  <si>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</si>
  <si>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</si>
  <si>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</si>
  <si>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</si>
  <si>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</si>
  <si>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</si>
  <si>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</si>
  <si>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</si>
  <si>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</si>
  <si>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</si>
  <si>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</si>
  <si>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</si>
  <si>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</si>
  <si>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</si>
  <si>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</si>
  <si>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</si>
  <si>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</si>
  <si>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</si>
  <si>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</si>
  <si>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</si>
  <si>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</si>
  <si>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</si>
  <si>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</si>
  <si>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</si>
  <si>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</si>
  <si>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</si>
  <si>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</si>
  <si>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</si>
  <si>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</si>
  <si>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</si>
  <si>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</si>
  <si>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</si>
  <si>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</si>
  <si>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</si>
  <si>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</si>
  <si>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</si>
  <si>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</si>
  <si>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</si>
  <si>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</si>
  <si>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</si>
  <si>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</si>
  <si>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</si>
  <si>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</si>
  <si>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</si>
  <si>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</si>
  <si>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</si>
  <si>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</si>
  <si>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</si>
  <si>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</si>
  <si>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</si>
  <si>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</si>
  <si>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</si>
  <si>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</si>
  <si>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</si>
  <si>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</si>
  <si>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</si>
  <si>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</si>
  <si>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</si>
  <si>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</si>
  <si>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</si>
  <si>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</si>
  <si>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</si>
  <si>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</si>
  <si>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</si>
  <si>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</si>
  <si>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</si>
  <si>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</si>
  <si>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</si>
  <si>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</si>
  <si>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</si>
  <si>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</si>
  <si>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</si>
  <si>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</si>
  <si>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</si>
  <si>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</si>
  <si>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</si>
  <si>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</si>
  <si>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</si>
  <si>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</si>
  <si>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</si>
  <si>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</si>
  <si>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</si>
  <si>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</si>
  <si>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</si>
  <si>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</si>
  <si>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</si>
  <si>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</si>
  <si>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</si>
  <si>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</si>
  <si>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</si>
  <si>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</si>
  <si>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</si>
  <si>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</si>
  <si>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</si>
  <si>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</si>
  <si>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</si>
  <si>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</si>
  <si>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</si>
  <si>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</si>
  <si>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</si>
  <si>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</si>
  <si>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</si>
  <si>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</si>
  <si>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</si>
  <si>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</si>
  <si>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</si>
  <si>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</si>
  <si>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</si>
  <si>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</si>
  <si>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</si>
  <si>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</si>
  <si>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</si>
  <si>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</si>
  <si>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</si>
  <si>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</si>
  <si>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</si>
  <si>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</si>
  <si>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</si>
  <si>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</si>
  <si>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</si>
  <si>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</si>
  <si>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</si>
  <si>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</si>
  <si>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</si>
  <si>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</si>
  <si>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</si>
  <si>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</si>
  <si>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</si>
  <si>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</si>
  <si>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</si>
  <si>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</si>
  <si>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</si>
  <si>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</si>
  <si>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</si>
  <si>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</si>
  <si>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</si>
  <si>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</si>
  <si>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</si>
  <si>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</si>
  <si>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</si>
  <si>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</si>
  <si>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</si>
  <si>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</si>
  <si>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</si>
  <si>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</si>
  <si>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</si>
  <si>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</si>
  <si>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</si>
  <si>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</si>
  <si>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</si>
  <si>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</si>
  <si>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</si>
  <si>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</si>
  <si>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</si>
  <si>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</si>
  <si>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</si>
  <si>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</si>
  <si>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</si>
  <si>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</si>
  <si>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</si>
  <si>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</si>
  <si>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</si>
  <si>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</si>
  <si>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</si>
  <si>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</si>
  <si>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</si>
  <si>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</si>
  <si>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</si>
  <si>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</si>
  <si>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</si>
  <si>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</si>
  <si>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</si>
  <si>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</si>
  <si>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</si>
  <si>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</si>
  <si>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</si>
  <si>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</si>
  <si>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</si>
  <si>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</si>
  <si>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</si>
  <si>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</si>
  <si>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</si>
  <si>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</si>
  <si>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</si>
  <si>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</si>
  <si>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</si>
  <si>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</si>
  <si>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</si>
  <si>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</si>
  <si>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</si>
  <si>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</si>
  <si>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</si>
  <si>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</si>
  <si>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</si>
  <si>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</si>
  <si>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</si>
  <si>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</si>
  <si>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</si>
  <si>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</si>
  <si>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</si>
  <si>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</si>
  <si>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</si>
  <si>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</si>
  <si>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</si>
  <si>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</si>
  <si>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</si>
  <si>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</si>
  <si>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</si>
  <si>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</si>
  <si>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</si>
  <si>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</si>
  <si>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</si>
  <si>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</si>
  <si>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</si>
  <si>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</si>
  <si>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</si>
  <si>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</si>
  <si>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</si>
  <si>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</si>
  <si>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</si>
  <si>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</si>
  <si>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</si>
  <si>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</si>
  <si>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</si>
  <si>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</si>
  <si>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</si>
  <si>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</si>
  <si>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</si>
  <si>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</si>
  <si>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</si>
  <si>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</si>
  <si>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</si>
  <si>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</si>
  <si>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</si>
  <si>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</si>
  <si>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</si>
  <si>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</si>
  <si>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</si>
  <si>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</si>
  <si>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</si>
  <si>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</si>
  <si>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</si>
  <si>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</si>
  <si>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</si>
  <si>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</si>
  <si>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</si>
  <si>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</si>
  <si>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</si>
  <si>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</si>
  <si>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</si>
  <si>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</si>
  <si>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</si>
  <si>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</si>
  <si>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</si>
  <si>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</si>
  <si>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</si>
  <si>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</si>
  <si>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</si>
  <si>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</si>
  <si>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</si>
  <si>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</si>
  <si>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</si>
  <si>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</si>
  <si>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</si>
  <si>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</si>
  <si>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</si>
  <si>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</si>
  <si>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</si>
  <si>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</si>
  <si>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</si>
  <si>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</si>
  <si>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</si>
  <si>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</si>
  <si>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</si>
  <si>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</si>
  <si>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</si>
  <si>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</si>
  <si>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</si>
  <si>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</si>
  <si>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</si>
  <si>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</si>
  <si>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</si>
  <si>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</si>
  <si>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</si>
  <si>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</si>
  <si>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</si>
  <si>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</si>
  <si>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</si>
  <si>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</si>
  <si>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</si>
  <si>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</si>
  <si>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</si>
  <si>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</si>
  <si>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</si>
  <si>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</si>
  <si>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</si>
  <si>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</si>
  <si>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</si>
  <si>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</si>
  <si>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</si>
  <si>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</si>
  <si>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</si>
  <si>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</si>
  <si>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</si>
  <si>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</si>
  <si>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</si>
  <si>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</si>
  <si>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</si>
  <si>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</si>
  <si>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</si>
  <si>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</si>
  <si>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</si>
  <si>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</si>
  <si>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</si>
  <si>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</si>
  <si>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</si>
  <si>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</si>
  <si>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</si>
  <si>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</si>
  <si>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</si>
  <si>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</si>
  <si>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</si>
  <si>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</si>
  <si>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</si>
  <si>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</si>
  <si>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</si>
  <si>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</si>
  <si>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</si>
  <si>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</si>
  <si>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</si>
  <si>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</si>
  <si>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</si>
  <si>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</si>
  <si>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</si>
  <si>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</si>
  <si>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</si>
  <si>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</si>
  <si>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</si>
  <si>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</si>
  <si>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</si>
  <si>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</si>
  <si>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</si>
  <si>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</si>
  <si>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</si>
  <si>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</si>
  <si>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</si>
  <si>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</si>
  <si>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</si>
  <si>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</si>
  <si>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</si>
  <si>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</si>
  <si>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</si>
  <si>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</si>
  <si>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</si>
  <si>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</si>
  <si>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</si>
  <si>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</si>
  <si>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</si>
  <si>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</si>
  <si>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</si>
  <si>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</si>
  <si>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</si>
  <si>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</si>
  <si>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</si>
  <si>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</si>
  <si>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</si>
  <si>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</si>
  <si>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</si>
  <si>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</si>
  <si>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</si>
  <si>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</si>
  <si>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</si>
  <si>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</si>
  <si>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</si>
  <si>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</si>
  <si>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</si>
  <si>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</si>
  <si>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</si>
  <si>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</si>
  <si>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</si>
  <si>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</si>
  <si>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</si>
  <si>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</si>
  <si>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</si>
  <si>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</si>
  <si>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</si>
  <si>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</si>
  <si>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</si>
  <si>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</si>
  <si>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</si>
  <si>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</si>
  <si>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</si>
  <si>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</si>
  <si>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</si>
  <si>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</si>
  <si>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</si>
  <si>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</si>
  <si>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</si>
  <si>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</si>
  <si>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</si>
  <si>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</si>
  <si>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</si>
  <si>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</si>
  <si>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</si>
  <si>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</si>
  <si>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</si>
  <si>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</si>
  <si>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</si>
  <si>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</si>
  <si>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</si>
  <si>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</si>
  <si>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</si>
  <si>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</si>
  <si>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</si>
  <si>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</si>
  <si>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</si>
  <si>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</si>
  <si>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</si>
  <si>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</si>
  <si>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</si>
  <si>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</si>
  <si>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</si>
  <si>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</si>
  <si>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</si>
  <si>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</si>
  <si>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</si>
  <si>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</si>
  <si>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</si>
  <si>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</si>
  <si>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</si>
  <si>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</si>
  <si>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</si>
  <si>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</si>
  <si>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</si>
  <si>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</si>
  <si>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</si>
  <si>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</si>
  <si>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</si>
  <si>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</si>
  <si>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</si>
  <si>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</si>
  <si>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</si>
  <si>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</si>
  <si>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</si>
  <si>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</si>
  <si>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</si>
  <si>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</si>
  <si>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</si>
  <si>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</si>
  <si>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</si>
  <si>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</si>
  <si>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</si>
  <si>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</si>
  <si>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</si>
  <si>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</si>
  <si>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</si>
  <si>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</si>
  <si>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</si>
  <si>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</si>
  <si>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</si>
  <si>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</si>
  <si>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</si>
  <si>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</si>
  <si>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</si>
  <si>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</si>
  <si>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</si>
  <si>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</si>
  <si>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</si>
  <si>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</si>
  <si>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</si>
  <si>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</si>
  <si>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</si>
  <si>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</si>
  <si>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</si>
  <si>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</si>
  <si>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</si>
  <si>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</si>
  <si>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</si>
  <si>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</si>
  <si>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</si>
  <si>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</si>
  <si>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</si>
  <si>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</si>
  <si>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</si>
  <si>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</si>
  <si>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</si>
  <si>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</si>
  <si>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</si>
  <si>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</si>
  <si>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</si>
  <si>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</si>
  <si>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</si>
  <si>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</si>
  <si>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</si>
  <si>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</si>
  <si>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</si>
  <si>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</si>
  <si>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</si>
  <si>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</si>
  <si>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</si>
  <si>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</si>
  <si>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</si>
  <si>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</si>
  <si>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</si>
  <si>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</si>
  <si>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</si>
  <si>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</si>
  <si>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</si>
  <si>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</si>
  <si>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</si>
  <si>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</si>
  <si>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</si>
  <si>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</si>
  <si>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</si>
  <si>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</si>
  <si>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</si>
  <si>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</si>
  <si>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</si>
  <si>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</si>
  <si>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</si>
  <si>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</si>
  <si>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</si>
  <si>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</si>
  <si>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</si>
  <si>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</si>
  <si>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</si>
  <si>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</si>
  <si>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</si>
  <si>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</si>
  <si>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</si>
  <si>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</si>
  <si>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</si>
  <si>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</si>
  <si>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</si>
  <si>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</si>
  <si>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</si>
  <si>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</si>
  <si>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</si>
  <si>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</si>
  <si>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</si>
  <si>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</si>
  <si>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</si>
  <si>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</si>
  <si>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</si>
  <si>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</si>
  <si>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</si>
  <si>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</si>
  <si>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</si>
  <si>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</si>
  <si>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</si>
  <si>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</si>
  <si>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</si>
  <si>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</si>
  <si>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</si>
  <si>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</si>
  <si>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</si>
  <si>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</si>
  <si>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</si>
  <si>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</si>
  <si>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</si>
  <si>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</si>
  <si>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</si>
  <si>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</si>
  <si>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</si>
  <si>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</si>
  <si>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</si>
  <si>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</si>
  <si>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</si>
  <si>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</si>
  <si>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</si>
  <si>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</si>
  <si>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</si>
  <si>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</si>
  <si>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</si>
  <si>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</si>
  <si>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</si>
  <si>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</si>
  <si>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</si>
  <si>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</si>
  <si>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</si>
  <si>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</si>
  <si>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</si>
  <si>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</si>
  <si>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</si>
  <si>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</si>
  <si>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</si>
  <si>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</si>
  <si>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</si>
  <si>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</si>
  <si>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</si>
  <si>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</si>
  <si>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</si>
  <si>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</si>
  <si>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</si>
  <si>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</si>
  <si>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</si>
  <si>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</si>
  <si>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</si>
  <si>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</si>
  <si>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</si>
  <si>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</si>
  <si>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</si>
  <si>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</si>
  <si>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</si>
  <si>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</si>
  <si>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</si>
  <si>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</si>
  <si>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</si>
  <si>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</si>
  <si>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</si>
  <si>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</si>
  <si>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</si>
  <si>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</si>
  <si>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</si>
  <si>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</si>
  <si>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</si>
  <si>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</si>
  <si>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</si>
  <si>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</si>
  <si>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</si>
  <si>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</si>
  <si>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</si>
  <si>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</si>
  <si>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</si>
  <si>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</si>
  <si>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</si>
  <si>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</si>
  <si>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</si>
  <si>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</si>
  <si>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</si>
  <si>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</si>
  <si>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</si>
  <si>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</si>
  <si>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</si>
  <si>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</si>
  <si>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</si>
  <si>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</si>
  <si>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</si>
  <si>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</si>
  <si>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</si>
  <si>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</si>
  <si>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</si>
  <si>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</si>
  <si>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</si>
  <si>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</si>
  <si>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</si>
  <si>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</si>
  <si>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</si>
  <si>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</si>
  <si>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</si>
  <si>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</si>
  <si>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</si>
  <si>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</si>
  <si>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</si>
  <si>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</si>
  <si>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</si>
  <si>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</si>
  <si>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</si>
  <si>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</si>
  <si>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</si>
  <si>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</si>
  <si>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</si>
  <si>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</si>
  <si>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</si>
  <si>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</si>
  <si>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</si>
  <si>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</si>
  <si>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</si>
  <si>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</si>
  <si>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</si>
  <si>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</si>
  <si>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</si>
  <si>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</si>
  <si>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</si>
  <si>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</si>
  <si>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</si>
  <si>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</si>
  <si>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</si>
  <si>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</si>
  <si>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</si>
  <si>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</si>
  <si>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</si>
  <si>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</si>
  <si>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</si>
  <si>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</si>
  <si>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</si>
  <si>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</si>
  <si>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</si>
  <si>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</si>
  <si>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</si>
  <si>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</si>
  <si>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</si>
  <si>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</si>
  <si>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</si>
  <si>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</si>
  <si>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</si>
  <si>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</si>
  <si>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</si>
  <si>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</si>
  <si>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</si>
  <si>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</si>
  <si>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</si>
  <si>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</si>
  <si>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</si>
  <si>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</si>
  <si>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</si>
  <si>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</si>
  <si>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</si>
  <si>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</si>
  <si>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</si>
  <si>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</si>
  <si>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</si>
  <si>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</si>
  <si>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</si>
  <si>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</si>
  <si>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</si>
  <si>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</si>
  <si>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</si>
  <si>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</si>
  <si>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</si>
  <si>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</si>
  <si>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</si>
  <si>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</si>
  <si>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</si>
  <si>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</si>
  <si>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</si>
  <si>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</si>
  <si>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</si>
  <si>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</si>
  <si>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</si>
  <si>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</si>
  <si>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</si>
  <si>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</si>
  <si>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</si>
  <si>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</si>
  <si>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</si>
  <si>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</si>
  <si>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</si>
  <si>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</si>
  <si>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</si>
  <si>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</si>
  <si>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</si>
  <si>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</si>
  <si>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</si>
  <si>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</si>
  <si>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</si>
  <si>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</si>
  <si>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</si>
  <si>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</si>
  <si>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</si>
  <si>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</si>
  <si>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</si>
  <si>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</si>
  <si>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</si>
  <si>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</si>
  <si>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</si>
  <si>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</si>
  <si>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</si>
  <si>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</si>
  <si>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</si>
  <si>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</si>
  <si>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</si>
  <si>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</si>
  <si>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</si>
  <si>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</si>
  <si>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</si>
  <si>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</si>
  <si>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</si>
  <si>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</si>
  <si>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</si>
  <si>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</si>
  <si>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</si>
  <si>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</si>
  <si>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</si>
  <si>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</si>
  <si>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</si>
  <si>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</si>
  <si>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</si>
  <si>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</si>
  <si>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</si>
  <si>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</si>
  <si>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</si>
  <si>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</si>
  <si>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</si>
  <si>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</si>
  <si>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</si>
  <si>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</si>
  <si>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</si>
  <si>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</si>
  <si>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</si>
  <si>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</si>
  <si>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</si>
  <si>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</si>
  <si>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</si>
  <si>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</si>
  <si>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</si>
  <si>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</si>
  <si>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</si>
  <si>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</si>
  <si>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</si>
  <si>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</si>
  <si>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</si>
  <si>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</si>
  <si>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</si>
  <si>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</si>
  <si>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</si>
  <si>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</si>
  <si>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</si>
  <si>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</si>
  <si>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</si>
  <si>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</si>
  <si>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</si>
  <si>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</si>
  <si>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</si>
  <si>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</si>
  <si>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</si>
  <si>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</si>
  <si>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</si>
  <si>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</si>
  <si>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</si>
  <si>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</si>
  <si>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</si>
  <si>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</si>
  <si>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</si>
  <si>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</si>
  <si>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</si>
  <si>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</si>
  <si>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</si>
  <si>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</si>
  <si>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</si>
  <si>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</si>
  <si>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</si>
  <si>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</si>
  <si>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</si>
  <si>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</si>
  <si>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</si>
  <si>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</si>
  <si>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</si>
  <si>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</si>
  <si>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</si>
  <si>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</si>
  <si>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</si>
  <si>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</si>
  <si>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</si>
  <si>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</si>
  <si>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</si>
  <si>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</si>
  <si>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</si>
  <si>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</si>
  <si>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</si>
  <si>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</si>
  <si>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</si>
  <si>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</si>
  <si>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</si>
  <si>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</si>
  <si>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</si>
  <si>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</si>
  <si>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</si>
  <si>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</si>
  <si>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</si>
  <si>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</si>
  <si>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</si>
  <si>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</si>
  <si>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</si>
  <si>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</si>
  <si>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</si>
  <si>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</si>
  <si>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</si>
  <si>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</si>
  <si>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</si>
  <si>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</si>
  <si>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</si>
  <si>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</si>
  <si>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</si>
  <si>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</si>
  <si>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</si>
  <si>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</si>
  <si>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</si>
  <si>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</si>
  <si>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</si>
  <si>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</si>
  <si>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</si>
  <si>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</si>
  <si>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</si>
  <si>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</si>
  <si>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</si>
  <si>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</si>
  <si>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</si>
  <si>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</si>
  <si>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</si>
  <si>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</si>
  <si>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</si>
  <si>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</si>
  <si>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</si>
  <si>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</si>
  <si>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</si>
  <si>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</si>
  <si>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</si>
  <si>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</si>
  <si>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</si>
  <si>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</si>
  <si>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</si>
  <si>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</si>
  <si>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</si>
  <si>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</si>
  <si>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</si>
  <si>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</si>
  <si>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</si>
  <si>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</si>
  <si>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</si>
  <si>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</si>
  <si>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</si>
  <si>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</si>
  <si>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</si>
  <si>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</si>
  <si>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</si>
  <si>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</si>
  <si>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</si>
  <si>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</si>
  <si>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</si>
  <si>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</si>
  <si>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</si>
  <si>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</si>
  <si>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</si>
  <si>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</si>
  <si>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</si>
  <si>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</si>
  <si>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</si>
  <si>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</si>
  <si>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</si>
  <si>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</si>
  <si>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</si>
  <si>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</si>
  <si>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</si>
  <si>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</si>
  <si>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</si>
  <si>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</si>
  <si>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</si>
  <si>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</si>
  <si>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</si>
  <si>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</si>
  <si>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</si>
  <si>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</si>
  <si>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</si>
  <si>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</si>
  <si>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</si>
  <si>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</si>
  <si>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</si>
  <si>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</si>
  <si>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</si>
  <si>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</si>
  <si>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</si>
  <si>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</si>
  <si>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</si>
  <si>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</si>
  <si>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</si>
  <si>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</si>
  <si>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</si>
  <si>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</si>
  <si>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</si>
  <si>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</si>
  <si>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</si>
  <si>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</si>
  <si>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</si>
  <si>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</si>
  <si>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</si>
  <si>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</si>
  <si>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</si>
  <si>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</si>
  <si>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</si>
  <si>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</si>
  <si>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</si>
  <si>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</si>
  <si>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</si>
  <si>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</si>
  <si>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</si>
  <si>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</si>
  <si>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</si>
  <si>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</si>
  <si>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</si>
  <si>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</si>
  <si>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</si>
  <si>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</si>
  <si>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</si>
  <si>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</si>
  <si>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</si>
  <si>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</si>
  <si>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</si>
  <si>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</si>
  <si>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</si>
  <si>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</si>
  <si>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</si>
  <si>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</si>
  <si>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</si>
  <si>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</si>
  <si>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</si>
  <si>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</si>
  <si>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</si>
  <si>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</si>
  <si>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</si>
  <si>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</si>
  <si>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</si>
  <si>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</si>
  <si>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</si>
  <si>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</si>
  <si>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</si>
  <si>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</si>
  <si>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</si>
  <si>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</si>
  <si>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</si>
  <si>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</si>
  <si>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</si>
  <si>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</si>
  <si>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</si>
  <si>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</si>
  <si>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</si>
  <si>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</si>
  <si>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</si>
  <si>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</si>
  <si>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</si>
  <si>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</si>
  <si>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</si>
  <si>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</si>
  <si>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</si>
  <si>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</si>
  <si>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</si>
  <si>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</si>
  <si>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</si>
  <si>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</si>
  <si>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</si>
  <si>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</si>
  <si>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</si>
  <si>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</si>
  <si>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</si>
  <si>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</si>
  <si>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</si>
  <si>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</si>
  <si>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</si>
  <si>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</si>
  <si>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</si>
  <si>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</si>
  <si>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</si>
  <si>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</si>
  <si>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</si>
  <si>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</si>
  <si>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</si>
  <si>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</si>
  <si>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</si>
  <si>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</si>
  <si>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</si>
  <si>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</si>
  <si>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</si>
  <si>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</si>
  <si>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</si>
  <si>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</si>
  <si>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</si>
  <si>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</si>
  <si>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</si>
  <si>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</si>
  <si>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</si>
  <si>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</si>
  <si>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</si>
  <si>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</si>
  <si>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</si>
  <si>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</si>
  <si>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</si>
  <si>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</si>
  <si>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</si>
  <si>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</si>
  <si>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</si>
  <si>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</si>
  <si>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</si>
  <si>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</si>
  <si>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</si>
  <si>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</si>
  <si>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</si>
  <si>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</si>
  <si>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</si>
  <si>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</si>
  <si>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</si>
  <si>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</si>
  <si>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</si>
  <si>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</si>
  <si>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</si>
  <si>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</si>
  <si>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</si>
  <si>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</si>
  <si>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</si>
  <si>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</si>
  <si>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</si>
  <si>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</si>
  <si>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</si>
  <si>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</si>
  <si>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</si>
  <si>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</si>
  <si>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</si>
  <si>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</si>
  <si>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</si>
  <si>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</si>
  <si>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</si>
  <si>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</si>
  <si>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</si>
  <si>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</si>
  <si>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</si>
  <si>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</si>
  <si>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</si>
  <si>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</si>
  <si>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</si>
  <si>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</si>
  <si>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</si>
  <si>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</si>
  <si>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</si>
  <si>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</si>
  <si>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</si>
  <si>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</si>
  <si>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</si>
  <si>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</si>
  <si>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</si>
  <si>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</si>
  <si>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</si>
  <si>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</si>
  <si>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</si>
  <si>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</si>
  <si>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</si>
  <si>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</si>
  <si>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</si>
  <si>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</si>
  <si>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</si>
  <si>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</si>
  <si>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</si>
  <si>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</si>
  <si>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</si>
  <si>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</si>
  <si>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</si>
  <si>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</si>
  <si>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</si>
  <si>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</si>
  <si>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</si>
  <si>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</si>
  <si>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</si>
  <si>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</si>
  <si>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</si>
  <si>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</si>
  <si>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</si>
  <si>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</si>
  <si>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</si>
  <si>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</si>
  <si>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</si>
  <si>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</si>
  <si>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</si>
  <si>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</si>
  <si>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</si>
  <si>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</si>
  <si>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</si>
  <si>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</si>
  <si>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</si>
  <si>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</si>
  <si>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</si>
  <si>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</si>
  <si>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</si>
  <si>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</si>
  <si>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</si>
  <si>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</si>
  <si>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</si>
  <si>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</si>
  <si>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</si>
  <si>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</si>
  <si>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</si>
  <si>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</si>
  <si>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</si>
  <si>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</si>
  <si>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</si>
  <si>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</si>
  <si>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</si>
  <si>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</si>
  <si>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</si>
  <si>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</si>
  <si>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</si>
  <si>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</si>
  <si>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</si>
  <si>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</si>
  <si>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</si>
  <si>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</si>
  <si>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</si>
  <si>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</si>
  <si>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</si>
  <si>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</si>
  <si>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</si>
  <si>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</si>
  <si>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</si>
  <si>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</si>
  <si>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</si>
  <si>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</si>
  <si>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</si>
  <si>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</si>
  <si>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</si>
  <si>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</si>
  <si>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</si>
  <si>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</si>
  <si>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</si>
  <si>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</si>
  <si>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</si>
  <si>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</si>
  <si>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</si>
  <si>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</si>
  <si>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</si>
  <si>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</si>
  <si>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</si>
  <si>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</si>
  <si>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</si>
  <si>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</si>
  <si>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</si>
  <si>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</si>
  <si>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</si>
  <si>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</si>
  <si>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</si>
  <si>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</si>
  <si>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</si>
  <si>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</si>
  <si>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</si>
  <si>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</si>
  <si>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</si>
  <si>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</si>
  <si>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</si>
  <si>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</si>
  <si>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</si>
  <si>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</si>
  <si>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</si>
  <si>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</si>
  <si>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</si>
  <si>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</si>
  <si>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</si>
  <si>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</si>
  <si>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</si>
  <si>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</si>
  <si>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</si>
  <si>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</si>
  <si>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</si>
  <si>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</si>
  <si>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</si>
  <si>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</si>
  <si>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</si>
  <si>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</si>
  <si>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</si>
  <si>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</si>
  <si>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</si>
  <si>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</si>
  <si>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</si>
  <si>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</si>
  <si>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</si>
  <si>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</si>
  <si>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</si>
  <si>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</si>
  <si>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</si>
  <si>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</si>
  <si>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</si>
  <si>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</si>
  <si>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</si>
  <si>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</si>
  <si>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</si>
  <si>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</si>
  <si>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</si>
  <si>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</si>
  <si>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</si>
  <si>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</si>
  <si>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</si>
  <si>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</si>
  <si>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</si>
  <si>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</si>
  <si>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</si>
  <si>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</si>
  <si>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</si>
  <si>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</si>
  <si>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</si>
  <si>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</si>
  <si>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</si>
  <si>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</si>
  <si>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</si>
  <si>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</si>
  <si>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</si>
  <si>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</si>
  <si>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</si>
  <si>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</si>
  <si>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</si>
  <si>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</si>
  <si>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</si>
  <si>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</si>
  <si>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</si>
  <si>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</si>
  <si>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</si>
  <si>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</si>
  <si>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</si>
  <si>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</si>
  <si>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</si>
  <si>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</si>
  <si>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</si>
  <si>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</si>
  <si>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</si>
  <si>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</si>
  <si>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</si>
  <si>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</si>
  <si>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</si>
  <si>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</si>
  <si>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</si>
  <si>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</si>
  <si>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</si>
  <si>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</si>
  <si>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</si>
  <si>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</si>
  <si>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</si>
  <si>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</si>
  <si>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</si>
  <si>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</si>
  <si>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</si>
  <si>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</si>
  <si>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</si>
  <si>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</si>
  <si>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</si>
  <si>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</si>
  <si>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</si>
  <si>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</si>
  <si>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</si>
  <si>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</si>
  <si>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</si>
  <si>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</si>
  <si>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</si>
  <si>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</si>
  <si>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</si>
  <si>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</si>
  <si>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</si>
  <si>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</si>
  <si>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</si>
  <si>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</si>
  <si>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</si>
  <si>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</si>
  <si>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</si>
  <si>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</si>
  <si>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</si>
  <si>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</si>
  <si>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</si>
  <si>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</si>
  <si>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</si>
  <si>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</si>
  <si>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</si>
  <si>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</si>
  <si>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</si>
  <si>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</si>
  <si>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</si>
  <si>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</si>
  <si>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</si>
  <si>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</si>
  <si>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</si>
  <si>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</si>
  <si>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</si>
  <si>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</si>
  <si>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</si>
  <si>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</si>
  <si>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</si>
  <si>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</si>
  <si>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</si>
  <si>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</si>
  <si>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</si>
  <si>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</si>
  <si>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</si>
  <si>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</si>
  <si>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</si>
  <si>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</si>
  <si>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</si>
  <si>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</si>
  <si>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</si>
  <si>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</si>
  <si>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</si>
  <si>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</si>
  <si>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</si>
  <si>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</si>
  <si>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</si>
  <si>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</si>
  <si>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</si>
  <si>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</si>
  <si>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</si>
  <si>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</si>
  <si>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</si>
  <si>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</si>
  <si>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</si>
  <si>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</si>
  <si>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</si>
  <si>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</si>
  <si>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</si>
  <si>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</si>
  <si>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</si>
  <si>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</si>
  <si>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</si>
  <si>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</si>
  <si>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</si>
  <si>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</si>
  <si>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</si>
  <si>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</si>
  <si>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</si>
  <si>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</si>
  <si>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</si>
  <si>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</si>
  <si>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</si>
  <si>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</si>
  <si>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</si>
  <si>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</si>
  <si>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</si>
  <si>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</si>
  <si>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</si>
  <si>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</si>
  <si>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</si>
  <si>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</si>
  <si>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</si>
  <si>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</si>
  <si>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</si>
  <si>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</si>
  <si>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</si>
  <si>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</si>
  <si>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</si>
  <si>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</si>
  <si>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</si>
  <si>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</si>
  <si>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</si>
  <si>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</si>
  <si>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</si>
  <si>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</si>
  <si>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</si>
  <si>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</si>
  <si>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</si>
  <si>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</si>
  <si>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</si>
  <si>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</si>
  <si>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</si>
  <si>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</si>
  <si>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</si>
  <si>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</si>
  <si>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</si>
  <si>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</si>
  <si>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</si>
  <si>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</si>
  <si>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</si>
  <si>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</si>
  <si>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</si>
  <si>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</si>
  <si>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</si>
  <si>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</si>
  <si>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</si>
  <si>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</si>
  <si>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</si>
  <si>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</si>
  <si>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</si>
  <si>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</si>
  <si>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</si>
  <si>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</si>
  <si>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</si>
  <si>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</si>
  <si>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</si>
  <si>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</si>
  <si>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</si>
  <si>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</si>
  <si>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</si>
  <si>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</si>
  <si>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</si>
  <si>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</si>
  <si>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</si>
  <si>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</si>
  <si>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</si>
  <si>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</si>
  <si>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</si>
  <si>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</si>
  <si>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</si>
  <si>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</si>
  <si>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</si>
  <si>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</si>
  <si>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</si>
  <si>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</si>
  <si>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</si>
  <si>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</si>
  <si>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</si>
  <si>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</si>
  <si>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</si>
  <si>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</si>
  <si>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</si>
  <si>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</si>
  <si>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</si>
  <si>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</si>
  <si>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</si>
  <si>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</si>
  <si>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</si>
  <si>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</si>
  <si>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</si>
  <si>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</si>
  <si>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</si>
  <si>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</si>
  <si>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</si>
  <si>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</si>
  <si>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</si>
  <si>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</si>
  <si>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</si>
  <si>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</si>
  <si>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</si>
  <si>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</si>
  <si>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</si>
  <si>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</si>
  <si>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</si>
  <si>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</si>
  <si>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</si>
  <si>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</si>
  <si>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</si>
  <si>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</si>
  <si>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</si>
  <si>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</si>
  <si>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</si>
  <si>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</si>
  <si>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</si>
  <si>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</si>
  <si>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</si>
  <si>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</si>
  <si>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</si>
  <si>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</si>
  <si>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</si>
  <si>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</si>
  <si>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</si>
  <si>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</si>
  <si>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</si>
  <si>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</si>
  <si>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</si>
  <si>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</si>
  <si>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</si>
  <si>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</si>
  <si>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</si>
  <si>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</si>
  <si>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</si>
  <si>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</si>
  <si>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</si>
  <si>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</si>
  <si>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</si>
  <si>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</si>
  <si>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</si>
  <si>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</si>
  <si>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</si>
  <si>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</si>
  <si>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</si>
  <si>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</si>
  <si>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</si>
  <si>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</si>
  <si>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</si>
  <si>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</si>
  <si>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</si>
  <si>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</si>
  <si>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</si>
  <si>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</si>
  <si>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</si>
  <si>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</si>
  <si>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</si>
  <si>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</si>
  <si>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</si>
  <si>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</si>
  <si>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</si>
  <si>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</si>
  <si>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</si>
  <si>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</si>
  <si>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</si>
  <si>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</si>
  <si>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</si>
  <si>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</si>
  <si>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</si>
  <si>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</si>
  <si>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</si>
  <si>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</si>
  <si>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</si>
  <si>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</si>
  <si>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</si>
  <si>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</si>
  <si>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</si>
  <si>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</si>
  <si>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</si>
  <si>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</si>
  <si>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</si>
  <si>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</si>
  <si>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</si>
  <si>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</si>
  <si>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</si>
  <si>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</si>
  <si>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</si>
  <si>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</si>
  <si>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</si>
  <si>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</si>
  <si>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</si>
  <si>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</si>
  <si>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</si>
  <si>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</si>
  <si>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</si>
  <si>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</si>
  <si>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</si>
  <si>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</si>
  <si>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</si>
  <si>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</si>
  <si>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</si>
  <si>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</si>
  <si>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</si>
  <si>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</si>
  <si>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</si>
  <si>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</si>
  <si>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</si>
  <si>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</si>
  <si>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</si>
  <si>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</si>
  <si>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</si>
  <si>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</si>
  <si>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</si>
  <si>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</si>
  <si>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</si>
  <si>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</si>
  <si>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</si>
  <si>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</si>
  <si>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</si>
  <si>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</si>
  <si>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</si>
  <si>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</si>
  <si>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</si>
  <si>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</si>
  <si>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</si>
  <si>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</si>
  <si>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</si>
  <si>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</si>
  <si>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</si>
  <si>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</si>
  <si>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</si>
  <si>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</si>
  <si>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</si>
  <si>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</si>
  <si>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</si>
  <si>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</si>
  <si>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</si>
  <si>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</si>
  <si>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</si>
  <si>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</si>
  <si>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</si>
  <si>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</si>
  <si>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</si>
  <si>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</si>
  <si>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</si>
  <si>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</si>
  <si>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</si>
  <si>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</si>
  <si>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</si>
  <si>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</si>
  <si>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</si>
  <si>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</si>
  <si>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</si>
  <si>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</si>
  <si>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</si>
  <si>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</si>
  <si>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</si>
  <si>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</si>
  <si>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</si>
  <si>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</si>
  <si>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</si>
  <si>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</si>
  <si>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</si>
  <si>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</si>
  <si>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</si>
  <si>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</si>
  <si>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</si>
  <si>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</si>
  <si>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</si>
  <si>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</si>
  <si>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</si>
  <si>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</si>
  <si>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</si>
  <si>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</si>
  <si>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</si>
  <si>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</si>
  <si>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</si>
  <si>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</si>
  <si>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</si>
  <si>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</si>
  <si>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</si>
  <si>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</si>
  <si>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</si>
  <si>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</si>
  <si>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</si>
  <si>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</si>
  <si>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</si>
  <si>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</si>
  <si>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</si>
  <si>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</si>
  <si>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</si>
  <si>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</si>
  <si>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</si>
  <si>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</si>
  <si>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</si>
  <si>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</si>
  <si>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</si>
  <si>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</si>
  <si>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</si>
  <si>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</si>
  <si>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</si>
  <si>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</si>
  <si>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</si>
  <si>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</si>
  <si>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</si>
  <si>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</si>
  <si>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</si>
  <si>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</si>
  <si>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</si>
  <si>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</si>
  <si>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</si>
  <si>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</si>
  <si>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</si>
  <si>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</si>
  <si>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</si>
  <si>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</si>
  <si>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</si>
  <si>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</si>
  <si>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</si>
  <si>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</si>
  <si>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</si>
  <si>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</si>
  <si>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</si>
  <si>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</si>
  <si>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</si>
  <si>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</si>
  <si>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</si>
  <si>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</si>
  <si>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</si>
  <si>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</si>
  <si>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</si>
  <si>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</si>
  <si>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</si>
  <si>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</si>
  <si>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</si>
  <si>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</si>
  <si>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</si>
  <si>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</si>
  <si>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</si>
  <si>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</si>
  <si>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</si>
  <si>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</si>
  <si>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</si>
  <si>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</si>
  <si>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</si>
  <si>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</si>
  <si>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</si>
  <si>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</si>
  <si>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</si>
  <si>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</si>
  <si>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</si>
  <si>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</si>
  <si>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</si>
  <si>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</si>
  <si>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</si>
  <si>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</si>
  <si>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</si>
  <si>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</si>
  <si>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</si>
  <si>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</si>
  <si>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</si>
  <si>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</si>
  <si>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</si>
  <si>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</si>
  <si>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</si>
  <si>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</si>
  <si>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</si>
  <si>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</si>
  <si>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</si>
  <si>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</si>
  <si>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</si>
  <si>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</si>
  <si>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</si>
  <si>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</si>
  <si>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</si>
  <si>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</si>
  <si>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</si>
  <si>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</si>
  <si>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</si>
  <si>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</si>
  <si>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</si>
  <si>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</si>
  <si>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</si>
  <si>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</si>
  <si>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</si>
  <si>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</si>
  <si>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</si>
  <si>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</si>
  <si>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</si>
  <si>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</si>
  <si>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</si>
  <si>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</si>
  <si>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</si>
  <si>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</si>
  <si>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</si>
  <si>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</si>
  <si>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</si>
  <si>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</si>
  <si>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</si>
  <si>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</si>
  <si>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</si>
  <si>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</si>
  <si>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</si>
  <si>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</si>
  <si>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</si>
  <si>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</si>
  <si>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</si>
  <si>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</si>
  <si>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</si>
  <si>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</si>
  <si>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</si>
  <si>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</si>
  <si>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</si>
  <si>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</si>
  <si>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</si>
  <si>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</si>
  <si>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</si>
  <si>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</si>
  <si>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</si>
  <si>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</si>
  <si>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</si>
  <si>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</si>
  <si>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</si>
  <si>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</si>
  <si>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</si>
  <si>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</si>
  <si>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</si>
  <si>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</si>
  <si>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</si>
  <si>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</si>
  <si>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</si>
  <si>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</si>
  <si>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</si>
  <si>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</si>
  <si>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</si>
  <si>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</si>
  <si>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</si>
  <si>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</si>
  <si>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</si>
  <si>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</si>
  <si>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</si>
  <si>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</si>
  <si>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</si>
  <si>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</si>
  <si>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</si>
  <si>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</si>
  <si>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</si>
  <si>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</si>
  <si>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</si>
  <si>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</si>
  <si>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</si>
  <si>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</si>
  <si>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</si>
  <si>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</si>
  <si>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</si>
  <si>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</si>
  <si>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</si>
  <si>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</si>
  <si>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</si>
  <si>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</si>
  <si>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</si>
  <si>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</si>
  <si>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</si>
  <si>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</si>
  <si>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</si>
  <si>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</si>
  <si>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</si>
  <si>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</si>
  <si>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</si>
  <si>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</si>
  <si>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</si>
  <si>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</si>
  <si>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</si>
  <si>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</si>
  <si>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</si>
  <si>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</si>
  <si>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</si>
  <si>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</si>
  <si>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</si>
  <si>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</si>
  <si>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</si>
  <si>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</si>
  <si>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</si>
  <si>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</si>
  <si>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</si>
  <si>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</si>
  <si>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</si>
  <si>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</si>
  <si>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</si>
  <si>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</si>
  <si>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</si>
  <si>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</si>
  <si>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</si>
  <si>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</si>
  <si>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</si>
  <si>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</si>
  <si>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</si>
  <si>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</si>
  <si>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</si>
  <si>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</si>
  <si>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</si>
  <si>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</si>
  <si>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</si>
  <si>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</si>
  <si>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</si>
  <si>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</si>
  <si>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</si>
  <si>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</si>
  <si>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</si>
  <si>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</si>
  <si>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</si>
  <si>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</si>
  <si>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</si>
  <si>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</si>
  <si>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</si>
  <si>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</si>
  <si>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</si>
  <si>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</si>
  <si>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</si>
  <si>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</si>
  <si>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</si>
  <si>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</si>
  <si>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</si>
  <si>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</si>
  <si>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</si>
  <si>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</si>
  <si>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</si>
  <si>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</si>
  <si>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</si>
  <si>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</si>
  <si>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</si>
  <si>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</si>
  <si>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</si>
  <si>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</si>
  <si>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</si>
  <si>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</si>
  <si>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</si>
  <si>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</si>
  <si>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</si>
  <si>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</si>
  <si>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</si>
  <si>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</si>
  <si>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</si>
  <si>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</si>
  <si>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</si>
  <si>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</si>
  <si>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</si>
  <si>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</si>
  <si>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</si>
  <si>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</si>
  <si>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</si>
  <si>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</si>
  <si>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</si>
  <si>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</si>
  <si>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</si>
  <si>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</si>
  <si>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</si>
  <si>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</si>
  <si>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</si>
  <si>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</si>
  <si>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</si>
  <si>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</si>
  <si>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</si>
  <si>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</si>
  <si>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</si>
  <si>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</si>
  <si>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</si>
  <si>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</si>
  <si>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</si>
  <si>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</si>
  <si>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</si>
  <si>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</si>
  <si>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</si>
  <si>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</si>
  <si>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</si>
  <si>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</si>
  <si>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</si>
  <si>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</si>
  <si>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</si>
  <si>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</si>
  <si>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</si>
  <si>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</si>
  <si>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</si>
  <si>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</si>
  <si>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</si>
  <si>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</si>
  <si>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</si>
  <si>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</si>
  <si>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</si>
  <si>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</si>
  <si>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</si>
  <si>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</si>
  <si>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</si>
  <si>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</si>
  <si>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</si>
  <si>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</si>
  <si>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</si>
  <si>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</si>
  <si>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</si>
  <si>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</si>
  <si>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</si>
  <si>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</si>
  <si>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</si>
  <si>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</si>
  <si>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</si>
  <si>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</si>
  <si>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</si>
  <si>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</si>
  <si>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</si>
  <si>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</si>
  <si>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</si>
  <si>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</si>
  <si>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</si>
  <si>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</si>
  <si>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</si>
  <si>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</si>
  <si>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</si>
  <si>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</si>
  <si>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</si>
  <si>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</si>
  <si>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</si>
  <si>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</si>
  <si>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</si>
  <si>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</si>
  <si>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</si>
  <si>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</si>
  <si>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</si>
  <si>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</si>
  <si>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</si>
  <si>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</si>
  <si>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</si>
  <si>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</si>
  <si>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</si>
  <si>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</si>
  <si>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</si>
  <si>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</si>
  <si>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</si>
  <si>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</si>
  <si>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</si>
  <si>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</si>
  <si>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</si>
  <si>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</si>
  <si>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</si>
  <si>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</si>
  <si>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</si>
  <si>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</si>
  <si>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</si>
  <si>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</si>
  <si>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</si>
  <si>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</si>
  <si>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</si>
  <si>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</si>
  <si>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</si>
  <si>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</si>
  <si>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</si>
  <si>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</si>
  <si>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</si>
  <si>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</si>
  <si>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</si>
  <si>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</si>
  <si>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</si>
  <si>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</si>
  <si>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</si>
  <si>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</si>
  <si>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</si>
  <si>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</si>
  <si>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</si>
  <si>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</si>
  <si>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</si>
  <si>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</si>
  <si>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</si>
  <si>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</si>
  <si>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</si>
  <si>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</si>
  <si>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</si>
  <si>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</si>
  <si>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</si>
  <si>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</si>
  <si>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</si>
  <si>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</si>
  <si>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</si>
  <si>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</si>
  <si>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</si>
  <si>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</si>
  <si>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</si>
  <si>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</si>
  <si>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</si>
  <si>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</si>
  <si>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</si>
  <si>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</si>
  <si>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</si>
  <si>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</si>
  <si>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</si>
  <si>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</si>
  <si>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</si>
  <si>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</si>
  <si>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</si>
  <si>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</si>
  <si>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</si>
  <si>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</si>
  <si>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</si>
  <si>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</si>
  <si>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</si>
  <si>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</si>
  <si>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</si>
  <si>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</si>
  <si>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</si>
  <si>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</si>
  <si>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</si>
  <si>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</si>
  <si>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</si>
  <si>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</si>
  <si>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</si>
  <si>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</si>
  <si>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</si>
  <si>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</si>
  <si>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</si>
  <si>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</si>
  <si>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</si>
  <si>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</si>
  <si>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</si>
  <si>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</si>
  <si>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</si>
  <si>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</si>
  <si>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</si>
  <si>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</si>
  <si>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</si>
  <si>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</si>
  <si>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</si>
  <si>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</si>
  <si>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</si>
  <si>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</si>
  <si>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</si>
  <si>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</si>
  <si>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</si>
  <si>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</si>
  <si>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</si>
  <si>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</si>
  <si>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</si>
  <si>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</si>
  <si>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</si>
  <si>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</si>
  <si>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</si>
  <si>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</si>
  <si>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</si>
  <si>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</si>
  <si>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</si>
  <si>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</si>
  <si>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</si>
  <si>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</si>
  <si>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</si>
  <si>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</si>
  <si>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</si>
  <si>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</si>
  <si>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</si>
  <si>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</si>
  <si>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</si>
  <si>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</si>
  <si>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</si>
  <si>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</si>
  <si>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</si>
  <si>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</si>
  <si>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</si>
  <si>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</si>
  <si>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</si>
  <si>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</si>
  <si>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</si>
  <si>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</si>
  <si>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</si>
  <si>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</si>
  <si>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</si>
  <si>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</si>
  <si>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</si>
  <si>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</si>
  <si>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</si>
  <si>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</si>
  <si>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</si>
  <si>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</si>
  <si>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</si>
  <si>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</si>
  <si>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</si>
  <si>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</si>
  <si>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</si>
  <si>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</si>
  <si>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</si>
  <si>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</si>
  <si>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</si>
  <si>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</si>
  <si>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</si>
  <si>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</si>
  <si>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</si>
  <si>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</si>
  <si>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</si>
  <si>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</si>
  <si>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</si>
  <si>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</si>
  <si>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</si>
  <si>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</si>
  <si>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</si>
  <si>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</si>
  <si>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</si>
  <si>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</si>
  <si>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</si>
  <si>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</si>
  <si>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</si>
  <si>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</si>
  <si>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</si>
  <si>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</si>
  <si>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</si>
  <si>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</si>
  <si>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</si>
  <si>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</si>
  <si>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</si>
  <si>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</si>
  <si>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</si>
  <si>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</si>
  <si>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</si>
  <si>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</si>
  <si>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</si>
  <si>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</si>
  <si>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</si>
  <si>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</si>
  <si>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</si>
  <si>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</si>
  <si>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</si>
  <si>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</si>
  <si>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</si>
  <si>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</si>
  <si>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</si>
  <si>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</si>
  <si>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</si>
  <si>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</si>
  <si>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</si>
  <si>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</si>
  <si>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</si>
  <si>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</si>
  <si>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</si>
  <si>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</si>
  <si>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</si>
  <si>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</si>
  <si>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</si>
  <si>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</si>
  <si>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</si>
  <si>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</si>
  <si>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</si>
  <si>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</si>
  <si>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</si>
  <si>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</si>
  <si>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</si>
  <si>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</si>
  <si>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</si>
  <si>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</si>
  <si>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</si>
  <si>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</si>
  <si>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</si>
  <si>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</si>
  <si>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</si>
  <si>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</si>
  <si>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</si>
  <si>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</si>
  <si>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</si>
  <si>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</si>
  <si>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</si>
  <si>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</si>
  <si>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</si>
  <si>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</si>
  <si>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</si>
  <si>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</si>
  <si>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</si>
  <si>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</si>
  <si>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</si>
  <si>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</si>
  <si>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</si>
  <si>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</si>
  <si>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</si>
  <si>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</si>
  <si>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</si>
  <si>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</si>
  <si>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</si>
  <si>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</si>
  <si>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</si>
  <si>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</si>
  <si>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</si>
  <si>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</si>
  <si>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</si>
  <si>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</si>
  <si>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</si>
  <si>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</si>
  <si>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</si>
  <si>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</si>
  <si>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</si>
  <si>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</si>
  <si>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</si>
  <si>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</si>
  <si>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</si>
  <si>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</si>
  <si>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</si>
  <si>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</si>
  <si>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</si>
  <si>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</si>
  <si>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</si>
  <si>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</si>
  <si>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</si>
  <si>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</si>
  <si>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</si>
  <si>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</si>
  <si>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</si>
  <si>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</si>
  <si>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</si>
  <si>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</si>
  <si>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</si>
  <si>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</si>
  <si>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</si>
  <si>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</si>
  <si>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</si>
  <si>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</si>
  <si>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</si>
  <si>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</si>
  <si>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</si>
  <si>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</si>
  <si>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</si>
  <si>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</si>
  <si>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</si>
  <si>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</si>
  <si>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</si>
  <si>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</si>
  <si>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</si>
  <si>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</si>
  <si>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</si>
  <si>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</si>
  <si>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</si>
  <si>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</si>
  <si>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</si>
  <si>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</si>
  <si>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</si>
  <si>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</si>
  <si>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</si>
  <si>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</si>
  <si>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</si>
  <si>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</si>
  <si>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</si>
  <si>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</si>
  <si>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</si>
  <si>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</si>
  <si>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</si>
  <si>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</si>
  <si>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</si>
  <si>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</si>
  <si>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</si>
  <si>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</si>
  <si>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</si>
  <si>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</si>
  <si>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</si>
  <si>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</si>
  <si>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</si>
  <si>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</si>
  <si>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</si>
  <si>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</si>
  <si>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</si>
  <si>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</si>
  <si>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</si>
  <si>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</si>
  <si>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</si>
  <si>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</si>
  <si>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</si>
  <si>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</si>
  <si>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</si>
  <si>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</si>
  <si>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</si>
  <si>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</si>
  <si>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</si>
  <si>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</si>
  <si>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</si>
  <si>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</si>
  <si>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</si>
  <si>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</si>
  <si>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</si>
  <si>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</si>
  <si>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</si>
  <si>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</si>
  <si>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</si>
  <si>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</si>
  <si>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</si>
  <si>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</si>
  <si>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</si>
  <si>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</si>
  <si>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</si>
  <si>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</si>
  <si>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</si>
  <si>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</si>
  <si>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</si>
  <si>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</si>
  <si>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</si>
  <si>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</si>
  <si>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</si>
  <si>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</si>
  <si>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</si>
  <si>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</si>
  <si>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</si>
  <si>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</si>
  <si>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</si>
  <si>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</si>
  <si>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</si>
  <si>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</si>
  <si>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</si>
  <si>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</si>
  <si>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</si>
  <si>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</si>
  <si>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</si>
  <si>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</si>
  <si>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</si>
  <si>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</si>
  <si>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</si>
  <si>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</si>
  <si>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</si>
  <si>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</si>
  <si>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</si>
  <si>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</si>
  <si>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</si>
  <si>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</si>
  <si>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</si>
  <si>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</si>
  <si>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</si>
  <si>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</si>
  <si>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</si>
  <si>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</si>
  <si>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</si>
  <si>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</si>
  <si>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</si>
  <si>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</si>
  <si>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</si>
  <si>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</si>
  <si>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</si>
  <si>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</si>
  <si>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</si>
  <si>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</si>
  <si>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</si>
  <si>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</si>
  <si>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</si>
  <si>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</si>
  <si>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</si>
  <si>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</si>
  <si>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</si>
  <si>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</si>
  <si>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</si>
  <si>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</si>
  <si>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</si>
  <si>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</si>
  <si>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</si>
  <si>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</si>
  <si>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</si>
  <si>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</si>
  <si>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</si>
  <si>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</si>
  <si>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</si>
  <si>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</si>
  <si>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</si>
  <si>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</si>
  <si>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</si>
  <si>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</si>
  <si>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</si>
  <si>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</si>
  <si>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</si>
  <si>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</si>
  <si>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</si>
  <si>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</si>
  <si>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</si>
  <si>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</si>
  <si>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</si>
  <si>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</si>
  <si>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</si>
  <si>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</si>
  <si>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</si>
  <si>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</si>
  <si>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</si>
  <si>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</si>
  <si>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</si>
  <si>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</si>
  <si>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</si>
  <si>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</si>
  <si>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</si>
  <si>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</si>
  <si>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</si>
  <si>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</si>
  <si>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</si>
  <si>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</si>
  <si>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</si>
  <si>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</si>
  <si>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</si>
  <si>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</si>
  <si>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</si>
  <si>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</si>
  <si>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</si>
  <si>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</si>
  <si>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</si>
  <si>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</si>
  <si>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</si>
  <si>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</si>
  <si>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</si>
  <si>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</si>
  <si>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</si>
  <si>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</si>
  <si>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</si>
  <si>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</si>
  <si>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</si>
  <si>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</si>
  <si>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</si>
  <si>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</si>
  <si>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</si>
  <si>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</si>
  <si>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</si>
  <si>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</si>
  <si>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</si>
  <si>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</si>
  <si>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</si>
  <si>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</si>
  <si>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</si>
  <si>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</si>
  <si>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</si>
  <si>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</si>
  <si>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</si>
  <si>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</si>
  <si>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</si>
  <si>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</si>
  <si>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</si>
  <si>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</si>
  <si>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</si>
  <si>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</si>
  <si>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</si>
  <si>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</si>
  <si>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</si>
  <si>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</si>
  <si>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</si>
  <si>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</si>
  <si>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</si>
  <si>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</si>
  <si>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</si>
  <si>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</si>
  <si>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</si>
  <si>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</si>
  <si>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</si>
  <si>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</si>
  <si>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</si>
  <si>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</si>
  <si>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</si>
  <si>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</si>
  <si>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</si>
  <si>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</si>
  <si>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</si>
  <si>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</si>
  <si>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</si>
  <si>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</si>
  <si>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</si>
  <si>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</si>
  <si>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</si>
  <si>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</si>
  <si>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</si>
  <si>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</si>
  <si>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</si>
  <si>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</si>
  <si>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</si>
  <si>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</si>
  <si>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</si>
  <si>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</si>
  <si>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</si>
  <si>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</si>
  <si>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</si>
  <si>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</si>
  <si>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</si>
  <si>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</si>
  <si>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</si>
  <si>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</si>
  <si>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</si>
  <si>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</si>
  <si>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</si>
  <si>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</si>
  <si>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</si>
  <si>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</si>
  <si>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</si>
  <si>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</si>
  <si>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</si>
  <si>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</si>
  <si>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</si>
  <si>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</si>
  <si>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</si>
  <si>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</si>
  <si>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</si>
  <si>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</si>
  <si>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</si>
  <si>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</si>
  <si>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</si>
  <si>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</si>
  <si>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</si>
  <si>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</si>
  <si>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</si>
  <si>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</si>
  <si>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</si>
  <si>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</si>
  <si>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</si>
  <si>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</si>
  <si>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</si>
  <si>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</si>
  <si>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</si>
  <si>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</si>
  <si>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</si>
  <si>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</si>
  <si>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</si>
  <si>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</si>
  <si>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</si>
  <si>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</si>
  <si>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</si>
  <si>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</si>
  <si>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</si>
  <si>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</si>
  <si>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</si>
  <si>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</si>
  <si>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</si>
  <si>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</si>
  <si>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</si>
  <si>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</si>
  <si>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</si>
  <si>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</si>
  <si>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</si>
  <si>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</si>
  <si>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</si>
  <si>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</si>
  <si>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</si>
  <si>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</si>
  <si>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</si>
  <si>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</si>
  <si>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</si>
  <si>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</si>
  <si>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</si>
  <si>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</si>
  <si>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</si>
  <si>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</si>
  <si>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</si>
  <si>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</si>
  <si>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</si>
  <si>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</si>
  <si>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</si>
  <si>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</si>
  <si>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</si>
  <si>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</si>
  <si>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</si>
  <si>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</si>
  <si>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</si>
  <si>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</si>
  <si>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</si>
  <si>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</si>
  <si>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</si>
  <si>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</si>
  <si>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</si>
  <si>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</si>
  <si>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</si>
  <si>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</si>
  <si>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</si>
  <si>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</si>
  <si>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</si>
  <si>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</si>
  <si>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</si>
  <si>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</si>
  <si>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</si>
  <si>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</si>
  <si>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</si>
  <si>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</si>
  <si>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</si>
  <si>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</si>
  <si>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</si>
  <si>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</si>
  <si>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</si>
  <si>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</si>
  <si>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</si>
  <si>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</si>
  <si>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</si>
  <si>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</si>
  <si>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</si>
  <si>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</si>
  <si>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</si>
  <si>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</si>
  <si>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</si>
  <si>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</si>
  <si>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</si>
  <si>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</si>
  <si>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</si>
  <si>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</si>
  <si>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</si>
  <si>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</si>
  <si>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</si>
  <si>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</si>
  <si>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</si>
  <si>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</si>
  <si>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</si>
  <si>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</si>
  <si>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</si>
  <si>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</si>
  <si>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</si>
  <si>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</si>
  <si>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</si>
  <si>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</si>
  <si>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</si>
  <si>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</si>
  <si>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</si>
  <si>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</si>
  <si>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</si>
  <si>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</si>
  <si>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</si>
  <si>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</si>
  <si>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</si>
  <si>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</si>
  <si>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</si>
  <si>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</si>
  <si>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</si>
  <si>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</si>
  <si>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</si>
  <si>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</si>
  <si>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</si>
  <si>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</si>
  <si>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</si>
  <si>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</si>
  <si>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</si>
  <si>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</si>
  <si>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</si>
  <si>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</si>
  <si>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</si>
  <si>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</si>
  <si>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</si>
  <si>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</si>
  <si>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</si>
  <si>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</si>
  <si>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</si>
  <si>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</si>
  <si>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</si>
  <si>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</si>
  <si>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</si>
  <si>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</si>
  <si>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</si>
  <si>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</si>
  <si>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</si>
  <si>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</si>
  <si>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</si>
  <si>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</si>
  <si>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</si>
  <si>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</si>
  <si>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</si>
  <si>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</si>
  <si>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</si>
  <si>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</si>
  <si>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</si>
  <si>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</si>
  <si>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</si>
  <si>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</si>
  <si>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</si>
  <si>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</si>
  <si>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</si>
  <si>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</si>
  <si>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</si>
  <si>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</si>
  <si>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</si>
  <si>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</si>
  <si>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</si>
  <si>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</si>
  <si>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</si>
  <si>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</si>
  <si>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</si>
  <si>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</si>
  <si>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</si>
  <si>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</si>
  <si>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</si>
  <si>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</si>
  <si>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</si>
  <si>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</si>
  <si>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</si>
  <si>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</si>
  <si>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</si>
  <si>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</si>
  <si>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</si>
  <si>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</si>
  <si>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</si>
  <si>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</si>
  <si>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</si>
  <si>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</si>
  <si>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</si>
  <si>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</si>
  <si>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</si>
  <si>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</si>
  <si>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</si>
  <si>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</si>
  <si>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</si>
  <si>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</si>
  <si>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</si>
  <si>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</si>
  <si>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</si>
  <si>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</si>
  <si>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</si>
  <si>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</si>
  <si>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</si>
  <si>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</si>
  <si>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</si>
  <si>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</si>
  <si>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</si>
  <si>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</si>
  <si>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</si>
  <si>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</si>
  <si>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</si>
  <si>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</si>
  <si>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</si>
  <si>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</si>
  <si>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</si>
  <si>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</si>
  <si>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</si>
  <si>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</si>
  <si>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</si>
  <si>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</si>
  <si>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</si>
  <si>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</si>
  <si>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</si>
  <si>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</si>
  <si>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</si>
  <si>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</si>
  <si>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</si>
  <si>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</si>
  <si>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</si>
  <si>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</si>
  <si>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</si>
  <si>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</si>
  <si>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</si>
  <si>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</si>
  <si>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</si>
  <si>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</si>
  <si>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</si>
  <si>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</si>
  <si>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</si>
  <si>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</si>
  <si>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</si>
  <si>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</si>
  <si>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</si>
  <si>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</si>
  <si>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</si>
  <si>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</si>
  <si>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</si>
  <si>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</si>
  <si>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</si>
  <si>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</si>
  <si>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</si>
  <si>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</si>
  <si>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</si>
  <si>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</si>
  <si>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</si>
  <si>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</si>
  <si>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</si>
  <si>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</si>
  <si>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</si>
  <si>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</si>
  <si>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</si>
  <si>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</si>
  <si>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</si>
  <si>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</si>
  <si>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</si>
  <si>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</si>
  <si>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</si>
  <si>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</si>
  <si>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</si>
  <si>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</si>
  <si>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</si>
  <si>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</si>
  <si>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</si>
  <si>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</si>
  <si>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</si>
  <si>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</si>
  <si>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</si>
  <si>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</si>
  <si>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</si>
  <si>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</si>
  <si>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</si>
  <si>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</si>
  <si>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</si>
  <si>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</si>
  <si>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</si>
  <si>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</si>
  <si>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</si>
  <si>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</si>
  <si>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</si>
  <si>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</si>
  <si>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</si>
  <si>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</si>
  <si>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</si>
  <si>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</si>
  <si>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</si>
  <si>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</si>
  <si>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</si>
  <si>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</si>
  <si>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</si>
  <si>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</si>
  <si>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</si>
  <si>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</si>
  <si>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</si>
  <si>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</si>
  <si>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</si>
  <si>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</si>
  <si>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</si>
  <si>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</si>
  <si>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</si>
  <si>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</si>
  <si>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</si>
  <si>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</si>
  <si>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</si>
  <si>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</si>
  <si>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</si>
  <si>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</si>
  <si>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</si>
  <si>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</si>
  <si>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</si>
  <si>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</si>
  <si>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</si>
  <si>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</si>
  <si>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</si>
  <si>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</si>
  <si>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</si>
  <si>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</si>
  <si>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</si>
  <si>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</si>
  <si>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</si>
  <si>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</si>
  <si>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</si>
  <si>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</si>
  <si>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</si>
  <si>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</si>
  <si>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</si>
  <si>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</si>
  <si>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</si>
  <si>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</si>
  <si>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</si>
  <si>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</si>
  <si>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</si>
  <si>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</si>
  <si>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</si>
  <si>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</si>
  <si>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</si>
  <si>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</si>
  <si>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</si>
  <si>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</si>
  <si>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</si>
  <si>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</si>
  <si>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</si>
  <si>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</si>
  <si>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</si>
  <si>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</si>
  <si>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</si>
  <si>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</si>
  <si>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</si>
  <si>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</si>
  <si>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</si>
  <si>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</si>
  <si>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</si>
  <si>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</si>
  <si>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</si>
  <si>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</si>
  <si>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</si>
  <si>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</si>
  <si>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</si>
  <si>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</si>
  <si>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</si>
  <si>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</si>
  <si>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</si>
  <si>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</si>
  <si>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</si>
  <si>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</si>
  <si>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</si>
  <si>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</si>
  <si>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</si>
  <si>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</si>
  <si>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</si>
  <si>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</si>
  <si>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</si>
  <si>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</si>
  <si>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</si>
  <si>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</si>
  <si>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</si>
  <si>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</si>
  <si>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</si>
  <si>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</si>
  <si>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</si>
  <si>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</si>
  <si>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</si>
  <si>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</si>
  <si>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</si>
  <si>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</si>
  <si>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</si>
  <si>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</si>
  <si>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</si>
  <si>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</si>
  <si>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</si>
  <si>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</si>
  <si>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</si>
  <si>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</si>
  <si>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</si>
  <si>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</si>
  <si>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</si>
  <si>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</si>
  <si>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</si>
  <si>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</si>
  <si>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</si>
  <si>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</si>
  <si>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</si>
  <si>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</si>
  <si>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</si>
  <si>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</si>
  <si>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</si>
  <si>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</si>
  <si>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</si>
  <si>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</si>
  <si>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</si>
  <si>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</si>
  <si>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</si>
  <si>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</si>
  <si>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</si>
  <si>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</si>
  <si>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</si>
  <si>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</si>
  <si>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</si>
  <si>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</si>
  <si>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</si>
  <si>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</si>
  <si>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</si>
  <si>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</si>
  <si>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</si>
  <si>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</si>
  <si>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</si>
  <si>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</si>
  <si>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</si>
  <si>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</si>
  <si>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</si>
  <si>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</si>
  <si>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</si>
  <si>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</si>
  <si>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</si>
  <si>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</si>
  <si>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</si>
  <si>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</si>
  <si>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</si>
  <si>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</si>
  <si>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</si>
  <si>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</si>
  <si>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</si>
  <si>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</si>
  <si>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</si>
  <si>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</si>
  <si>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</si>
  <si>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</si>
  <si>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</si>
  <si>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</si>
  <si>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</si>
  <si>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</si>
  <si>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</si>
  <si>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</si>
  <si>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</si>
  <si>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</si>
  <si>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</si>
  <si>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</si>
  <si>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</si>
  <si>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</si>
  <si>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</si>
  <si>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</si>
  <si>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</si>
  <si>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</si>
  <si>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</si>
  <si>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</si>
  <si>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</si>
  <si>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</si>
  <si>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</si>
  <si>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</si>
  <si>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</si>
  <si>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</si>
  <si>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</si>
  <si>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</si>
  <si>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</si>
  <si>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</si>
  <si>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</si>
  <si>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</si>
  <si>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</si>
  <si>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</si>
  <si>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</si>
  <si>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</si>
  <si>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</si>
  <si>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</si>
  <si>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</si>
  <si>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</si>
  <si>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</si>
  <si>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</si>
  <si>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</si>
  <si>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</si>
  <si>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</si>
  <si>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</si>
  <si>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</si>
  <si>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</si>
  <si>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</si>
  <si>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</si>
  <si>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</si>
  <si>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</si>
  <si>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</si>
  <si>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</si>
  <si>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</si>
  <si>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</si>
  <si>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</si>
  <si>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</si>
  <si>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</si>
  <si>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</si>
  <si>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</si>
  <si>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</si>
  <si>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</si>
  <si>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</si>
  <si>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</si>
  <si>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</si>
  <si>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</si>
  <si>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</si>
  <si>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</si>
  <si>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</si>
  <si>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</si>
  <si>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</si>
  <si>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</si>
  <si>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</si>
  <si>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</si>
  <si>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</si>
  <si>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</si>
  <si>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</si>
  <si>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</si>
  <si>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</si>
  <si>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</si>
  <si>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</si>
  <si>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</si>
  <si>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</si>
  <si>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</si>
  <si>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</si>
  <si>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</si>
  <si>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</si>
  <si>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</si>
  <si>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</si>
  <si>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</si>
  <si>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</si>
  <si>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</si>
  <si>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</si>
  <si>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</si>
  <si>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</si>
  <si>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</si>
  <si>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</si>
  <si>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</si>
  <si>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</si>
  <si>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</si>
  <si>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</si>
  <si>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</si>
  <si>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</si>
  <si>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</si>
  <si>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</si>
  <si>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</si>
  <si>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</si>
  <si>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</si>
  <si>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</si>
  <si>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</si>
  <si>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</si>
  <si>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</si>
  <si>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</si>
  <si>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</si>
  <si>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</si>
  <si>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</si>
  <si>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</si>
  <si>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</si>
  <si>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</si>
  <si>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</si>
  <si>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</si>
  <si>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</si>
  <si>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</si>
  <si>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</si>
  <si>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</si>
  <si>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</si>
  <si>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</si>
  <si>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</si>
  <si>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</si>
  <si>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</si>
  <si>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</si>
  <si>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</si>
  <si>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</si>
  <si>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</si>
  <si>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</si>
  <si>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</si>
  <si>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</si>
  <si>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</si>
  <si>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</si>
  <si>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</si>
  <si>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</si>
  <si>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</si>
  <si>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</si>
  <si>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</si>
  <si>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</si>
  <si>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</si>
  <si>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</si>
  <si>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</si>
  <si>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</si>
  <si>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</si>
  <si>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</si>
  <si>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</si>
  <si>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</si>
  <si>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</si>
  <si>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</si>
  <si>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</si>
  <si>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</si>
  <si>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</si>
  <si>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</si>
  <si>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</si>
  <si>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</si>
  <si>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</si>
  <si>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</si>
  <si>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</si>
  <si>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</si>
  <si>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</si>
  <si>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</si>
  <si>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</si>
  <si>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</si>
  <si>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</si>
  <si>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</si>
  <si>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</si>
  <si>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</si>
  <si>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</si>
  <si>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</si>
  <si>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</si>
  <si>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</si>
  <si>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</si>
  <si>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</si>
  <si>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</si>
  <si>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</si>
  <si>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</si>
  <si>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</si>
  <si>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</si>
  <si>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</si>
  <si>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</si>
  <si>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</si>
  <si>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</si>
  <si>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</si>
  <si>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</si>
  <si>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</si>
  <si>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</si>
  <si>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</si>
  <si>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</si>
  <si>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</si>
  <si>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</si>
  <si>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</si>
  <si>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</si>
  <si>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</si>
  <si>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</si>
  <si>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</si>
  <si>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</si>
  <si>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</si>
  <si>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</si>
  <si>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</si>
  <si>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</si>
  <si>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</si>
  <si>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</si>
  <si>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</si>
  <si>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</si>
  <si>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</si>
  <si>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</si>
  <si>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</si>
  <si>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</si>
  <si>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</si>
  <si>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</si>
  <si>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</si>
  <si>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</si>
  <si>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</si>
  <si>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</si>
  <si>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</si>
  <si>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</si>
  <si>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</si>
  <si>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</si>
  <si>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</si>
  <si>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</si>
  <si>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</si>
  <si>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</si>
  <si>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</si>
  <si>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</si>
  <si>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</si>
  <si>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</si>
  <si>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</si>
  <si>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</si>
  <si>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</si>
  <si>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</si>
  <si>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</si>
  <si>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</si>
  <si>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</si>
  <si>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</si>
  <si>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</si>
  <si>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</si>
  <si>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</si>
  <si>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</si>
  <si>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</si>
  <si>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</si>
  <si>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</si>
  <si>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</si>
  <si>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</si>
  <si>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</si>
  <si>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</si>
  <si>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</si>
  <si>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</si>
  <si>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</si>
  <si>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</si>
  <si>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</si>
  <si>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</si>
  <si>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</si>
  <si>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</si>
  <si>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</si>
  <si>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</si>
  <si>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</si>
  <si>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</si>
  <si>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</si>
  <si>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</si>
  <si>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</si>
  <si>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</si>
  <si>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</si>
  <si>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</si>
  <si>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</si>
  <si>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</si>
  <si>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</si>
  <si>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</si>
  <si>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</si>
  <si>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</si>
  <si>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</si>
  <si>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</si>
  <si>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</si>
  <si>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</si>
  <si>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</si>
  <si>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</si>
  <si>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</si>
  <si>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</si>
  <si>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</si>
  <si>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</si>
  <si>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</si>
  <si>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</si>
  <si>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</si>
  <si>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</si>
  <si>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</si>
  <si>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</si>
  <si>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</si>
  <si>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</si>
  <si>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</si>
  <si>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</si>
  <si>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</si>
  <si>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</si>
  <si>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</si>
  <si>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</si>
  <si>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</si>
  <si>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</si>
  <si>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</si>
  <si>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</si>
  <si>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</si>
  <si>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</si>
  <si>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</si>
  <si>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</si>
  <si>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</si>
  <si>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</si>
  <si>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</si>
  <si>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</si>
  <si>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</si>
  <si>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</si>
  <si>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</si>
  <si>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</si>
  <si>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</si>
  <si>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</si>
  <si>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</si>
  <si>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</si>
  <si>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</si>
  <si>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</si>
  <si>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</si>
  <si>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</si>
  <si>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</si>
  <si>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</si>
  <si>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</si>
  <si>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</si>
  <si>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</si>
  <si>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</si>
  <si>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</si>
  <si>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</si>
  <si>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</si>
  <si>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</si>
  <si>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</si>
  <si>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</si>
  <si>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</si>
  <si>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</si>
  <si>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</si>
  <si>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</si>
  <si>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</si>
  <si>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</si>
  <si>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</si>
  <si>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</si>
  <si>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</si>
  <si>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</si>
  <si>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</si>
  <si>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</si>
  <si>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</si>
  <si>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</si>
  <si>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</si>
  <si>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</si>
  <si>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</si>
  <si>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</si>
  <si>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</si>
  <si>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</si>
  <si>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</si>
  <si>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</si>
  <si>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</si>
  <si>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</si>
  <si>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</si>
  <si>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</si>
  <si>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</si>
  <si>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</si>
  <si>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</si>
  <si>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</si>
  <si>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</si>
  <si>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</si>
  <si>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</si>
  <si>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</si>
  <si>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</si>
  <si>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</si>
  <si>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</si>
  <si>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</si>
  <si>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</si>
  <si>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</si>
  <si>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</si>
  <si>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</si>
  <si>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</si>
  <si>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</si>
  <si>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</si>
  <si>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</si>
  <si>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</si>
  <si>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</si>
  <si>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</si>
  <si>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</si>
  <si>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</si>
  <si>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</si>
  <si>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</si>
  <si>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</si>
  <si>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</si>
  <si>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</si>
  <si>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</si>
  <si>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</si>
  <si>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</si>
  <si>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</si>
  <si>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</si>
  <si>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</si>
  <si>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</si>
  <si>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</si>
  <si>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</si>
  <si>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</si>
  <si>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</si>
  <si>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</si>
  <si>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</si>
  <si>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</si>
  <si>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</si>
  <si>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</si>
  <si>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</si>
  <si>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</si>
  <si>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</si>
  <si>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</si>
  <si>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</si>
  <si>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</si>
  <si>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</si>
  <si>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</si>
  <si>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</si>
  <si>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</si>
  <si>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</si>
  <si>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</si>
  <si>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</si>
  <si>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</si>
  <si>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</si>
  <si>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</si>
  <si>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</si>
  <si>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</si>
  <si>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</si>
  <si>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</si>
  <si>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</si>
  <si>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</si>
  <si>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</si>
  <si>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</si>
  <si>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</si>
  <si>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</si>
  <si>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</si>
  <si>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</si>
  <si>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</si>
  <si>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</si>
  <si>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</si>
  <si>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</si>
  <si>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</si>
  <si>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</si>
  <si>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</si>
  <si>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</si>
  <si>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</si>
  <si>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</si>
  <si>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</si>
  <si>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</si>
  <si>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</si>
  <si>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</si>
  <si>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</si>
  <si>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</si>
  <si>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</si>
  <si>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</si>
  <si>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</si>
  <si>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</si>
  <si>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</si>
  <si>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</si>
  <si>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</si>
  <si>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</si>
  <si>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</si>
  <si>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</si>
  <si>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</si>
  <si>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</si>
  <si>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</si>
  <si>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</si>
  <si>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</si>
  <si>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</si>
  <si>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</si>
  <si>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</si>
  <si>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</si>
  <si>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</si>
  <si>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</si>
  <si>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</si>
  <si>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</si>
  <si>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</si>
  <si>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</si>
  <si>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</si>
  <si>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</si>
  <si>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</si>
  <si>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</si>
  <si>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</si>
  <si>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</si>
  <si>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</si>
  <si>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</si>
  <si>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</si>
  <si>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</si>
  <si>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</si>
  <si>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</si>
  <si>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</si>
  <si>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</si>
  <si>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</si>
  <si>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</si>
  <si>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</si>
  <si>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</si>
  <si>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</si>
  <si>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</si>
  <si>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</si>
  <si>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</si>
  <si>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</si>
  <si>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</si>
  <si>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</si>
  <si>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</si>
  <si>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</si>
  <si>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</si>
  <si>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</si>
  <si>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</si>
  <si>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</si>
  <si>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</si>
  <si>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</si>
  <si>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</si>
  <si>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</si>
  <si>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</si>
  <si>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</si>
  <si>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</si>
  <si>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</si>
  <si>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</si>
  <si>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</si>
  <si>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</si>
  <si>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</si>
  <si>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</si>
  <si>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</si>
  <si>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</si>
  <si>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</si>
  <si>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</si>
  <si>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</si>
  <si>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</si>
  <si>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</si>
  <si>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</si>
  <si>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</si>
  <si>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</si>
  <si>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</si>
  <si>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</si>
  <si>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</si>
  <si>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</si>
  <si>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</si>
  <si>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</si>
  <si>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</si>
  <si>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</si>
  <si>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</si>
  <si>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</si>
  <si>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</si>
  <si>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</si>
  <si>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</si>
  <si>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</si>
  <si>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</si>
  <si>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</si>
  <si>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</si>
  <si>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</si>
  <si>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</si>
  <si>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</si>
  <si>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</si>
  <si>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</si>
  <si>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</si>
  <si>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</si>
  <si>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</si>
  <si>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</si>
  <si>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</si>
  <si>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</si>
  <si>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</si>
  <si>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</si>
  <si>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</si>
  <si>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</si>
  <si>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</si>
  <si>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</si>
  <si>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</si>
  <si>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</si>
  <si>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</si>
  <si>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</si>
  <si>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</si>
  <si>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</si>
  <si>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</si>
  <si>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</si>
  <si>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</si>
  <si>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</si>
  <si>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</si>
  <si>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</si>
  <si>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</si>
  <si>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</si>
  <si>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</si>
  <si>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</si>
  <si>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</si>
  <si>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</si>
  <si>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</si>
  <si>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</si>
  <si>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</si>
  <si>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</si>
  <si>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</si>
  <si>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</si>
  <si>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</si>
  <si>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</si>
  <si>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</si>
  <si>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</si>
  <si>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</si>
  <si>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</si>
  <si>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</si>
  <si>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</si>
  <si>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</si>
  <si>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</si>
  <si>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</si>
  <si>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</si>
  <si>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</si>
  <si>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</si>
  <si>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</si>
  <si>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</si>
  <si>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</si>
  <si>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</si>
  <si>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</si>
  <si>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</si>
  <si>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</si>
  <si>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</si>
  <si>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</si>
  <si>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</si>
  <si>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</si>
  <si>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</si>
  <si>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</si>
  <si>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</si>
  <si>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</si>
  <si>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</si>
  <si>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</si>
  <si>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</si>
  <si>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</si>
  <si>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</si>
  <si>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</si>
  <si>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</si>
  <si>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</si>
  <si>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</si>
  <si>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</si>
  <si>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</si>
  <si>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</si>
  <si>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</si>
  <si>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</si>
  <si>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</si>
  <si>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</si>
  <si>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</si>
  <si>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</si>
  <si>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</si>
  <si>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</si>
  <si>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</si>
  <si>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</si>
  <si>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</si>
  <si>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</si>
  <si>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</si>
  <si>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</si>
  <si>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</si>
  <si>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</si>
  <si>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</si>
  <si>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</si>
  <si>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</si>
  <si>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</si>
  <si>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</si>
  <si>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</si>
  <si>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</si>
  <si>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</si>
  <si>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</si>
  <si>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</si>
  <si>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</si>
  <si>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</si>
  <si>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</si>
  <si>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</si>
  <si>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</si>
  <si>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</si>
  <si>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</si>
  <si>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</si>
  <si>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</si>
  <si>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</si>
  <si>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</si>
  <si>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</si>
  <si>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</si>
  <si>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</si>
  <si>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</si>
  <si>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</si>
  <si>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</si>
  <si>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</si>
  <si>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</si>
  <si>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</si>
  <si>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</si>
  <si>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</si>
  <si>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</si>
  <si>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</si>
  <si>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</si>
  <si>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</si>
  <si>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</si>
  <si>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</si>
  <si>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</si>
  <si>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</si>
  <si>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</si>
  <si>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</si>
  <si>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</si>
  <si>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</si>
  <si>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</si>
  <si>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</si>
  <si>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</si>
  <si>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</si>
  <si>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</si>
  <si>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</si>
  <si>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</si>
  <si>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</si>
  <si>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</si>
  <si>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</si>
  <si>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</si>
  <si>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</si>
  <si>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</si>
  <si>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</si>
  <si>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</si>
  <si>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</si>
  <si>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</si>
  <si>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</si>
  <si>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</si>
  <si>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</si>
  <si>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</si>
  <si>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</si>
  <si>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</si>
  <si>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</si>
  <si>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</si>
  <si>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</si>
  <si>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</si>
  <si>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</si>
  <si>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</si>
  <si>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</si>
  <si>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</si>
  <si>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</si>
  <si>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</si>
  <si>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</si>
  <si>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</si>
  <si>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</si>
  <si>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</si>
  <si>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</si>
  <si>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</si>
  <si>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</si>
  <si>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</si>
  <si>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</si>
  <si>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</si>
  <si>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</si>
  <si>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</si>
  <si>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</si>
  <si>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</si>
  <si>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</si>
  <si>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</si>
  <si>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</si>
  <si>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</si>
  <si>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</si>
  <si>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</si>
  <si>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</si>
  <si>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</si>
  <si>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</si>
  <si>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</si>
  <si>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</si>
  <si>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</si>
  <si>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</si>
  <si>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</si>
  <si>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</si>
  <si>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</si>
  <si>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</si>
  <si>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</si>
  <si>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</si>
  <si>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</si>
  <si>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</si>
  <si>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</si>
  <si>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</si>
  <si>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</si>
  <si>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</si>
  <si>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</si>
  <si>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</si>
  <si>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</si>
  <si>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</si>
  <si>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</si>
  <si>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</si>
  <si>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</si>
  <si>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</si>
  <si>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</si>
  <si>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</si>
  <si>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</si>
  <si>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</si>
  <si>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</si>
  <si>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</si>
  <si>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</si>
  <si>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</si>
  <si>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</si>
  <si>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</si>
  <si>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</si>
  <si>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</si>
  <si>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</si>
  <si>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</si>
  <si>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</si>
  <si>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</si>
  <si>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</si>
  <si>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</si>
  <si>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</si>
  <si>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</si>
  <si>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</si>
  <si>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</si>
  <si>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</si>
  <si>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</si>
  <si>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</si>
  <si>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</si>
  <si>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</si>
  <si>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</si>
  <si>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</si>
  <si>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</si>
  <si>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</si>
  <si>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</si>
  <si>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</si>
  <si>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</si>
  <si>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</si>
  <si>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</si>
  <si>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</si>
  <si>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</si>
  <si>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</si>
  <si>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</si>
  <si>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</si>
  <si>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</si>
  <si>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</si>
  <si>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</si>
  <si>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</si>
  <si>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</si>
  <si>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</si>
  <si>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</si>
  <si>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</si>
  <si>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</si>
  <si>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</si>
  <si>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</si>
  <si>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</si>
  <si>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</si>
  <si>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</si>
  <si>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</si>
  <si>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</si>
  <si>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</si>
  <si>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</si>
  <si>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</si>
  <si>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</si>
  <si>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</si>
  <si>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</si>
  <si>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</si>
  <si>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</si>
  <si>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</si>
  <si>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</si>
  <si>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</si>
  <si>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</si>
  <si>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</si>
  <si>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</si>
  <si>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</si>
  <si>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</si>
  <si>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</si>
  <si>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</si>
  <si>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</si>
  <si>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</si>
  <si>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</si>
  <si>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</si>
  <si>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</si>
  <si>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</si>
  <si>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</si>
  <si>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</si>
  <si>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</si>
  <si>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</si>
  <si>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</si>
  <si>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</si>
  <si>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</si>
  <si>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</si>
  <si>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</si>
  <si>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</si>
  <si>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</si>
  <si>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</si>
  <si>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</si>
  <si>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</si>
  <si>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</si>
  <si>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</si>
  <si>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</si>
  <si>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</si>
  <si>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</si>
  <si>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</si>
  <si>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</si>
  <si>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</si>
  <si>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</si>
  <si>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</si>
  <si>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</si>
  <si>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</si>
  <si>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</si>
  <si>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</si>
  <si>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</si>
  <si>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</si>
  <si>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</si>
  <si>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</si>
  <si>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</si>
  <si>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</si>
  <si>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</si>
  <si>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</si>
  <si>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</si>
  <si>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</si>
  <si>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</si>
  <si>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</si>
  <si>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</si>
  <si>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</si>
  <si>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</si>
  <si>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</si>
  <si>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</si>
  <si>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</si>
  <si>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</si>
  <si>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</si>
  <si>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</si>
  <si>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</si>
  <si>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</si>
  <si>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</si>
  <si>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</si>
  <si>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</si>
  <si>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</si>
  <si>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</si>
  <si>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</si>
  <si>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</si>
  <si>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</si>
  <si>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</si>
  <si>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</si>
  <si>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</si>
  <si>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</si>
  <si>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</si>
  <si>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</si>
  <si>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</si>
  <si>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</si>
  <si>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</si>
  <si>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</si>
  <si>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</si>
  <si>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</si>
  <si>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</si>
  <si>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</si>
  <si>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</si>
  <si>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</si>
  <si>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</si>
  <si>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</si>
  <si>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</si>
  <si>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</si>
  <si>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</si>
  <si>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</si>
  <si>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</si>
  <si>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</si>
  <si>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</si>
  <si>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</si>
  <si>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</si>
  <si>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</si>
  <si>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</si>
  <si>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</si>
  <si>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</si>
  <si>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</si>
  <si>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</si>
  <si>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</si>
  <si>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</si>
  <si>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</si>
  <si>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</si>
  <si>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</si>
  <si>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</si>
  <si>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</si>
  <si>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</si>
  <si>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</si>
  <si>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</si>
  <si>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</si>
  <si>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</si>
  <si>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</si>
  <si>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</si>
  <si>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</si>
  <si>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</si>
  <si>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</si>
  <si>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</si>
  <si>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</si>
  <si>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</si>
  <si>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</si>
  <si>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</si>
  <si>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</si>
  <si>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</si>
  <si>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</si>
  <si>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</si>
  <si>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</si>
  <si>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</si>
  <si>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</si>
  <si>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</si>
  <si>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</si>
  <si>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</si>
  <si>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</si>
  <si>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</si>
  <si>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</si>
  <si>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</si>
  <si>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</si>
  <si>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</si>
  <si>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</si>
  <si>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</si>
  <si>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</si>
  <si>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</si>
  <si>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</si>
  <si>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</si>
  <si>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</si>
  <si>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</si>
  <si>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</si>
  <si>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</si>
  <si>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</si>
  <si>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</si>
  <si>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</si>
  <si>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</si>
  <si>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</si>
  <si>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</si>
  <si>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</si>
  <si>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</si>
  <si>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</si>
  <si>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</si>
  <si>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</si>
  <si>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</si>
  <si>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</si>
  <si>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</si>
  <si>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</si>
  <si>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</si>
  <si>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</si>
  <si>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</si>
  <si>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</si>
  <si>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</si>
  <si>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</si>
  <si>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</si>
  <si>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</si>
  <si>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</si>
  <si>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</si>
  <si>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</si>
  <si>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</si>
  <si>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</si>
  <si>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</si>
  <si>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</si>
  <si>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</si>
  <si>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</si>
  <si>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</si>
  <si>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</si>
  <si>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</si>
  <si>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</si>
  <si>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</si>
  <si>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</si>
  <si>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</si>
  <si>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</si>
  <si>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</si>
  <si>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</si>
  <si>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</si>
  <si>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</si>
  <si>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</si>
  <si>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</si>
  <si>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</si>
  <si>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</si>
  <si>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</si>
  <si>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</si>
  <si>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</si>
  <si>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</si>
  <si>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</si>
  <si>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</si>
  <si>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</si>
  <si>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</si>
  <si>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</si>
  <si>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</si>
  <si>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</si>
  <si>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</si>
  <si>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</si>
  <si>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</si>
  <si>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</si>
  <si>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</si>
  <si>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</si>
  <si>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</si>
  <si>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</si>
  <si>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</si>
  <si>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</si>
  <si>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</si>
  <si>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</si>
  <si>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</si>
  <si>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</si>
  <si>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</si>
  <si>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</si>
  <si>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</si>
  <si>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</si>
  <si>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</si>
  <si>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</si>
  <si>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</si>
  <si>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</si>
  <si>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</si>
  <si>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</si>
  <si>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</si>
  <si>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</si>
  <si>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</si>
  <si>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</si>
  <si>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</si>
  <si>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</si>
  <si>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</si>
  <si>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</si>
  <si>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</si>
  <si>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</si>
  <si>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</si>
  <si>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</si>
  <si>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</si>
  <si>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</si>
  <si>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</si>
  <si>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</si>
  <si>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</si>
  <si>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</si>
  <si>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</si>
  <si>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</si>
  <si>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</si>
  <si>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</si>
  <si>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</si>
  <si>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</si>
  <si>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</si>
  <si>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</si>
  <si>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</si>
  <si>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</si>
  <si>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</si>
  <si>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</si>
  <si>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</si>
  <si>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</si>
  <si>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</si>
  <si>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</si>
  <si>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</si>
  <si>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</si>
  <si>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</si>
  <si>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</si>
  <si>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</si>
  <si>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</si>
  <si>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</si>
  <si>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</si>
  <si>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</si>
  <si>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</si>
  <si>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</si>
  <si>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</si>
  <si>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</si>
  <si>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</si>
  <si>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</si>
  <si>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</si>
  <si>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</si>
  <si>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</si>
  <si>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</si>
  <si>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</si>
  <si>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</si>
  <si>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</si>
  <si>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</si>
  <si>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</si>
  <si>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</si>
  <si>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</si>
  <si>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</si>
  <si>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</si>
  <si>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</si>
  <si>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</si>
  <si>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</si>
  <si>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</si>
  <si>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</si>
  <si>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</si>
  <si>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</si>
  <si>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</si>
  <si>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</si>
  <si>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</si>
  <si>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</si>
  <si>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</si>
  <si>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</si>
  <si>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</si>
  <si>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</si>
  <si>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</si>
  <si>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</si>
  <si>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</si>
  <si>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</si>
  <si>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</si>
  <si>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</si>
  <si>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</si>
  <si>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</si>
  <si>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</si>
  <si>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</si>
  <si>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</si>
  <si>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</si>
  <si>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</si>
  <si>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</si>
  <si>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</si>
  <si>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</si>
  <si>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</si>
  <si>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</si>
  <si>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</si>
  <si>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</si>
  <si>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</si>
  <si>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</si>
  <si>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</si>
  <si>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</si>
  <si>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</si>
  <si>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</si>
  <si>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</si>
  <si>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</si>
  <si>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</si>
  <si>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</si>
  <si>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</si>
  <si>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</si>
  <si>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</si>
  <si>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</si>
  <si>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</si>
  <si>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</si>
  <si>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</si>
  <si>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</si>
  <si>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</si>
  <si>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</si>
  <si>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</si>
  <si>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</si>
  <si>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</si>
  <si>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</si>
  <si>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</si>
  <si>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</si>
  <si>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</si>
  <si>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</si>
  <si>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</si>
  <si>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</si>
  <si>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</si>
  <si>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</si>
  <si>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</si>
  <si>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</si>
  <si>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</si>
  <si>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</si>
  <si>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</si>
  <si>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</si>
  <si>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</si>
  <si>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</si>
  <si>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</si>
  <si>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</si>
  <si>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</si>
  <si>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</si>
  <si>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</si>
  <si>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</si>
  <si>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</si>
  <si>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</si>
  <si>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</si>
  <si>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</si>
  <si>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</si>
  <si>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</si>
  <si>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</si>
  <si>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</si>
  <si>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</si>
  <si>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</si>
  <si>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</si>
  <si>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</si>
  <si>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</si>
  <si>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</si>
  <si>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</si>
  <si>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</si>
  <si>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</si>
  <si>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</si>
  <si>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</si>
  <si>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</si>
  <si>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</si>
  <si>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</si>
  <si>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</si>
  <si>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</si>
  <si>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</si>
  <si>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</si>
  <si>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</si>
  <si>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</si>
  <si>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</si>
  <si>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</si>
  <si>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</si>
  <si>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</si>
  <si>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</si>
  <si>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</si>
  <si>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</si>
  <si>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</si>
  <si>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</si>
  <si>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</si>
  <si>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</si>
  <si>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</si>
  <si>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</si>
  <si>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</si>
  <si>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</si>
  <si>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</si>
  <si>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</si>
  <si>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</si>
  <si>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</si>
  <si>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</si>
  <si>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</si>
  <si>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</si>
  <si>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</si>
  <si>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</si>
  <si>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</si>
  <si>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</si>
  <si>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</si>
  <si>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</si>
  <si>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</si>
  <si>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</si>
  <si>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</si>
  <si>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</si>
  <si>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</si>
  <si>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</si>
  <si>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</si>
  <si>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</si>
  <si>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</si>
  <si>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</si>
  <si>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</si>
  <si>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</si>
  <si>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</si>
  <si>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</si>
  <si>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</si>
  <si>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</si>
  <si>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</si>
  <si>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</si>
  <si>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</si>
  <si>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</si>
  <si>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</si>
  <si>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</si>
  <si>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</si>
  <si>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</si>
  <si>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</si>
  <si>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</si>
  <si>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</si>
  <si>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</si>
  <si>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</si>
  <si>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</si>
  <si>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</si>
  <si>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</si>
  <si>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</si>
  <si>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</si>
  <si>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</si>
  <si>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</si>
  <si>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</si>
  <si>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</si>
  <si>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</si>
  <si>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</si>
  <si>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</si>
  <si>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</si>
  <si>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</si>
  <si>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</si>
  <si>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</si>
  <si>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</si>
  <si>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</si>
  <si>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</si>
  <si>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</si>
  <si>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</si>
  <si>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</si>
  <si>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</si>
  <si>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</si>
  <si>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</si>
  <si>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</si>
  <si>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</si>
  <si>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</si>
  <si>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</si>
  <si>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</si>
  <si>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</si>
  <si>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</si>
  <si>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</si>
  <si>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</si>
  <si>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</si>
  <si>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</si>
  <si>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</si>
  <si>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</si>
  <si>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</si>
  <si>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</si>
  <si>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</si>
  <si>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</si>
  <si>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</si>
  <si>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</si>
  <si>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</si>
  <si>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</si>
  <si>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</si>
  <si>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</si>
  <si>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</si>
  <si>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</si>
  <si>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</si>
  <si>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</si>
  <si>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</si>
  <si>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</si>
  <si>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</si>
  <si>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</si>
  <si>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</si>
  <si>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</si>
  <si>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</si>
  <si>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</si>
  <si>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</si>
  <si>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</si>
  <si>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</si>
  <si>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</si>
  <si>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</si>
  <si>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</si>
  <si>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</si>
  <si>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</si>
  <si>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</si>
  <si>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</si>
  <si>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</si>
  <si>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</si>
  <si>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</si>
  <si>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</si>
  <si>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</si>
  <si>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</si>
  <si>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</si>
  <si>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</si>
  <si>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</si>
  <si>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</si>
  <si>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</si>
  <si>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</si>
  <si>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</si>
  <si>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</si>
  <si>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</si>
  <si>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</si>
  <si>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</si>
  <si>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</si>
  <si>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</si>
  <si>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</si>
  <si>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</si>
  <si>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</si>
  <si>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</si>
  <si>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</si>
  <si>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</si>
  <si>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</si>
  <si>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</si>
  <si>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</si>
  <si>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</si>
  <si>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</si>
  <si>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</si>
  <si>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</si>
  <si>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</si>
  <si>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</si>
  <si>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</si>
  <si>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</si>
  <si>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</si>
  <si>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</si>
  <si>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</si>
  <si>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</si>
  <si>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</si>
  <si>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</si>
  <si>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</si>
  <si>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</si>
  <si>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</si>
  <si>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</si>
  <si>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</si>
  <si>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</si>
  <si>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</si>
  <si>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</si>
  <si>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</si>
  <si>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</si>
  <si>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</si>
  <si>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</si>
  <si>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</si>
  <si>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</si>
  <si>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</si>
  <si>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</si>
  <si>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</si>
  <si>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</si>
  <si>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</si>
  <si>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</si>
  <si>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</si>
  <si>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</si>
  <si>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</si>
  <si>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</si>
  <si>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</si>
  <si>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</si>
  <si>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</si>
  <si>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</si>
  <si>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</si>
  <si>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</si>
  <si>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</si>
  <si>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</si>
  <si>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</si>
  <si>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</si>
  <si>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</si>
  <si>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</si>
  <si>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</si>
  <si>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</si>
  <si>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</si>
  <si>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</si>
  <si>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</si>
  <si>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</si>
  <si>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</si>
  <si>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</si>
  <si>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</si>
  <si>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</si>
  <si>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</si>
  <si>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</si>
  <si>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</si>
  <si>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</si>
  <si>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</si>
  <si>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</si>
  <si>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</si>
  <si>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</si>
  <si>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</si>
  <si>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</si>
  <si>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</si>
  <si>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</si>
  <si>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</si>
  <si>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</si>
  <si>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</si>
  <si>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</si>
  <si>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</si>
  <si>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</si>
  <si>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</si>
  <si>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</si>
  <si>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</si>
  <si>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</si>
  <si>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</si>
  <si>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</si>
  <si>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</si>
  <si>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</si>
  <si>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</si>
  <si>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</si>
  <si>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</si>
  <si>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</si>
  <si>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</si>
  <si>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</si>
  <si>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</si>
  <si>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</si>
  <si>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</si>
  <si>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</si>
  <si>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</si>
  <si>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</si>
  <si>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</si>
  <si>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</si>
  <si>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</si>
  <si>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</si>
  <si>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</si>
  <si>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</si>
  <si>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</si>
  <si>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</si>
  <si>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</si>
  <si>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</si>
  <si>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</si>
  <si>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</si>
  <si>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</si>
  <si>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</si>
  <si>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</si>
  <si>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</si>
  <si>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</si>
  <si>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</si>
  <si>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</si>
  <si>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</si>
  <si>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</si>
  <si>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</si>
  <si>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</si>
  <si>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</si>
  <si>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</si>
  <si>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</si>
  <si>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</si>
  <si>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</si>
  <si>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</si>
  <si>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</si>
  <si>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</si>
  <si>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</si>
  <si>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</si>
  <si>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</si>
  <si>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</si>
  <si>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</si>
  <si>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</si>
  <si>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</si>
  <si>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</si>
  <si>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</si>
  <si>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</si>
  <si>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</si>
  <si>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</si>
  <si>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</si>
  <si>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</si>
  <si>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</si>
  <si>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</si>
  <si>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</si>
  <si>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</si>
  <si>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</si>
  <si>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</si>
  <si>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</si>
  <si>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</si>
  <si>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</si>
  <si>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</si>
  <si>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</si>
  <si>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</si>
  <si>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</si>
  <si>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</si>
  <si>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</si>
  <si>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</si>
  <si>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</si>
  <si>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</si>
  <si>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</si>
  <si>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</si>
  <si>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</si>
  <si>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</si>
  <si>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</si>
  <si>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</si>
  <si>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</si>
  <si>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</si>
  <si>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</si>
  <si>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</si>
  <si>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</si>
  <si>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</si>
  <si>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</si>
  <si>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</si>
  <si>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</si>
  <si>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</si>
  <si>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</si>
  <si>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</si>
  <si>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</si>
  <si>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</si>
  <si>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</si>
  <si>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</si>
  <si>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</si>
  <si>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</si>
  <si>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</si>
  <si>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</si>
  <si>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</si>
  <si>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</si>
  <si>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</si>
  <si>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</si>
  <si>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</si>
  <si>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</si>
  <si>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</si>
  <si>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</si>
  <si>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</si>
  <si>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</si>
  <si>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</si>
  <si>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</si>
  <si>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</si>
  <si>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</si>
  <si>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</si>
  <si>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</si>
  <si>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</si>
  <si>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</si>
  <si>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</si>
  <si>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</si>
  <si>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</si>
  <si>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</si>
  <si>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</si>
  <si>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</si>
  <si>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</si>
  <si>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</si>
  <si>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</si>
  <si>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</si>
  <si>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</si>
  <si>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</si>
  <si>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</si>
  <si>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</si>
  <si>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</si>
  <si>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</si>
  <si>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</si>
  <si>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</si>
  <si>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</si>
  <si>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</si>
  <si>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</si>
  <si>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</si>
  <si>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</si>
  <si>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</si>
  <si>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</si>
  <si>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</si>
  <si>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</si>
  <si>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</si>
  <si>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</si>
  <si>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</si>
  <si>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</si>
  <si>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</si>
  <si>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</si>
  <si>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</si>
  <si>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</si>
  <si>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</si>
  <si>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</si>
  <si>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</si>
  <si>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</si>
  <si>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</si>
  <si>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</si>
  <si>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</si>
  <si>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</si>
  <si>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</si>
  <si>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</si>
  <si>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</si>
  <si>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</si>
  <si>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</si>
  <si>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</si>
  <si>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</si>
  <si>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</si>
  <si>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</si>
  <si>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</si>
  <si>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</si>
  <si>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</si>
  <si>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</si>
  <si>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</si>
  <si>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</si>
  <si>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</si>
  <si>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</si>
  <si>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</si>
  <si>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</si>
  <si>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</si>
  <si>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</si>
  <si>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</si>
  <si>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</si>
  <si>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</si>
  <si>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</si>
  <si>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</si>
  <si>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</si>
  <si>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</si>
  <si>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</si>
  <si>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</si>
  <si>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</si>
  <si>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</si>
  <si>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</si>
  <si>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</si>
  <si>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</si>
  <si>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</si>
  <si>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</si>
  <si>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</si>
  <si>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</si>
  <si>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</si>
  <si>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</si>
  <si>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</si>
  <si>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</si>
  <si>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</si>
  <si>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</si>
  <si>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</si>
  <si>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</si>
  <si>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</si>
  <si>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</si>
  <si>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</si>
  <si>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</si>
  <si>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</si>
  <si>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</si>
  <si>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</si>
  <si>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</si>
  <si>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</si>
  <si>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</si>
  <si>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</si>
  <si>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</si>
  <si>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</si>
  <si>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</si>
  <si>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</si>
  <si>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</si>
  <si>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</si>
  <si>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</si>
  <si>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</si>
  <si>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</si>
  <si>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</si>
  <si>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</si>
  <si>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</si>
  <si>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</si>
  <si>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</si>
  <si>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</si>
  <si>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</si>
  <si>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</si>
  <si>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</si>
  <si>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</si>
  <si>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</si>
  <si>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</si>
  <si>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</si>
  <si>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</si>
  <si>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</si>
  <si>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</si>
  <si>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</si>
  <si>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</si>
  <si>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</si>
  <si>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</si>
  <si>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</si>
  <si>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</si>
  <si>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</si>
  <si>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</si>
  <si>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</si>
  <si>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</si>
  <si>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</si>
  <si>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</si>
  <si>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</si>
  <si>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</si>
  <si>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</si>
  <si>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</si>
  <si>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</si>
  <si>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</si>
  <si>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</si>
  <si>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</si>
  <si>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</si>
  <si>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</si>
  <si>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</si>
  <si>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</si>
  <si>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</si>
  <si>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</si>
  <si>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</si>
  <si>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</si>
  <si>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</si>
  <si>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</si>
  <si>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</si>
  <si>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</si>
  <si>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</si>
  <si>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</si>
  <si>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</si>
  <si>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</si>
  <si>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</si>
  <si>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</si>
  <si>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</si>
  <si>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</si>
  <si>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</si>
  <si>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</si>
  <si>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</si>
  <si>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</si>
  <si>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</si>
  <si>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</si>
  <si>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</si>
  <si>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</si>
  <si>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</si>
  <si>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</si>
  <si>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</si>
  <si>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</si>
  <si>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</si>
  <si>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</si>
  <si>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</si>
  <si>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</si>
  <si>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</si>
  <si>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</si>
  <si>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</si>
  <si>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</si>
  <si>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</si>
  <si>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</si>
  <si>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</si>
  <si>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</si>
  <si>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</si>
  <si>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</si>
  <si>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</si>
  <si>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</si>
  <si>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</si>
  <si>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</si>
  <si>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</si>
  <si>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</si>
  <si>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</si>
  <si>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</si>
  <si>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</si>
  <si>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</si>
  <si>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</si>
  <si>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</si>
  <si>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</si>
  <si>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</si>
  <si>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</si>
  <si>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</si>
  <si>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</si>
  <si>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</si>
  <si>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</si>
  <si>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</si>
  <si>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</si>
  <si>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</si>
  <si>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</si>
  <si>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</si>
  <si>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</si>
  <si>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</si>
  <si>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</si>
  <si>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</si>
  <si>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</si>
  <si>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</si>
  <si>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</si>
  <si>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</si>
  <si>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</si>
  <si>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</si>
  <si>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</si>
  <si>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</si>
  <si>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</si>
  <si>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</si>
  <si>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</si>
  <si>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</si>
  <si>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</si>
  <si>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</si>
  <si>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</si>
  <si>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</si>
  <si>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</si>
  <si>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</si>
  <si>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</si>
  <si>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</si>
  <si>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</si>
  <si>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</si>
  <si>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</si>
  <si>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</si>
  <si>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</si>
  <si>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</si>
  <si>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</si>
  <si>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</si>
  <si>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</si>
  <si>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</si>
  <si>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</si>
  <si>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</si>
  <si>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</si>
  <si>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</si>
  <si>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</si>
  <si>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</si>
  <si>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</si>
  <si>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</si>
  <si>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</si>
  <si>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</si>
  <si>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</si>
  <si>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</si>
  <si>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</si>
  <si>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</si>
  <si>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</si>
  <si>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</si>
  <si>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</si>
  <si>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</si>
  <si>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</si>
  <si>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</si>
  <si>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</si>
  <si>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</si>
  <si>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</si>
  <si>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</si>
  <si>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</si>
  <si>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</si>
  <si>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</si>
  <si>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</si>
  <si>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</si>
  <si>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</si>
  <si>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</si>
  <si>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</si>
  <si>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</si>
  <si>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</si>
  <si>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</si>
  <si>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</si>
  <si>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</si>
  <si>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</si>
  <si>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</si>
  <si>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</si>
  <si>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</si>
  <si>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</si>
  <si>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</si>
  <si>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</si>
  <si>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</si>
  <si>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</si>
  <si>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</si>
  <si>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</si>
  <si>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</si>
  <si>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</si>
  <si>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</si>
  <si>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</si>
  <si>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</si>
  <si>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</si>
  <si>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</si>
  <si>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</si>
  <si>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</si>
  <si>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</si>
  <si>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</si>
  <si>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</si>
  <si>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</si>
  <si>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</si>
  <si>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</si>
  <si>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</si>
  <si>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</si>
  <si>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</si>
  <si>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</si>
  <si>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</si>
  <si>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</si>
  <si>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</si>
  <si>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</si>
  <si>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</si>
  <si>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</si>
  <si>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</si>
  <si>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</si>
  <si>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</si>
  <si>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</si>
  <si>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</si>
  <si>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</si>
  <si>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</si>
  <si>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</si>
  <si>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</si>
  <si>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</si>
  <si>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</si>
  <si>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</si>
  <si>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</si>
  <si>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</si>
  <si>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</si>
  <si>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</si>
  <si>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</si>
  <si>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</si>
  <si>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</si>
  <si>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</si>
  <si>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</si>
  <si>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</si>
  <si>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</si>
  <si>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</si>
  <si>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</si>
  <si>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</si>
  <si>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</si>
  <si>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</si>
  <si>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</si>
  <si>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</si>
  <si>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</si>
  <si>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</si>
  <si>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</si>
  <si>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</si>
  <si>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</si>
  <si>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</si>
  <si>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</si>
  <si>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</si>
  <si>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</si>
  <si>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</si>
  <si>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</si>
  <si>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</si>
  <si>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</si>
  <si>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</si>
  <si>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</si>
  <si>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</si>
  <si>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</si>
  <si>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</si>
  <si>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</si>
  <si>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</si>
  <si>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</si>
  <si>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</si>
  <si>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</si>
  <si>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</si>
  <si>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</si>
  <si>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</si>
  <si>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</si>
  <si>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</si>
  <si>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</si>
  <si>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</si>
  <si>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</si>
  <si>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</si>
  <si>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</si>
  <si>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</si>
  <si>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</si>
  <si>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</si>
  <si>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</si>
  <si>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</si>
  <si>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</si>
  <si>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</si>
  <si>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</si>
  <si>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</si>
  <si>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</si>
  <si>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</si>
  <si>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</si>
  <si>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</si>
  <si>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</si>
  <si>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</si>
  <si>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</si>
  <si>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</si>
  <si>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</si>
  <si>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</si>
  <si>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</si>
  <si>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</si>
  <si>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</si>
  <si>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</si>
  <si>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</si>
  <si>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</si>
  <si>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</si>
  <si>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</si>
  <si>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</si>
  <si>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</si>
  <si>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</si>
  <si>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</si>
  <si>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</si>
  <si>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</si>
  <si>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</si>
  <si>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</si>
  <si>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</si>
  <si>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</si>
  <si>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</si>
  <si>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</si>
  <si>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</si>
  <si>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</si>
  <si>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</si>
  <si>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</si>
  <si>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</si>
  <si>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</si>
  <si>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</si>
  <si>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</si>
  <si>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</si>
  <si>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</si>
  <si>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</si>
  <si>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</si>
  <si>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</si>
  <si>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</si>
  <si>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</si>
  <si>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</si>
  <si>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</si>
  <si>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</si>
  <si>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</si>
  <si>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</si>
  <si>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</si>
  <si>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</si>
  <si>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</si>
  <si>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</si>
  <si>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</si>
  <si>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</si>
  <si>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</si>
  <si>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</si>
  <si>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</si>
  <si>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</si>
  <si>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</si>
  <si>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</si>
  <si>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</si>
  <si>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</si>
  <si>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</si>
  <si>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</si>
  <si>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</si>
  <si>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</si>
  <si>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</si>
  <si>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</si>
  <si>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</si>
  <si>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</si>
  <si>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</si>
  <si>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</si>
  <si>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</si>
  <si>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</si>
  <si>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</si>
  <si>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</si>
  <si>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</si>
  <si>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</si>
  <si>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</si>
  <si>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</si>
  <si>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</si>
  <si>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</si>
  <si>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</si>
  <si>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</si>
  <si>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</si>
  <si>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</si>
  <si>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</si>
  <si>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</si>
  <si>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</si>
  <si>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</si>
  <si>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</si>
  <si>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</si>
  <si>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</si>
  <si>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</si>
  <si>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</si>
  <si>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</si>
  <si>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</si>
  <si>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</si>
  <si>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</si>
  <si>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</si>
  <si>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</si>
  <si>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</si>
  <si>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</si>
  <si>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</si>
  <si>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</si>
  <si>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</si>
  <si>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</si>
  <si>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</si>
  <si>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</si>
  <si>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</si>
  <si>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</si>
  <si>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</si>
  <si>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</si>
  <si>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</si>
  <si>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</si>
  <si>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</si>
  <si>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</si>
  <si>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</si>
  <si>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</si>
  <si>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</si>
  <si>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</si>
  <si>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</si>
  <si>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</si>
  <si>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</si>
  <si>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</si>
  <si>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</si>
  <si>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</si>
  <si>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</si>
  <si>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</si>
  <si>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</si>
  <si>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</si>
  <si>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</si>
  <si>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</si>
  <si>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</si>
  <si>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</si>
  <si>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</si>
  <si>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</si>
  <si>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</si>
  <si>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</si>
  <si>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</si>
  <si>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</si>
  <si>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</si>
  <si>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</si>
  <si>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</si>
  <si>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</si>
  <si>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</si>
  <si>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</si>
  <si>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</si>
  <si>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</si>
  <si>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</si>
  <si>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</si>
  <si>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</si>
  <si>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</si>
  <si>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</si>
  <si>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</si>
  <si>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</si>
  <si>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</si>
  <si>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</si>
  <si>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</si>
  <si>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</si>
  <si>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</si>
  <si>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</si>
  <si>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</si>
  <si>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</si>
  <si>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</si>
  <si>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</si>
  <si>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</si>
  <si>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</si>
  <si>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</si>
  <si>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</si>
  <si>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</si>
  <si>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</si>
  <si>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</si>
  <si>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</si>
  <si>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</si>
  <si>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</si>
  <si>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</si>
  <si>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</si>
  <si>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</si>
  <si>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</si>
  <si>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</si>
  <si>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</si>
  <si>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</si>
  <si>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</si>
  <si>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</si>
  <si>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</si>
  <si>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</si>
  <si>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</si>
  <si>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</si>
  <si>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</si>
  <si>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</si>
  <si>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</si>
  <si>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</si>
  <si>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</si>
  <si>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</si>
  <si>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</si>
  <si>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</si>
  <si>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</si>
  <si>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</si>
  <si>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</si>
  <si>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</si>
  <si>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</si>
  <si>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</si>
  <si>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</si>
  <si>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</si>
  <si>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</si>
  <si>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</si>
  <si>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</si>
  <si>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</si>
  <si>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</si>
  <si>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</si>
  <si>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</si>
  <si>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</si>
  <si>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</si>
  <si>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</si>
  <si>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</si>
  <si>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</si>
  <si>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</si>
  <si>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</si>
  <si>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</si>
  <si>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</si>
  <si>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</si>
  <si>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</si>
  <si>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</si>
  <si>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</si>
  <si>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</si>
  <si>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</si>
  <si>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</si>
  <si>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</si>
  <si>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</si>
  <si>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</si>
  <si>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</si>
  <si>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</si>
  <si>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</si>
  <si>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</si>
  <si>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</si>
  <si>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</si>
  <si>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</si>
  <si>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</si>
  <si>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</si>
  <si>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</si>
  <si>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</si>
  <si>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</si>
  <si>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</si>
  <si>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</si>
  <si>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</si>
  <si>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</si>
  <si>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</si>
  <si>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</si>
  <si>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</si>
  <si>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</si>
  <si>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</si>
  <si>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</si>
  <si>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</si>
  <si>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</si>
  <si>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</si>
  <si>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</si>
  <si>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</si>
  <si>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</si>
  <si>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</si>
  <si>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</si>
  <si>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</si>
  <si>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</si>
  <si>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</si>
  <si>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</si>
  <si>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</si>
  <si>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</si>
  <si>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</si>
  <si>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</si>
  <si>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</si>
  <si>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</si>
  <si>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</si>
  <si>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</si>
  <si>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</si>
  <si>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</si>
  <si>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</si>
  <si>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</si>
  <si>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</si>
  <si>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</si>
  <si>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</si>
  <si>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</si>
  <si>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</si>
  <si>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</si>
  <si>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</si>
  <si>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</si>
  <si>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</si>
  <si>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</si>
  <si>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</si>
  <si>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</si>
  <si>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</si>
  <si>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</si>
  <si>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</si>
  <si>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</si>
  <si>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</si>
  <si>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</si>
  <si>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</si>
  <si>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</si>
  <si>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</si>
  <si>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</si>
  <si>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</si>
  <si>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</si>
  <si>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</si>
  <si>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</si>
  <si>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</si>
  <si>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</si>
  <si>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</si>
  <si>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</si>
  <si>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</si>
  <si>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</si>
  <si>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</si>
  <si>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</si>
  <si>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</si>
  <si>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</si>
  <si>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</si>
  <si>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</si>
  <si>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</si>
  <si>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</si>
  <si>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</si>
  <si>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</si>
  <si>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</si>
  <si>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</si>
  <si>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</si>
  <si>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</si>
  <si>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</si>
  <si>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</si>
  <si>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</si>
  <si>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</si>
  <si>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</si>
  <si>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</si>
  <si>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</si>
  <si>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</si>
  <si>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</si>
  <si>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</si>
  <si>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</si>
  <si>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</si>
  <si>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</si>
  <si>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</si>
  <si>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</si>
  <si>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</si>
  <si>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</si>
  <si>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</si>
  <si>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</si>
  <si>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</si>
  <si>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</si>
  <si>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</si>
  <si>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</si>
  <si>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</si>
  <si>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</si>
  <si>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</si>
  <si>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</si>
  <si>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</si>
  <si>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</si>
  <si>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</si>
  <si>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</si>
  <si>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</si>
  <si>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</si>
  <si>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</si>
  <si>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</si>
  <si>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</si>
  <si>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</si>
  <si>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</si>
  <si>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</si>
  <si>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</si>
  <si>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</si>
  <si>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</si>
  <si>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</si>
  <si>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</si>
  <si>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</si>
  <si>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</si>
  <si>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</si>
  <si>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</si>
  <si>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</si>
  <si>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</si>
  <si>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</si>
  <si>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</si>
  <si>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</si>
  <si>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</si>
  <si>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</si>
  <si>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</si>
  <si>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</si>
  <si>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</si>
  <si>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</si>
  <si>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</si>
  <si>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</si>
  <si>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</si>
  <si>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</si>
  <si>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</si>
  <si>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</si>
  <si>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</si>
  <si>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</si>
  <si>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</si>
  <si>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</si>
  <si>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</si>
  <si>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</si>
  <si>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</si>
  <si>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</si>
  <si>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</si>
  <si>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</si>
  <si>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</si>
  <si>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</si>
  <si>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</si>
  <si>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</si>
  <si>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</si>
  <si>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</si>
  <si>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</si>
  <si>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</si>
  <si>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</si>
  <si>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</si>
  <si>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</si>
  <si>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</si>
  <si>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</si>
  <si>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</si>
  <si>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</si>
  <si>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</si>
  <si>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</si>
  <si>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</si>
  <si>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</si>
  <si>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</si>
  <si>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</si>
  <si>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</si>
  <si>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</si>
  <si>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</si>
  <si>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</si>
  <si>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</si>
  <si>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</si>
  <si>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</si>
  <si>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</si>
  <si>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</si>
  <si>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</si>
  <si>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</si>
  <si>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</si>
  <si>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</si>
  <si>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</si>
  <si>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</si>
  <si>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</si>
  <si>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</si>
  <si>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</si>
  <si>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</si>
  <si>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</si>
  <si>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</si>
  <si>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</si>
  <si>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</si>
  <si>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</si>
  <si>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</si>
  <si>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</si>
  <si>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</si>
  <si>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</si>
  <si>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</si>
  <si>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</si>
  <si>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</si>
  <si>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</si>
  <si>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</si>
  <si>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</si>
  <si>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</si>
  <si>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</si>
  <si>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</si>
  <si>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</si>
  <si>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</si>
  <si>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</si>
  <si>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</si>
  <si>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</si>
  <si>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</si>
  <si>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</si>
  <si>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</si>
  <si>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</si>
  <si>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</si>
  <si>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</si>
  <si>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</si>
  <si>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</si>
  <si>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</si>
  <si>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</si>
  <si>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</si>
  <si>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</si>
  <si>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</si>
  <si>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</si>
  <si>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</si>
  <si>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</si>
  <si>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</si>
  <si>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</si>
  <si>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</si>
  <si>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</si>
  <si>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</si>
  <si>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</si>
  <si>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</si>
  <si>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</si>
  <si>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</si>
  <si>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</si>
  <si>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</si>
  <si>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</si>
  <si>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</si>
  <si>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</si>
  <si>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</si>
  <si>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</si>
  <si>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</si>
  <si>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</si>
  <si>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</si>
  <si>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</si>
  <si>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</si>
  <si>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</si>
  <si>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</si>
  <si>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</si>
  <si>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</si>
  <si>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</si>
  <si>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</si>
  <si>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</si>
  <si>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</si>
  <si>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</si>
  <si>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</si>
  <si>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</si>
  <si>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</si>
  <si>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</si>
  <si>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</si>
  <si>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</si>
  <si>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</si>
  <si>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</si>
  <si>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</si>
  <si>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</si>
  <si>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</si>
  <si>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</si>
  <si>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</si>
  <si>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</si>
  <si>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</si>
  <si>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</si>
  <si>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</si>
  <si>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</si>
  <si>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</si>
  <si>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</si>
  <si>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</si>
  <si>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</si>
  <si>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</si>
  <si>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</si>
  <si>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</si>
  <si>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</si>
  <si>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</si>
  <si>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</si>
  <si>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</si>
  <si>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</si>
  <si>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</si>
  <si>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</si>
  <si>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</si>
  <si>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</si>
  <si>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</si>
  <si>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</si>
  <si>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</si>
  <si>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</si>
  <si>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</si>
  <si>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</si>
  <si>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</si>
  <si>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</si>
  <si>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</si>
  <si>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</si>
  <si>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</si>
  <si>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</si>
  <si>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</si>
  <si>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</si>
  <si>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</si>
  <si>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</si>
  <si>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</si>
  <si>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</si>
  <si>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</si>
  <si>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</si>
  <si>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</si>
  <si>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</si>
  <si>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</si>
  <si>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</si>
  <si>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</si>
  <si>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</si>
  <si>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</si>
  <si>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</si>
  <si>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</si>
  <si>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</si>
  <si>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</si>
  <si>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</si>
  <si>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</si>
  <si>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</si>
  <si>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</si>
  <si>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</si>
  <si>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</si>
  <si>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</si>
  <si>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</si>
  <si>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</si>
  <si>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</si>
  <si>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</si>
  <si>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</si>
  <si>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</si>
  <si>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</si>
  <si>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</si>
  <si>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</si>
  <si>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</si>
  <si>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</si>
  <si>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</si>
  <si>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</si>
  <si>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</si>
  <si>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</si>
  <si>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</si>
  <si>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</si>
  <si>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</si>
  <si>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</si>
  <si>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</si>
  <si>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</si>
  <si>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</si>
  <si>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</si>
  <si>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</si>
  <si>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</si>
  <si>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</si>
  <si>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</si>
  <si>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</si>
  <si>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</si>
  <si>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</si>
  <si>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</si>
  <si>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</si>
  <si>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</si>
  <si>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</si>
  <si>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</si>
  <si>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</si>
  <si>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</si>
  <si>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</si>
  <si>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</si>
  <si>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</si>
  <si>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</si>
  <si>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</si>
  <si>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</si>
  <si>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</si>
  <si>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</si>
  <si>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</si>
  <si>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</si>
  <si>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</si>
  <si>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</si>
  <si>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</si>
  <si>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</si>
  <si>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</si>
  <si>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</si>
  <si>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</si>
  <si>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</si>
  <si>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</si>
  <si>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</si>
  <si>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</si>
  <si>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</si>
  <si>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</si>
  <si>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</si>
  <si>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</si>
  <si>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</si>
  <si>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</si>
  <si>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</si>
  <si>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</si>
  <si>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</si>
  <si>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</si>
  <si>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</si>
  <si>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</si>
  <si>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</si>
  <si>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</si>
  <si>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</si>
  <si>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</si>
  <si>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</si>
  <si>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</si>
  <si>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</si>
  <si>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</si>
  <si>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</si>
  <si>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</si>
  <si>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</si>
  <si>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</si>
  <si>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</si>
  <si>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</si>
  <si>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</si>
  <si>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</si>
  <si>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</si>
  <si>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</si>
  <si>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</si>
  <si>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</si>
  <si>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</si>
  <si>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</si>
  <si>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</si>
  <si>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</si>
  <si>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</si>
  <si>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</si>
  <si>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</si>
  <si>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</si>
  <si>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</si>
  <si>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</si>
  <si>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</si>
  <si>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</si>
  <si>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</si>
  <si>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</si>
  <si>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</si>
  <si>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</si>
  <si>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</si>
  <si>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</si>
  <si>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</si>
  <si>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</si>
  <si>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</si>
  <si>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</si>
  <si>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</si>
  <si>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</si>
  <si>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</si>
  <si>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</si>
  <si>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</si>
  <si>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</si>
  <si>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</si>
  <si>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</si>
  <si>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</si>
  <si>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</si>
  <si>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</si>
  <si>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</si>
  <si>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</si>
  <si>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</si>
  <si>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</si>
  <si>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</si>
  <si>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</si>
  <si>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</si>
  <si>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</si>
  <si>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</si>
  <si>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</si>
  <si>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</si>
  <si>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</si>
  <si>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</si>
  <si>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</si>
  <si>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</si>
  <si>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</si>
  <si>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</si>
  <si>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</si>
  <si>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</si>
  <si>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</si>
  <si>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</si>
  <si>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</si>
  <si>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</si>
  <si>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</si>
  <si>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</si>
  <si>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</si>
  <si>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</si>
  <si>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</si>
  <si>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</si>
  <si>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</si>
  <si>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</si>
  <si>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</si>
  <si>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</si>
  <si>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</si>
  <si>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</si>
  <si>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</si>
  <si>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</si>
  <si>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</si>
  <si>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</si>
  <si>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</si>
  <si>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</si>
  <si>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</si>
  <si>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</si>
  <si>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</si>
  <si>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</si>
  <si>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</si>
  <si>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</si>
  <si>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</si>
  <si>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</si>
  <si>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</si>
  <si>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</si>
  <si>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</si>
  <si>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</si>
  <si>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</si>
  <si>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</si>
  <si>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</si>
  <si>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</si>
  <si>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</si>
  <si>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</si>
  <si>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</si>
  <si>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</si>
  <si>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</si>
  <si>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</si>
  <si>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</si>
  <si>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</si>
  <si>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</si>
  <si>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</si>
  <si>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</si>
  <si>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</si>
  <si>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</si>
  <si>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</si>
  <si>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</si>
  <si>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</si>
  <si>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</si>
  <si>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</si>
  <si>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</si>
  <si>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</si>
  <si>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</si>
  <si>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</si>
  <si>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</si>
  <si>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</si>
  <si>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</si>
  <si>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</si>
  <si>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</si>
  <si>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</si>
  <si>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</si>
  <si>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</si>
  <si>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</si>
  <si>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</si>
  <si>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</si>
  <si>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</si>
  <si>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</si>
  <si>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</si>
  <si>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</si>
  <si>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</si>
  <si>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</si>
  <si>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</si>
  <si>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</si>
  <si>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</si>
  <si>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</si>
  <si>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</si>
  <si>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</si>
  <si>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</si>
  <si>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</si>
  <si>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</si>
  <si>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</si>
  <si>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</si>
  <si>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</si>
  <si>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</si>
  <si>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</si>
  <si>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</si>
  <si>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</si>
  <si>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</si>
  <si>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</si>
  <si>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</si>
  <si>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</si>
  <si>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</si>
  <si>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</si>
  <si>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</si>
  <si>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</si>
  <si>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</si>
  <si>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</si>
  <si>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</si>
  <si>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</si>
  <si>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</si>
  <si>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</si>
  <si>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</si>
  <si>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</si>
  <si>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</si>
  <si>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</si>
  <si>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</si>
  <si>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</si>
  <si>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</si>
  <si>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</si>
  <si>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</si>
  <si>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</si>
  <si>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</si>
  <si>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</si>
  <si>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</si>
  <si>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</si>
  <si>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</si>
  <si>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</si>
  <si>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</si>
  <si>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</si>
  <si>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</si>
  <si>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</si>
  <si>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</si>
  <si>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</si>
  <si>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</si>
  <si>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</si>
  <si>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</si>
  <si>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</si>
  <si>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</si>
  <si>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</si>
  <si>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</si>
  <si>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</si>
  <si>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</si>
  <si>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</si>
  <si>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</si>
  <si>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</si>
  <si>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</si>
  <si>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</si>
  <si>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</si>
  <si>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</si>
  <si>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</si>
  <si>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</si>
  <si>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</si>
  <si>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</si>
  <si>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</si>
  <si>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</si>
  <si>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</si>
  <si>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</si>
  <si>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</si>
  <si>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</si>
  <si>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</si>
  <si>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</si>
  <si>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</si>
  <si>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</si>
  <si>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</si>
  <si>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</si>
  <si>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</si>
  <si>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</si>
  <si>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</si>
  <si>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</si>
  <si>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</si>
  <si>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</si>
  <si>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</si>
  <si>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</si>
  <si>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</si>
  <si>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</si>
  <si>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</si>
  <si>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</si>
  <si>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</si>
  <si>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</si>
  <si>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</si>
  <si>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</si>
  <si>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</si>
  <si>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</si>
  <si>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</si>
  <si>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</si>
  <si>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</si>
  <si>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</si>
  <si>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</si>
  <si>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</si>
  <si>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</si>
  <si>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</si>
  <si>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</si>
  <si>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</si>
  <si>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</si>
  <si>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</si>
  <si>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</si>
  <si>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</si>
  <si>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</si>
  <si>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</si>
  <si>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</si>
  <si>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</si>
  <si>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</si>
  <si>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</si>
  <si>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</si>
  <si>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</si>
  <si>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</si>
  <si>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</si>
  <si>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</si>
  <si>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</si>
  <si>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</si>
  <si>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</si>
  <si>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</si>
  <si>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</si>
  <si>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</si>
  <si>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</si>
  <si>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</si>
  <si>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</si>
  <si>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</si>
  <si>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</si>
  <si>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</si>
  <si>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</si>
  <si>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</si>
  <si>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</si>
  <si>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</si>
  <si>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</si>
  <si>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</si>
  <si>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</si>
  <si>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</si>
  <si>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</si>
  <si>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</si>
  <si>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</si>
  <si>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</si>
  <si>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</si>
  <si>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</si>
  <si>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</si>
  <si>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</si>
  <si>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</si>
  <si>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</si>
  <si>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</si>
  <si>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</si>
  <si>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</si>
  <si>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</si>
  <si>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</si>
  <si>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</si>
  <si>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</si>
  <si>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</si>
  <si>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</si>
  <si>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</si>
  <si>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</si>
  <si>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</si>
  <si>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</si>
  <si>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</si>
  <si>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</si>
  <si>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</si>
  <si>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</si>
  <si>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</si>
  <si>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</si>
  <si>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</si>
  <si>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</si>
  <si>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</si>
  <si>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</si>
  <si>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</si>
  <si>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</si>
  <si>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</si>
  <si>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</si>
  <si>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</si>
  <si>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</si>
  <si>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</si>
  <si>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</si>
  <si>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</si>
  <si>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</si>
  <si>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</si>
  <si>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</si>
  <si>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</si>
  <si>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</si>
  <si>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</si>
  <si>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</si>
  <si>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</si>
  <si>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</si>
  <si>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</si>
  <si>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</si>
  <si>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</si>
  <si>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</si>
  <si>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</si>
  <si>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</si>
  <si>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</si>
  <si>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</si>
  <si>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</si>
  <si>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</si>
  <si>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</si>
  <si>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</si>
  <si>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</si>
  <si>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</si>
  <si>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</si>
  <si>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</si>
  <si>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</si>
  <si>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</si>
  <si>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</si>
  <si>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</si>
  <si>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</si>
  <si>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</si>
  <si>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</si>
  <si>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</si>
  <si>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</si>
  <si>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</si>
  <si>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</si>
  <si>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</si>
  <si>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</si>
  <si>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</si>
  <si>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</si>
  <si>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</si>
  <si>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</si>
  <si>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</si>
  <si>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</si>
  <si>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</si>
  <si>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</si>
  <si>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</si>
  <si>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</si>
  <si>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</si>
  <si>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</si>
  <si>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</si>
  <si>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</si>
  <si>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</si>
  <si>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</si>
  <si>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</si>
  <si>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</si>
  <si>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</si>
  <si>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</si>
  <si>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</si>
  <si>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</si>
  <si>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</si>
  <si>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</si>
  <si>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</si>
  <si>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</si>
  <si>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</si>
  <si>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</si>
  <si>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</si>
  <si>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</si>
  <si>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</si>
  <si>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</si>
  <si>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</si>
  <si>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</si>
  <si>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</si>
  <si>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</si>
  <si>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</si>
  <si>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</si>
  <si>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</si>
  <si>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</si>
  <si>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</si>
  <si>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</si>
  <si>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</si>
  <si>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</si>
  <si>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</si>
  <si>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</si>
  <si>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</si>
  <si>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</si>
  <si>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</si>
  <si>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</si>
  <si>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</si>
  <si>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</si>
  <si>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</si>
  <si>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</si>
  <si>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</si>
  <si>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</si>
  <si>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</si>
  <si>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</si>
  <si>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</si>
  <si>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</si>
  <si>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</si>
  <si>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</si>
  <si>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</si>
  <si>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</si>
  <si>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</si>
  <si>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</si>
  <si>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</si>
  <si>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</si>
  <si>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</si>
  <si>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</si>
  <si>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</si>
  <si>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</si>
  <si>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</si>
  <si>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</si>
  <si>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</si>
  <si>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</si>
  <si>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</si>
  <si>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</si>
  <si>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</si>
  <si>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</si>
  <si>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</si>
  <si>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</si>
  <si>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</si>
  <si>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</si>
  <si>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</si>
  <si>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</si>
  <si>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</si>
  <si>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</si>
  <si>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</si>
  <si>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</si>
  <si>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</si>
  <si>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</si>
  <si>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</si>
  <si>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</si>
  <si>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</si>
  <si>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</si>
  <si>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</si>
  <si>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</si>
  <si>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</si>
  <si>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</si>
  <si>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</si>
  <si>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</si>
  <si>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</si>
  <si>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</si>
  <si>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</si>
  <si>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</si>
  <si>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</si>
  <si>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</si>
  <si>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</si>
  <si>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</si>
  <si>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</si>
  <si>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</si>
  <si>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</si>
  <si>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</si>
  <si>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</si>
  <si>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</si>
  <si>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</si>
  <si>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</si>
  <si>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</si>
  <si>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</si>
  <si>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</si>
  <si>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</si>
  <si>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</si>
  <si>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</si>
  <si>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</si>
  <si>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</si>
  <si>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</si>
  <si>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</si>
  <si>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</si>
  <si>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</si>
  <si>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</si>
  <si>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</si>
  <si>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</si>
  <si>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</si>
  <si>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</si>
  <si>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</si>
  <si>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</si>
  <si>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</si>
  <si>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</si>
  <si>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</si>
  <si>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</si>
  <si>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</si>
  <si>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</si>
  <si>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</si>
  <si>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</si>
  <si>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</si>
  <si>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</si>
  <si>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</si>
  <si>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</si>
  <si>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</si>
  <si>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</si>
  <si>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</si>
  <si>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</si>
  <si>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</si>
  <si>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</si>
  <si>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</si>
  <si>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</si>
  <si>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</si>
  <si>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</si>
  <si>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</si>
  <si>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</si>
  <si>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</si>
  <si>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</si>
  <si>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</si>
  <si>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</si>
  <si>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</si>
  <si>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</si>
  <si>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</si>
  <si>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</si>
  <si>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</si>
  <si>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</si>
  <si>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</si>
  <si>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</si>
  <si>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</si>
  <si>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</si>
  <si>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</si>
  <si>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</si>
  <si>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</si>
  <si>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</si>
  <si>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</si>
  <si>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</si>
  <si>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</si>
  <si>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</si>
  <si>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</si>
  <si>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</si>
  <si>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</si>
  <si>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</si>
  <si>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</si>
  <si>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</si>
  <si>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</si>
  <si>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</si>
  <si>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</si>
  <si>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</si>
  <si>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</si>
  <si>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</si>
  <si>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</si>
  <si>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</si>
  <si>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</si>
  <si>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</si>
  <si>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</si>
  <si>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</si>
  <si>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</si>
  <si>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</si>
  <si>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</si>
  <si>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</si>
  <si>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</si>
  <si>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</si>
  <si>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</si>
  <si>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</si>
  <si>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</si>
  <si>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</si>
  <si>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</si>
  <si>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</si>
  <si>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</si>
  <si>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</si>
  <si>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</si>
  <si>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</si>
  <si>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</si>
  <si>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</si>
  <si>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</si>
  <si>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</si>
  <si>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</si>
  <si>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</si>
  <si>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</si>
  <si>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</si>
  <si>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</si>
  <si>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</si>
  <si>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</si>
  <si>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</si>
  <si>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</si>
  <si>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</si>
  <si>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</si>
  <si>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</si>
  <si>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</si>
  <si>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</si>
  <si>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</si>
  <si>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</si>
  <si>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</si>
  <si>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</si>
  <si>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</si>
  <si>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</si>
  <si>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</si>
  <si>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</si>
  <si>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</si>
  <si>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</si>
  <si>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</si>
  <si>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</si>
  <si>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</si>
  <si>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</si>
  <si>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</si>
  <si>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</si>
  <si>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</si>
  <si>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</si>
  <si>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</si>
  <si>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</si>
  <si>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</si>
  <si>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</si>
  <si>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</si>
  <si>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</si>
  <si>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</si>
  <si>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</si>
  <si>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</si>
  <si>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</si>
  <si>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</si>
  <si>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</si>
  <si>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</si>
  <si>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</si>
  <si>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</si>
  <si>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</si>
  <si>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</si>
  <si>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</si>
  <si>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</si>
  <si>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</si>
  <si>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</si>
  <si>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</si>
  <si>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</si>
  <si>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</si>
  <si>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</si>
  <si>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</si>
  <si>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</si>
  <si>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</si>
  <si>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</si>
  <si>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</si>
  <si>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</si>
  <si>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</si>
  <si>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</si>
  <si>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</si>
  <si>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</si>
  <si>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</si>
  <si>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</si>
  <si>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</si>
  <si>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</si>
  <si>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</si>
  <si>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</si>
  <si>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</si>
  <si>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</si>
  <si>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</si>
  <si>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</si>
  <si>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</si>
  <si>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</si>
  <si>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</si>
  <si>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</si>
  <si>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</si>
  <si>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</si>
  <si>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</si>
  <si>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</si>
  <si>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</si>
  <si>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</si>
  <si>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</si>
  <si>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</si>
  <si>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</si>
  <si>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</si>
  <si>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</si>
  <si>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</si>
  <si>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</si>
  <si>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</si>
  <si>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</si>
  <si>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</si>
  <si>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</si>
  <si>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</si>
  <si>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</si>
  <si>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</si>
  <si>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</si>
  <si>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</si>
  <si>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</si>
  <si>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</si>
  <si>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</si>
  <si>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</si>
  <si>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</si>
  <si>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</si>
  <si>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</si>
  <si>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</si>
  <si>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</si>
  <si>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</si>
  <si>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</si>
  <si>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</si>
  <si>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</si>
  <si>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</si>
  <si>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</si>
  <si>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</si>
  <si>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</si>
  <si>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</si>
  <si>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</si>
  <si>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</si>
  <si>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</si>
  <si>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</si>
  <si>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</si>
  <si>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</si>
  <si>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</si>
  <si>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</si>
  <si>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</si>
  <si>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</si>
  <si>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</si>
  <si>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</si>
  <si>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</si>
  <si>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</si>
  <si>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</si>
  <si>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</si>
  <si>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</si>
  <si>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</si>
  <si>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</si>
  <si>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</si>
  <si>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</si>
  <si>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</si>
  <si>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</si>
  <si>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</si>
  <si>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</si>
  <si>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</si>
  <si>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</si>
  <si>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</si>
  <si>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</si>
  <si>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</si>
  <si>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</si>
  <si>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</si>
  <si>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</si>
  <si>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</si>
  <si>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</si>
  <si>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</si>
  <si>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</si>
  <si>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</si>
  <si>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</si>
  <si>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</si>
  <si>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</si>
  <si>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</si>
  <si>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</si>
  <si>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</si>
  <si>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</si>
  <si>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</si>
  <si>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</si>
  <si>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</si>
  <si>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</si>
  <si>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</si>
  <si>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</si>
  <si>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</si>
  <si>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</si>
  <si>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</si>
  <si>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</si>
  <si>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</si>
  <si>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</si>
  <si>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</si>
  <si>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</si>
  <si>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</si>
  <si>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</si>
  <si>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</si>
  <si>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</si>
  <si>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</si>
  <si>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</si>
  <si>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</si>
  <si>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</si>
  <si>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</si>
  <si>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</si>
  <si>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</si>
  <si>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</si>
  <si>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</si>
  <si>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</si>
  <si>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</si>
  <si>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</si>
  <si>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</si>
  <si>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</si>
  <si>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</si>
  <si>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</si>
  <si>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</si>
  <si>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</si>
  <si>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</si>
  <si>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</si>
  <si>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</si>
  <si>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</si>
  <si>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</si>
  <si>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</si>
  <si>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</si>
  <si>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</si>
  <si>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</si>
  <si>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</si>
  <si>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</si>
  <si>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</si>
  <si>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</si>
  <si>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</si>
  <si>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</si>
  <si>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</si>
  <si>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</si>
  <si>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</si>
  <si>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</si>
  <si>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</si>
  <si>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</si>
  <si>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</si>
  <si>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</si>
  <si>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</si>
  <si>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</si>
  <si>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</si>
  <si>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</si>
  <si>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</si>
  <si>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</si>
  <si>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</si>
  <si>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</si>
  <si>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</si>
  <si>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</si>
  <si>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</si>
  <si>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</si>
  <si>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</si>
  <si>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</si>
  <si>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</si>
  <si>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</si>
  <si>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</si>
  <si>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</si>
  <si>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</si>
  <si>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</si>
  <si>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</si>
  <si>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</si>
  <si>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</si>
  <si>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</si>
  <si>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</si>
  <si>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</si>
  <si>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</si>
  <si>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</si>
  <si>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</si>
  <si>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</si>
  <si>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</si>
  <si>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</si>
  <si>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</si>
  <si>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</si>
  <si>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</si>
  <si>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</si>
  <si>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</si>
  <si>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</si>
  <si>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</si>
  <si>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</si>
  <si>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</si>
  <si>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</si>
  <si>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</si>
  <si>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</si>
  <si>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</si>
  <si>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</si>
  <si>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</si>
  <si>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</si>
  <si>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</si>
  <si>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</si>
  <si>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</si>
  <si>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</si>
  <si>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</si>
  <si>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</si>
  <si>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</si>
  <si>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</si>
  <si>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</si>
  <si>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</si>
  <si>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</si>
  <si>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</si>
  <si>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</si>
  <si>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</si>
  <si>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</si>
  <si>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</si>
  <si>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</si>
  <si>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</si>
  <si>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</si>
  <si>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</si>
  <si>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</si>
  <si>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</si>
  <si>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</si>
  <si>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</si>
  <si>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</si>
  <si>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</si>
  <si>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</si>
  <si>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</si>
  <si>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</si>
  <si>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</si>
  <si>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</si>
  <si>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</si>
  <si>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</si>
  <si>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</si>
  <si>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</si>
  <si>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</si>
  <si>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</si>
  <si>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</si>
  <si>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</si>
  <si>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</si>
  <si>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</si>
  <si>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</si>
  <si>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</si>
  <si>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</si>
  <si>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</si>
  <si>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</si>
  <si>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</si>
  <si>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</si>
  <si>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</si>
  <si>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</si>
  <si>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</si>
  <si>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</si>
  <si>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</si>
  <si>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</si>
  <si>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</si>
  <si>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</si>
  <si>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</si>
  <si>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</si>
  <si>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</si>
  <si>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</si>
  <si>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</si>
  <si>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</si>
  <si>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</si>
  <si>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</si>
  <si>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</si>
  <si>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</si>
  <si>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</si>
  <si>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</si>
  <si>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</si>
  <si>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</si>
  <si>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</si>
  <si>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</si>
  <si>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</si>
  <si>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</si>
  <si>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</si>
  <si>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</si>
  <si>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</si>
  <si>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</si>
  <si>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</si>
  <si>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</si>
  <si>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</si>
  <si>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</si>
  <si>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</si>
  <si>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</si>
  <si>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</si>
  <si>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</si>
  <si>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</si>
  <si>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</si>
  <si>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</si>
  <si>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</si>
  <si>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</si>
  <si>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</si>
  <si>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</si>
  <si>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</si>
  <si>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</si>
  <si>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</si>
  <si>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</si>
  <si>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</si>
  <si>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</si>
  <si>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</si>
  <si>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</si>
  <si>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</si>
  <si>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</si>
  <si>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</si>
  <si>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</si>
  <si>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</si>
  <si>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</si>
  <si>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</si>
  <si>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</si>
  <si>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</si>
  <si>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</si>
  <si>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</si>
  <si>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</si>
  <si>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</si>
  <si>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</si>
  <si>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</si>
  <si>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</si>
  <si>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</si>
  <si>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</si>
  <si>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</si>
  <si>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</si>
  <si>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</si>
  <si>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</si>
  <si>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</si>
  <si>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</si>
  <si>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</si>
  <si>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</si>
  <si>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</si>
  <si>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</si>
  <si>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</si>
  <si>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</si>
  <si>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</si>
  <si>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</si>
  <si>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</si>
  <si>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</si>
  <si>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</si>
  <si>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</si>
  <si>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</si>
  <si>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</si>
  <si>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</si>
  <si>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</si>
  <si>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</si>
  <si>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</si>
  <si>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</si>
  <si>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</si>
  <si>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</si>
  <si>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</si>
  <si>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</si>
  <si>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</si>
  <si>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</si>
  <si>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</si>
  <si>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</si>
  <si>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</si>
  <si>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</si>
  <si>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</si>
  <si>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</si>
  <si>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</si>
  <si>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</si>
  <si>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</si>
  <si>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</si>
  <si>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</si>
  <si>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</si>
  <si>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</si>
  <si>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</si>
  <si>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</si>
  <si>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</si>
  <si>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</si>
  <si>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</si>
  <si>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</si>
  <si>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</si>
  <si>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</si>
  <si>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</si>
  <si>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</si>
  <si>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</si>
  <si>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</si>
  <si>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</si>
  <si>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</si>
  <si>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</si>
  <si>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</si>
  <si>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</si>
  <si>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</si>
  <si>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</si>
  <si>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</si>
  <si>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</si>
  <si>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</si>
  <si>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</si>
  <si>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</si>
  <si>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</si>
  <si>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</si>
  <si>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</si>
  <si>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</si>
  <si>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</si>
  <si>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</si>
  <si>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</si>
  <si>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</si>
  <si>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</si>
  <si>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</si>
  <si>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</si>
  <si>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</si>
  <si>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</si>
  <si>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</si>
  <si>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</si>
  <si>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</si>
  <si>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</si>
  <si>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</si>
  <si>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</si>
  <si>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</si>
  <si>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</si>
  <si>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</si>
  <si>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</si>
  <si>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</si>
  <si>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</si>
  <si>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</si>
  <si>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</si>
  <si>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</si>
  <si>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</si>
  <si>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</si>
  <si>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</si>
  <si>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</si>
  <si>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</si>
  <si>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</si>
  <si>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</si>
  <si>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</si>
  <si>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</si>
  <si>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</si>
  <si>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</si>
  <si>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</si>
  <si>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</si>
  <si>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</si>
  <si>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</si>
  <si>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</si>
  <si>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</si>
  <si>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</si>
  <si>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</si>
  <si>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</si>
  <si>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</si>
  <si>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</si>
  <si>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</si>
  <si>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</si>
  <si>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</si>
  <si>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</si>
  <si>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</si>
  <si>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</si>
  <si>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</si>
  <si>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</si>
  <si>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</si>
  <si>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</si>
  <si>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</si>
  <si>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</si>
  <si>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</si>
  <si>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</si>
  <si>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</si>
  <si>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</si>
  <si>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</si>
  <si>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</si>
  <si>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</si>
  <si>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</si>
  <si>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</si>
  <si>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</si>
  <si>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</si>
  <si>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</si>
  <si>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</si>
  <si>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</si>
  <si>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</si>
  <si>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</si>
  <si>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</si>
  <si>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</si>
  <si>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</si>
  <si>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</si>
  <si>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</si>
  <si>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</si>
  <si>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</si>
  <si>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</si>
  <si>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</si>
  <si>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</si>
  <si>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</si>
  <si>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</si>
  <si>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</si>
  <si>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</si>
  <si>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</si>
  <si>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</si>
  <si>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</si>
  <si>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</si>
  <si>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</si>
  <si>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</si>
  <si>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</si>
  <si>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</si>
  <si>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</si>
  <si>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</si>
  <si>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</si>
  <si>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</si>
  <si>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</si>
  <si>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</si>
  <si>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</si>
  <si>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</si>
  <si>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</si>
  <si>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</si>
  <si>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</si>
  <si>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</si>
  <si>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</si>
  <si>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</si>
  <si>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</si>
  <si>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</si>
  <si>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</si>
  <si>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</si>
  <si>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</si>
  <si>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</si>
  <si>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</si>
  <si>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</si>
  <si>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</si>
  <si>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</si>
  <si>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</si>
  <si>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</si>
  <si>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</si>
  <si>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</si>
  <si>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</si>
  <si>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</si>
  <si>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</si>
  <si>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</si>
  <si>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</si>
  <si>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</si>
  <si>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</si>
  <si>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</si>
  <si>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</si>
  <si>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</si>
  <si>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</si>
  <si>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</si>
  <si>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</si>
  <si>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</si>
  <si>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</si>
  <si>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</si>
  <si>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</si>
  <si>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</si>
  <si>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</si>
  <si>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</si>
  <si>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</si>
  <si>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</si>
  <si>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</si>
  <si>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</si>
  <si>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</si>
  <si>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</si>
  <si>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</si>
  <si>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</si>
  <si>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</si>
  <si>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</si>
  <si>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</si>
  <si>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</si>
  <si>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</si>
  <si>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</si>
  <si>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</si>
  <si>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</si>
  <si>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</si>
  <si>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</si>
  <si>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</si>
  <si>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</si>
  <si>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</si>
  <si>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</si>
  <si>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</si>
  <si>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</si>
  <si>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</si>
  <si>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</si>
  <si>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</si>
  <si>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</si>
  <si>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</si>
  <si>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</si>
  <si>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</si>
  <si>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</si>
  <si>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</si>
  <si>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</si>
  <si>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</si>
  <si>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</si>
  <si>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</si>
  <si>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</si>
  <si>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</si>
  <si>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</si>
  <si>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</si>
  <si>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</si>
  <si>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</si>
  <si>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</si>
  <si>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</si>
  <si>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</si>
  <si>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</si>
  <si>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</si>
  <si>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</si>
  <si>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</si>
  <si>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</si>
  <si>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</si>
  <si>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</si>
  <si>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</si>
  <si>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</si>
  <si>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</si>
  <si>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</si>
  <si>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</si>
  <si>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</si>
  <si>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</si>
  <si>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</si>
  <si>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</si>
  <si>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</si>
  <si>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</si>
  <si>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</si>
  <si>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</si>
  <si>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</si>
  <si>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</si>
  <si>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</si>
  <si>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</si>
  <si>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</si>
  <si>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</si>
  <si>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</si>
  <si>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</si>
  <si>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</si>
  <si>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</si>
  <si>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</si>
  <si>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</si>
  <si>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</si>
  <si>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</si>
  <si>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</si>
  <si>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</si>
  <si>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</si>
  <si>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</si>
  <si>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</si>
  <si>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</si>
  <si>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</si>
  <si>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</si>
  <si>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</si>
  <si>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</si>
  <si>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</si>
  <si>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</si>
  <si>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</si>
  <si>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</si>
  <si>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</si>
  <si>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</si>
  <si>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</si>
  <si>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</si>
  <si>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</si>
  <si>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</si>
  <si>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</si>
  <si>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</si>
  <si>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</si>
  <si>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</si>
  <si>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</si>
  <si>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</si>
  <si>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</si>
  <si>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</si>
  <si>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</si>
  <si>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</si>
  <si>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</si>
  <si>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</si>
  <si>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</si>
  <si>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</si>
  <si>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</si>
  <si>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</si>
  <si>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</si>
  <si>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</si>
  <si>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</si>
  <si>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</si>
  <si>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</si>
  <si>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</si>
  <si>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</si>
  <si>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</si>
  <si>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</si>
  <si>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</si>
  <si>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</si>
  <si>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</si>
  <si>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</si>
  <si>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</si>
  <si>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</si>
  <si>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</si>
  <si>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</si>
  <si>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</si>
  <si>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</si>
  <si>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</si>
  <si>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</si>
  <si>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</si>
  <si>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</si>
  <si>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</si>
  <si>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</si>
  <si>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</si>
  <si>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</si>
  <si>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</si>
  <si>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</si>
  <si>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</si>
  <si>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</si>
  <si>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</si>
  <si>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</si>
  <si>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</si>
  <si>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</si>
  <si>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</si>
  <si>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</si>
  <si>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</si>
  <si>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</si>
  <si>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</si>
  <si>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</si>
  <si>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</si>
  <si>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</si>
  <si>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</si>
  <si>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</si>
  <si>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</si>
  <si>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</si>
  <si>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</si>
  <si>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</si>
  <si>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</si>
  <si>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</si>
  <si>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</si>
  <si>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</si>
  <si>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</si>
  <si>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</si>
  <si>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</si>
  <si>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</si>
  <si>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</si>
  <si>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</si>
  <si>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</si>
  <si>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</si>
  <si>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</si>
  <si>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</si>
  <si>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</si>
  <si>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</si>
  <si>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</si>
  <si>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</si>
  <si>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</si>
  <si>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</si>
  <si>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</si>
  <si>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</si>
  <si>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</si>
  <si>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</si>
  <si>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</si>
  <si>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</si>
  <si>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</si>
  <si>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</si>
  <si>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</si>
  <si>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</si>
  <si>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</si>
  <si>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</si>
  <si>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</si>
  <si>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</si>
  <si>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</si>
  <si>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</si>
  <si>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</si>
  <si>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</si>
  <si>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</si>
  <si>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</si>
  <si>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</si>
  <si>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</si>
  <si>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</si>
  <si>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</si>
  <si>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</si>
  <si>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</si>
  <si>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</si>
  <si>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</si>
  <si>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</si>
  <si>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</si>
  <si>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</si>
  <si>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</si>
  <si>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</si>
  <si>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</si>
  <si>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</si>
  <si>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</si>
  <si>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</si>
  <si>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</si>
  <si>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</si>
  <si>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</si>
  <si>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</si>
  <si>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</si>
  <si>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</si>
  <si>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</si>
  <si>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</si>
  <si>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</si>
  <si>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</si>
  <si>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</si>
  <si>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</si>
  <si>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</si>
  <si>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</si>
  <si>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</si>
  <si>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</si>
  <si>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</si>
  <si>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</si>
  <si>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</si>
  <si>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</si>
  <si>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</si>
  <si>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</si>
  <si>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</si>
  <si>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</si>
  <si>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</si>
  <si>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</si>
  <si>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</si>
  <si>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</si>
  <si>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</si>
  <si>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</si>
  <si>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</si>
  <si>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</si>
  <si>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</si>
  <si>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</si>
  <si>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</si>
  <si>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</si>
  <si>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</si>
  <si>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</si>
  <si>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</si>
  <si>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</si>
  <si>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</si>
  <si>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</si>
  <si>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</si>
  <si>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</si>
  <si>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</si>
  <si>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</si>
  <si>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</si>
  <si>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</si>
  <si>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</si>
  <si>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</si>
  <si>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</si>
  <si>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</si>
  <si>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</si>
  <si>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</si>
  <si>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</si>
  <si>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</si>
  <si>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</si>
  <si>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</si>
  <si>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</si>
  <si>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</si>
  <si>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</si>
  <si>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</si>
  <si>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</si>
  <si>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</si>
  <si>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</si>
  <si>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</si>
  <si>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</si>
  <si>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</si>
  <si>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</si>
  <si>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</si>
  <si>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</si>
  <si>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</si>
  <si>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</si>
  <si>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</si>
  <si>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</si>
  <si>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</si>
  <si>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</si>
  <si>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</si>
  <si>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</si>
  <si>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</si>
  <si>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</si>
  <si>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</si>
  <si>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</si>
  <si>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</si>
  <si>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</si>
  <si>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</si>
  <si>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</si>
  <si>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</si>
  <si>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</si>
  <si>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</si>
  <si>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</si>
  <si>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</si>
  <si>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</si>
  <si>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</si>
  <si>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</si>
  <si>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</si>
  <si>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</si>
  <si>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</si>
  <si>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</si>
  <si>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</si>
  <si>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</si>
  <si>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</si>
  <si>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</si>
  <si>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</si>
  <si>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</si>
  <si>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</si>
  <si>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</si>
  <si>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</si>
  <si>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</si>
  <si>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</si>
  <si>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</si>
  <si>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</si>
  <si>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</si>
  <si>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</si>
  <si>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</si>
  <si>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</si>
  <si>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</si>
  <si>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</si>
  <si>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</si>
  <si>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</si>
  <si>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</si>
  <si>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</si>
  <si>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</si>
  <si>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</si>
  <si>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</si>
  <si>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</si>
  <si>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</si>
  <si>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</si>
  <si>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</si>
  <si>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</si>
  <si>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</si>
  <si>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</si>
  <si>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</si>
  <si>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</si>
  <si>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</si>
  <si>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</si>
  <si>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</si>
  <si>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</si>
  <si>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</si>
  <si>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</si>
  <si>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</si>
  <si>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</si>
  <si>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</si>
  <si>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</si>
  <si>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</si>
  <si>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</si>
  <si>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</si>
  <si>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</si>
  <si>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</si>
  <si>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</si>
  <si>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</si>
  <si>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</si>
  <si>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</si>
  <si>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</si>
  <si>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</si>
  <si>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</si>
  <si>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</si>
  <si>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</si>
  <si>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</si>
  <si>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</si>
  <si>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</si>
  <si>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</si>
  <si>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</si>
  <si>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</si>
  <si>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</si>
  <si>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</si>
  <si>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</si>
  <si>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</si>
  <si>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</si>
  <si>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</si>
  <si>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</si>
  <si>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</si>
  <si>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</si>
  <si>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</si>
  <si>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</si>
  <si>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</si>
  <si>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</si>
  <si>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</si>
  <si>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</si>
  <si>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</si>
  <si>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</si>
  <si>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</si>
  <si>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</si>
  <si>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</si>
  <si>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</si>
  <si>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</si>
  <si>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</si>
  <si>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</si>
  <si>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</si>
  <si>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</si>
  <si>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</si>
  <si>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</si>
  <si>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</si>
  <si>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</si>
  <si>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</si>
  <si>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</si>
  <si>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</si>
  <si>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</si>
  <si>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</si>
  <si>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</si>
  <si>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</si>
  <si>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</si>
  <si>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</si>
  <si>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</si>
  <si>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</si>
  <si>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</si>
  <si>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</si>
  <si>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</si>
  <si>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</si>
  <si>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</si>
  <si>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</si>
  <si>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</si>
  <si>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</si>
  <si>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</si>
  <si>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</si>
  <si>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</si>
  <si>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</si>
  <si>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</si>
  <si>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</si>
  <si>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</si>
  <si>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</si>
  <si>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</si>
  <si>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</si>
  <si>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</si>
  <si>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</si>
  <si>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</si>
  <si>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</si>
  <si>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</si>
  <si>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</si>
  <si>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</si>
  <si>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</si>
  <si>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</si>
  <si>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</si>
  <si>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</si>
  <si>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</si>
  <si>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</si>
  <si>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</si>
  <si>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</si>
  <si>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</si>
  <si>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</si>
  <si>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</si>
  <si>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</si>
  <si>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</si>
  <si>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</si>
  <si>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</si>
  <si>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</si>
  <si>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</si>
  <si>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</si>
  <si>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</si>
  <si>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</si>
  <si>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</si>
  <si>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</si>
  <si>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</si>
  <si>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</si>
  <si>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</si>
  <si>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</si>
  <si>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</si>
  <si>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</si>
  <si>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</si>
  <si>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</si>
  <si>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</si>
  <si>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</si>
  <si>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</si>
  <si>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</si>
  <si>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</si>
  <si>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</si>
  <si>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</si>
  <si>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</si>
  <si>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</si>
  <si>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</si>
  <si>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</si>
  <si>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</si>
  <si>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</si>
  <si>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</si>
  <si>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</si>
  <si>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</si>
  <si>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</si>
  <si>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</si>
  <si>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</si>
  <si>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</si>
  <si>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</si>
  <si>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</si>
  <si>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</si>
  <si>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</si>
  <si>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</si>
  <si>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</si>
  <si>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</si>
  <si>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</si>
  <si>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</si>
  <si>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</si>
  <si>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</si>
  <si>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</si>
  <si>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</si>
  <si>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</si>
  <si>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</si>
  <si>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</si>
  <si>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</si>
  <si>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</si>
  <si>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</si>
  <si>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</si>
  <si>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</si>
  <si>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</si>
  <si>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</si>
  <si>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</si>
  <si>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</si>
  <si>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</si>
  <si>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</si>
  <si>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</si>
  <si>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</si>
  <si>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</si>
  <si>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</si>
  <si>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</si>
  <si>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</si>
  <si>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</si>
  <si>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</si>
  <si>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</si>
  <si>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</si>
  <si>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</si>
  <si>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</si>
  <si>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</si>
  <si>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</si>
  <si>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</si>
  <si>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</si>
  <si>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</si>
  <si>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</si>
  <si>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</si>
  <si>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</si>
  <si>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</si>
  <si>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</si>
  <si>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</si>
  <si>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</si>
  <si>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</si>
  <si>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</si>
  <si>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</si>
  <si>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</si>
  <si>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</si>
  <si>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</si>
  <si>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</si>
  <si>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</si>
  <si>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</si>
  <si>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</si>
  <si>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</si>
  <si>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</si>
  <si>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</si>
  <si>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</si>
  <si>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</si>
  <si>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</si>
  <si>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</si>
  <si>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</si>
  <si>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</si>
  <si>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</si>
  <si>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</si>
  <si>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</si>
  <si>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</si>
  <si>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</si>
  <si>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</si>
  <si>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</si>
  <si>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</si>
  <si>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</si>
  <si>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</si>
  <si>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</si>
  <si>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</si>
  <si>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</si>
  <si>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</si>
  <si>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</si>
  <si>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</si>
  <si>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</si>
  <si>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</si>
  <si>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</si>
  <si>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</si>
  <si>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</si>
  <si>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</si>
  <si>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</si>
  <si>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</si>
  <si>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</si>
  <si>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</si>
  <si>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</si>
  <si>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</si>
  <si>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</si>
  <si>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</si>
  <si>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</si>
  <si>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</si>
  <si>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</si>
  <si>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</si>
  <si>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</si>
  <si>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</si>
  <si>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</si>
  <si>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</si>
  <si>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</si>
  <si>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</si>
  <si>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</si>
  <si>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</si>
  <si>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</si>
  <si>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</si>
  <si>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</si>
  <si>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</si>
  <si>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</si>
  <si>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</si>
  <si>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</si>
  <si>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</si>
  <si>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</si>
  <si>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</si>
  <si>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</si>
  <si>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</si>
  <si>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</si>
  <si>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</si>
  <si>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</si>
  <si>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</si>
  <si>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</si>
  <si>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</si>
  <si>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</si>
  <si>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</si>
  <si>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</si>
  <si>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</si>
  <si>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</si>
  <si>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</si>
  <si>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</si>
  <si>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</si>
  <si>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</si>
  <si>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</si>
  <si>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</si>
  <si>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</si>
  <si>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</si>
  <si>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</si>
  <si>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</si>
  <si>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</si>
  <si>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</si>
  <si>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</si>
  <si>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</si>
  <si>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</si>
  <si>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</si>
  <si>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</si>
  <si>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</si>
  <si>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</si>
  <si>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</si>
  <si>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</si>
  <si>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</si>
  <si>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</si>
  <si>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</si>
  <si>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</si>
  <si>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</si>
  <si>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</si>
  <si>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</si>
  <si>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</si>
  <si>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</si>
  <si>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</si>
  <si>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</si>
  <si>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</si>
  <si>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</si>
  <si>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</si>
  <si>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</si>
  <si>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</si>
  <si>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</si>
  <si>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</si>
  <si>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</si>
  <si>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</si>
  <si>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</si>
  <si>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</si>
  <si>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</si>
  <si>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</si>
  <si>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</si>
  <si>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</si>
  <si>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</si>
  <si>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</si>
  <si>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</si>
  <si>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</si>
  <si>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</si>
  <si>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</si>
  <si>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</si>
  <si>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</si>
  <si>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</si>
  <si>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</si>
  <si>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</si>
  <si>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</si>
  <si>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</si>
  <si>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</si>
  <si>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</si>
  <si>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</si>
  <si>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</si>
  <si>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</si>
  <si>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</si>
  <si>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</si>
  <si>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</si>
  <si>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</si>
  <si>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</si>
  <si>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</si>
  <si>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</si>
  <si>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</si>
  <si>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</si>
  <si>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</si>
  <si>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</si>
  <si>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</si>
  <si>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</si>
  <si>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</si>
  <si>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</si>
  <si>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</si>
  <si>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</si>
  <si>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</si>
  <si>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</si>
  <si>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</si>
  <si>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</si>
  <si>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</si>
  <si>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</si>
  <si>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</si>
  <si>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</si>
  <si>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</si>
  <si>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</si>
  <si>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</si>
  <si>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</si>
  <si>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</si>
  <si>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</si>
  <si>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</si>
  <si>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</si>
  <si>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</si>
  <si>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</si>
  <si>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</si>
  <si>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</si>
  <si>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</si>
  <si>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</si>
  <si>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</si>
  <si>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</si>
  <si>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</si>
  <si>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</si>
  <si>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</si>
  <si>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</si>
  <si>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</si>
  <si>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</si>
  <si>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</si>
  <si>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</si>
  <si>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</si>
  <si>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</si>
  <si>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</si>
  <si>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</si>
  <si>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</si>
  <si>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</si>
  <si>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</si>
  <si>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</si>
  <si>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</si>
  <si>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</si>
  <si>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</si>
  <si>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</si>
  <si>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</si>
  <si>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</si>
  <si>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</si>
  <si>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</si>
  <si>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</si>
  <si>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</si>
  <si>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</si>
  <si>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</si>
  <si>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</si>
  <si>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</si>
  <si>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</si>
  <si>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</si>
  <si>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</si>
  <si>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</si>
  <si>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</si>
  <si>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</si>
  <si>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</si>
  <si>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</si>
  <si>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</si>
  <si>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</si>
  <si>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</si>
  <si>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</si>
  <si>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</si>
  <si>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</si>
  <si>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</si>
  <si>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</si>
  <si>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</si>
  <si>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</si>
  <si>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</si>
  <si>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</si>
  <si>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</si>
  <si>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</si>
  <si>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</si>
  <si>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</si>
  <si>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</si>
  <si>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</si>
  <si>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</si>
  <si>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</si>
  <si>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</si>
  <si>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</si>
  <si>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</si>
  <si>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</si>
  <si>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</si>
  <si>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</si>
  <si>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</si>
  <si>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</si>
  <si>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</si>
  <si>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</si>
  <si>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</si>
  <si>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</si>
  <si>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</si>
  <si>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</si>
  <si>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</si>
  <si>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</si>
  <si>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</si>
  <si>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</si>
  <si>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</si>
  <si>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</si>
  <si>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</si>
  <si>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</si>
  <si>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</si>
  <si>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</si>
  <si>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</si>
  <si>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</si>
  <si>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</si>
  <si>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</si>
  <si>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</si>
  <si>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</si>
  <si>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</si>
  <si>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</si>
  <si>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</si>
  <si>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</si>
  <si>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</si>
  <si>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</si>
  <si>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</si>
  <si>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</si>
  <si>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</si>
  <si>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</si>
  <si>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</si>
  <si>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</si>
  <si>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</si>
  <si>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</si>
  <si>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</si>
  <si>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</si>
  <si>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</si>
  <si>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</si>
  <si>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</si>
  <si>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</si>
  <si>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</si>
  <si>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</si>
  <si>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</si>
  <si>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</si>
  <si>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</si>
  <si>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</si>
  <si>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</si>
  <si>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</si>
  <si>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</si>
  <si>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</si>
  <si>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</si>
  <si>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</si>
  <si>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</si>
  <si>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</si>
  <si>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</si>
  <si>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</si>
  <si>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</si>
  <si>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</si>
  <si>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</si>
  <si>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</si>
  <si>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</si>
  <si>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</si>
  <si>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</si>
  <si>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</si>
  <si>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</si>
  <si>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</si>
  <si>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</si>
  <si>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</si>
  <si>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</si>
  <si>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</si>
  <si>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</si>
  <si>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</si>
  <si>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</si>
  <si>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</si>
  <si>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</si>
  <si>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</si>
  <si>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</si>
  <si>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</si>
  <si>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</si>
  <si>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</si>
  <si>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</si>
  <si>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</si>
  <si>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</si>
  <si>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</si>
  <si>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</si>
  <si>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</si>
  <si>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</si>
  <si>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</si>
  <si>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</si>
  <si>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</si>
  <si>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</si>
  <si>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</si>
  <si>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</si>
  <si>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</si>
  <si>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</si>
  <si>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</si>
  <si>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</si>
  <si>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</si>
  <si>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</si>
  <si>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</si>
  <si>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</si>
  <si>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</si>
  <si>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</si>
  <si>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</si>
  <si>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</si>
  <si>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</si>
  <si>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</si>
  <si>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</si>
  <si>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</si>
  <si>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</si>
  <si>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</si>
  <si>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</si>
  <si>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</si>
  <si>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</si>
  <si>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</si>
  <si>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</si>
  <si>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</si>
  <si>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</si>
  <si>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</si>
  <si>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</si>
  <si>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</si>
  <si>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</si>
  <si>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</si>
  <si>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</si>
  <si>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</si>
  <si>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</si>
  <si>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</si>
  <si>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</si>
  <si>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</si>
  <si>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</si>
  <si>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</si>
  <si>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</si>
  <si>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</si>
  <si>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</si>
  <si>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</si>
  <si>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</si>
  <si>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</si>
  <si>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</si>
  <si>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</si>
  <si>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</si>
  <si>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</si>
  <si>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</si>
  <si>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</si>
  <si>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</si>
  <si>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</si>
  <si>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</si>
  <si>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</si>
  <si>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</si>
  <si>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</si>
  <si>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</si>
  <si>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</si>
  <si>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</si>
  <si>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</si>
  <si>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</si>
  <si>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</si>
  <si>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</si>
  <si>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</si>
  <si>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</si>
  <si>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</si>
  <si>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</si>
  <si>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</si>
  <si>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</si>
  <si>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</si>
  <si>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</si>
  <si>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</si>
  <si>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</si>
  <si>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</si>
  <si>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</si>
  <si>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</si>
  <si>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</si>
  <si>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</si>
  <si>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</si>
  <si>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</si>
  <si>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</si>
  <si>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</si>
  <si>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</si>
  <si>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</si>
  <si>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</si>
  <si>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</si>
  <si>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</si>
  <si>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</si>
  <si>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</si>
  <si>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</si>
  <si>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</si>
  <si>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</si>
  <si>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</si>
  <si>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</si>
  <si>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</si>
  <si>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</si>
  <si>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</si>
  <si>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</si>
  <si>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</si>
  <si>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</si>
  <si>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</si>
  <si>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</si>
  <si>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</si>
  <si>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</si>
  <si>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</si>
  <si>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</si>
  <si>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</si>
  <si>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</si>
  <si>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</si>
  <si>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</si>
  <si>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</si>
  <si>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</si>
  <si>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</si>
  <si>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</si>
  <si>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</si>
  <si>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</si>
  <si>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</si>
  <si>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</si>
  <si>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</si>
  <si>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</si>
  <si>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</si>
  <si>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</si>
  <si>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</si>
  <si>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</si>
  <si>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</si>
  <si>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</si>
  <si>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</si>
  <si>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</si>
  <si>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</si>
  <si>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</si>
  <si>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</si>
  <si>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</si>
  <si>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</si>
  <si>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</si>
  <si>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</si>
  <si>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</si>
  <si>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</si>
  <si>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</si>
  <si>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</si>
  <si>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</si>
  <si>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</si>
  <si>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</si>
  <si>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</si>
  <si>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</si>
  <si>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</si>
  <si>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</si>
  <si>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</si>
  <si>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</si>
  <si>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</si>
  <si>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</si>
  <si>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</si>
  <si>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</si>
  <si>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</si>
  <si>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</si>
  <si>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</si>
  <si>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</si>
  <si>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</si>
  <si>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</si>
  <si>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</si>
  <si>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</si>
  <si>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</si>
  <si>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</si>
  <si>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</si>
  <si>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</si>
  <si>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</si>
  <si>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</si>
  <si>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</si>
  <si>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</si>
  <si>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</si>
  <si>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</si>
  <si>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</si>
  <si>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</si>
  <si>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</si>
  <si>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</si>
  <si>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</si>
  <si>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</si>
  <si>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</si>
  <si>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</si>
  <si>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</si>
  <si>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</si>
  <si>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</si>
  <si>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</si>
  <si>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</si>
  <si>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</si>
  <si>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</si>
  <si>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</si>
  <si>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</si>
  <si>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</si>
  <si>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</si>
  <si>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</si>
  <si>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</si>
  <si>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</si>
  <si>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</si>
  <si>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</si>
  <si>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</si>
  <si>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</si>
  <si>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</si>
  <si>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</si>
  <si>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</si>
  <si>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</si>
  <si>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</si>
  <si>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</si>
  <si>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</si>
  <si>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</si>
  <si>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</si>
  <si>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</si>
  <si>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</si>
  <si>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</si>
  <si>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</si>
  <si>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</si>
  <si>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</si>
  <si>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</si>
  <si>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</si>
  <si>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</si>
  <si>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</si>
  <si>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</si>
  <si>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</si>
  <si>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</si>
  <si>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</si>
  <si>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</si>
  <si>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</si>
  <si>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</si>
  <si>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</si>
  <si>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</si>
  <si>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</si>
  <si>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</si>
  <si>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</si>
  <si>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</si>
  <si>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</si>
  <si>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</si>
  <si>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</si>
  <si>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</si>
  <si>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</si>
  <si>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</si>
  <si>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</si>
  <si>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</si>
  <si>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</si>
  <si>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</si>
  <si>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</si>
  <si>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</si>
  <si>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</si>
  <si>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</si>
  <si>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</si>
  <si>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</si>
  <si>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</si>
  <si>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</si>
  <si>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</si>
  <si>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</si>
  <si>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</si>
  <si>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</si>
  <si>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</si>
  <si>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</si>
  <si>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</si>
  <si>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</si>
  <si>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</si>
  <si>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</si>
  <si>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</si>
  <si>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</si>
  <si>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</si>
  <si>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</si>
  <si>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</si>
  <si>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</si>
  <si>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</si>
  <si>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</si>
  <si>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</si>
  <si>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</si>
  <si>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</si>
  <si>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</si>
  <si>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</si>
  <si>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</si>
  <si>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</si>
  <si>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</si>
  <si>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</si>
  <si>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</si>
  <si>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</si>
  <si>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</si>
  <si>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</si>
  <si>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</si>
  <si>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</si>
  <si>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</si>
  <si>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</si>
  <si>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</si>
  <si>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</si>
  <si>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</si>
  <si>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</si>
  <si>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</si>
  <si>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</si>
  <si>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</si>
  <si>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</si>
  <si>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</si>
  <si>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</si>
  <si>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</si>
  <si>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</si>
  <si>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</si>
  <si>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</si>
  <si>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</si>
  <si>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</si>
  <si>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</si>
  <si>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</si>
  <si>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</si>
  <si>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</si>
  <si>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</si>
  <si>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</si>
  <si>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</si>
  <si>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</si>
  <si>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</si>
  <si>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</si>
  <si>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</si>
  <si>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</si>
  <si>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</si>
  <si>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</si>
  <si>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</si>
  <si>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</si>
  <si>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</si>
  <si>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</si>
  <si>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</si>
  <si>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</si>
  <si>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</si>
  <si>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</si>
  <si>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</si>
  <si>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</si>
  <si>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</si>
  <si>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</si>
  <si>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</si>
  <si>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</si>
  <si>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</si>
  <si>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</si>
  <si>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</si>
  <si>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</si>
  <si>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</si>
  <si>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</si>
  <si>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</si>
  <si>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</si>
  <si>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</si>
  <si>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</si>
  <si>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</si>
  <si>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</si>
  <si>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</si>
  <si>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</si>
  <si>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</si>
  <si>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</si>
  <si>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</si>
  <si>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</si>
  <si>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</si>
  <si>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</si>
  <si>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</si>
  <si>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</si>
  <si>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</si>
  <si>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</si>
  <si>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</si>
  <si>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</si>
  <si>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</si>
  <si>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</si>
  <si>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</si>
  <si>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</si>
  <si>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</si>
  <si>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</si>
  <si>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</si>
  <si>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</si>
  <si>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</si>
  <si>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</si>
  <si>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</si>
  <si>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</si>
  <si>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</si>
  <si>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</si>
  <si>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</si>
  <si>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</si>
  <si>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</si>
  <si>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</si>
  <si>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</si>
  <si>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</si>
  <si>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</si>
  <si>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</si>
  <si>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</si>
  <si>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</si>
  <si>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</si>
  <si>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</si>
  <si>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</si>
  <si>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</si>
  <si>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</si>
  <si>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</si>
  <si>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</si>
  <si>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</si>
  <si>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</si>
  <si>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</si>
  <si>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</si>
  <si>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</si>
  <si>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</si>
  <si>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</si>
  <si>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</si>
  <si>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</si>
  <si>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</si>
  <si>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</si>
  <si>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</si>
  <si>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</si>
  <si>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</si>
  <si>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</si>
  <si>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</si>
  <si>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</si>
  <si>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</si>
  <si>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</si>
  <si>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</si>
  <si>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</si>
  <si>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</si>
  <si>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</si>
  <si>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</si>
  <si>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</si>
  <si>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</si>
  <si>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</si>
  <si>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</si>
  <si>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</si>
  <si>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</si>
  <si>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</si>
  <si>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</si>
  <si>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</si>
  <si>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</si>
  <si>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</si>
  <si>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</si>
  <si>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</si>
  <si>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</si>
  <si>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</si>
  <si>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</si>
  <si>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</si>
  <si>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</si>
  <si>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</si>
  <si>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</si>
  <si>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</si>
  <si>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</si>
  <si>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</si>
  <si>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</si>
  <si>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</si>
  <si>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</si>
  <si>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</si>
  <si>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</si>
  <si>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</si>
  <si>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</si>
  <si>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</si>
  <si>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</si>
  <si>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</si>
  <si>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</si>
  <si>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</si>
  <si>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</si>
  <si>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</si>
  <si>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</si>
  <si>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</si>
  <si>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</si>
  <si>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</si>
  <si>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</si>
  <si>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</si>
  <si>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</si>
  <si>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</si>
  <si>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</si>
  <si>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</si>
  <si>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</si>
  <si>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</si>
  <si>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</si>
  <si>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</si>
  <si>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</si>
  <si>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</si>
  <si>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</si>
  <si>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</si>
  <si>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</si>
  <si>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</si>
  <si>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</si>
  <si>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</si>
  <si>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</si>
  <si>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</si>
  <si>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</si>
  <si>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</si>
  <si>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</si>
  <si>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</si>
  <si>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</si>
  <si>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</si>
  <si>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</si>
  <si>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</si>
  <si>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</si>
  <si>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</si>
  <si>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</si>
  <si>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</si>
  <si>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</si>
  <si>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</si>
  <si>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</si>
  <si>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</si>
  <si>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</si>
  <si>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</si>
  <si>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</si>
  <si>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</si>
  <si>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</si>
  <si>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</si>
  <si>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</si>
  <si>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</si>
  <si>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</si>
  <si>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</si>
  <si>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</si>
  <si>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</si>
  <si>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</si>
  <si>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</si>
  <si>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</si>
  <si>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</si>
  <si>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</si>
  <si>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</si>
  <si>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</si>
  <si>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</si>
  <si>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</si>
  <si>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</si>
  <si>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</si>
  <si>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</si>
  <si>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</si>
  <si>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</si>
  <si>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</si>
  <si>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</si>
  <si>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</si>
  <si>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</si>
  <si>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</si>
  <si>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</si>
  <si>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</si>
  <si>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</si>
  <si>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</si>
  <si>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</si>
  <si>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</si>
  <si>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</si>
  <si>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</si>
  <si>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</si>
  <si>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</si>
  <si>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</si>
  <si>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</si>
  <si>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</si>
  <si>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</si>
  <si>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</si>
  <si>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</si>
  <si>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</si>
  <si>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</si>
  <si>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</si>
  <si>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</si>
  <si>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</si>
  <si>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</si>
  <si>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</si>
  <si>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</si>
  <si>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</si>
  <si>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</si>
  <si>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</si>
  <si>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</si>
  <si>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</si>
  <si>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</si>
  <si>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</si>
  <si>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</si>
  <si>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</si>
  <si>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</si>
  <si>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</si>
  <si>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</si>
  <si>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</si>
  <si>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</si>
  <si>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</si>
  <si>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</si>
  <si>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</si>
  <si>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</si>
  <si>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</si>
  <si>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</si>
  <si>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</si>
  <si>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</si>
  <si>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</si>
  <si>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</si>
  <si>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</si>
  <si>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</si>
  <si>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</si>
  <si>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</si>
  <si>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</si>
  <si>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</si>
  <si>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</si>
  <si>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</si>
  <si>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</si>
  <si>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</si>
  <si>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</si>
  <si>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</si>
  <si>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</si>
  <si>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</si>
  <si>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</si>
  <si>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</si>
  <si>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</si>
  <si>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</si>
  <si>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</si>
  <si>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</si>
  <si>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</si>
  <si>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</si>
  <si>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</si>
  <si>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</si>
  <si>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</si>
  <si>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</si>
  <si>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</si>
  <si>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</si>
  <si>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</si>
  <si>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</si>
  <si>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</si>
  <si>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</si>
  <si>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</si>
  <si>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</si>
  <si>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</si>
  <si>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</si>
  <si>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</si>
  <si>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</si>
  <si>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</si>
  <si>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</si>
  <si>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</si>
  <si>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</si>
  <si>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</si>
  <si>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</si>
  <si>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</si>
  <si>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</si>
  <si>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</si>
  <si>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</si>
  <si>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</si>
  <si>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</si>
  <si>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</si>
  <si>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</si>
  <si>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</si>
  <si>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</si>
  <si>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</si>
  <si>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</si>
  <si>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</si>
  <si>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</si>
  <si>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</si>
  <si>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</si>
  <si>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</si>
  <si>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</si>
  <si>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</si>
  <si>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</si>
  <si>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</si>
  <si>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</si>
  <si>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</si>
  <si>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</si>
  <si>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</si>
  <si>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</si>
  <si>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</si>
  <si>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</si>
  <si>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</si>
  <si>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</si>
  <si>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</si>
  <si>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</si>
  <si>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</si>
  <si>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</si>
  <si>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</si>
  <si>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</si>
  <si>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</si>
  <si>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</si>
  <si>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</si>
  <si>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</si>
  <si>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</si>
  <si>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</si>
  <si>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</si>
  <si>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</si>
  <si>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</si>
  <si>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</si>
  <si>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</si>
  <si>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</si>
  <si>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</si>
  <si>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</si>
  <si>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</si>
  <si>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</si>
  <si>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</si>
  <si>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</si>
  <si>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</si>
  <si>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</si>
  <si>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</si>
  <si>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</si>
  <si>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</si>
  <si>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</si>
  <si>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</si>
  <si>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</si>
  <si>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</si>
  <si>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</si>
  <si>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</si>
  <si>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</si>
  <si>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</si>
  <si>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</si>
  <si>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</si>
  <si>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</si>
  <si>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</si>
  <si>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</si>
  <si>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</si>
  <si>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</si>
  <si>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</si>
  <si>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</si>
  <si>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</si>
  <si>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</si>
  <si>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</si>
  <si>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</si>
  <si>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</si>
  <si>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</si>
  <si>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</si>
  <si>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</si>
  <si>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</si>
  <si>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</si>
  <si>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</si>
  <si>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</si>
  <si>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</si>
  <si>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</si>
  <si>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</si>
  <si>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</si>
  <si>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</si>
  <si>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</si>
  <si>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</si>
  <si>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</si>
  <si>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</si>
  <si>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</si>
  <si>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</si>
  <si>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</si>
  <si>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</si>
  <si>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</si>
  <si>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</si>
  <si>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</si>
  <si>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</si>
  <si>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</si>
  <si>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</si>
  <si>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</si>
  <si>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</si>
  <si>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</si>
  <si>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</si>
  <si>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</si>
  <si>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</si>
  <si>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</si>
  <si>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</si>
  <si>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</si>
  <si>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</si>
  <si>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</si>
  <si>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</si>
  <si>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</si>
  <si>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</si>
  <si>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</si>
  <si>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</si>
  <si>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</si>
  <si>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</si>
  <si>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</si>
  <si>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</si>
  <si>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</si>
  <si>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</si>
  <si>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</si>
  <si>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</si>
  <si>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</si>
  <si>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</si>
  <si>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</si>
  <si>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</si>
  <si>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</si>
  <si>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</si>
  <si>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</si>
  <si>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</si>
  <si>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</si>
  <si>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</si>
  <si>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</si>
  <si>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</si>
  <si>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</si>
  <si>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</si>
  <si>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</si>
  <si>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</si>
  <si>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</si>
  <si>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</si>
  <si>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</si>
  <si>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</si>
  <si>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</si>
  <si>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</si>
  <si>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</si>
  <si>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</si>
  <si>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</si>
  <si>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</si>
  <si>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</si>
  <si>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</si>
  <si>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</si>
  <si>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</si>
  <si>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</si>
  <si>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</si>
  <si>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</si>
  <si>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</si>
  <si>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</si>
  <si>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</si>
  <si>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</si>
  <si>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</si>
  <si>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</si>
  <si>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</si>
  <si>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</si>
  <si>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</si>
  <si>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</si>
  <si>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</si>
  <si>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</si>
  <si>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</si>
  <si>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</si>
  <si>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</si>
  <si>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</si>
  <si>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</si>
  <si>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</si>
  <si>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</si>
  <si>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</si>
  <si>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</si>
  <si>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</si>
  <si>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</si>
  <si>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</si>
  <si>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</si>
  <si>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</si>
  <si>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</si>
  <si>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</si>
  <si>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</si>
  <si>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</si>
  <si>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</si>
  <si>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</si>
  <si>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</si>
  <si>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</si>
  <si>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</si>
  <si>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</si>
  <si>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</si>
  <si>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</si>
  <si>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</si>
  <si>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</si>
  <si>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</si>
  <si>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</si>
  <si>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</si>
  <si>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</si>
  <si>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</si>
  <si>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</si>
  <si>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</si>
  <si>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</si>
  <si>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</si>
  <si>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</si>
  <si>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</si>
  <si>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</si>
  <si>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</si>
  <si>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</si>
  <si>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</si>
  <si>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</si>
  <si>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</si>
  <si>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</si>
  <si>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</si>
  <si>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</si>
  <si>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</si>
  <si>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</si>
  <si>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</si>
  <si>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</si>
  <si>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</si>
  <si>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</si>
  <si>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</si>
  <si>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</si>
  <si>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</si>
  <si>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</si>
  <si>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</si>
  <si>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</si>
  <si>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</si>
  <si>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</si>
  <si>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</si>
  <si>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</si>
  <si>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</si>
  <si>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</si>
  <si>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</si>
  <si>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</si>
  <si>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</si>
  <si>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</si>
  <si>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</si>
  <si>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</si>
  <si>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</si>
  <si>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</si>
  <si>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</si>
  <si>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</si>
  <si>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</si>
  <si>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</si>
  <si>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</si>
  <si>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</si>
  <si>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</si>
  <si>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</si>
  <si>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</si>
  <si>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</si>
  <si>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</si>
  <si>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</si>
  <si>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</si>
  <si>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</si>
  <si>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</si>
  <si>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</si>
  <si>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</si>
  <si>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</si>
  <si>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</si>
  <si>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</si>
  <si>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</si>
  <si>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</si>
  <si>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</si>
  <si>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</si>
  <si>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</si>
  <si>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</si>
  <si>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</si>
  <si>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</si>
  <si>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</si>
  <si>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</si>
  <si>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</si>
  <si>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</si>
  <si>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</si>
  <si>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</si>
  <si>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</si>
  <si>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</si>
  <si>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</si>
  <si>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</si>
  <si>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</si>
  <si>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</si>
  <si>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</si>
  <si>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</si>
  <si>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</si>
  <si>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</si>
  <si>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</si>
  <si>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</si>
  <si>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</si>
  <si>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</si>
  <si>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</si>
  <si>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</si>
  <si>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</si>
  <si>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</si>
  <si>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</si>
  <si>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</si>
  <si>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</si>
  <si>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</si>
  <si>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</si>
  <si>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</si>
  <si>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</si>
  <si>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</si>
  <si>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</si>
  <si>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</si>
  <si>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</si>
  <si>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</si>
  <si>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</si>
  <si>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</si>
  <si>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</si>
  <si>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</si>
  <si>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</si>
  <si>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</si>
  <si>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</si>
  <si>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</si>
  <si>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</si>
  <si>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</si>
  <si>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</si>
  <si>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</si>
  <si>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</si>
  <si>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</si>
  <si>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</si>
  <si>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</si>
  <si>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</si>
  <si>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</si>
  <si>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</si>
  <si>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</si>
  <si>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</si>
  <si>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</si>
  <si>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</si>
  <si>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</si>
  <si>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</si>
  <si>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</si>
  <si>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</si>
  <si>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</si>
  <si>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</si>
  <si>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</si>
  <si>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</si>
  <si>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</si>
  <si>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</si>
  <si>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</si>
  <si>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</si>
  <si>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</si>
  <si>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</si>
  <si>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</si>
  <si>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</si>
  <si>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</si>
  <si>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</si>
  <si>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</si>
  <si>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</si>
  <si>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</si>
  <si>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</si>
  <si>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</si>
  <si>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</si>
  <si>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</si>
  <si>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</si>
  <si>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</si>
  <si>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</si>
  <si>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</si>
  <si>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</si>
  <si>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</si>
  <si>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</si>
  <si>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</si>
  <si>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</si>
  <si>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</si>
  <si>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</si>
  <si>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</si>
  <si>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</si>
  <si>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</si>
  <si>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</si>
  <si>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</si>
  <si>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</si>
  <si>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</si>
  <si>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</si>
  <si>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</si>
  <si>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</si>
  <si>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</si>
  <si>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</si>
  <si>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</si>
  <si>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</si>
  <si>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</si>
  <si>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</si>
  <si>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</si>
  <si>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</si>
  <si>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</si>
  <si>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</si>
  <si>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</si>
  <si>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</si>
  <si>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</si>
  <si>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</si>
  <si>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</si>
  <si>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</si>
  <si>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</si>
  <si>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</si>
  <si>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</si>
  <si>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</si>
  <si>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</si>
  <si>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</si>
  <si>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</si>
  <si>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</si>
  <si>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</si>
  <si>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</si>
  <si>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</si>
  <si>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</si>
  <si>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</si>
  <si>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</si>
  <si>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</si>
  <si>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</si>
  <si>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</si>
  <si>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</si>
  <si>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</si>
  <si>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</si>
  <si>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</si>
  <si>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</si>
  <si>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</si>
  <si>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</si>
  <si>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</si>
  <si>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</si>
  <si>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</si>
  <si>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</si>
  <si>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</si>
  <si>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</si>
  <si>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</si>
  <si>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</si>
  <si>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</si>
  <si>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</si>
  <si>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</si>
  <si>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</si>
  <si>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</si>
  <si>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</si>
  <si>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</si>
  <si>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</si>
  <si>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</si>
  <si>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</si>
  <si>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</si>
  <si>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</si>
  <si>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</si>
  <si>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</si>
  <si>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</si>
  <si>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</si>
  <si>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</si>
  <si>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</si>
  <si>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</si>
  <si>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</si>
  <si>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</si>
  <si>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</si>
  <si>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</si>
  <si>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</si>
  <si>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</si>
  <si>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</si>
  <si>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</si>
  <si>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</si>
  <si>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</si>
  <si>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</si>
  <si>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</si>
  <si>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</si>
  <si>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</si>
  <si>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</si>
  <si>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</si>
  <si>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</si>
  <si>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</si>
  <si>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</si>
  <si>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</si>
  <si>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</si>
  <si>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</si>
  <si>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</si>
  <si>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</si>
  <si>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</si>
  <si>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</si>
  <si>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</si>
  <si>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</si>
  <si>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</si>
  <si>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</si>
  <si>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</si>
  <si>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</si>
  <si>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</si>
  <si>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</si>
  <si>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</si>
  <si>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</si>
  <si>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</si>
  <si>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</si>
  <si>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</si>
  <si>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</si>
  <si>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</si>
  <si>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</si>
  <si>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</si>
  <si>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</si>
  <si>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</si>
  <si>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</si>
  <si>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</si>
  <si>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</si>
  <si>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</si>
  <si>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</si>
  <si>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</si>
  <si>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</si>
  <si>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</si>
  <si>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</si>
  <si>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</si>
  <si>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</si>
  <si>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</si>
  <si>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</si>
  <si>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</si>
  <si>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</si>
  <si>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</si>
  <si>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</si>
  <si>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</si>
  <si>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</si>
  <si>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</si>
  <si>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</si>
  <si>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</si>
  <si>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</si>
  <si>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</si>
  <si>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</si>
  <si>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</si>
  <si>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</si>
  <si>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</si>
  <si>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</si>
  <si>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</si>
  <si>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</si>
  <si>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</si>
  <si>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</si>
  <si>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</si>
  <si>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</si>
  <si>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</si>
  <si>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</si>
  <si>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</si>
  <si>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</si>
  <si>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</si>
  <si>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</si>
  <si>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</si>
  <si>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</si>
  <si>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</si>
  <si>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</si>
  <si>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</si>
  <si>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</si>
  <si>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</si>
  <si>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</si>
  <si>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</si>
  <si>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</si>
  <si>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</si>
  <si>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</si>
  <si>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</si>
  <si>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</si>
  <si>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</si>
  <si>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</si>
  <si>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</si>
  <si>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</si>
  <si>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</si>
  <si>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</si>
  <si>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</si>
  <si>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</si>
  <si>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</si>
  <si>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</si>
  <si>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</si>
  <si>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</si>
  <si>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</si>
  <si>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</si>
  <si>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</si>
  <si>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</si>
  <si>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</si>
  <si>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</si>
  <si>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</si>
  <si>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</si>
  <si>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</si>
  <si>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</si>
  <si>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</si>
  <si>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</si>
  <si>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</si>
  <si>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</si>
  <si>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</si>
  <si>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</si>
  <si>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</si>
  <si>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</si>
  <si>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</si>
  <si>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</si>
  <si>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</si>
  <si>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</si>
  <si>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</si>
  <si>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</si>
  <si>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</si>
  <si>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</si>
  <si>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</si>
  <si>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</si>
  <si>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</si>
  <si>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</si>
  <si>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</si>
  <si>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</si>
  <si>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</si>
  <si>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</si>
  <si>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</si>
  <si>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</si>
  <si>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</si>
  <si>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</si>
  <si>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</si>
  <si>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</si>
  <si>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</si>
  <si>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</si>
  <si>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</si>
  <si>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</si>
  <si>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</si>
  <si>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</si>
  <si>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</si>
  <si>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</si>
  <si>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</si>
  <si>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</si>
  <si>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</si>
  <si>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</si>
  <si>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</si>
  <si>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</si>
  <si>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</si>
  <si>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</si>
  <si>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</si>
  <si>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</si>
  <si>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</si>
  <si>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</si>
  <si>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</si>
  <si>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</si>
  <si>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</si>
  <si>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</si>
  <si>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</si>
  <si>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</si>
  <si>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</si>
  <si>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</si>
  <si>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</si>
  <si>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</si>
  <si>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</si>
  <si>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</si>
  <si>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</si>
  <si>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</si>
  <si>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</si>
  <si>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</si>
  <si>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</si>
  <si>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</si>
  <si>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</si>
  <si>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</si>
  <si>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</si>
  <si>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</si>
  <si>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</si>
  <si>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</si>
  <si>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</si>
  <si>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</si>
  <si>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</si>
  <si>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</si>
  <si>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</si>
  <si>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</si>
  <si>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</si>
  <si>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</si>
  <si>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</si>
  <si>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</si>
  <si>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</si>
  <si>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</si>
  <si>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</si>
  <si>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</si>
  <si>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</si>
  <si>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</si>
  <si>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</si>
  <si>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</si>
  <si>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</si>
  <si>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</si>
  <si>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</si>
  <si>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</si>
  <si>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</si>
  <si>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</si>
  <si>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</si>
  <si>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</si>
  <si>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</si>
  <si>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</si>
  <si>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</si>
  <si>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</si>
  <si>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</si>
  <si>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</si>
  <si>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</si>
  <si>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</si>
  <si>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</si>
  <si>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</si>
  <si>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</si>
  <si>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</si>
  <si>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</si>
  <si>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</si>
  <si>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</si>
  <si>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</si>
  <si>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</si>
  <si>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</si>
  <si>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</si>
  <si>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</si>
  <si>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</si>
  <si>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</si>
  <si>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</si>
  <si>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</si>
  <si>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</si>
  <si>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</si>
  <si>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</si>
  <si>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</si>
  <si>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</si>
  <si>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</si>
  <si>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</si>
  <si>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</si>
  <si>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</si>
  <si>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</si>
  <si>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</si>
  <si>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</si>
  <si>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</si>
  <si>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</si>
  <si>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</si>
  <si>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</si>
  <si>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</si>
  <si>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</si>
  <si>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</si>
  <si>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</si>
  <si>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</si>
  <si>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</si>
  <si>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</si>
  <si>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</si>
  <si>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</si>
  <si>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</si>
  <si>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</si>
  <si>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</si>
  <si>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</si>
  <si>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</si>
  <si>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</si>
  <si>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</si>
  <si>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</si>
  <si>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</si>
  <si>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</si>
  <si>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</si>
  <si>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</si>
  <si>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</si>
  <si>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</si>
  <si>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</si>
  <si>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</si>
  <si>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</si>
  <si>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</si>
  <si>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</si>
  <si>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</si>
  <si>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</si>
  <si>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</si>
  <si>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</si>
  <si>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</si>
  <si>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</si>
  <si>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</si>
  <si>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</si>
  <si>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</si>
  <si>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</si>
  <si>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</si>
  <si>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</si>
  <si>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</si>
  <si>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</si>
  <si>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</si>
  <si>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</si>
  <si>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</si>
  <si>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</si>
  <si>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</si>
  <si>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</si>
  <si>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</si>
  <si>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</si>
  <si>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</si>
  <si>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</si>
  <si>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</si>
  <si>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</si>
  <si>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</si>
  <si>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</si>
  <si>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</si>
  <si>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</si>
  <si>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</si>
  <si>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</si>
  <si>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</si>
  <si>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</si>
  <si>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</si>
  <si>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</si>
  <si>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</si>
  <si>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</si>
  <si>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</si>
  <si>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</si>
  <si>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</si>
  <si>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</si>
  <si>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</si>
  <si>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</si>
  <si>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</si>
  <si>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</si>
  <si>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</si>
  <si>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</si>
  <si>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</si>
  <si>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</si>
  <si>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</si>
  <si>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</si>
  <si>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</si>
  <si>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</si>
  <si>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</si>
  <si>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</si>
  <si>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</si>
  <si>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</si>
  <si>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</si>
  <si>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</si>
  <si>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</si>
  <si>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</si>
  <si>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</si>
  <si>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</si>
  <si>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</si>
  <si>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</si>
  <si>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</si>
  <si>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</si>
  <si>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</si>
  <si>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</si>
  <si>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</si>
  <si>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</si>
  <si>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</si>
  <si>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</si>
  <si>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</si>
  <si>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</si>
  <si>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</si>
  <si>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</si>
  <si>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</si>
  <si>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</si>
  <si>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</si>
  <si>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</si>
  <si>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</si>
  <si>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</si>
  <si>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</si>
  <si>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</si>
  <si>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</si>
  <si>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</si>
  <si>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</si>
  <si>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</si>
  <si>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</si>
  <si>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</si>
  <si>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</si>
  <si>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</si>
  <si>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</si>
  <si>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</si>
  <si>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</si>
  <si>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</si>
  <si>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</si>
  <si>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</si>
  <si>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</si>
  <si>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</si>
  <si>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</si>
  <si>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</si>
  <si>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</si>
  <si>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</si>
  <si>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</si>
  <si>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</si>
  <si>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</si>
  <si>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</si>
  <si>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</si>
  <si>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</si>
  <si>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</si>
  <si>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</si>
  <si>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</si>
  <si>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</si>
  <si>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</si>
  <si>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</si>
  <si>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</si>
  <si>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</si>
  <si>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</si>
  <si>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</si>
  <si>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</si>
  <si>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</si>
  <si>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</si>
  <si>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</si>
  <si>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</si>
  <si>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</si>
  <si>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</si>
  <si>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</si>
  <si>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</si>
  <si>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</si>
  <si>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</si>
  <si>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</si>
  <si>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</si>
  <si>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</si>
  <si>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</si>
  <si>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</si>
  <si>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</si>
  <si>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</si>
  <si>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</si>
  <si>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</si>
  <si>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</si>
  <si>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</si>
  <si>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</si>
  <si>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</si>
  <si>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</si>
  <si>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</si>
  <si>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</si>
  <si>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</si>
  <si>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</si>
  <si>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</si>
  <si>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</si>
  <si>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</si>
  <si>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</si>
  <si>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</si>
  <si>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</si>
  <si>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</si>
  <si>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</si>
  <si>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</si>
  <si>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</si>
  <si>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</si>
  <si>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</si>
  <si>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</si>
  <si>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</si>
  <si>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</si>
  <si>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</si>
  <si>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</si>
  <si>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</si>
  <si>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</si>
  <si>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</si>
  <si>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</si>
  <si>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</si>
  <si>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</si>
  <si>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</si>
  <si>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</si>
  <si>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</si>
  <si>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</si>
  <si>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</si>
  <si>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</si>
  <si>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</si>
  <si>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</si>
  <si>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</si>
  <si>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</si>
  <si>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</si>
  <si>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</si>
  <si>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</si>
  <si>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</si>
  <si>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</si>
  <si>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</si>
  <si>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</si>
  <si>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</si>
  <si>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</si>
  <si>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</si>
  <si>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</si>
  <si>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</si>
  <si>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</si>
  <si>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</si>
  <si>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</si>
  <si>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</si>
  <si>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</si>
  <si>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</si>
  <si>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</si>
  <si>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</si>
  <si>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</si>
  <si>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</si>
  <si>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</si>
  <si>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</si>
  <si>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</si>
  <si>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</si>
  <si>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</si>
  <si>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</si>
  <si>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</si>
  <si>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</si>
  <si>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</si>
  <si>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</si>
  <si>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</si>
  <si>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</si>
  <si>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</si>
  <si>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</si>
  <si>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</si>
  <si>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</si>
  <si>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</si>
  <si>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</si>
  <si>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</si>
  <si>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</si>
  <si>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</si>
  <si>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</si>
  <si>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</si>
  <si>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</si>
  <si>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</si>
  <si>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</si>
  <si>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</si>
  <si>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</si>
  <si>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</si>
  <si>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</si>
  <si>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</si>
  <si>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</si>
  <si>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</si>
  <si>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</si>
  <si>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</si>
  <si>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</si>
  <si>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</si>
  <si>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</si>
  <si>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</si>
  <si>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</si>
  <si>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</si>
  <si>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</si>
  <si>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</si>
  <si>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</si>
  <si>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</si>
  <si>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</si>
  <si>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</si>
  <si>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</si>
  <si>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</si>
  <si>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</si>
  <si>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</si>
  <si>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</si>
  <si>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</si>
  <si>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</si>
  <si>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</si>
  <si>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</si>
  <si>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</si>
  <si>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</si>
  <si>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</si>
  <si>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</si>
  <si>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</si>
  <si>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</si>
  <si>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</si>
  <si>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</si>
  <si>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</si>
  <si>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</si>
  <si>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</si>
  <si>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</si>
  <si>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</si>
  <si>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</si>
  <si>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</si>
  <si>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</si>
  <si>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</si>
  <si>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</si>
  <si>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</si>
  <si>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</si>
  <si>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</si>
  <si>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</si>
  <si>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</si>
  <si>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</si>
  <si>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</si>
  <si>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</si>
  <si>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</si>
  <si>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</si>
  <si>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</si>
  <si>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</si>
  <si>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</si>
  <si>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</si>
  <si>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</si>
  <si>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</si>
  <si>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</si>
  <si>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</si>
  <si>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</si>
  <si>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</si>
  <si>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</si>
  <si>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</si>
  <si>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</si>
  <si>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</si>
  <si>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</si>
  <si>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</si>
  <si>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</si>
  <si>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</si>
  <si>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</si>
  <si>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</si>
  <si>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</si>
  <si>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</si>
  <si>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</si>
  <si>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</si>
  <si>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</si>
  <si>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</si>
  <si>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</si>
  <si>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</si>
  <si>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</si>
  <si>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</si>
  <si>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</si>
  <si>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</si>
  <si>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</si>
  <si>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</si>
  <si>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</si>
  <si>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</si>
  <si>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</si>
  <si>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</si>
  <si>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</si>
  <si>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</si>
  <si>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</si>
  <si>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</si>
  <si>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</si>
  <si>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</si>
  <si>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</si>
  <si>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</si>
  <si>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</si>
  <si>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</si>
  <si>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</si>
  <si>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</si>
  <si>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</si>
  <si>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</si>
  <si>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</si>
  <si>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</si>
  <si>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</si>
  <si>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</si>
  <si>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</si>
  <si>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</si>
  <si>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</si>
  <si>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</si>
  <si>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</si>
  <si>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</si>
  <si>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</si>
  <si>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</si>
  <si>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</si>
  <si>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</si>
  <si>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</si>
  <si>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</si>
  <si>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</si>
  <si>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</si>
  <si>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</si>
  <si>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</si>
  <si>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</si>
  <si>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</si>
  <si>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</si>
  <si>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</si>
  <si>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</si>
  <si>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</si>
  <si>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</si>
  <si>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</si>
  <si>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</si>
  <si>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</si>
  <si>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</si>
  <si>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</si>
  <si>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</si>
  <si>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</si>
  <si>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</si>
  <si>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</si>
  <si>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</si>
  <si>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</si>
  <si>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</si>
  <si>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</si>
  <si>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</si>
  <si>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</si>
  <si>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</si>
  <si>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</si>
  <si>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</si>
  <si>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</si>
  <si>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</si>
  <si>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</si>
  <si>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</si>
  <si>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</si>
  <si>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</si>
  <si>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</si>
  <si>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</si>
  <si>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</si>
  <si>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</si>
  <si>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</si>
  <si>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</si>
  <si>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</si>
  <si>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</si>
  <si>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</si>
  <si>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</si>
  <si>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</si>
  <si>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</si>
  <si>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</si>
  <si>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</si>
  <si>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</si>
  <si>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</si>
  <si>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</si>
  <si>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</si>
  <si>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</si>
  <si>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</si>
  <si>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</si>
  <si>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</si>
  <si>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</si>
  <si>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</si>
  <si>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</si>
  <si>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</si>
  <si>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</si>
  <si>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</si>
  <si>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</si>
  <si>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</si>
  <si>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</si>
  <si>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</si>
  <si>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</si>
  <si>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</si>
  <si>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</si>
  <si>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</si>
  <si>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</si>
  <si>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</si>
  <si>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</si>
  <si>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</si>
  <si>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</si>
  <si>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</si>
  <si>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</si>
  <si>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</si>
  <si>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</si>
  <si>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</si>
  <si>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</si>
  <si>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</si>
  <si>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</si>
  <si>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</si>
  <si>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</si>
  <si>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</si>
  <si>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</si>
  <si>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</si>
  <si>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</si>
  <si>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</si>
  <si>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</si>
  <si>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</si>
  <si>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</si>
  <si>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</si>
  <si>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</si>
  <si>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</si>
  <si>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</si>
  <si>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</si>
  <si>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</si>
  <si>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</si>
  <si>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</si>
  <si>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</si>
  <si>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</si>
  <si>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</si>
  <si>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</si>
  <si>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</si>
  <si>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</si>
  <si>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</si>
  <si>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</si>
  <si>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</si>
  <si>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</si>
  <si>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</si>
  <si>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</si>
  <si>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</si>
  <si>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</si>
  <si>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</si>
  <si>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</si>
  <si>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</si>
  <si>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</si>
  <si>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</si>
  <si>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</si>
  <si>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</si>
  <si>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</si>
  <si>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</si>
  <si>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</si>
  <si>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</si>
  <si>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</si>
  <si>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</si>
  <si>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</si>
  <si>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</si>
  <si>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</si>
  <si>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</si>
  <si>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</si>
  <si>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</si>
  <si>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</si>
  <si>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</si>
  <si>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</si>
  <si>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</si>
  <si>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</si>
  <si>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</si>
  <si>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</si>
  <si>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</si>
  <si>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</si>
  <si>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</si>
  <si>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</si>
  <si>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</si>
  <si>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</si>
  <si>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</si>
  <si>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</si>
  <si>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</si>
  <si>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</si>
  <si>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</si>
  <si>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</si>
  <si>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</si>
  <si>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</si>
  <si>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</si>
  <si>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</si>
  <si>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</si>
  <si>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</si>
  <si>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</si>
  <si>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</si>
  <si>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</si>
  <si>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</si>
  <si>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</si>
  <si>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</si>
  <si>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</si>
  <si>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</si>
  <si>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</si>
  <si>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</si>
  <si>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</si>
  <si>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</si>
  <si>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</si>
  <si>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</si>
  <si>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</si>
  <si>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</si>
  <si>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</si>
  <si>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</si>
  <si>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</si>
  <si>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</si>
  <si>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</si>
  <si>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</si>
  <si>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</si>
  <si>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</si>
  <si>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</si>
  <si>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</si>
  <si>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</si>
  <si>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</si>
  <si>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</si>
  <si>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</si>
  <si>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</si>
  <si>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</si>
  <si>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</si>
  <si>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</si>
  <si>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</si>
  <si>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</si>
  <si>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</si>
  <si>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</si>
  <si>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</si>
  <si>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</si>
  <si>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</si>
  <si>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</si>
  <si>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</si>
  <si>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</si>
  <si>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</si>
  <si>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</si>
  <si>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</si>
  <si>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</si>
  <si>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</si>
  <si>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</si>
  <si>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</si>
  <si>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</si>
  <si>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</si>
  <si>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</si>
  <si>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</si>
  <si>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</si>
  <si>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</si>
  <si>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</si>
  <si>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</si>
  <si>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</si>
  <si>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</si>
  <si>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</si>
  <si>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</si>
  <si>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</si>
  <si>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</si>
  <si>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</si>
  <si>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</si>
  <si>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</si>
  <si>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</si>
  <si>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</si>
  <si>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</si>
  <si>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</si>
  <si>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</si>
  <si>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</si>
  <si>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</si>
  <si>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</si>
  <si>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</si>
  <si>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</si>
  <si>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</si>
  <si>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</si>
  <si>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</si>
  <si>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</si>
  <si>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</si>
  <si>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</si>
  <si>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</si>
  <si>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</si>
  <si>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</si>
  <si>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</si>
  <si>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</si>
  <si>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</si>
  <si>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</si>
  <si>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</si>
  <si>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</si>
  <si>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</si>
  <si>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</si>
  <si>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</si>
  <si>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</si>
  <si>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</si>
  <si>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</si>
  <si>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</si>
  <si>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</si>
  <si>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</si>
  <si>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</si>
  <si>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</si>
  <si>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</si>
  <si>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</si>
  <si>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</si>
  <si>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</si>
  <si>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</si>
  <si>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</si>
  <si>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</si>
  <si>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</si>
  <si>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</si>
  <si>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</si>
  <si>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</si>
  <si>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</si>
  <si>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</si>
  <si>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</si>
  <si>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</si>
  <si>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</si>
  <si>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</si>
  <si>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</si>
  <si>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</si>
  <si>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</si>
  <si>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</si>
  <si>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</si>
  <si>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</si>
  <si>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</si>
  <si>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</si>
  <si>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</si>
  <si>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</si>
  <si>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</si>
  <si>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</si>
  <si>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</si>
  <si>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</si>
  <si>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</si>
  <si>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</si>
  <si>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</si>
  <si>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</si>
  <si>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</si>
  <si>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</si>
  <si>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</si>
  <si>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</si>
  <si>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</si>
  <si>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</si>
  <si>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</si>
  <si>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</si>
  <si>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</si>
  <si>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</si>
  <si>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</si>
  <si>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</si>
  <si>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</si>
  <si>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</si>
  <si>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</si>
  <si>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</si>
  <si>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</si>
  <si>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</si>
  <si>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</si>
  <si>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</si>
  <si>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</si>
  <si>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</si>
  <si>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</si>
  <si>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</si>
  <si>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</si>
  <si>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</si>
  <si>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</si>
  <si>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</si>
  <si>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</si>
  <si>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</si>
  <si>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</si>
  <si>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</si>
  <si>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</si>
  <si>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</si>
  <si>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</si>
  <si>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</si>
  <si>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</si>
  <si>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</si>
  <si>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</si>
  <si>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</si>
  <si>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</si>
  <si>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</si>
  <si>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</si>
  <si>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</si>
  <si>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</si>
  <si>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</si>
  <si>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</si>
  <si>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</si>
  <si>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</si>
  <si>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</si>
  <si>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</si>
  <si>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</si>
  <si>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</si>
  <si>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</si>
  <si>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</si>
  <si>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</si>
  <si>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</si>
  <si>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</si>
  <si>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</si>
  <si>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</si>
  <si>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</si>
  <si>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</si>
  <si>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</si>
  <si>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</si>
  <si>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</si>
  <si>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</si>
  <si>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</si>
  <si>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</si>
  <si>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</si>
  <si>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</si>
  <si>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</si>
  <si>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</si>
  <si>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</si>
  <si>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</si>
  <si>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</si>
  <si>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</si>
  <si>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</si>
  <si>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</si>
  <si>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</si>
  <si>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</si>
  <si>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</si>
  <si>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</si>
  <si>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</si>
  <si>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</si>
  <si>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</si>
  <si>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</si>
  <si>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</si>
  <si>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</si>
  <si>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</si>
  <si>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</si>
  <si>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</si>
  <si>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</si>
  <si>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</si>
  <si>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</si>
  <si>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</si>
  <si>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</si>
  <si>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</si>
  <si>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</si>
  <si>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</si>
  <si>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</si>
  <si>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</si>
  <si>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</si>
  <si>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</si>
  <si>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</si>
  <si>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</si>
  <si>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</si>
  <si>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</si>
  <si>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</si>
  <si>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</si>
  <si>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</si>
  <si>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</si>
  <si>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</si>
  <si>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</si>
  <si>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</si>
  <si>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</si>
  <si>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</si>
  <si>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</si>
  <si>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</si>
  <si>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</si>
  <si>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</si>
  <si>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</si>
  <si>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</si>
  <si>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</si>
  <si>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</si>
  <si>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</si>
  <si>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</si>
  <si>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</si>
  <si>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</si>
  <si>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</si>
  <si>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</si>
  <si>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</si>
  <si>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</si>
  <si>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</si>
  <si>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</si>
  <si>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</si>
  <si>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</si>
  <si>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</si>
  <si>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</si>
  <si>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</si>
  <si>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</si>
  <si>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</si>
  <si>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</si>
  <si>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</si>
  <si>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</si>
  <si>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</si>
  <si>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</si>
  <si>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</si>
  <si>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</si>
  <si>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</si>
  <si>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</si>
  <si>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</si>
  <si>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</si>
  <si>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</si>
  <si>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</si>
  <si>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</si>
  <si>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</si>
  <si>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</si>
  <si>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</si>
  <si>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</si>
  <si>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</si>
  <si>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</si>
  <si>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</si>
  <si>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</si>
  <si>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</si>
  <si>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</si>
  <si>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</si>
  <si>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</si>
  <si>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</si>
  <si>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</si>
  <si>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</si>
  <si>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</si>
  <si>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</si>
  <si>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</si>
  <si>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</si>
  <si>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</si>
  <si>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</si>
  <si>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</si>
  <si>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</si>
  <si>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</si>
  <si>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</si>
  <si>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</si>
  <si>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</si>
  <si>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</si>
  <si>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</si>
  <si>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</si>
  <si>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</si>
  <si>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</si>
  <si>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</si>
  <si>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</si>
  <si>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</si>
  <si>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</si>
  <si>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</si>
  <si>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</si>
  <si>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</si>
  <si>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</si>
  <si>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</si>
  <si>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</si>
  <si>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</si>
  <si>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</si>
  <si>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</si>
  <si>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</si>
  <si>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</si>
  <si>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</si>
  <si>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</si>
  <si>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</si>
  <si>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</si>
  <si>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</si>
  <si>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</si>
  <si>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</si>
  <si>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</si>
  <si>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</si>
  <si>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</si>
  <si>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</si>
  <si>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</si>
  <si>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</si>
  <si>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</si>
  <si>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</si>
  <si>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</si>
  <si>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</si>
  <si>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</si>
  <si>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</si>
  <si>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</si>
  <si>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</si>
  <si>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</si>
  <si>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</si>
  <si>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</si>
  <si>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</si>
  <si>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</si>
  <si>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</si>
  <si>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</si>
  <si>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</si>
  <si>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</si>
  <si>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</si>
  <si>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</si>
  <si>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</si>
  <si>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</si>
  <si>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</si>
  <si>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</si>
  <si>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</si>
  <si>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</si>
  <si>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</si>
  <si>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</si>
  <si>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</si>
  <si>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</si>
  <si>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</si>
  <si>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</si>
  <si>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</si>
  <si>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</si>
  <si>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</si>
  <si>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</si>
  <si>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</si>
  <si>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</si>
  <si>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</si>
  <si>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</si>
  <si>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</si>
  <si>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</si>
  <si>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</si>
  <si>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</si>
  <si>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</si>
  <si>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</si>
  <si>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</si>
  <si>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</si>
  <si>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</si>
  <si>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</si>
  <si>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</si>
  <si>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</si>
  <si>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</si>
  <si>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</si>
  <si>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</si>
  <si>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</si>
  <si>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</si>
  <si>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</si>
  <si>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</si>
  <si>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</si>
  <si>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</si>
  <si>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</si>
  <si>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</si>
  <si>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</si>
  <si>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</si>
  <si>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</si>
  <si>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</si>
  <si>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</si>
  <si>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</si>
  <si>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</si>
  <si>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</si>
  <si>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</si>
  <si>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</si>
  <si>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</si>
  <si>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</si>
  <si>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</si>
  <si>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</si>
  <si>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</si>
  <si>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</si>
  <si>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</si>
  <si>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</si>
  <si>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</si>
  <si>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</si>
  <si>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</si>
  <si>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</si>
  <si>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</si>
  <si>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</si>
  <si>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</si>
  <si>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</si>
  <si>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</si>
  <si>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</si>
  <si>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</si>
  <si>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</si>
  <si>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</si>
  <si>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</si>
  <si>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</si>
  <si>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</si>
  <si>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</si>
  <si>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</si>
  <si>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</si>
  <si>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</si>
  <si>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</si>
  <si>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</si>
  <si>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</si>
  <si>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</si>
  <si>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</si>
  <si>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</si>
  <si>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</si>
  <si>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</si>
  <si>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</si>
  <si>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</si>
  <si>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</si>
  <si>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</si>
  <si>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</si>
  <si>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</si>
  <si>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</si>
  <si>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</si>
  <si>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</si>
  <si>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</si>
  <si>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</si>
  <si>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</si>
  <si>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</si>
  <si>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</si>
  <si>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</si>
  <si>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</si>
  <si>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</si>
  <si>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</si>
  <si>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</si>
  <si>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</si>
  <si>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</si>
  <si>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</si>
  <si>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</si>
  <si>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</si>
  <si>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</si>
  <si>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</si>
  <si>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</si>
  <si>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</si>
  <si>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</si>
  <si>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</si>
  <si>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</si>
  <si>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</si>
  <si>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</si>
  <si>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</si>
  <si>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</si>
  <si>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</si>
  <si>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</si>
  <si>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</si>
  <si>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</si>
  <si>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</si>
  <si>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</si>
  <si>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</si>
  <si>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</si>
  <si>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</si>
  <si>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</si>
  <si>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</si>
  <si>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</si>
  <si>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</si>
  <si>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</si>
  <si>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</si>
  <si>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</si>
  <si>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</si>
  <si>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</si>
  <si>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</si>
  <si>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</si>
  <si>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</si>
  <si>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</si>
  <si>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</si>
  <si>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</si>
  <si>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</si>
  <si>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</si>
  <si>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</si>
  <si>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</si>
  <si>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</si>
  <si>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</si>
  <si>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</si>
  <si>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</si>
  <si>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</si>
  <si>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</si>
  <si>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</si>
  <si>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</si>
  <si>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</si>
  <si>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</si>
  <si>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</si>
  <si>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</si>
  <si>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</si>
  <si>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</si>
  <si>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</si>
  <si>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</si>
  <si>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</si>
  <si>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</si>
  <si>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</si>
  <si>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</si>
  <si>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</si>
  <si>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</si>
  <si>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</si>
  <si>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</si>
  <si>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</si>
  <si>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</si>
  <si>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</si>
  <si>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</si>
  <si>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</si>
  <si>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</si>
  <si>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</si>
  <si>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</si>
  <si>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</si>
  <si>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</si>
  <si>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</si>
  <si>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</si>
  <si>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</si>
  <si>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</si>
  <si>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</si>
  <si>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</si>
  <si>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</si>
  <si>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</si>
  <si>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</si>
  <si>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</si>
  <si>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</si>
  <si>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</si>
  <si>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</si>
  <si>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</si>
  <si>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</si>
  <si>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</si>
  <si>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</si>
  <si>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</si>
  <si>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</si>
  <si>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</si>
  <si>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</si>
  <si>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</si>
  <si>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</si>
  <si>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</si>
  <si>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</si>
  <si>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</si>
  <si>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</si>
  <si>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</si>
  <si>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</si>
  <si>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</si>
  <si>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</si>
  <si>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</si>
  <si>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</si>
  <si>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</si>
  <si>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</si>
  <si>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</si>
  <si>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</si>
  <si>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</si>
  <si>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</si>
  <si>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</si>
  <si>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</si>
  <si>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</si>
  <si>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</si>
  <si>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</si>
  <si>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</si>
  <si>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</si>
  <si>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</si>
  <si>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</si>
  <si>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</si>
  <si>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</si>
  <si>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</si>
  <si>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</si>
  <si>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</si>
  <si>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</si>
  <si>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</si>
  <si>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</si>
  <si>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</si>
  <si>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</si>
  <si>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</si>
  <si>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</si>
  <si>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</si>
  <si>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</si>
  <si>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</si>
  <si>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</si>
  <si>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</si>
  <si>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</si>
  <si>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</si>
  <si>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</si>
  <si>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</si>
  <si>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</si>
  <si>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</si>
  <si>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</si>
  <si>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</si>
  <si>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</si>
  <si>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</si>
  <si>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</si>
  <si>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</si>
  <si>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</si>
  <si>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</si>
  <si>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</si>
  <si>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</si>
  <si>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</si>
  <si>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</si>
  <si>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</si>
  <si>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</si>
  <si>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</si>
  <si>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</si>
  <si>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</si>
  <si>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</si>
  <si>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</si>
  <si>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</si>
  <si>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</si>
  <si>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</si>
  <si>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</si>
  <si>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</si>
  <si>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</si>
  <si>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</si>
  <si>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</si>
  <si>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</si>
  <si>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</si>
  <si>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</si>
  <si>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</si>
  <si>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</si>
  <si>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</si>
  <si>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</si>
  <si>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</si>
  <si>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</si>
  <si>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</si>
  <si>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</si>
  <si>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</si>
  <si>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</si>
  <si>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</si>
  <si>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</si>
  <si>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</si>
  <si>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</si>
  <si>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</si>
  <si>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</si>
  <si>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</si>
  <si>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</si>
  <si>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</si>
  <si>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</si>
  <si>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</si>
  <si>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</si>
  <si>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</si>
  <si>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</si>
  <si>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</si>
  <si>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</si>
  <si>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</si>
  <si>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</si>
  <si>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</si>
  <si>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</si>
  <si>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</si>
  <si>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</si>
  <si>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</si>
  <si>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</si>
  <si>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</si>
  <si>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</si>
  <si>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</si>
  <si>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</si>
  <si>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</si>
  <si>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</si>
  <si>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</si>
  <si>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</si>
  <si>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</si>
  <si>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</si>
  <si>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</si>
  <si>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</si>
  <si>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</si>
  <si>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</si>
  <si>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</si>
  <si>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</si>
  <si>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</si>
  <si>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</si>
  <si>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</si>
  <si>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</si>
  <si>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</si>
  <si>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</si>
  <si>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</si>
  <si>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</si>
  <si>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</si>
  <si>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</si>
  <si>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</si>
  <si>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</si>
  <si>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</si>
  <si>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</si>
  <si>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</si>
  <si>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</si>
  <si>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</si>
  <si>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</si>
  <si>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</si>
  <si>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</si>
  <si>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</si>
  <si>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</si>
  <si>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</si>
  <si>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</si>
  <si>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</si>
  <si>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</si>
  <si>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</si>
  <si>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</si>
  <si>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</si>
  <si>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</si>
  <si>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</si>
  <si>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</si>
  <si>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</si>
  <si>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</si>
  <si>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</si>
  <si>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</si>
  <si>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</si>
  <si>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</si>
  <si>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</si>
  <si>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</si>
  <si>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</si>
  <si>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</si>
  <si>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</si>
  <si>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</si>
  <si>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</si>
  <si>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</si>
  <si>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</si>
  <si>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</si>
  <si>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</si>
  <si>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</si>
  <si>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</si>
  <si>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</si>
  <si>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</si>
  <si>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</si>
  <si>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</si>
  <si>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</si>
  <si>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</si>
  <si>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</si>
  <si>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</si>
  <si>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</si>
  <si>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</si>
  <si>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</si>
  <si>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</si>
  <si>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</si>
  <si>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</si>
  <si>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</si>
  <si>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</si>
  <si>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</si>
  <si>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</si>
  <si>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</si>
  <si>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</si>
  <si>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</si>
  <si>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</si>
  <si>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</si>
  <si>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</si>
  <si>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</si>
  <si>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</si>
  <si>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</si>
  <si>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</si>
  <si>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</si>
  <si>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</si>
  <si>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</si>
  <si>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</si>
  <si>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</si>
  <si>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</si>
  <si>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</si>
  <si>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</si>
  <si>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</si>
  <si>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</si>
  <si>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</si>
  <si>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</si>
  <si>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</si>
  <si>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</si>
  <si>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</si>
  <si>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</si>
  <si>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</si>
  <si>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</si>
  <si>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</si>
  <si>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</si>
  <si>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</si>
  <si>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</si>
  <si>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</si>
  <si>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</si>
  <si>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</si>
  <si>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</si>
  <si>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</si>
  <si>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</si>
  <si>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</si>
  <si>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</si>
  <si>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</si>
  <si>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</si>
  <si>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</si>
  <si>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</si>
  <si>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</si>
  <si>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</si>
  <si>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</si>
  <si>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</si>
  <si>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</si>
  <si>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</si>
  <si>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</si>
  <si>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</si>
  <si>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</si>
  <si>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</si>
  <si>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</si>
  <si>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</si>
  <si>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</si>
  <si>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</si>
  <si>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</si>
  <si>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</si>
  <si>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</si>
  <si>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</si>
  <si>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</si>
  <si>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</si>
  <si>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</si>
  <si>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</si>
  <si>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</si>
  <si>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</si>
  <si>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</si>
  <si>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</si>
  <si>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</si>
  <si>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</si>
  <si>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</si>
  <si>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</si>
  <si>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</si>
  <si>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</si>
  <si>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</si>
  <si>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</si>
  <si>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</si>
  <si>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</si>
  <si>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</si>
  <si>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</si>
  <si>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</si>
  <si>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</si>
  <si>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</si>
  <si>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</si>
  <si>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</si>
  <si>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</si>
  <si>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</si>
  <si>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</si>
  <si>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</si>
  <si>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</si>
  <si>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</si>
  <si>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</si>
  <si>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</si>
  <si>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</si>
  <si>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</si>
  <si>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</si>
  <si>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</si>
  <si>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</si>
  <si>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</si>
  <si>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</si>
  <si>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</si>
  <si>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</si>
  <si>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</si>
  <si>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</si>
  <si>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</si>
  <si>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</si>
  <si>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</si>
  <si>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</si>
  <si>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</si>
  <si>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</si>
  <si>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</si>
  <si>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</si>
  <si>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</si>
  <si>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</si>
  <si>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</si>
  <si>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</si>
  <si>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</si>
  <si>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</si>
  <si>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</si>
  <si>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</si>
  <si>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</si>
  <si>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</si>
  <si>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</si>
  <si>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</si>
  <si>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</si>
  <si>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</si>
  <si>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</si>
  <si>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</si>
  <si>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</si>
  <si>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</si>
  <si>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</si>
  <si>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</si>
  <si>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</si>
  <si>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</si>
  <si>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</si>
  <si>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</si>
  <si>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</si>
  <si>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</si>
  <si>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</si>
  <si>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</si>
  <si>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</si>
  <si>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</si>
  <si>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</si>
  <si>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</si>
  <si>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</si>
  <si>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</si>
  <si>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</si>
  <si>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</si>
  <si>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</si>
  <si>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</si>
  <si>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</si>
  <si>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</si>
  <si>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</si>
  <si>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</si>
  <si>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</si>
  <si>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</si>
  <si>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</si>
  <si>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</si>
  <si>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</si>
  <si>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</si>
  <si>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</si>
  <si>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</si>
  <si>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</si>
  <si>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</si>
  <si>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</si>
  <si>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</si>
  <si>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</si>
  <si>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</si>
  <si>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</si>
  <si>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</si>
  <si>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</si>
  <si>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</si>
  <si>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</si>
  <si>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</si>
  <si>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</si>
  <si>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</si>
  <si>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</si>
  <si>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</si>
  <si>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</si>
  <si>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</si>
  <si>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</si>
  <si>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</si>
  <si>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</si>
  <si>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</si>
  <si>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</si>
  <si>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</si>
  <si>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</si>
  <si>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</si>
  <si>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</si>
  <si>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</si>
  <si>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</si>
  <si>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</si>
  <si>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</si>
  <si>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</si>
  <si>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</si>
  <si>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</si>
  <si>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</si>
  <si>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</si>
  <si>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</si>
  <si>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</si>
  <si>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</si>
  <si>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</si>
  <si>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</si>
  <si>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</si>
  <si>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</si>
  <si>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</si>
  <si>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</si>
  <si>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</si>
  <si>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</si>
  <si>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</si>
  <si>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</si>
  <si>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</si>
  <si>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</si>
  <si>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</si>
  <si>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</si>
  <si>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</si>
  <si>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</si>
  <si>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</si>
  <si>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</si>
  <si>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</si>
  <si>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</si>
  <si>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</si>
  <si>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</si>
  <si>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</si>
  <si>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</si>
  <si>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</si>
  <si>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</si>
  <si>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</si>
  <si>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</si>
  <si>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</si>
  <si>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</si>
  <si>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</si>
  <si>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</si>
  <si>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</si>
  <si>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</si>
  <si>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</si>
  <si>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</si>
  <si>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</si>
  <si>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</si>
  <si>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</si>
  <si>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</si>
  <si>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</si>
  <si>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</si>
  <si>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</si>
  <si>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</si>
  <si>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</si>
  <si>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</si>
  <si>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</si>
  <si>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</si>
  <si>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</si>
  <si>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</si>
  <si>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</si>
  <si>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</si>
  <si>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</si>
  <si>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</si>
  <si>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</si>
  <si>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</si>
  <si>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</si>
  <si>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</si>
  <si>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</si>
  <si>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</si>
  <si>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</si>
  <si>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</si>
  <si>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</si>
  <si>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</si>
  <si>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</si>
  <si>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</si>
  <si>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</si>
  <si>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</si>
  <si>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</si>
  <si>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</si>
  <si>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</si>
  <si>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</si>
  <si>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</si>
  <si>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</si>
  <si>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</si>
  <si>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</si>
  <si>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</si>
  <si>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</si>
  <si>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</si>
  <si>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</si>
  <si>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</si>
  <si>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</si>
  <si>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</si>
  <si>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</si>
  <si>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</si>
  <si>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</si>
  <si>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</si>
  <si>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</si>
  <si>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</si>
  <si>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</si>
  <si>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</si>
  <si>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</si>
  <si>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</si>
  <si>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</si>
  <si>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</si>
  <si>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</si>
  <si>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</si>
  <si>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</si>
  <si>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</si>
  <si>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</si>
  <si>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</si>
  <si>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</si>
  <si>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</si>
  <si>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</si>
  <si>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</si>
  <si>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</si>
  <si>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</si>
  <si>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</si>
  <si>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</si>
  <si>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</si>
  <si>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</si>
  <si>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</si>
  <si>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</si>
  <si>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</si>
  <si>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</si>
  <si>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</si>
  <si>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</si>
  <si>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</si>
  <si>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</si>
  <si>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</si>
  <si>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</si>
  <si>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</si>
  <si>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</si>
  <si>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</si>
  <si>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</si>
  <si>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</si>
  <si>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</si>
  <si>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</si>
  <si>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</si>
  <si>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</si>
  <si>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</si>
  <si>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</si>
  <si>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</si>
  <si>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</si>
  <si>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</si>
  <si>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</si>
  <si>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</si>
  <si>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</si>
  <si>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</si>
  <si>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</si>
  <si>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</si>
  <si>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</si>
  <si>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</si>
  <si>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</si>
  <si>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</si>
  <si>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</si>
  <si>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</si>
  <si>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</si>
  <si>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</si>
  <si>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</si>
  <si>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</si>
  <si>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</si>
  <si>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</si>
  <si>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</si>
  <si>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</si>
  <si>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</si>
  <si>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</si>
  <si>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</si>
  <si>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</si>
  <si>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</si>
  <si>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</si>
  <si>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</si>
  <si>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</si>
  <si>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</si>
  <si>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</si>
  <si>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</si>
  <si>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</si>
  <si>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</si>
  <si>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</si>
  <si>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</si>
  <si>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</si>
  <si>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</si>
  <si>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</si>
  <si>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</si>
  <si>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</si>
  <si>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</si>
  <si>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</si>
  <si>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</si>
  <si>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</si>
  <si>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</si>
  <si>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</si>
  <si>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</si>
  <si>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</si>
  <si>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</si>
  <si>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</si>
  <si>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</si>
  <si>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</si>
  <si>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</si>
  <si>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</si>
  <si>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</si>
  <si>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</si>
  <si>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</si>
  <si>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</si>
  <si>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</si>
  <si>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</si>
  <si>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</si>
  <si>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</si>
  <si>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</si>
  <si>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</si>
  <si>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</si>
  <si>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</si>
  <si>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</si>
  <si>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</si>
  <si>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</si>
  <si>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</si>
  <si>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</si>
  <si>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</si>
  <si>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</si>
  <si>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</si>
  <si>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</si>
  <si>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</si>
  <si>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</si>
  <si>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</si>
  <si>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</si>
  <si>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</si>
  <si>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</si>
  <si>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</si>
  <si>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</si>
  <si>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</si>
  <si>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</si>
  <si>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</si>
  <si>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</si>
  <si>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</si>
  <si>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</si>
  <si>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</si>
  <si>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</si>
  <si>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</si>
  <si>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</si>
  <si>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</si>
  <si>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</si>
  <si>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</si>
  <si>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</si>
  <si>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</si>
  <si>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</si>
  <si>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</si>
  <si>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</si>
  <si>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</si>
  <si>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</si>
  <si>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</si>
  <si>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</si>
  <si>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</si>
  <si>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</si>
  <si>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</si>
  <si>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</si>
  <si>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</si>
  <si>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</si>
  <si>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</si>
  <si>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</si>
  <si>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</si>
  <si>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</si>
  <si>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</si>
  <si>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</si>
  <si>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</si>
  <si>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</si>
  <si>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</si>
  <si>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</si>
  <si>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</si>
  <si>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</si>
  <si>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</si>
  <si>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</si>
  <si>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</si>
  <si>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</si>
  <si>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</si>
  <si>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</si>
  <si>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</si>
  <si>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</si>
  <si>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</si>
  <si>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</si>
  <si>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</si>
  <si>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</si>
  <si>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</si>
  <si>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</si>
  <si>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</si>
  <si>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</si>
  <si>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</si>
  <si>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</si>
  <si>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</si>
  <si>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</si>
  <si>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</si>
  <si>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</si>
  <si>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</si>
  <si>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</si>
  <si>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</si>
  <si>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</si>
  <si>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</si>
  <si>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</si>
  <si>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</si>
  <si>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</si>
  <si>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</si>
  <si>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</si>
  <si>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</si>
  <si>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</si>
  <si>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</si>
  <si>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</si>
  <si>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</si>
  <si>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</si>
  <si>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</si>
  <si>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</si>
  <si>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</si>
  <si>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</si>
  <si>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</si>
  <si>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</si>
  <si>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</si>
  <si>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</si>
  <si>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</si>
  <si>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</si>
  <si>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</si>
  <si>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</si>
  <si>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</si>
  <si>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</si>
  <si>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</si>
  <si>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</si>
  <si>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</si>
  <si>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</si>
  <si>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</si>
  <si>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</si>
  <si>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</si>
  <si>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</si>
  <si>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</si>
  <si>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</si>
  <si>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</si>
  <si>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</si>
  <si>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</si>
  <si>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</si>
  <si>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</si>
  <si>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</si>
  <si>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</si>
  <si>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</si>
  <si>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</si>
  <si>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</si>
  <si>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</si>
  <si>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</si>
  <si>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</si>
  <si>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</si>
  <si>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</si>
  <si>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</si>
  <si>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</si>
  <si>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</si>
  <si>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</si>
  <si>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</si>
  <si>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</si>
  <si>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</si>
  <si>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</si>
  <si>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</si>
  <si>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</si>
  <si>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</si>
  <si>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</si>
  <si>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</si>
  <si>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</si>
  <si>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</si>
  <si>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</si>
  <si>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</si>
  <si>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</si>
  <si>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</si>
  <si>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</si>
  <si>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</si>
  <si>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</si>
  <si>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</si>
  <si>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</si>
  <si>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</si>
  <si>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</si>
  <si>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</si>
  <si>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</si>
  <si>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</si>
  <si>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</si>
  <si>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</si>
  <si>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</si>
  <si>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</si>
  <si>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</si>
  <si>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</si>
  <si>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</si>
  <si>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</si>
  <si>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</si>
  <si>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</si>
  <si>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</si>
  <si>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</si>
  <si>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</si>
  <si>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</si>
  <si>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</si>
  <si>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</si>
  <si>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</si>
  <si>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</si>
  <si>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</si>
  <si>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</si>
  <si>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</si>
  <si>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</si>
  <si>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</si>
  <si>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</si>
  <si>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</si>
  <si>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</si>
  <si>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</si>
  <si>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</si>
  <si>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</si>
  <si>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</si>
  <si>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</si>
  <si>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</si>
  <si>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</si>
  <si>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</si>
  <si>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</si>
  <si>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</si>
  <si>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</si>
  <si>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</si>
  <si>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</si>
  <si>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</si>
  <si>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</si>
  <si>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</si>
  <si>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</si>
  <si>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</si>
  <si>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</si>
  <si>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</si>
  <si>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</si>
  <si>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</si>
  <si>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</si>
  <si>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</si>
  <si>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</si>
  <si>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</si>
  <si>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</si>
  <si>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</si>
  <si>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</si>
  <si>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</si>
  <si>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</si>
  <si>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</si>
  <si>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</si>
  <si>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</si>
  <si>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</si>
  <si>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</si>
  <si>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</si>
  <si>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</si>
  <si>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</si>
  <si>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</si>
  <si>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</si>
  <si>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</si>
  <si>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</si>
  <si>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</si>
  <si>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</si>
  <si>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</si>
  <si>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</si>
  <si>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</si>
  <si>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</si>
  <si>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</si>
  <si>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</si>
  <si>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</si>
  <si>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</si>
  <si>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</si>
  <si>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</si>
  <si>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</si>
  <si>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</si>
  <si>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</si>
  <si>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</si>
  <si>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</si>
  <si>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</si>
  <si>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</si>
  <si>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</si>
  <si>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</si>
  <si>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</si>
  <si>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</si>
  <si>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</si>
  <si>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</si>
  <si>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</si>
  <si>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</si>
  <si>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</si>
  <si>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</si>
  <si>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</si>
  <si>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</si>
  <si>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</si>
  <si>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</si>
  <si>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</si>
  <si>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</si>
  <si>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</si>
  <si>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</si>
  <si>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</si>
  <si>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</si>
  <si>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</si>
  <si>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</si>
  <si>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</si>
  <si>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</si>
  <si>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</si>
  <si>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</si>
  <si>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</si>
  <si>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</si>
  <si>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</si>
  <si>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</si>
  <si>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</si>
  <si>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</si>
  <si>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</si>
  <si>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</si>
  <si>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</si>
  <si>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</si>
  <si>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</si>
  <si>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</si>
  <si>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</si>
  <si>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</si>
  <si>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</si>
  <si>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</si>
  <si>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</si>
  <si>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</si>
  <si>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</si>
  <si>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</si>
  <si>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</si>
  <si>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</si>
  <si>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</si>
  <si>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</si>
  <si>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</si>
  <si>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</si>
  <si>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</si>
  <si>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</si>
  <si>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</si>
  <si>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</si>
  <si>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</si>
  <si>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</si>
  <si>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</si>
  <si>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</si>
  <si>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</si>
  <si>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</si>
  <si>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</si>
  <si>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</si>
  <si>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</si>
  <si>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</si>
  <si>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</si>
  <si>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</si>
  <si>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</si>
  <si>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</si>
  <si>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</si>
  <si>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</si>
  <si>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</si>
  <si>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</si>
  <si>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</si>
  <si>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</si>
  <si>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</si>
  <si>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</si>
  <si>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</si>
  <si>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</si>
  <si>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</si>
  <si>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</si>
  <si>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</si>
  <si>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</si>
  <si>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</si>
  <si>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</si>
  <si>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</si>
  <si>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</si>
  <si>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</si>
  <si>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</si>
  <si>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</si>
  <si>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</si>
  <si>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</si>
  <si>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</si>
  <si>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</si>
  <si>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</si>
  <si>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</si>
  <si>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</si>
  <si>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</si>
  <si>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</si>
  <si>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</si>
  <si>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</si>
  <si>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</si>
  <si>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</si>
  <si>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</si>
  <si>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</si>
  <si>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</si>
  <si>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</si>
  <si>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</si>
  <si>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</si>
  <si>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</si>
  <si>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</si>
  <si>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</si>
  <si>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</si>
  <si>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</si>
  <si>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</si>
  <si>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</si>
  <si>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</si>
  <si>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</si>
  <si>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</si>
  <si>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</si>
  <si>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</si>
  <si>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</si>
  <si>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</si>
  <si>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</si>
  <si>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</si>
  <si>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</si>
  <si>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</si>
  <si>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</si>
  <si>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</si>
  <si>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</si>
  <si>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</si>
  <si>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</si>
  <si>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</si>
  <si>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</si>
  <si>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</si>
  <si>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</si>
  <si>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</si>
  <si>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</si>
  <si>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</si>
  <si>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</si>
  <si>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</si>
  <si>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</si>
  <si>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</si>
  <si>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</si>
  <si>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</si>
  <si>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</si>
  <si>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</si>
  <si>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</si>
  <si>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</si>
  <si>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</si>
  <si>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</si>
  <si>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</si>
  <si>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</si>
  <si>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</si>
  <si>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</si>
  <si>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</si>
  <si>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</si>
  <si>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</si>
  <si>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</si>
  <si>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</si>
  <si>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</si>
  <si>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</si>
  <si>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</si>
  <si>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</si>
  <si>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</si>
  <si>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</si>
  <si>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</si>
  <si>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</si>
  <si>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</si>
  <si>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</si>
  <si>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</si>
  <si>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</si>
  <si>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</si>
  <si>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</si>
  <si>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</si>
  <si>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</si>
  <si>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</si>
  <si>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</si>
  <si>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</si>
  <si>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</si>
  <si>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</si>
  <si>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</si>
  <si>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</si>
  <si>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</si>
  <si>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</si>
  <si>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</si>
  <si>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</si>
  <si>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</si>
  <si>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</si>
  <si>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</si>
  <si>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</si>
  <si>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</si>
  <si>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</si>
  <si>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</si>
  <si>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</si>
  <si>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</si>
  <si>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</si>
  <si>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</si>
  <si>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</si>
  <si>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</si>
  <si>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</si>
  <si>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</si>
  <si>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</si>
  <si>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</si>
  <si>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</si>
  <si>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</si>
  <si>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</si>
  <si>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</si>
  <si>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</si>
  <si>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</si>
  <si>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</si>
  <si>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</si>
  <si>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</si>
  <si>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</si>
  <si>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</si>
  <si>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</si>
  <si>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</si>
  <si>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</si>
  <si>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</si>
  <si>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</si>
  <si>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</si>
  <si>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</si>
  <si>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</si>
  <si>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</si>
  <si>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</si>
  <si>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</si>
  <si>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</si>
  <si>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</si>
  <si>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</si>
  <si>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</si>
  <si>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</si>
  <si>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</si>
  <si>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</si>
  <si>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</si>
  <si>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</si>
  <si>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</si>
  <si>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</si>
  <si>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</si>
  <si>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</si>
  <si>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</si>
  <si>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</si>
  <si>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</si>
  <si>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</si>
  <si>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</si>
  <si>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</si>
  <si>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</si>
  <si>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</si>
  <si>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</si>
  <si>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</si>
  <si>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</si>
  <si>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</si>
  <si>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</si>
  <si>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</si>
  <si>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</si>
  <si>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</si>
  <si>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</si>
  <si>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</si>
  <si>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</si>
  <si>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</si>
  <si>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</si>
  <si>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</si>
  <si>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</si>
  <si>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</si>
  <si>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</si>
  <si>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</si>
  <si>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</si>
  <si>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</si>
  <si>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</si>
  <si>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</si>
  <si>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</si>
  <si>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</si>
  <si>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</si>
  <si>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</si>
  <si>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</si>
  <si>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</si>
  <si>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</si>
  <si>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</si>
  <si>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</si>
  <si>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</si>
  <si>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</si>
  <si>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</si>
  <si>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</si>
  <si>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</si>
  <si>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</si>
  <si>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</si>
  <si>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</si>
  <si>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</si>
  <si>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</si>
  <si>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</si>
  <si>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</si>
  <si>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</si>
  <si>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</si>
  <si>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</si>
  <si>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</si>
  <si>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</si>
  <si>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</si>
  <si>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</si>
  <si>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</si>
  <si>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</si>
  <si>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</si>
  <si>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</si>
  <si>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</si>
  <si>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</si>
  <si>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</si>
  <si>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</si>
  <si>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</si>
  <si>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</si>
  <si>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</si>
  <si>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</si>
  <si>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</si>
  <si>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</si>
  <si>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</si>
  <si>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</si>
  <si>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</si>
  <si>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</si>
  <si>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</si>
  <si>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</si>
  <si>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</si>
  <si>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</si>
  <si>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</si>
  <si>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</si>
  <si>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</si>
  <si>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</si>
  <si>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</si>
  <si>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</si>
  <si>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</si>
  <si>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</si>
  <si>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</si>
  <si>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</si>
  <si>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</si>
  <si>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</si>
  <si>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</si>
  <si>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</si>
  <si>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</si>
  <si>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</si>
  <si>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</si>
  <si>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</si>
  <si>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</si>
  <si>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</si>
  <si>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</si>
  <si>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</si>
  <si>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</si>
  <si>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</si>
  <si>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</si>
  <si>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</si>
  <si>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</si>
  <si>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</si>
  <si>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</si>
  <si>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</si>
  <si>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</si>
  <si>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</si>
  <si>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</si>
  <si>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</si>
  <si>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</si>
  <si>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</si>
  <si>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</si>
  <si>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</si>
  <si>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</si>
  <si>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</si>
  <si>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</si>
  <si>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</si>
  <si>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</si>
  <si>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</si>
  <si>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</si>
  <si>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</si>
  <si>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</si>
  <si>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</si>
  <si>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</si>
  <si>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</si>
  <si>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</si>
  <si>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</si>
  <si>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</si>
  <si>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</si>
  <si>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</si>
  <si>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</si>
  <si>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</si>
  <si>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</si>
  <si>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</si>
  <si>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</si>
  <si>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</si>
  <si>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</si>
  <si>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</si>
  <si>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</si>
  <si>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</si>
  <si>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</si>
  <si>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</si>
  <si>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</si>
  <si>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</si>
  <si>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</si>
  <si>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</si>
  <si>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</si>
  <si>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</si>
  <si>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</si>
  <si>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</si>
  <si>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</si>
  <si>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</si>
  <si>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</si>
  <si>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</si>
  <si>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</si>
  <si>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</si>
  <si>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</si>
  <si>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</si>
  <si>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</si>
  <si>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</si>
  <si>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</si>
  <si>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</si>
  <si>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</si>
  <si>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</si>
  <si>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</si>
  <si>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</si>
  <si>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</si>
  <si>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</si>
  <si>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</si>
  <si>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</si>
  <si>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</si>
  <si>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</si>
  <si>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</si>
  <si>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</si>
  <si>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</si>
  <si>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</si>
  <si>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</si>
  <si>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</si>
  <si>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</si>
  <si>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</si>
  <si>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</si>
  <si>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</si>
  <si>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</si>
  <si>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</si>
  <si>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</si>
  <si>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</si>
  <si>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</si>
  <si>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</si>
  <si>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</si>
  <si>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</si>
  <si>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</si>
  <si>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</si>
  <si>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</si>
  <si>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</si>
  <si>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</si>
  <si>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</si>
  <si>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</si>
  <si>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</si>
  <si>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</si>
  <si>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</si>
  <si>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</si>
  <si>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</si>
  <si>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</si>
  <si>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</si>
  <si>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</si>
  <si>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</si>
  <si>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</si>
  <si>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</si>
  <si>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</si>
  <si>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</si>
  <si>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</si>
  <si>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</si>
  <si>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</si>
  <si>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</si>
  <si>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</si>
  <si>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</si>
  <si>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</si>
  <si>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</si>
  <si>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</si>
  <si>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</si>
  <si>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</si>
  <si>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</si>
  <si>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</si>
  <si>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</si>
  <si>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</si>
  <si>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</si>
  <si>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</si>
  <si>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</si>
  <si>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</si>
  <si>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</si>
  <si>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</si>
  <si>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</si>
  <si>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</si>
  <si>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</si>
  <si>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</si>
  <si>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</si>
  <si>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</si>
  <si>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</si>
  <si>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</si>
  <si>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</si>
  <si>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</si>
  <si>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</si>
  <si>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</si>
  <si>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</si>
  <si>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</si>
  <si>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</si>
  <si>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</si>
  <si>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</si>
  <si>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</si>
  <si>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</si>
  <si>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</si>
  <si>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</si>
  <si>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</si>
  <si>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</si>
  <si>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</si>
  <si>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</si>
  <si>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</si>
  <si>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</si>
  <si>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</si>
  <si>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</si>
  <si>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</si>
  <si>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</si>
  <si>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</si>
  <si>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</si>
  <si>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</si>
  <si>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</si>
  <si>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</si>
  <si>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</si>
  <si>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</si>
  <si>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</si>
  <si>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</si>
  <si>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</si>
  <si>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</si>
  <si>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</si>
  <si>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</si>
  <si>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</si>
  <si>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</si>
  <si>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</si>
  <si>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</si>
  <si>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</si>
  <si>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</si>
  <si>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</si>
  <si>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</si>
  <si>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</si>
  <si>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</si>
  <si>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</si>
  <si>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</si>
  <si>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</si>
  <si>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</si>
  <si>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</si>
  <si>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</si>
  <si>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</si>
  <si>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</si>
  <si>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</si>
  <si>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</si>
  <si>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</si>
  <si>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</si>
  <si>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</si>
  <si>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</si>
  <si>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</si>
  <si>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</si>
  <si>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</si>
  <si>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</si>
  <si>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</si>
  <si>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</si>
  <si>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</si>
  <si>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</si>
  <si>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</si>
  <si>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</si>
  <si>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</si>
  <si>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</si>
  <si>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</si>
  <si>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</si>
  <si>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</si>
  <si>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</si>
  <si>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</si>
  <si>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</si>
  <si>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</si>
  <si>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</si>
  <si>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</si>
  <si>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</si>
  <si>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</si>
  <si>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</si>
  <si>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</si>
  <si>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</si>
  <si>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</si>
  <si>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</si>
  <si>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</si>
  <si>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</si>
  <si>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</si>
  <si>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</si>
  <si>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</si>
  <si>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</si>
  <si>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</si>
  <si>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</si>
  <si>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</si>
  <si>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</si>
  <si>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</si>
  <si>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</si>
  <si>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</si>
  <si>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</si>
  <si>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</si>
  <si>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</si>
  <si>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</si>
  <si>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</si>
  <si>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</si>
  <si>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</si>
  <si>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</si>
  <si>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</si>
  <si>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</si>
  <si>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</si>
  <si>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</si>
  <si>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</si>
  <si>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</si>
  <si>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</si>
  <si>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</si>
  <si>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</si>
  <si>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</si>
  <si>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</si>
  <si>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</si>
  <si>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</si>
  <si>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</si>
  <si>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</si>
  <si>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</si>
  <si>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</si>
  <si>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</si>
  <si>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</si>
  <si>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</si>
  <si>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</si>
  <si>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</si>
  <si>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</si>
  <si>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</si>
  <si>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</si>
  <si>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</si>
  <si>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</si>
  <si>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</si>
  <si>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</si>
  <si>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</si>
  <si>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</si>
  <si>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</si>
  <si>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</si>
  <si>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</si>
  <si>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</si>
  <si>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</si>
  <si>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</si>
  <si>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</si>
  <si>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</si>
  <si>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</si>
  <si>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</si>
  <si>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</si>
  <si>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</si>
  <si>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</si>
  <si>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</si>
  <si>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</si>
  <si>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</si>
  <si>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</si>
  <si>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</si>
  <si>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</si>
  <si>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</si>
  <si>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</si>
  <si>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</si>
  <si>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</si>
  <si>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</si>
  <si>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</si>
  <si>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</si>
  <si>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</si>
  <si>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</si>
  <si>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</si>
  <si>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</si>
  <si>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</si>
  <si>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</si>
  <si>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</si>
  <si>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</si>
  <si>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</si>
  <si>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</si>
  <si>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</si>
  <si>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</si>
  <si>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</si>
  <si>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</si>
  <si>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</si>
  <si>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</si>
  <si>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</si>
  <si>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</si>
  <si>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</si>
  <si>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</si>
  <si>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</si>
  <si>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</si>
  <si>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</si>
  <si>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</si>
  <si>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</si>
  <si>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</si>
  <si>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</si>
  <si>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</si>
  <si>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</si>
  <si>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</si>
  <si>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</si>
  <si>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</si>
  <si>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</si>
  <si>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</si>
  <si>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</si>
  <si>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</si>
  <si>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</si>
  <si>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</si>
  <si>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</si>
  <si>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</si>
  <si>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</si>
  <si>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</si>
  <si>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</si>
  <si>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</si>
  <si>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</si>
  <si>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</si>
  <si>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</si>
  <si>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</si>
  <si>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</si>
  <si>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</si>
  <si>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</si>
  <si>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</si>
  <si>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</si>
  <si>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</si>
  <si>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</si>
  <si>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</si>
  <si>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</si>
  <si>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</si>
  <si>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</si>
  <si>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</si>
  <si>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</si>
  <si>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</si>
  <si>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</si>
  <si>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</si>
  <si>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</si>
  <si>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</si>
  <si>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</si>
  <si>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</si>
  <si>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</si>
  <si>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</si>
  <si>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</si>
  <si>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</si>
  <si>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</si>
  <si>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</si>
  <si>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</si>
  <si>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</si>
  <si>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</si>
  <si>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</si>
  <si>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</si>
  <si>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</si>
  <si>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</si>
  <si>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</si>
  <si>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</si>
  <si>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</si>
  <si>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</si>
  <si>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</si>
  <si>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</si>
  <si>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</si>
  <si>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</si>
  <si>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</si>
  <si>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</si>
  <si>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</si>
  <si>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</si>
  <si>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</si>
  <si>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</si>
  <si>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</si>
  <si>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</si>
  <si>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</si>
  <si>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</si>
  <si>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</si>
  <si>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</si>
  <si>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</si>
  <si>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</si>
  <si>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</si>
  <si>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</si>
  <si>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</si>
  <si>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</si>
  <si>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Auto termina proceso por Pago Banco.</t>
  </si>
  <si>
    <t>Auto aprueba liquidación costas,liquidacion</t>
  </si>
  <si>
    <t>Auto requiere partes</t>
  </si>
  <si>
    <t>017 CIVIL MUNICIPAL DE EJECUCIÓN DE SENTENCIAS</t>
  </si>
  <si>
    <t>009 CIVIL MUNICIPAL DE EJECUCIÓN DE SENTENCIAS</t>
  </si>
  <si>
    <t>Auto resuelve intervención sucesor Procesal</t>
  </si>
  <si>
    <t>11001400305120170122000</t>
  </si>
  <si>
    <t>11001400307820180085300</t>
  </si>
  <si>
    <t>Auto resuelve interrupción o suspensión proceso</t>
  </si>
  <si>
    <t>11001310300220180006900</t>
  </si>
  <si>
    <t>SE CORRIGE # PROCESO ,REVISAR ACTUACIONES</t>
  </si>
  <si>
    <t>11001310303420170028700</t>
  </si>
  <si>
    <t>Auto suspende proceso</t>
  </si>
  <si>
    <t>11001400302520180014000</t>
  </si>
  <si>
    <t>11001400305620180008900</t>
  </si>
  <si>
    <t>11001400306920180011600</t>
  </si>
  <si>
    <t>Autp ordena oficiar -posible desestimiento</t>
  </si>
  <si>
    <t xml:space="preserve">Auto resuelve solicitud remanentes	</t>
  </si>
  <si>
    <t>004 CIVIL DEL CIRCUITO DE EJECUCIÓN DE SENTENCIAS</t>
  </si>
  <si>
    <t>037 CIVIL DEL CIRCUITO</t>
  </si>
  <si>
    <t>Auto pone conocimiento</t>
  </si>
  <si>
    <t xml:space="preserve"> 003 CIVIL DEL CIRCUITO DE EJECUCIÓN DE SENTENCIAS</t>
  </si>
  <si>
    <t>11001400303620170057200</t>
  </si>
  <si>
    <t xml:space="preserve">Auto resuelve renuncia poder	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</si>
  <si>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</si>
  <si>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</si>
  <si>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</si>
  <si>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</si>
  <si>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</si>
  <si>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Auto resuelve intervención	</t>
  </si>
  <si>
    <t xml:space="preserve"> 001 CIVIL DEL CIRCUITO DE EJECUCIÓN DE SENTENCIAS</t>
  </si>
  <si>
    <t>Auto pone en conocimiento -Posible desestimiento</t>
  </si>
  <si>
    <t>Auto Admite Cesion de Credito</t>
  </si>
  <si>
    <t>11001400307720180038000</t>
  </si>
  <si>
    <t xml:space="preserve">Reasume Poder	</t>
  </si>
  <si>
    <t>11001400305920180002400</t>
  </si>
  <si>
    <t>007 CIVIL MUNICIPAL</t>
  </si>
  <si>
    <t xml:space="preserve">Auto ordena enviar proceso	</t>
  </si>
  <si>
    <t>021 CIVIL DEL CIRCUITO</t>
  </si>
  <si>
    <t xml:space="preserve">Auto aprueba liquidación	</t>
  </si>
  <si>
    <t>001 CIVIL DEL CIRCUITO DE EJECUCIÓN DE SENTENCIAS</t>
  </si>
  <si>
    <t>11001310303020170063500</t>
  </si>
  <si>
    <t>002 CIVIL DEL CIRCUITO DE EJECUCIÓN DE SENTENCIAS</t>
  </si>
  <si>
    <t xml:space="preserve">Auto reconoce heredero o cesionario	</t>
  </si>
  <si>
    <t xml:space="preserve">Auto reconoce personería-Posible desestimiento	</t>
  </si>
  <si>
    <t xml:space="preserve">Auto reconoce heredero o cesionario-Posible desestimiento	</t>
  </si>
  <si>
    <t>Auto reconoce personeria -posible desestimiento</t>
  </si>
  <si>
    <t>014 CIVIL DEL CIRCUITO</t>
  </si>
  <si>
    <t xml:space="preserve">Auto pone en conocimiento	</t>
  </si>
  <si>
    <t>11001400301720180004900</t>
  </si>
  <si>
    <t xml:space="preserve">Auto requiere	</t>
  </si>
  <si>
    <t>11001400307120180004900</t>
  </si>
  <si>
    <t xml:space="preserve">Auto obedézcase y cúmplase	</t>
  </si>
  <si>
    <t xml:space="preserve">011 CIVIL MUNICIPAL DE EJECUCIÓN DE SENTENCIAS </t>
  </si>
  <si>
    <t>11001400307820180017000</t>
  </si>
  <si>
    <t>11001400305020170133100</t>
  </si>
  <si>
    <t>11001400303720170144800</t>
  </si>
  <si>
    <t xml:space="preserve">Auto resuelve solicitud	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</si>
  <si>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</si>
  <si>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</si>
  <si>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</si>
  <si>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</si>
  <si>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</si>
  <si>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</si>
  <si>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</si>
  <si>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</si>
  <si>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</si>
  <si>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 xml:space="preserve">Auto resuelve intervención sucesor Procesal	</t>
  </si>
  <si>
    <t>079 CIVIL MUNICIPAL</t>
  </si>
  <si>
    <t>11001310301020190050600</t>
  </si>
  <si>
    <t>11001400304120190032900</t>
  </si>
  <si>
    <t xml:space="preserve">Auto resuelve intervención sucesor Procesal-Posible desestimiento	</t>
  </si>
  <si>
    <t xml:space="preserve"> 017 CIVIL MUNICIPAL DE EJECUCIÓN DE SENTENCIAS</t>
  </si>
  <si>
    <t>002 CIVIL DEL CIRCUITO</t>
  </si>
  <si>
    <t>003 CIVIL DEL CIRCUITO</t>
  </si>
  <si>
    <t xml:space="preserve">Auto decide recurso	</t>
  </si>
  <si>
    <t xml:space="preserve"> 016 CIVIL MUNICIPAL DE EJECUCIÓN DE SENTENCIAS</t>
  </si>
  <si>
    <t xml:space="preserve">Auto de Trámite	</t>
  </si>
  <si>
    <t xml:space="preserve">Auto modifica liquidación de crédito	</t>
  </si>
  <si>
    <t>040 CIVIL DEL CIRCUITO</t>
  </si>
  <si>
    <t xml:space="preserve">Auto ordena oficiar	</t>
  </si>
  <si>
    <t xml:space="preserve"> 014 CIVIL MUNICIPAL DE EJECUCIÓN DE SENTENCIAS</t>
  </si>
  <si>
    <t>001 PROMISCUO MUNICIPAL DE GALAPA</t>
  </si>
  <si>
    <t xml:space="preserve">Auto Reconoce	</t>
  </si>
  <si>
    <t xml:space="preserve">008 CIVIL MUNICIPAL DE EJECUCIÓN DE SENTENCIAS </t>
  </si>
  <si>
    <t xml:space="preserve">Auto suspende proceso	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</si>
  <si>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</si>
  <si>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</si>
  <si>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</si>
  <si>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</si>
  <si>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</si>
  <si>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</si>
  <si>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</si>
  <si>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</si>
  <si>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</si>
  <si>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1/09/2023</t>
  </si>
  <si>
    <t xml:space="preserve"> 019 CIVIL MUNICIPAL DE EJECUCIÓN DE SENTENCIAS</t>
  </si>
  <si>
    <t>11001400306920180053800</t>
  </si>
  <si>
    <t xml:space="preserve">Auto resuelve corrección providencia	</t>
  </si>
  <si>
    <t>026 CIVIL DEL CIRCUITO</t>
  </si>
  <si>
    <t xml:space="preserve">Auto estese a lo dispuesto en auto anterior	</t>
  </si>
  <si>
    <t>11001310302520230005000</t>
  </si>
  <si>
    <t>025 CIVIL DEL CIRCUITO</t>
  </si>
  <si>
    <t>11001310302520220044700</t>
  </si>
  <si>
    <t>25 CIVIL DEL CIRCUITO</t>
  </si>
  <si>
    <t xml:space="preserve">Auto fija fecha audiencia y/o diligencia	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</si>
  <si>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</si>
  <si>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</si>
  <si>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</si>
  <si>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</si>
  <si>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</si>
  <si>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</si>
  <si>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</si>
  <si>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 xml:space="preserve">Auto Resuelve Solicitud Remanentes	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</si>
  <si>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</si>
  <si>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</si>
  <si>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</si>
  <si>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</si>
  <si>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</si>
  <si>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</si>
  <si>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686</t>
  </si>
  <si>
    <t>PROMISCUO MUNICIPAL DE GACHANCIPÁ - CUNDINAMARCA</t>
  </si>
  <si>
    <t>CISA 687</t>
  </si>
  <si>
    <t>2 CIVIL MUNICIPAL DE GIRARDOT - CUNDINAMARCA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</si>
  <si>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</si>
  <si>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</si>
  <si>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</si>
  <si>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</si>
  <si>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</si>
  <si>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</si>
  <si>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CISA 692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</si>
  <si>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</si>
  <si>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</si>
  <si>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</si>
  <si>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</si>
  <si>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</si>
  <si>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</si>
  <si>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2 PROMISCUO MUNICIPAL DE GUADUAS - CUNDINAMARCA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</si>
  <si>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</si>
  <si>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</si>
  <si>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</si>
  <si>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</si>
  <si>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</si>
  <si>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</si>
  <si>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 xml:space="preserve">Auto ordena emplazamiento	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</si>
  <si>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</si>
  <si>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</si>
  <si>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</si>
  <si>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</si>
  <si>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</si>
  <si>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</si>
  <si>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</si>
  <si>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</si>
  <si>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 xml:space="preserve">Auto concede término	</t>
  </si>
  <si>
    <t>052 CIVIL MUNICIPAL</t>
  </si>
  <si>
    <t>CISA 698</t>
  </si>
  <si>
    <t>11001400303420220017200</t>
  </si>
  <si>
    <t xml:space="preserve"> 034 CIVIL MUNICIPAL</t>
  </si>
  <si>
    <t xml:space="preserve">Auto ordena aclarar petición	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</si>
  <si>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</si>
  <si>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</si>
  <si>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</si>
  <si>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</si>
  <si>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</si>
  <si>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</si>
  <si>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</si>
  <si>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</si>
  <si>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Auto ordena Seguir adelante la Ejecucion Ley 1395/2010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</si>
  <si>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</si>
  <si>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</si>
  <si>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</si>
  <si>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</si>
  <si>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</si>
  <si>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705</t>
  </si>
  <si>
    <t>16 PEQUEÑAS CAUSAS Y COMPETENCIA MULTIPLE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</si>
  <si>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</si>
  <si>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</si>
  <si>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</si>
  <si>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</si>
  <si>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</si>
  <si>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</si>
  <si>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</si>
  <si>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</si>
  <si>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</si>
  <si>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710</t>
  </si>
  <si>
    <t>002 CIVIL DEL CIRCUITO DE FUNZA - CUNDINAMARCA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</si>
  <si>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</si>
  <si>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</si>
  <si>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</si>
  <si>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</si>
  <si>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</si>
  <si>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</si>
  <si>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</si>
  <si>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</si>
  <si>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</si>
  <si>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</si>
  <si>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 xml:space="preserve">Sentencia Ordena seguir Adelante la Ejecución	</t>
  </si>
  <si>
    <t>CISA 715</t>
  </si>
  <si>
    <t>11001310303020220041500</t>
  </si>
  <si>
    <t>030 CIVIL DEL CIRCUITO</t>
  </si>
  <si>
    <t xml:space="preserve">Auto tiene por notificado por conducta concluyente	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</si>
  <si>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</si>
  <si>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</si>
  <si>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</si>
  <si>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</si>
  <si>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</si>
  <si>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</si>
  <si>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</si>
  <si>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</si>
  <si>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 xml:space="preserve">Auto libra mandamiento ejecutivo	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</si>
  <si>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</si>
  <si>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</si>
  <si>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</si>
  <si>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</si>
  <si>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</si>
  <si>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</si>
  <si>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</si>
  <si>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</si>
  <si>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</si>
  <si>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</si>
  <si>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 xml:space="preserve">Auto ordena Seguir adelante </t>
  </si>
  <si>
    <t>CISA 723</t>
  </si>
  <si>
    <t>11001310304520230000600</t>
  </si>
  <si>
    <t>045 CIVIL DEL CIRCUITO</t>
  </si>
  <si>
    <t xml:space="preserve">Auto resuelve adición providencia	</t>
  </si>
  <si>
    <t>CISA 724</t>
  </si>
  <si>
    <t>11001310300520220049800</t>
  </si>
  <si>
    <t>005 CIVIL DEL CIRCUITO</t>
  </si>
  <si>
    <t>CISA 725</t>
  </si>
  <si>
    <t>11001310304420230008900</t>
  </si>
  <si>
    <t>CISA 726</t>
  </si>
  <si>
    <t>02 CIVIL CIRCUITO DE ZIPAQUIRA - CUNDINAMARCA</t>
  </si>
  <si>
    <t>CISA 727</t>
  </si>
  <si>
    <t>11001310303620190031700</t>
  </si>
  <si>
    <t>CISA 728</t>
  </si>
  <si>
    <t>11001310300520210054100</t>
  </si>
  <si>
    <t xml:space="preserve"> 005 CIVIL DEL CIRCUITO</t>
  </si>
  <si>
    <t>CISA 729</t>
  </si>
  <si>
    <t xml:space="preserve">03 CIVIL MUNICIPAL CHIA </t>
  </si>
  <si>
    <t>CISA 730</t>
  </si>
  <si>
    <t>11001400300620210091200</t>
  </si>
  <si>
    <t>CISA 731</t>
  </si>
  <si>
    <t>11001310302120220000800</t>
  </si>
  <si>
    <t xml:space="preserve">Agreguese a autos	</t>
  </si>
  <si>
    <t>CISA 732</t>
  </si>
  <si>
    <t>11001400303420220001100</t>
  </si>
  <si>
    <t xml:space="preserve">Auto admite demanda	</t>
  </si>
  <si>
    <t>CISA 733</t>
  </si>
  <si>
    <t>11001310304220220007100</t>
  </si>
  <si>
    <t>CISA 734</t>
  </si>
  <si>
    <t>JUZGADO 001 PROMISCUO MUNICIPAL DE PARATEBUENO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</si>
  <si>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</si>
  <si>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</si>
  <si>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</si>
  <si>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</si>
  <si>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</si>
  <si>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</si>
  <si>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</si>
  <si>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</si>
  <si>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739</t>
  </si>
  <si>
    <t xml:space="preserve">01 PROMISCUO MUNICIPAL TOCANCIPA </t>
  </si>
  <si>
    <t>CISA 740</t>
  </si>
  <si>
    <t>11001310304420220020600</t>
  </si>
  <si>
    <t xml:space="preserve"> 044 CIVIL DEL CIRCUITO </t>
  </si>
  <si>
    <t>CISA 741</t>
  </si>
  <si>
    <t>11001310304020220021300</t>
  </si>
  <si>
    <t>CISA 742</t>
  </si>
  <si>
    <t>02 CIVIL CIRCUITO ZIPAQUIRA</t>
  </si>
  <si>
    <t>CISA 743</t>
  </si>
  <si>
    <t>01 PROMISCUO MUNICIPAL SUESCA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</si>
  <si>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</si>
  <si>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</si>
  <si>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</si>
  <si>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</si>
  <si>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</si>
  <si>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</si>
  <si>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</si>
  <si>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</si>
  <si>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</si>
  <si>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747</t>
  </si>
  <si>
    <t>01 CIVIL MUNICIPAL DE MADRID</t>
  </si>
  <si>
    <t>CISA 748</t>
  </si>
  <si>
    <t>11001310300220220030400</t>
  </si>
  <si>
    <t>CISA 749</t>
  </si>
  <si>
    <t>11001310301520220034600</t>
  </si>
  <si>
    <t>015 CIVIL DEL CIRCUITO</t>
  </si>
  <si>
    <t xml:space="preserve">Auto resuelve pruebas pedidas	</t>
  </si>
  <si>
    <t>CISA 750</t>
  </si>
  <si>
    <t>11001400305020220036800</t>
  </si>
  <si>
    <t>Auto ordena Seguir adelante la Ejecucion</t>
  </si>
  <si>
    <t>CISA 751</t>
  </si>
  <si>
    <t>11001400304720220037200</t>
  </si>
  <si>
    <t>047 CIVIL MUNICIPAL</t>
  </si>
  <si>
    <t>CISA 752</t>
  </si>
  <si>
    <t>01 CIVIL MUNICIPAL ZIPAQUIRA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</si>
  <si>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</si>
  <si>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</si>
  <si>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</si>
  <si>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</si>
  <si>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</si>
  <si>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</si>
  <si>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</si>
  <si>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</si>
  <si>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</si>
  <si>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</si>
  <si>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</si>
  <si>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</si>
  <si>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757</t>
  </si>
  <si>
    <t>38 DE PEQUEÑAS CAUSAS Y COMPETENCIA MULTIPLE</t>
  </si>
  <si>
    <t>CISA 758</t>
  </si>
  <si>
    <t>11001310304420220052400</t>
  </si>
  <si>
    <t>CISA 759</t>
  </si>
  <si>
    <t>01 CIVIL MUNICIPAL GIRARDOT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</si>
  <si>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</si>
  <si>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</si>
  <si>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</si>
  <si>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</si>
  <si>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</si>
  <si>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</si>
  <si>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</si>
  <si>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</si>
  <si>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</si>
  <si>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</si>
  <si>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</si>
  <si>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764</t>
  </si>
  <si>
    <t>2 CIVIL MUNICIPAL SOACHA</t>
  </si>
  <si>
    <t>CISA 765</t>
  </si>
  <si>
    <t>11001400304320220075900</t>
  </si>
  <si>
    <t>CISA 766</t>
  </si>
  <si>
    <t xml:space="preserve">3 CIVIL MUNICIPAL CHIA </t>
  </si>
  <si>
    <t>CISA 768</t>
  </si>
  <si>
    <t>11001400304020220081300</t>
  </si>
  <si>
    <t xml:space="preserve"> 001 CIVIL MUNICIPAL DE EJECUCIÓN DE SENTENCIAS</t>
  </si>
  <si>
    <t>CISA 769</t>
  </si>
  <si>
    <t>10 DE PEQUEÑAS CAUSAS Y COMPETENCIA MULTIPLE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</si>
  <si>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</si>
  <si>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</si>
  <si>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</si>
  <si>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</si>
  <si>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</si>
  <si>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</si>
  <si>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772</t>
  </si>
  <si>
    <t>67 DE PEQUEÑAS CAUSAS Y COMPETENCIA MULTIPLE</t>
  </si>
  <si>
    <t>CISA 773</t>
  </si>
  <si>
    <t>11001400301820220088900</t>
  </si>
  <si>
    <t xml:space="preserve">Auto designa apoderado	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</si>
  <si>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</si>
  <si>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</si>
  <si>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</si>
  <si>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</si>
  <si>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</si>
  <si>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</si>
  <si>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777</t>
  </si>
  <si>
    <t>01 CIVIL MUNICIPAL SOACHA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</si>
  <si>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</si>
  <si>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</si>
  <si>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</si>
  <si>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</si>
  <si>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</si>
  <si>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</si>
  <si>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</si>
  <si>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</si>
  <si>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</si>
  <si>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781</t>
  </si>
  <si>
    <t>43 DE PEQUEÑAS CAUSAS Y COMPETENCIA MULTIPLE</t>
  </si>
  <si>
    <t>CISA 782</t>
  </si>
  <si>
    <t>11001400305120220109900</t>
  </si>
  <si>
    <t>CISA 783</t>
  </si>
  <si>
    <t>11001400305720220114800</t>
  </si>
  <si>
    <t xml:space="preserve"> 057 CIVIL MUNICIPAL</t>
  </si>
  <si>
    <t>CISA 784</t>
  </si>
  <si>
    <t>56 DE PEQUEÑAS CAUSAS Y COMPETENCIA MULTIPLE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</si>
  <si>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</si>
  <si>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</si>
  <si>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</si>
  <si>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</si>
  <si>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</si>
  <si>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</si>
  <si>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</si>
  <si>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</si>
  <si>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</si>
  <si>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789</t>
  </si>
  <si>
    <t>001 PROMISCUO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</si>
  <si>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</si>
  <si>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</si>
  <si>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</si>
  <si>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</si>
  <si>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</si>
  <si>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</si>
  <si>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</si>
  <si>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</si>
  <si>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</si>
  <si>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</si>
  <si>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795</t>
  </si>
  <si>
    <t>55 DE PEQUEÑAS CAUSAS Y COMPETENCIA MULTIPLE</t>
  </si>
  <si>
    <t>CISA 796</t>
  </si>
  <si>
    <t>11001400304120220135000</t>
  </si>
  <si>
    <t xml:space="preserve">Auto Tener por notificado personal	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</si>
  <si>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</si>
  <si>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</si>
  <si>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</si>
  <si>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</si>
  <si>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</si>
  <si>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</si>
  <si>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</si>
  <si>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</si>
  <si>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800</t>
  </si>
  <si>
    <t>25843310300120230001800</t>
  </si>
  <si>
    <t>01 CIVIL DEL CIRCUITO DE UBATÉ</t>
  </si>
  <si>
    <t>CISA 801</t>
  </si>
  <si>
    <t>01 PROMISCUO MUNICIPAL DE TOCAIMA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</si>
  <si>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</si>
  <si>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</si>
  <si>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</si>
  <si>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</si>
  <si>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</si>
  <si>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</si>
  <si>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</si>
  <si>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</si>
  <si>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</si>
  <si>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</si>
  <si>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</si>
  <si>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</si>
  <si>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</si>
  <si>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</si>
  <si>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</si>
  <si>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</si>
  <si>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Sentencia Ordena seguir Adelante la Ejecución</t>
  </si>
  <si>
    <t>CISA 810</t>
  </si>
  <si>
    <t>11001310301120230007400</t>
  </si>
  <si>
    <t>011 CIVIL DEL CIRCUITO</t>
  </si>
  <si>
    <t>CISA 811</t>
  </si>
  <si>
    <t>03 CIVIL MUNICIPAL DE FUSAGASUGÁ</t>
  </si>
  <si>
    <t>CISA 812</t>
  </si>
  <si>
    <t>11001400303520230007900</t>
  </si>
  <si>
    <t>CISA 813</t>
  </si>
  <si>
    <t>02 CIVIL MUNICIPAL DE FUSAGASUGÁ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</si>
  <si>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</si>
  <si>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</si>
  <si>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</si>
  <si>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</si>
  <si>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</si>
  <si>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</si>
  <si>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</si>
  <si>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</si>
  <si>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</si>
  <si>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</si>
  <si>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</si>
  <si>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CISA 818</t>
  </si>
  <si>
    <t>053 CIVIL MUNICIPAL</t>
  </si>
  <si>
    <t>CISA 821</t>
  </si>
  <si>
    <t>60 DE PEQUEÑAS CAUSAS Y COMPETENCIA MULTIPLE</t>
  </si>
  <si>
    <t>CISA 823</t>
  </si>
  <si>
    <t>11001310301420190006600</t>
  </si>
  <si>
    <t xml:space="preserve"> 014 CIVIL DEL CIRCUITO</t>
  </si>
  <si>
    <t>CISA 826</t>
  </si>
  <si>
    <t>01 PROMISCUO MUNICIPAL DE GACHANCIPÁ</t>
  </si>
  <si>
    <t>CISA 827</t>
  </si>
  <si>
    <t>11001400300520190100400</t>
  </si>
  <si>
    <t>CISA 828</t>
  </si>
  <si>
    <t>11001400301620190039200</t>
  </si>
  <si>
    <t>CISA 829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</si>
  <si>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</si>
  <si>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</si>
  <si>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</si>
  <si>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</si>
  <si>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</si>
  <si>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</si>
  <si>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</si>
  <si>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</si>
  <si>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833</t>
  </si>
  <si>
    <t>01 CIVIL MUNICIPAL DE FUSAGASUGÁ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</si>
  <si>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</si>
  <si>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</si>
  <si>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</si>
  <si>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</si>
  <si>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</si>
  <si>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</si>
  <si>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</si>
  <si>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</si>
  <si>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</si>
  <si>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</si>
  <si>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 xml:space="preserve">Otras terminaciones por Auto	</t>
  </si>
  <si>
    <t>CISA 838</t>
  </si>
  <si>
    <t>11001310300520190039100</t>
  </si>
  <si>
    <t>CISA 839</t>
  </si>
  <si>
    <t>11001310304320190032500</t>
  </si>
  <si>
    <t>CISA 840</t>
  </si>
  <si>
    <t>001 CIVIL MUNICIPAL DE FUSAGASUGÁ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</si>
  <si>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</si>
  <si>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</si>
  <si>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</si>
  <si>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</si>
  <si>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</si>
  <si>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</si>
  <si>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</si>
  <si>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</si>
  <si>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</si>
  <si>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</si>
  <si>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</si>
  <si>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</si>
  <si>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</si>
  <si>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</si>
  <si>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</si>
  <si>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</si>
  <si>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</si>
  <si>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</si>
  <si>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</si>
  <si>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</si>
  <si>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</si>
  <si>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</si>
  <si>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</si>
  <si>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</si>
  <si>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</si>
  <si>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</si>
  <si>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</si>
  <si>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</si>
  <si>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</si>
  <si>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</si>
  <si>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</si>
  <si>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</si>
  <si>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</si>
  <si>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</si>
  <si>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</si>
  <si>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</si>
  <si>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</si>
  <si>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</si>
  <si>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</si>
  <si>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11001310301020190066500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</si>
  <si>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</si>
  <si>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</si>
  <si>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</si>
  <si>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</si>
  <si>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</si>
  <si>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</si>
  <si>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</si>
  <si>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</si>
  <si>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</si>
  <si>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</si>
  <si>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</si>
  <si>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</si>
  <si>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</si>
  <si>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</si>
  <si>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</si>
  <si>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</si>
  <si>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</si>
  <si>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</si>
  <si>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</si>
  <si>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</si>
  <si>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 xml:space="preserve">CISA 868 </t>
  </si>
  <si>
    <t>1 CIVIL MUNICIPAL UBATE</t>
  </si>
  <si>
    <t>CISA 869</t>
  </si>
  <si>
    <t>11001400307020180090900</t>
  </si>
  <si>
    <t>CISA 870</t>
  </si>
  <si>
    <t>CIVIL MUNICIPAL MOSQUERA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</si>
  <si>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</si>
  <si>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</si>
  <si>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</si>
  <si>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</si>
  <si>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</si>
  <si>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</si>
  <si>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</si>
  <si>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</si>
  <si>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</si>
  <si>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</si>
  <si>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</si>
  <si>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</si>
  <si>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</si>
  <si>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</si>
  <si>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</si>
  <si>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</si>
  <si>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</si>
  <si>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</si>
  <si>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</si>
  <si>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</si>
  <si>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</si>
  <si>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</si>
  <si>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</si>
  <si>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</si>
  <si>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</si>
  <si>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</si>
  <si>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</si>
  <si>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</si>
  <si>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</si>
  <si>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</si>
  <si>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</si>
  <si>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</si>
  <si>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</si>
  <si>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</si>
  <si>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</si>
  <si>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</si>
  <si>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</si>
  <si>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</si>
  <si>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</si>
  <si>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</si>
  <si>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</si>
  <si>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</si>
  <si>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</si>
  <si>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</si>
  <si>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</si>
  <si>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</si>
  <si>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</si>
  <si>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</si>
  <si>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</si>
  <si>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</si>
  <si>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</si>
  <si>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</si>
  <si>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</si>
  <si>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</si>
  <si>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</si>
  <si>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</si>
  <si>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</si>
  <si>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</si>
  <si>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</si>
  <si>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</si>
  <si>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</si>
  <si>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</si>
  <si>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904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</si>
  <si>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</si>
  <si>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</si>
  <si>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</si>
  <si>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</si>
  <si>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</si>
  <si>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</si>
  <si>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</si>
  <si>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</si>
  <si>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</si>
  <si>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</si>
  <si>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</si>
  <si>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</si>
  <si>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</si>
  <si>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</si>
  <si>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</si>
  <si>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</si>
  <si>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</si>
  <si>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</si>
  <si>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</si>
  <si>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</si>
  <si>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</si>
  <si>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</si>
  <si>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</si>
  <si>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</si>
  <si>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</si>
  <si>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</si>
  <si>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</si>
  <si>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</si>
  <si>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</si>
  <si>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</si>
  <si>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</si>
  <si>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</si>
  <si>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</si>
  <si>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</si>
  <si>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</si>
  <si>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</si>
  <si>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</si>
  <si>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</si>
  <si>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</si>
  <si>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</si>
  <si>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</si>
  <si>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</si>
  <si>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</si>
  <si>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</si>
  <si>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</si>
  <si>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</si>
  <si>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</si>
  <si>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</si>
  <si>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</si>
  <si>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</si>
  <si>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</si>
  <si>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</si>
  <si>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</si>
  <si>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</si>
  <si>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</si>
  <si>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</si>
  <si>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963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</si>
  <si>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</si>
  <si>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</si>
  <si>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</si>
  <si>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</si>
  <si>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</si>
  <si>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</si>
  <si>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</si>
  <si>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</si>
  <si>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</si>
  <si>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</si>
  <si>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</si>
  <si>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975</t>
  </si>
  <si>
    <t>CISA 976</t>
  </si>
  <si>
    <t>CISA 977</t>
  </si>
  <si>
    <t>CISA 978</t>
  </si>
  <si>
    <t>CISA 979</t>
  </si>
  <si>
    <t>CISA 980</t>
  </si>
  <si>
    <t>CISA 981</t>
  </si>
  <si>
    <t>CISA 982</t>
  </si>
  <si>
    <t>CISA 983</t>
  </si>
  <si>
    <t>CISA 984</t>
  </si>
  <si>
    <t>CISA 985</t>
  </si>
  <si>
    <t>CISA 986</t>
  </si>
  <si>
    <t>CISA 987</t>
  </si>
  <si>
    <t>CISA 988</t>
  </si>
  <si>
    <t>CISA 989</t>
  </si>
  <si>
    <t>CISA 990</t>
  </si>
  <si>
    <t>CISA 991</t>
  </si>
  <si>
    <t>CISA 992</t>
  </si>
  <si>
    <t>CISA 993</t>
  </si>
  <si>
    <t>CISA 994</t>
  </si>
  <si>
    <t>CISA 995</t>
  </si>
  <si>
    <t>CISA 996</t>
  </si>
  <si>
    <t>CISA 997</t>
  </si>
  <si>
    <t>CISA 998</t>
  </si>
  <si>
    <t>CISA 999</t>
  </si>
  <si>
    <t>CISA 1000</t>
  </si>
  <si>
    <t>CISA 1001</t>
  </si>
  <si>
    <t>CISA 1002</t>
  </si>
  <si>
    <t>CISA 1003</t>
  </si>
  <si>
    <t>CISA 1004</t>
  </si>
  <si>
    <t>CISA 1005</t>
  </si>
  <si>
    <t>CISA 1006</t>
  </si>
  <si>
    <t>CISA 1007</t>
  </si>
  <si>
    <t>CISA 1008</t>
  </si>
  <si>
    <t>CISA 1009</t>
  </si>
  <si>
    <t>CISA 1010</t>
  </si>
  <si>
    <t>CISA 1011</t>
  </si>
  <si>
    <t>CISA 1012</t>
  </si>
  <si>
    <t>CISA 1013</t>
  </si>
  <si>
    <t>CISA 1014</t>
  </si>
  <si>
    <t>CISA 1015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</si>
  <si>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</si>
  <si>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</si>
  <si>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</si>
  <si>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</si>
  <si>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</si>
  <si>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</si>
  <si>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</si>
  <si>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</si>
  <si>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</si>
  <si>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</si>
  <si>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1026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</si>
  <si>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</si>
  <si>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</si>
  <si>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</si>
  <si>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</si>
  <si>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</si>
  <si>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</si>
  <si>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</si>
  <si>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</si>
  <si>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</si>
  <si>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</si>
  <si>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</si>
  <si>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1039</t>
  </si>
  <si>
    <t>CISA 1040</t>
  </si>
  <si>
    <t>CISA 1041</t>
  </si>
  <si>
    <t>CISA 1042</t>
  </si>
  <si>
    <t>CISA 1043</t>
  </si>
  <si>
    <t>CISA 1044</t>
  </si>
  <si>
    <t>CISA 1045</t>
  </si>
  <si>
    <t>CISA 1046</t>
  </si>
  <si>
    <t>CISA 1047</t>
  </si>
  <si>
    <t>CISA 1048</t>
  </si>
  <si>
    <t>CISA 1049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</si>
  <si>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</si>
  <si>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</si>
  <si>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</si>
  <si>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</si>
  <si>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</si>
  <si>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</si>
  <si>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</si>
  <si>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</si>
  <si>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</si>
  <si>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</si>
  <si>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</si>
  <si>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1061</t>
  </si>
  <si>
    <t>CISA 1062</t>
  </si>
  <si>
    <t>CISA 1063</t>
  </si>
  <si>
    <t>CISA 1064</t>
  </si>
  <si>
    <t>CISA 1065</t>
  </si>
  <si>
    <t>CISA 1066</t>
  </si>
  <si>
    <t>CISA 1067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</si>
  <si>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</si>
  <si>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</si>
  <si>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</si>
  <si>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</si>
  <si>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</si>
  <si>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</si>
  <si>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</si>
  <si>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</si>
  <si>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</si>
  <si>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</si>
  <si>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</si>
  <si>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</si>
  <si>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</si>
  <si>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</si>
  <si>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</si>
  <si>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</si>
  <si>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1084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</si>
  <si>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</si>
  <si>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</si>
  <si>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</si>
  <si>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</si>
  <si>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</si>
  <si>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</si>
  <si>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</si>
  <si>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</si>
  <si>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</si>
  <si>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</si>
  <si>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</si>
  <si>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</si>
  <si>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</si>
  <si>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</si>
  <si>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</si>
  <si>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</si>
  <si>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</si>
  <si>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</si>
  <si>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</si>
  <si>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</si>
  <si>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</si>
  <si>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</si>
  <si>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</si>
  <si>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</si>
  <si>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</si>
  <si>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</si>
  <si>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1111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</si>
  <si>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</si>
  <si>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</si>
  <si>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</si>
  <si>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</si>
  <si>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</si>
  <si>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</si>
  <si>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</si>
  <si>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</si>
  <si>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</si>
  <si>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</si>
  <si>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</si>
  <si>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</si>
  <si>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</si>
  <si>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</si>
  <si>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</si>
  <si>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</si>
  <si>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</si>
  <si>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</si>
  <si>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</si>
  <si>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</si>
  <si>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</si>
  <si>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</si>
  <si>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</si>
  <si>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</si>
  <si>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</si>
  <si>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</si>
  <si>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</si>
  <si>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</si>
  <si>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</si>
  <si>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</si>
  <si>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</si>
  <si>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</si>
  <si>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</si>
  <si>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</si>
  <si>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</si>
  <si>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</si>
  <si>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</si>
  <si>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 xml:space="preserve">Auto Emplaza	</t>
  </si>
  <si>
    <t>11001310300520190052900</t>
  </si>
  <si>
    <t>11001400301220200005300</t>
  </si>
  <si>
    <t>11001310302320210010500</t>
  </si>
  <si>
    <t>25295408900120200025100</t>
  </si>
  <si>
    <t>25307400300220220057400</t>
  </si>
  <si>
    <t>25320408900220230001000</t>
  </si>
  <si>
    <t>11001418901620220161000</t>
  </si>
  <si>
    <t>25899310300220220042100</t>
  </si>
  <si>
    <t>25899400300320210068800</t>
  </si>
  <si>
    <t>25530408900120220008400</t>
  </si>
  <si>
    <t>25817408900120220017700</t>
  </si>
  <si>
    <t>25899310300220220021600</t>
  </si>
  <si>
    <t>25772408900120220023700</t>
  </si>
  <si>
    <t>25430400300120220030000</t>
  </si>
  <si>
    <t>25899400300120220042800</t>
  </si>
  <si>
    <t>11001418903820220050300</t>
  </si>
  <si>
    <t>25307400300120220054500</t>
  </si>
  <si>
    <t>25754400300220220075800</t>
  </si>
  <si>
    <t>25175400300320220078100</t>
  </si>
  <si>
    <t>11001418901020220085300</t>
  </si>
  <si>
    <t>11001418906720220087900</t>
  </si>
  <si>
    <t>25754400300120220094100</t>
  </si>
  <si>
    <t>11001418904320220108000</t>
  </si>
  <si>
    <t>11001418905620220114800</t>
  </si>
  <si>
    <t>11001408900120220125000</t>
  </si>
  <si>
    <t>11001418905520220127500</t>
  </si>
  <si>
    <t>25815408900120230002300</t>
  </si>
  <si>
    <t>25290400300320230007400</t>
  </si>
  <si>
    <t>25290400300220230009500</t>
  </si>
  <si>
    <t>11001418906020190045800</t>
  </si>
  <si>
    <t>11001418906020190210400</t>
  </si>
  <si>
    <t>2529540890012019016500</t>
  </si>
  <si>
    <t>25430400300120190099600</t>
  </si>
  <si>
    <t>25290400300120190054300</t>
  </si>
  <si>
    <t>25290400300120190040300</t>
  </si>
  <si>
    <t>25843400300120190018000</t>
  </si>
  <si>
    <t>201901189</t>
  </si>
  <si>
    <t>25290400300120190054500</t>
  </si>
  <si>
    <t>202000072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</si>
  <si>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</si>
  <si>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</si>
  <si>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</si>
  <si>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</si>
  <si>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</si>
  <si>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</si>
  <si>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 xml:space="preserve">Auto ordena expedir copias	</t>
  </si>
  <si>
    <t>11001400301520200005300</t>
  </si>
  <si>
    <t xml:space="preserve">Auto Admite Cesion de Credito C.C	</t>
  </si>
  <si>
    <t xml:space="preserve">Auto Admite Cesion de Credito 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</si>
  <si>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</si>
  <si>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</si>
  <si>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</si>
  <si>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</si>
  <si>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</si>
  <si>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</si>
  <si>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</si>
  <si>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</si>
  <si>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</si>
  <si>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</si>
  <si>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</si>
  <si>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</si>
  <si>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</si>
  <si>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</si>
  <si>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 xml:space="preserve">Auto decreta levantar medida cautelar	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</si>
  <si>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</si>
  <si>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</si>
  <si>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</si>
  <si>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</si>
  <si>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</si>
  <si>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</si>
  <si>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</si>
  <si>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</si>
  <si>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</si>
  <si>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</si>
  <si>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</si>
  <si>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</si>
  <si>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</si>
  <si>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 xml:space="preserve">Auto resuelve sustitución poder	</t>
  </si>
  <si>
    <t>11001400301120180109900</t>
  </si>
  <si>
    <t>11001310301220210018900</t>
  </si>
  <si>
    <t>11001310302120190084300</t>
  </si>
  <si>
    <t>11001400304720190131800</t>
  </si>
  <si>
    <t xml:space="preserve">Auto ordena correr traslado	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</si>
  <si>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</si>
  <si>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</si>
  <si>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</si>
  <si>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</si>
  <si>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</si>
  <si>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</si>
  <si>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</si>
  <si>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</si>
  <si>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</si>
  <si>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</si>
  <si>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</si>
  <si>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</si>
  <si>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</si>
  <si>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</si>
  <si>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</si>
  <si>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</si>
  <si>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</si>
  <si>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</si>
  <si>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</si>
  <si>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</si>
  <si>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25175400300120220044200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</si>
  <si>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</si>
  <si>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</si>
  <si>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</si>
  <si>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</si>
  <si>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</si>
  <si>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</si>
  <si>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</si>
  <si>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</si>
  <si>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</si>
  <si>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</si>
  <si>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</si>
  <si>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SUPERINTENDENCIA DE SOCIEDADES</t>
  </si>
  <si>
    <t>11001310300820220062700</t>
  </si>
  <si>
    <t>11001310300320220034700</t>
  </si>
  <si>
    <t xml:space="preserve"> 003 CIVIL DEL CIRCUITO</t>
  </si>
  <si>
    <t>110013103045202300049003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</si>
  <si>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</si>
  <si>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</si>
  <si>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</si>
  <si>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</si>
  <si>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</si>
  <si>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</si>
  <si>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</si>
  <si>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</si>
  <si>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</si>
  <si>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</si>
  <si>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</si>
  <si>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 xml:space="preserve">Auto Ordena Seguir Adelante Ejecucion	</t>
  </si>
  <si>
    <t>11001310302520210035000</t>
  </si>
  <si>
    <t>025 CIVIL DEL CIRCUIT</t>
  </si>
  <si>
    <t>25290400300220230005300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</si>
  <si>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</si>
  <si>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</si>
  <si>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</si>
  <si>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</si>
  <si>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</si>
  <si>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</si>
  <si>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</si>
  <si>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</si>
  <si>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 xml:space="preserve">Auto no tiene en cuenta liquidación presentada	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</si>
  <si>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</si>
  <si>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</si>
  <si>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</si>
  <si>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</si>
  <si>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</si>
  <si>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</si>
  <si>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 xml:space="preserve">Auto resuelve aclaración o corrección demanda	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</si>
  <si>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</si>
  <si>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</si>
  <si>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</si>
  <si>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</si>
  <si>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</si>
  <si>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</si>
  <si>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</si>
  <si>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</si>
  <si>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</si>
  <si>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</si>
  <si>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</si>
  <si>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 xml:space="preserve">Auto resuelve aclaración providencia	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</si>
  <si>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</si>
  <si>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</si>
  <si>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</si>
  <si>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</si>
  <si>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</si>
  <si>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</si>
  <si>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</si>
  <si>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</si>
  <si>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 xml:space="preserve">Auto Decreta Medidas Cautelares	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</si>
  <si>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</si>
  <si>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</si>
  <si>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</si>
  <si>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</si>
  <si>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</si>
  <si>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</si>
  <si>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</si>
  <si>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</si>
  <si>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</si>
  <si>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</si>
  <si>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</si>
  <si>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</si>
  <si>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</si>
  <si>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</si>
  <si>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 xml:space="preserve">Auto nombra Auxiliar de la Justicia	</t>
  </si>
  <si>
    <t>11001310303320220054800</t>
  </si>
  <si>
    <t>25286310300220230021500</t>
  </si>
  <si>
    <t xml:space="preserve">Auto Decide	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</si>
  <si>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</si>
  <si>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</si>
  <si>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</si>
  <si>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</si>
  <si>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</si>
  <si>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</si>
  <si>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</si>
  <si>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</si>
  <si>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</si>
  <si>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</si>
  <si>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</si>
  <si>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</si>
  <si>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</si>
  <si>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 xml:space="preserve">Auto decreta nulidad	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</si>
  <si>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</si>
  <si>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</si>
  <si>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</si>
  <si>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</si>
  <si>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</si>
  <si>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</si>
  <si>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 xml:space="preserve">Auto resuelve nulidad	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</si>
  <si>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</si>
  <si>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</si>
  <si>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</si>
  <si>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</si>
  <si>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</si>
  <si>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</si>
  <si>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</si>
  <si>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</si>
  <si>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</si>
  <si>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</si>
  <si>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</si>
  <si>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</si>
  <si>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</si>
  <si>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</si>
  <si>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</si>
  <si>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</si>
  <si>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</si>
  <si>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</si>
  <si>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</si>
  <si>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</si>
  <si>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</si>
  <si>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</si>
  <si>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</si>
  <si>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</si>
  <si>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</si>
  <si>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</si>
  <si>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</si>
  <si>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</si>
  <si>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</si>
  <si>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</si>
  <si>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</si>
  <si>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</si>
  <si>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 xml:space="preserve">CISA 960 </t>
  </si>
  <si>
    <t>1100141890042021100600</t>
  </si>
  <si>
    <t>004 DE PEQUEÑAS CAUSAS Y COMPETENCIA</t>
  </si>
  <si>
    <t>11001310300720200035700</t>
  </si>
  <si>
    <t>25875310300120200007200</t>
  </si>
  <si>
    <t>JUZGADO 001 CIVIL DEL CIRCUITO DE VILLETA</t>
  </si>
  <si>
    <t>11001400300420210074600</t>
  </si>
  <si>
    <t>11001418902420220077600</t>
  </si>
  <si>
    <t>11001418901920220079800</t>
  </si>
  <si>
    <t xml:space="preserve">019 DE PEQUEÑAS CAUSAS Y COMPETENCIA MÚLTIPLE </t>
  </si>
  <si>
    <t xml:space="preserve">Auto ordena Seguir adelante la Ejecucion  (articulo 440 del C.G.P)	</t>
  </si>
  <si>
    <t>11001400303320210087700</t>
  </si>
  <si>
    <t>11001310304720220024000</t>
  </si>
  <si>
    <t xml:space="preserve">Auto termina proceso por Transacción </t>
  </si>
  <si>
    <t>11001400303120220088000</t>
  </si>
  <si>
    <t>11001418903120220025800</t>
  </si>
  <si>
    <t>031 DE PEQUEÑAS CAUSAS Y COMPETENCIA MÚLTIPLE</t>
  </si>
  <si>
    <t>11001310302920220011400</t>
  </si>
  <si>
    <t xml:space="preserve"> 029 CIVIL DEL CIRCUITO</t>
  </si>
  <si>
    <t>11001310301920220022300</t>
  </si>
  <si>
    <t xml:space="preserve">Auto pone en conocimiento </t>
  </si>
  <si>
    <t>11001400301620220089100</t>
  </si>
  <si>
    <t xml:space="preserve"> 016 CIVIL MUNICIPAL</t>
  </si>
  <si>
    <t xml:space="preserve">Auto suspende proceso </t>
  </si>
  <si>
    <t>1100131034320220034500</t>
  </si>
  <si>
    <t xml:space="preserve">Auto fija fecha audiencia y/o diligencia </t>
  </si>
  <si>
    <t>11001418905020220125600</t>
  </si>
  <si>
    <t>050 DE PEQUEÑAS CAUSAS Y COMPETENCIA MÚLTIPLE</t>
  </si>
  <si>
    <t>11001310300120220034100</t>
  </si>
  <si>
    <t>11001310300820220040600</t>
  </si>
  <si>
    <t>11001400303120220121600</t>
  </si>
  <si>
    <t>11001400305320220096500</t>
  </si>
  <si>
    <t xml:space="preserve">Auto aprueba liquidación </t>
  </si>
  <si>
    <t>11001310301220220005900</t>
  </si>
  <si>
    <t xml:space="preserve">Auto resuelve solicitud remanentes </t>
  </si>
  <si>
    <t>11001418906020220086300</t>
  </si>
  <si>
    <t>11001418905620220118600</t>
  </si>
  <si>
    <t>11001400304120220118000</t>
  </si>
  <si>
    <t xml:space="preserve">Auto ordena enviar proceso </t>
  </si>
  <si>
    <t>11001410300220220127600</t>
  </si>
  <si>
    <t>002 DE PEQUEÑAS CAUSAS Y COMPETENCIA MULTIPLE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</si>
  <si>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</si>
  <si>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</si>
  <si>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</si>
  <si>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</si>
  <si>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</si>
  <si>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</si>
  <si>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</si>
  <si>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 xml:space="preserve">Auto modifica liquidación de crédito </t>
  </si>
  <si>
    <t>11001418905920220112200</t>
  </si>
  <si>
    <t>59 DE PEQUEÑAS CAUSAS Y COMPETENCIA MULTIPLE</t>
  </si>
  <si>
    <t>11001418906720220149700</t>
  </si>
  <si>
    <t>11001310302720220027800</t>
  </si>
  <si>
    <t xml:space="preserve">027 CIVIL DEL CIRCUITO </t>
  </si>
  <si>
    <t xml:space="preserve">Agreguese a autos </t>
  </si>
  <si>
    <t>11001310301420220029400</t>
  </si>
  <si>
    <t xml:space="preserve">014 CIVIL DEL CIRCUITO </t>
  </si>
  <si>
    <t>11001418906720220089800</t>
  </si>
  <si>
    <t>11001310303320220041600</t>
  </si>
  <si>
    <t xml:space="preserve">Auto resuelve corrección providencia </t>
  </si>
  <si>
    <t>11001310305120220036600</t>
  </si>
  <si>
    <t xml:space="preserve">Auto resuelve Solicitud </t>
  </si>
  <si>
    <t>25377408900120220170000</t>
  </si>
  <si>
    <t>001 PROMISCUO MUNICIPAL DE LA CALERA</t>
  </si>
  <si>
    <t>25407408900120220006800</t>
  </si>
  <si>
    <t>001 PROMISCUO MUNICIPAL DE LENGUAZAQUE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</si>
  <si>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</si>
  <si>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</si>
  <si>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</si>
  <si>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</si>
  <si>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</si>
  <si>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</si>
  <si>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 xml:space="preserve">Auto decreta medida cautelar </t>
  </si>
  <si>
    <t>11001400301320210072900</t>
  </si>
  <si>
    <t xml:space="preserve"> 013 CIVIL MUNICIPAL</t>
  </si>
  <si>
    <t xml:space="preserve">Auto nombra Auxiliar de la Justicia </t>
  </si>
  <si>
    <t>11001310301520220015900</t>
  </si>
  <si>
    <t xml:space="preserve"> 015 CIVIL DEL CIRCUITO</t>
  </si>
  <si>
    <t>11001418901620220160300</t>
  </si>
  <si>
    <t>16 DE PEQUEÑAS CAUSAS Y COMPETENCIA MULTIPLE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</si>
  <si>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</si>
  <si>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</si>
  <si>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</si>
  <si>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</si>
  <si>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</si>
  <si>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</si>
  <si>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11001310301020210044800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</si>
  <si>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</si>
  <si>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</si>
  <si>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</si>
  <si>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</si>
  <si>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</si>
  <si>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</si>
  <si>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25175400300120210059800</t>
  </si>
  <si>
    <t>001 CIVIL MUNICIPAL DE CHÍA</t>
  </si>
  <si>
    <t>11001310304720220009900</t>
  </si>
  <si>
    <t>047 CIVIL DEL CIRCUITO</t>
  </si>
  <si>
    <t>11001418900720220146200</t>
  </si>
  <si>
    <t>11001310303220210012700</t>
  </si>
  <si>
    <t>11001310301820200042200</t>
  </si>
  <si>
    <t xml:space="preserve">Auto reconoce personería 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</si>
  <si>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</si>
  <si>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</si>
  <si>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</si>
  <si>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</si>
  <si>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</si>
  <si>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</si>
  <si>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</si>
  <si>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</si>
  <si>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</si>
  <si>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</si>
  <si>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 xml:space="preserve">Auto resuelve desistimiento </t>
  </si>
  <si>
    <t>11001400300220220074200</t>
  </si>
  <si>
    <t xml:space="preserve"> 002 CIVIL MUNICIPAL</t>
  </si>
  <si>
    <t>11001310300120220037400</t>
  </si>
  <si>
    <t>25297408900120220010200</t>
  </si>
  <si>
    <t>001 PROMISCUO MUNICIPAL DE GACHETÁ</t>
  </si>
  <si>
    <t>202200711</t>
  </si>
  <si>
    <t>CIVIL MUNICIPAL FACATATIVA</t>
  </si>
  <si>
    <t>25899310300120220039200</t>
  </si>
  <si>
    <t>11001400301020220123200</t>
  </si>
  <si>
    <t>11001418900520220135200</t>
  </si>
  <si>
    <t>005 DE PEQUEÑAS CAUSAS Y COMPETENCIA MÚLTIPLE</t>
  </si>
  <si>
    <t>11001400304220220133000</t>
  </si>
  <si>
    <t>042 CIVIL MUNICIPAL</t>
  </si>
  <si>
    <t>202201058</t>
  </si>
  <si>
    <t>PROMISCUO MUNICIPAL DE COTA</t>
  </si>
  <si>
    <t>25386310300120220017200</t>
  </si>
  <si>
    <t>001 CIVIL DEL CIRCUITO DE LA MESA</t>
  </si>
  <si>
    <t>11001310304120220032500</t>
  </si>
  <si>
    <t>41 CIVIL DEL CIRCUITO</t>
  </si>
  <si>
    <t>Auto fija fecha audiencia y/o diligencia	  para el 26-02-2024 a las 10.30 a..m. Requiere Juzgado 22 Civil del Circuito</t>
  </si>
  <si>
    <t>11001400302820220106700</t>
  </si>
  <si>
    <t>028 CIVIL MUNICIPAL</t>
  </si>
  <si>
    <t>11001400304720220134200</t>
  </si>
  <si>
    <t>11001310304920210070000</t>
  </si>
  <si>
    <t xml:space="preserve">Sentencia proferida en audiencia	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</si>
  <si>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</si>
  <si>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</si>
  <si>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</si>
  <si>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</si>
  <si>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</si>
  <si>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</si>
  <si>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</si>
  <si>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 xml:space="preserve">Auto señala honorarios	</t>
  </si>
  <si>
    <t>11001418905920220030500</t>
  </si>
  <si>
    <t xml:space="preserve">059 DE PEQUEÑAS CAUSAS Y COMPETENCIA MÚLTIPLE </t>
  </si>
  <si>
    <t>11001418905220220129600</t>
  </si>
  <si>
    <t xml:space="preserve">052 DE PEQUEÑAS CAUSAS Y COMPETENCIA MÚLTIPLE </t>
  </si>
  <si>
    <t>25290400300120210055900</t>
  </si>
  <si>
    <t>11001310305020220054900</t>
  </si>
  <si>
    <t>50 CIVIL DEL CIRCUITO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</si>
</sst>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[Color10]0\_xd83d_\_xdc4d_;[Color3]\-0\_xd83d_\_xdc4e_"/>
    <numFmt numFmtId="166" formatCode="m/d/yyyy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b/>
      <sz val="12"/>
      <color theme="1"/>
      <name val="Helvetica World"/>
      <family val="2"/>
    </font>
    <font>
      <sz val="12"/>
      <name val="Helvetica World"/>
      <family val="2"/>
    </font>
    <font>
      <sz val="12"/>
      <color rgb="FF000000"/>
      <name val="Helvetica World"/>
      <family val="2"/>
    </font>
    <font>
      <sz val="12"/>
      <color theme="9" tint="-0.249977111117893"/>
      <name val="Helvetica World"/>
      <family val="2"/>
    </font>
    <font>
      <sz val="12"/>
      <color theme="7" tint="-0.249977111117893"/>
      <name val="Helvetica World"/>
      <family val="2"/>
    </font>
    <font>
      <sz val="12"/>
      <color rgb="FFC00000"/>
      <name val="Helvetica World"/>
      <family val="2"/>
    </font>
    <font>
      <sz val="12"/>
      <color theme="4"/>
      <name val="Helvetica World"/>
      <family val="2"/>
    </font>
    <font>
      <sz val="12"/>
      <color rgb="FFFF3399"/>
      <name val="Helvetica World"/>
      <family val="2"/>
    </font>
    <font>
      <b/>
      <sz val="12"/>
      <color theme="1"/>
      <name val="Helvetica World"/>
    </font>
    <font>
      <sz val="4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b/>
      <sz val="12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rgb="FFFF0000"/>
      <name val="Helvetica World"/>
      <family val="2"/>
    </font>
    <font>
      <sz val="11"/>
      <color theme="1"/>
      <name val="Helvetica World"/>
      <family val="2"/>
    </font>
    <font>
      <b/>
      <sz val="11"/>
      <color theme="1"/>
      <name val="Helvetica World"/>
      <family val="2"/>
    </font>
    <font>
      <sz val="11"/>
      <color rgb="FF7030A0"/>
      <name val="Helvetica World"/>
      <family val="2"/>
    </font>
    <font>
      <sz val="11"/>
      <name val="Helvetica World"/>
      <family val="2"/>
    </font>
    <font>
      <sz val="10"/>
      <color indexed="8"/>
      <name val="Arial"/>
      <family val="2"/>
    </font>
    <font>
      <sz val="11"/>
      <color rgb="FF000000"/>
      <name val="Helvetica World"/>
      <family val="2"/>
    </font>
    <font>
      <sz val="11"/>
      <color theme="1" tint="0.249977111117893"/>
      <name val="Helvetica World"/>
      <family val="2"/>
    </font>
    <font>
      <sz val="11"/>
      <color rgb="FFFF3399"/>
      <name val="Helvetica World"/>
      <family val="2"/>
    </font>
    <font>
      <sz val="11"/>
      <color rgb="FFFF0000"/>
      <name val="Helvetica World"/>
      <family val="2"/>
    </font>
    <font>
      <b/>
      <sz val="11"/>
      <color rgb="FFFF0000"/>
      <name val="Helvetica World"/>
      <family val="2"/>
    </font>
    <font>
      <sz val="11"/>
      <color theme="2" tint="-0.249977111117893"/>
      <name val="Helvetica World"/>
      <family val="2"/>
    </font>
    <font>
      <sz val="11"/>
      <name val="Helvetica World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Helvetica World"/>
      <family val="2"/>
    </font>
    <font>
      <b/>
      <sz val="11"/>
      <color theme="2" tint="-0.249977111117893"/>
      <name val="Helvetica World"/>
      <family val="2"/>
    </font>
    <font>
      <b/>
      <sz val="11"/>
      <color theme="2" tint="-0.249977111117893"/>
      <name val="Helvetica World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theme="1"/>
      <name val="Helvetica World"/>
    </font>
    <font>
      <sz val="15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rgb="FFFF3399"/>
      <name val="Helvetica World"/>
    </font>
    <font>
      <sz val="12"/>
      <name val="Helvetica World"/>
    </font>
    <font>
      <sz val="12"/>
      <color theme="1"/>
      <name val="Helvetica World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2DA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" fillId="0" borderId="0"/>
    <xf numFmtId="0" fontId="31" fillId="0" borderId="0"/>
    <xf numFmtId="0" fontId="41" fillId="9" borderId="0" applyNumberFormat="0" applyBorder="0" applyAlignment="0" applyProtection="0"/>
    <xf numFmtId="16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23">
    <xf numFmtId="0" fontId="0" fillId="0" borderId="0" xfId="0"/>
    <xf numFmtId="49" fontId="4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2" fillId="0" borderId="1" xfId="1" applyBorder="1"/>
    <xf numFmtId="49" fontId="2" fillId="0" borderId="1" xfId="0" applyNumberFormat="1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5" fillId="0" borderId="1" xfId="1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4" fillId="0" borderId="1" xfId="0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3" fillId="0" borderId="1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0" fillId="2" borderId="0" xfId="0" applyFill="1"/>
    <xf numFmtId="49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0" fontId="10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4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/>
    <xf numFmtId="0" fontId="2" fillId="2" borderId="1" xfId="1" applyFill="1" applyBorder="1"/>
    <xf numFmtId="14" fontId="0" fillId="2" borderId="0" xfId="0" applyNumberFormat="1" applyFill="1"/>
    <xf numFmtId="0" fontId="4" fillId="2" borderId="1" xfId="0" applyFont="1" applyFill="1" applyBorder="1" applyAlignment="1" applyProtection="1">
      <alignment horizontal="center" vertical="center" wrapText="1"/>
      <protection locked="0" hidden="1"/>
    </xf>
    <xf numFmtId="0" fontId="2" fillId="2" borderId="1" xfId="0" applyFont="1" applyFill="1" applyBorder="1" applyAlignment="1" applyProtection="1">
      <alignment horizontal="center" vertical="center" wrapText="1"/>
      <protection locked="0" hidden="1"/>
    </xf>
    <xf numFmtId="49" fontId="4" fillId="2" borderId="1" xfId="0" applyNumberFormat="1" applyFont="1" applyFill="1" applyBorder="1" applyAlignment="1" applyProtection="1">
      <alignment horizontal="center" vertical="center"/>
      <protection locked="0" hidden="1"/>
    </xf>
    <xf numFmtId="0" fontId="5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2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 hidden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" fillId="2" borderId="1" xfId="1" applyFill="1" applyBorder="1" applyAlignment="1">
      <alignment horizontal="center" vertical="center"/>
    </xf>
    <xf numFmtId="0" fontId="2" fillId="2" borderId="0" xfId="1" applyFill="1"/>
    <xf numFmtId="0" fontId="0" fillId="2" borderId="0" xfId="0" applyFill="1" applyAlignment="1">
      <alignment wrapText="1"/>
    </xf>
    <xf numFmtId="0" fontId="11" fillId="0" borderId="0" xfId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49" fontId="4" fillId="3" borderId="1" xfId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49" fontId="3" fillId="3" borderId="1" xfId="1" applyNumberFormat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4" xfId="1" applyFont="1" applyFill="1" applyBorder="1" applyAlignment="1">
      <alignment horizontal="center" vertical="center"/>
    </xf>
    <xf numFmtId="0" fontId="0" fillId="3" borderId="0" xfId="0" applyFill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2" fillId="0" borderId="1" xfId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2" fillId="3" borderId="1" xfId="1" applyFill="1" applyBorder="1"/>
    <xf numFmtId="0" fontId="11" fillId="3" borderId="1" xfId="1" applyFont="1" applyFill="1" applyBorder="1" applyAlignment="1">
      <alignment horizontal="center"/>
    </xf>
    <xf numFmtId="49" fontId="3" fillId="3" borderId="1" xfId="1" applyNumberFormat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 wrapText="1"/>
      <protection locked="0" hidden="1"/>
    </xf>
    <xf numFmtId="0" fontId="5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/>
      <protection locked="0" hidden="1"/>
    </xf>
    <xf numFmtId="0" fontId="26" fillId="0" borderId="1" xfId="1" applyFont="1" applyBorder="1"/>
    <xf numFmtId="0" fontId="26" fillId="2" borderId="1" xfId="1" applyFont="1" applyFill="1" applyBorder="1"/>
    <xf numFmtId="49" fontId="4" fillId="0" borderId="1" xfId="0" applyNumberFormat="1" applyFont="1" applyBorder="1" applyAlignment="1" applyProtection="1">
      <alignment horizontal="center" vertical="center"/>
      <protection locked="0" hidden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/>
      <protection locked="0" hidden="1"/>
    </xf>
    <xf numFmtId="0" fontId="30" fillId="0" borderId="1" xfId="3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/>
      <protection locked="0" hidden="1"/>
    </xf>
    <xf numFmtId="0" fontId="32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 wrapText="1"/>
      <protection locked="0" hidden="1"/>
    </xf>
    <xf numFmtId="49" fontId="27" fillId="0" borderId="1" xfId="0" applyNumberFormat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 wrapText="1"/>
      <protection locked="0" hidden="1"/>
    </xf>
    <xf numFmtId="0" fontId="33" fillId="0" borderId="1" xfId="0" applyFont="1" applyBorder="1" applyAlignment="1" applyProtection="1">
      <alignment horizontal="center" vertical="center"/>
      <protection locked="0" hidden="1"/>
    </xf>
    <xf numFmtId="0" fontId="33" fillId="0" borderId="1" xfId="0" applyFont="1" applyBorder="1" applyAlignment="1" applyProtection="1">
      <alignment horizontal="center" vertical="center" wrapText="1"/>
      <protection locked="0" hidden="1"/>
    </xf>
    <xf numFmtId="0" fontId="35" fillId="0" borderId="1" xfId="0" applyFont="1" applyBorder="1" applyAlignment="1" applyProtection="1">
      <alignment horizontal="center" vertical="center"/>
      <protection locked="0" hidden="1"/>
    </xf>
    <xf numFmtId="0" fontId="35" fillId="0" borderId="1" xfId="0" applyFont="1" applyBorder="1" applyAlignment="1" applyProtection="1">
      <alignment horizontal="center" vertical="center" wrapText="1"/>
      <protection locked="0" hidden="1"/>
    </xf>
    <xf numFmtId="0" fontId="30" fillId="0" borderId="1" xfId="2" applyFont="1" applyBorder="1" applyAlignment="1" applyProtection="1">
      <alignment horizontal="center" vertical="center"/>
      <protection locked="0" hidden="1"/>
    </xf>
    <xf numFmtId="0" fontId="27" fillId="0" borderId="1" xfId="2" applyFont="1" applyBorder="1" applyAlignment="1" applyProtection="1">
      <alignment horizontal="center" vertical="center"/>
      <protection locked="0" hidden="1"/>
    </xf>
    <xf numFmtId="0" fontId="30" fillId="0" borderId="1" xfId="2" applyFont="1" applyBorder="1" applyAlignment="1" applyProtection="1">
      <alignment horizontal="center" vertical="center" wrapText="1"/>
      <protection locked="0" hidden="1"/>
    </xf>
    <xf numFmtId="0" fontId="30" fillId="0" borderId="1" xfId="0" quotePrefix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8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/>
    </xf>
    <xf numFmtId="49" fontId="30" fillId="0" borderId="1" xfId="0" quotePrefix="1" applyNumberFormat="1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 vertical="center"/>
    </xf>
    <xf numFmtId="0" fontId="27" fillId="0" borderId="1" xfId="0" applyFont="1" applyBorder="1" applyAlignment="1" applyProtection="1">
      <alignment horizontal="center" vertical="top" wrapText="1"/>
      <protection locked="0" hidden="1"/>
    </xf>
    <xf numFmtId="49" fontId="27" fillId="0" borderId="1" xfId="0" applyNumberFormat="1" applyFont="1" applyBorder="1" applyAlignment="1">
      <alignment horizontal="center" vertical="center"/>
    </xf>
    <xf numFmtId="0" fontId="30" fillId="0" borderId="1" xfId="3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/>
      <protection locked="0" hidden="1"/>
    </xf>
    <xf numFmtId="0" fontId="27" fillId="4" borderId="1" xfId="0" applyFont="1" applyFill="1" applyBorder="1" applyAlignment="1" applyProtection="1">
      <alignment horizontal="left"/>
      <protection hidden="1"/>
    </xf>
    <xf numFmtId="0" fontId="27" fillId="5" borderId="1" xfId="0" applyFont="1" applyFill="1" applyBorder="1" applyProtection="1">
      <protection hidden="1"/>
    </xf>
    <xf numFmtId="0" fontId="29" fillId="7" borderId="1" xfId="0" applyFont="1" applyFill="1" applyBorder="1" applyAlignment="1" applyProtection="1">
      <alignment horizontal="center" vertical="center"/>
      <protection locked="0" hidden="1"/>
    </xf>
    <xf numFmtId="0" fontId="27" fillId="5" borderId="1" xfId="0" applyFont="1" applyFill="1" applyBorder="1" applyAlignment="1" applyProtection="1">
      <alignment horizontal="center"/>
      <protection hidden="1"/>
    </xf>
    <xf numFmtId="14" fontId="30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2" applyNumberFormat="1" applyFont="1" applyBorder="1" applyAlignment="1" applyProtection="1">
      <alignment horizontal="center" vertical="center"/>
      <protection locked="0" hidden="1"/>
    </xf>
    <xf numFmtId="49" fontId="2" fillId="3" borderId="1" xfId="1" applyNumberFormat="1" applyFill="1" applyBorder="1" applyAlignment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  <protection locked="0" hidden="1"/>
    </xf>
    <xf numFmtId="0" fontId="5" fillId="10" borderId="1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49" fontId="4" fillId="10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1" xfId="1" applyFill="1" applyBorder="1"/>
    <xf numFmtId="0" fontId="0" fillId="10" borderId="0" xfId="0" applyFill="1"/>
    <xf numFmtId="164" fontId="28" fillId="6" borderId="1" xfId="5" applyFont="1" applyFill="1" applyBorder="1" applyAlignment="1" applyProtection="1">
      <alignment horizontal="center" vertical="center"/>
      <protection locked="0" hidden="1"/>
    </xf>
    <xf numFmtId="164" fontId="29" fillId="8" borderId="1" xfId="5" applyFont="1" applyFill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 applyProtection="1">
      <alignment horizontal="center" vertical="center"/>
      <protection locked="0" hidden="1"/>
    </xf>
    <xf numFmtId="164" fontId="30" fillId="0" borderId="1" xfId="5" quotePrefix="1" applyFont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>
      <alignment horizontal="center" vertical="center"/>
    </xf>
    <xf numFmtId="164" fontId="27" fillId="0" borderId="1" xfId="5" applyFont="1" applyBorder="1" applyAlignment="1">
      <alignment horizontal="center"/>
    </xf>
    <xf numFmtId="164" fontId="38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>
      <alignment horizontal="center" vertical="center"/>
    </xf>
    <xf numFmtId="164" fontId="27" fillId="5" borderId="1" xfId="5" applyFont="1" applyFill="1" applyBorder="1" applyProtection="1">
      <protection hidden="1"/>
    </xf>
    <xf numFmtId="0" fontId="27" fillId="0" borderId="0" xfId="0" applyFont="1" applyProtection="1">
      <protection hidden="1"/>
    </xf>
    <xf numFmtId="49" fontId="30" fillId="0" borderId="1" xfId="0" applyNumberFormat="1" applyFont="1" applyBorder="1" applyAlignment="1" applyProtection="1">
      <alignment horizontal="center" vertical="center"/>
      <protection locked="0" hidden="1"/>
    </xf>
    <xf numFmtId="2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 wrapText="1"/>
      <protection locked="0" hidden="1"/>
    </xf>
    <xf numFmtId="0" fontId="27" fillId="0" borderId="0" xfId="0" applyFont="1" applyAlignment="1" applyProtection="1">
      <alignment horizontal="left"/>
      <protection hidden="1"/>
    </xf>
    <xf numFmtId="0" fontId="34" fillId="0" borderId="1" xfId="0" applyFont="1" applyBorder="1" applyAlignment="1" applyProtection="1">
      <alignment horizontal="center" vertical="center"/>
      <protection locked="0" hidden="1"/>
    </xf>
    <xf numFmtId="0" fontId="36" fillId="0" borderId="1" xfId="0" applyFont="1" applyBorder="1" applyAlignment="1" applyProtection="1">
      <alignment horizontal="center" vertical="center" wrapText="1"/>
      <protection locked="0" hidden="1"/>
    </xf>
    <xf numFmtId="49" fontId="35" fillId="0" borderId="1" xfId="0" applyNumberFormat="1" applyFont="1" applyBorder="1" applyAlignment="1" applyProtection="1">
      <alignment horizontal="center" vertical="center"/>
      <protection locked="0" hidden="1"/>
    </xf>
    <xf numFmtId="2" fontId="35" fillId="0" borderId="1" xfId="0" applyNumberFormat="1" applyFont="1" applyBorder="1" applyAlignment="1" applyProtection="1">
      <alignment horizontal="center" vertical="center"/>
      <protection locked="0" hidden="1"/>
    </xf>
    <xf numFmtId="49" fontId="27" fillId="0" borderId="1" xfId="0" applyNumberFormat="1" applyFont="1" applyBorder="1" applyAlignment="1">
      <alignment horizontal="center"/>
    </xf>
    <xf numFmtId="49" fontId="30" fillId="0" borderId="1" xfId="3" applyNumberFormat="1" applyFon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14" fontId="30" fillId="0" borderId="1" xfId="3" applyNumberFormat="1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wrapText="1"/>
    </xf>
    <xf numFmtId="14" fontId="27" fillId="0" borderId="1" xfId="0" applyNumberFormat="1" applyFont="1" applyBorder="1" applyAlignment="1" applyProtection="1">
      <alignment horizontal="center" vertical="center"/>
      <protection locked="0" hidden="1"/>
    </xf>
    <xf numFmtId="2" fontId="27" fillId="0" borderId="1" xfId="0" applyNumberFormat="1" applyFont="1" applyBorder="1" applyAlignment="1" applyProtection="1">
      <alignment horizontal="center" vertical="center"/>
      <protection locked="0" hidden="1"/>
    </xf>
    <xf numFmtId="0" fontId="37" fillId="0" borderId="1" xfId="0" applyFont="1" applyBorder="1" applyAlignment="1" applyProtection="1">
      <alignment horizontal="center" vertical="center"/>
      <protection locked="0" hidden="1"/>
    </xf>
    <xf numFmtId="0" fontId="42" fillId="0" borderId="1" xfId="0" applyFont="1" applyBorder="1" applyAlignment="1" applyProtection="1">
      <alignment horizontal="center" vertical="center"/>
      <protection locked="0"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Protection="1">
      <protection hidden="1"/>
    </xf>
    <xf numFmtId="0" fontId="27" fillId="0" borderId="1" xfId="0" applyFont="1" applyBorder="1" applyAlignment="1" applyProtection="1">
      <alignment horizontal="left"/>
      <protection hidden="1"/>
    </xf>
    <xf numFmtId="49" fontId="30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2" xfId="0" applyFont="1" applyBorder="1" applyAlignment="1" applyProtection="1">
      <alignment horizontal="center" vertical="center"/>
      <protection locked="0" hidden="1"/>
    </xf>
    <xf numFmtId="0" fontId="27" fillId="0" borderId="2" xfId="0" applyFont="1" applyBorder="1" applyAlignment="1" applyProtection="1">
      <alignment horizontal="center" vertical="center"/>
      <protection locked="0" hidden="1"/>
    </xf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 applyProtection="1">
      <alignment horizontal="center" vertical="center"/>
      <protection locked="0" hidden="1"/>
    </xf>
    <xf numFmtId="0" fontId="35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 applyProtection="1">
      <alignment horizontal="center" vertical="center" wrapText="1"/>
      <protection locked="0" hidden="1"/>
    </xf>
    <xf numFmtId="0" fontId="27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49" fontId="28" fillId="0" borderId="5" xfId="0" applyNumberFormat="1" applyFont="1" applyBorder="1" applyAlignment="1" applyProtection="1">
      <alignment horizontal="center" vertical="center"/>
      <protection locked="0" hidden="1"/>
    </xf>
    <xf numFmtId="0" fontId="28" fillId="0" borderId="6" xfId="0" applyFont="1" applyBorder="1" applyAlignment="1" applyProtection="1">
      <alignment horizontal="center" vertical="center"/>
      <protection locked="0" hidden="1"/>
    </xf>
    <xf numFmtId="0" fontId="27" fillId="0" borderId="10" xfId="0" applyFont="1" applyBorder="1" applyAlignment="1" applyProtection="1">
      <alignment horizontal="center" vertical="center"/>
      <protection locked="0" hidden="1"/>
    </xf>
    <xf numFmtId="14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11" xfId="0" applyFont="1" applyBorder="1" applyAlignment="1" applyProtection="1">
      <alignment horizontal="center" vertical="center"/>
      <protection locked="0" hidden="1"/>
    </xf>
    <xf numFmtId="0" fontId="37" fillId="0" borderId="11" xfId="0" applyFont="1" applyBorder="1" applyAlignment="1" applyProtection="1">
      <alignment horizontal="center" vertical="center"/>
      <protection locked="0" hidden="1"/>
    </xf>
    <xf numFmtId="49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 applyProtection="1">
      <alignment horizontal="center" vertical="center"/>
      <protection locked="0" hidden="1"/>
    </xf>
    <xf numFmtId="49" fontId="17" fillId="0" borderId="8" xfId="1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14" fontId="17" fillId="0" borderId="8" xfId="0" applyNumberFormat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 shrinkToFit="1"/>
    </xf>
    <xf numFmtId="49" fontId="17" fillId="0" borderId="5" xfId="1" applyNumberFormat="1" applyFont="1" applyBorder="1" applyAlignment="1">
      <alignment horizontal="center" vertical="center" shrinkToFit="1"/>
    </xf>
    <xf numFmtId="1" fontId="17" fillId="0" borderId="5" xfId="1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center" vertical="top" shrinkToFit="1"/>
    </xf>
    <xf numFmtId="49" fontId="17" fillId="0" borderId="5" xfId="1" applyNumberFormat="1" applyFont="1" applyBorder="1" applyAlignment="1">
      <alignment horizontal="center" vertical="center"/>
    </xf>
    <xf numFmtId="49" fontId="17" fillId="0" borderId="6" xfId="1" applyNumberFormat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16" fillId="0" borderId="1" xfId="1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1" xfId="2" applyNumberFormat="1" applyFont="1" applyBorder="1" applyAlignment="1">
      <alignment horizontal="center" vertical="center"/>
    </xf>
    <xf numFmtId="49" fontId="16" fillId="0" borderId="1" xfId="1" applyNumberFormat="1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top"/>
    </xf>
    <xf numFmtId="0" fontId="23" fillId="0" borderId="3" xfId="0" applyFont="1" applyBorder="1" applyAlignment="1">
      <alignment horizontal="center"/>
    </xf>
    <xf numFmtId="49" fontId="17" fillId="0" borderId="1" xfId="1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49" fontId="16" fillId="0" borderId="1" xfId="2" applyNumberFormat="1" applyFont="1" applyBorder="1" applyAlignment="1" applyProtection="1">
      <alignment horizontal="center" vertical="center"/>
      <protection locked="0" hidden="1"/>
    </xf>
    <xf numFmtId="14" fontId="19" fillId="0" borderId="1" xfId="0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6" fillId="0" borderId="10" xfId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top"/>
    </xf>
    <xf numFmtId="49" fontId="16" fillId="0" borderId="7" xfId="0" applyNumberFormat="1" applyFont="1" applyBorder="1" applyAlignment="1">
      <alignment horizontal="center" vertical="center"/>
    </xf>
    <xf numFmtId="49" fontId="17" fillId="0" borderId="8" xfId="1" applyNumberFormat="1" applyFont="1" applyBorder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left" vertical="top" shrinkToFit="1"/>
    </xf>
    <xf numFmtId="14" fontId="17" fillId="0" borderId="8" xfId="0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left" vertical="top" shrinkToFit="1"/>
    </xf>
    <xf numFmtId="49" fontId="17" fillId="0" borderId="1" xfId="1" applyNumberFormat="1" applyFont="1" applyBorder="1" applyAlignment="1">
      <alignment horizontal="center" vertical="center" shrinkToFit="1"/>
    </xf>
    <xf numFmtId="0" fontId="16" fillId="0" borderId="2" xfId="1" applyFont="1" applyBorder="1" applyAlignment="1">
      <alignment horizontal="center" vertical="center" shrinkToFit="1"/>
    </xf>
    <xf numFmtId="49" fontId="16" fillId="0" borderId="1" xfId="1" applyNumberFormat="1" applyFont="1" applyBorder="1" applyAlignment="1">
      <alignment horizontal="center" vertical="center" shrinkToFit="1"/>
    </xf>
    <xf numFmtId="0" fontId="16" fillId="0" borderId="1" xfId="1" applyFont="1" applyBorder="1" applyAlignment="1">
      <alignment horizontal="center" vertical="center" shrinkToFit="1"/>
    </xf>
    <xf numFmtId="14" fontId="16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14" fontId="16" fillId="0" borderId="1" xfId="0" applyNumberFormat="1" applyFont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top" shrinkToFit="1"/>
    </xf>
    <xf numFmtId="49" fontId="22" fillId="0" borderId="1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shrinkToFit="1"/>
    </xf>
    <xf numFmtId="49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16" fillId="0" borderId="1" xfId="2" applyNumberFormat="1" applyFont="1" applyBorder="1" applyAlignment="1">
      <alignment horizontal="center" vertical="center" shrinkToFit="1"/>
    </xf>
    <xf numFmtId="49" fontId="19" fillId="0" borderId="1" xfId="1" applyNumberFormat="1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justify" vertical="center" shrinkToFit="1"/>
    </xf>
    <xf numFmtId="0" fontId="16" fillId="0" borderId="3" xfId="1" applyFont="1" applyBorder="1" applyAlignment="1">
      <alignment horizontal="left" vertical="center" shrinkToFit="1"/>
    </xf>
    <xf numFmtId="0" fontId="16" fillId="0" borderId="1" xfId="0" applyFont="1" applyBorder="1" applyAlignment="1">
      <alignment horizontal="left" vertical="top" shrinkToFit="1"/>
    </xf>
    <xf numFmtId="49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66" fontId="16" fillId="0" borderId="1" xfId="0" applyNumberFormat="1" applyFont="1" applyBorder="1" applyAlignment="1">
      <alignment horizontal="center" vertical="center" shrinkToFit="1"/>
    </xf>
    <xf numFmtId="0" fontId="16" fillId="0" borderId="10" xfId="1" applyFont="1" applyBorder="1" applyAlignment="1">
      <alignment horizontal="center" vertical="center" shrinkToFit="1"/>
    </xf>
    <xf numFmtId="49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16" fillId="0" borderId="11" xfId="0" applyFont="1" applyBorder="1" applyAlignment="1">
      <alignment horizontal="center" vertical="center" shrinkToFit="1"/>
    </xf>
    <xf numFmtId="14" fontId="16" fillId="0" borderId="11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left" vertical="top" shrinkToFit="1"/>
    </xf>
    <xf numFmtId="49" fontId="16" fillId="0" borderId="11" xfId="0" applyNumberFormat="1" applyFont="1" applyBorder="1" applyAlignment="1">
      <alignment horizontal="center" vertical="center" shrinkToFit="1"/>
    </xf>
    <xf numFmtId="166" fontId="30" fillId="0" borderId="1" xfId="3" applyNumberFormat="1" applyFont="1" applyBorder="1" applyAlignment="1" applyProtection="1">
      <alignment horizontal="center" vertical="center"/>
      <protection locked="0" hidden="1"/>
    </xf>
    <xf numFmtId="166" fontId="27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0" applyNumberFormat="1" applyFont="1" applyBorder="1" applyAlignment="1" applyProtection="1">
      <alignment horizontal="center" vertical="center"/>
      <protection locked="0" hidden="1"/>
    </xf>
    <xf numFmtId="14" fontId="46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1" xfId="3" applyNumberFormat="1" applyFont="1" applyBorder="1" applyAlignment="1" applyProtection="1">
      <alignment horizontal="center" vertical="center"/>
      <protection locked="0" hidden="1"/>
    </xf>
    <xf numFmtId="0" fontId="46" fillId="0" borderId="1" xfId="0" applyFont="1" applyBorder="1" applyAlignment="1">
      <alignment horizontal="center"/>
    </xf>
    <xf numFmtId="166" fontId="38" fillId="0" borderId="1" xfId="3" applyNumberFormat="1" applyFont="1" applyBorder="1" applyAlignment="1" applyProtection="1">
      <alignment horizontal="center" vertical="center"/>
      <protection locked="0" hidden="1"/>
    </xf>
    <xf numFmtId="0" fontId="30" fillId="0" borderId="11" xfId="3" applyFont="1" applyBorder="1" applyAlignment="1" applyProtection="1">
      <alignment horizontal="center" vertical="center"/>
      <protection locked="0" hidden="1"/>
    </xf>
    <xf numFmtId="0" fontId="46" fillId="5" borderId="1" xfId="0" applyFont="1" applyFill="1" applyBorder="1" applyAlignment="1" applyProtection="1">
      <alignment shrinkToFit="1"/>
      <protection hidden="1"/>
    </xf>
    <xf numFmtId="0" fontId="30" fillId="0" borderId="0" xfId="0" applyFont="1" applyAlignment="1" applyProtection="1">
      <alignment horizontal="center" vertical="center"/>
      <protection locked="0" hidden="1"/>
    </xf>
    <xf numFmtId="0" fontId="27" fillId="0" borderId="1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>
      <alignment horizontal="center"/>
    </xf>
    <xf numFmtId="0" fontId="38" fillId="0" borderId="2" xfId="0" applyFont="1" applyBorder="1" applyAlignment="1" applyProtection="1">
      <alignment horizontal="center" vertical="center"/>
      <protection locked="0" hidden="1"/>
    </xf>
    <xf numFmtId="0" fontId="50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1" applyNumberFormat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2" fillId="0" borderId="0" xfId="1" applyAlignment="1">
      <alignment horizontal="left"/>
    </xf>
    <xf numFmtId="0" fontId="18" fillId="0" borderId="1" xfId="0" applyFont="1" applyBorder="1" applyAlignment="1">
      <alignment horizontal="center" vertical="top"/>
    </xf>
    <xf numFmtId="14" fontId="16" fillId="0" borderId="11" xfId="1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52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0" applyNumberFormat="1" applyFont="1" applyFill="1" applyBorder="1" applyAlignment="1" applyProtection="1">
      <alignment horizontal="center" vertical="center"/>
      <protection locked="0" hidden="1"/>
    </xf>
    <xf numFmtId="49" fontId="51" fillId="0" borderId="1" xfId="1" applyNumberFormat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1" fontId="16" fillId="0" borderId="1" xfId="1" applyNumberFormat="1" applyFont="1" applyBorder="1" applyAlignment="1">
      <alignment horizontal="center" vertical="center" shrinkToFit="1"/>
    </xf>
    <xf numFmtId="1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2" applyNumberFormat="1" applyFont="1" applyBorder="1" applyAlignment="1">
      <alignment horizontal="center" vertical="center" shrinkToFit="1"/>
    </xf>
    <xf numFmtId="1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1" quotePrefix="1" applyNumberFormat="1" applyFont="1" applyBorder="1" applyAlignment="1">
      <alignment horizontal="center" vertical="center" shrinkToFit="1"/>
    </xf>
    <xf numFmtId="49" fontId="16" fillId="0" borderId="11" xfId="1" applyNumberFormat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top" shrinkToFit="1"/>
    </xf>
    <xf numFmtId="0" fontId="25" fillId="0" borderId="0" xfId="0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25" fillId="0" borderId="1" xfId="0" applyFont="1" applyBorder="1"/>
    <xf numFmtId="0" fontId="53" fillId="11" borderId="0" xfId="0" applyFont="1" applyFill="1" applyAlignment="1">
      <alignment horizontal="left" vertical="center" wrapText="1" indent="1"/>
    </xf>
    <xf numFmtId="0" fontId="0" fillId="0" borderId="5" xfId="0" applyBorder="1"/>
    <xf numFmtId="0" fontId="0" fillId="0" borderId="11" xfId="0" applyBorder="1"/>
    <xf numFmtId="0" fontId="0" fillId="0" borderId="4" xfId="0" applyBorder="1" applyAlignment="1">
      <alignment horizontal="center"/>
    </xf>
    <xf numFmtId="14" fontId="0" fillId="0" borderId="1" xfId="0" applyNumberFormat="1" applyBorder="1"/>
    <xf numFmtId="0" fontId="0" fillId="0" borderId="7" xfId="0" applyBorder="1"/>
    <xf numFmtId="0" fontId="0" fillId="0" borderId="10" xfId="0" applyBorder="1"/>
    <xf numFmtId="49" fontId="0" fillId="0" borderId="11" xfId="0" applyNumberFormat="1" applyBorder="1"/>
    <xf numFmtId="14" fontId="0" fillId="0" borderId="11" xfId="0" applyNumberFormat="1" applyBorder="1"/>
    <xf numFmtId="0" fontId="53" fillId="0" borderId="0" xfId="0" applyFont="1"/>
    <xf numFmtId="49" fontId="0" fillId="0" borderId="1" xfId="0" applyNumberFormat="1" applyBorder="1" applyAlignment="1" applyProtection="1">
      <alignment vertical="center" shrinkToFit="1"/>
      <protection locked="0" hidden="1"/>
    </xf>
    <xf numFmtId="0" fontId="0" fillId="0" borderId="11" xfId="0" applyBorder="1" applyAlignment="1">
      <alignment horizontal="right"/>
    </xf>
    <xf numFmtId="0" fontId="0" fillId="0" borderId="0" xfId="0" applyAlignment="1">
      <alignment horizontal="center"/>
    </xf>
    <xf numFmtId="0" fontId="56" fillId="0" borderId="0" xfId="0" applyFont="1"/>
    <xf numFmtId="0" fontId="0" fillId="0" borderId="3" xfId="0" applyBorder="1"/>
    <xf numFmtId="49" fontId="0" fillId="0" borderId="0" xfId="0" applyNumberFormat="1"/>
    <xf numFmtId="49" fontId="0" fillId="0" borderId="1" xfId="0" quotePrefix="1" applyNumberFormat="1" applyBorder="1"/>
    <xf numFmtId="0" fontId="0" fillId="12" borderId="10" xfId="0" applyFill="1" applyBorder="1"/>
    <xf numFmtId="49" fontId="0" fillId="12" borderId="1" xfId="0" applyNumberFormat="1" applyFill="1" applyBorder="1"/>
    <xf numFmtId="0" fontId="0" fillId="12" borderId="1" xfId="0" applyFill="1" applyBorder="1"/>
    <xf numFmtId="49" fontId="27" fillId="0" borderId="1" xfId="0" applyNumberFormat="1" applyFont="1" applyBorder="1" applyAlignment="1" applyProtection="1">
      <alignment horizontal="center" vertical="center" shrinkToFit="1"/>
      <protection locked="0" hidden="1"/>
    </xf>
    <xf numFmtId="49" fontId="0" fillId="0" borderId="1" xfId="0" applyNumberFormat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14" fontId="0" fillId="12" borderId="1" xfId="0" applyNumberForma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8" borderId="10" xfId="0" applyFill="1" applyBorder="1"/>
    <xf numFmtId="49" fontId="0" fillId="8" borderId="1" xfId="0" applyNumberFormat="1" applyFill="1" applyBorder="1"/>
    <xf numFmtId="0" fontId="0" fillId="8" borderId="1" xfId="0" applyFill="1" applyBorder="1"/>
    <xf numFmtId="49" fontId="0" fillId="0" borderId="0" xfId="0" quotePrefix="1" applyNumberFormat="1"/>
    <xf numFmtId="0" fontId="0" fillId="13" borderId="10" xfId="0" applyFill="1" applyBorder="1"/>
    <xf numFmtId="49" fontId="0" fillId="13" borderId="1" xfId="0" applyNumberFormat="1" applyFill="1" applyBorder="1"/>
    <xf numFmtId="0" fontId="0" fillId="13" borderId="1" xfId="0" applyFill="1" applyBorder="1"/>
    <xf numFmtId="14" fontId="0" fillId="13" borderId="1" xfId="0" applyNumberFormat="1" applyFill="1" applyBorder="1"/>
    <xf numFmtId="0" fontId="0" fillId="13" borderId="3" xfId="0" applyFill="1" applyBorder="1"/>
    <xf numFmtId="0" fontId="57" fillId="0" borderId="11" xfId="0" applyFont="1" applyBorder="1"/>
    <xf numFmtId="0" fontId="12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8" fillId="6" borderId="1" xfId="0" applyFont="1" applyFill="1" applyBorder="1" applyAlignment="1" applyProtection="1">
      <alignment horizontal="center" vertical="center"/>
      <protection locked="0" hidden="1"/>
    </xf>
  </cellXfs>
  <cellStyles count="8">
    <cellStyle name="Énfasis2 2" xfId="4" xr:uid="{81C9CA0C-8349-4898-A71F-6146966098E1}"/>
    <cellStyle name="Hipervínculo 2" xfId="6" xr:uid="{671C0E7D-1482-4542-9E1D-D846D6B5E30B}"/>
    <cellStyle name="Moneda" xfId="5" builtinId="4"/>
    <cellStyle name="Moneda 2" xfId="7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  <cellStyle name="Normal_Hoja2" xfId="3" xr:uid="{0A17DFE8-3C9E-4180-9ECE-52D7566809B9}"/>
  </cellStyles>
  <dxfs count="164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8F45C7"/>
        </patternFill>
      </fill>
    </dxf>
    <dxf>
      <fill>
        <patternFill>
          <bgColor theme="9" tint="0.79998168889431442"/>
        </patternFill>
      </fill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482DA"/>
      <color rgb="FF8F45C7"/>
      <color rgb="FFA568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16470" dataDxfId="16468" headerRowBorderDxfId="16469" tableBorderDxfId="16467" totalsRowBorderDxfId="16466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16465" dataCellStyle="Normal 3"/>
    <tableColumn id="2" xr3:uid="{E219A0EC-2AE5-41A3-B294-8798E511DE56}" name="CARPETA" dataDxfId="16464" dataCellStyle="Normal 3"/>
    <tableColumn id="3" xr3:uid="{2EB1C178-D0EA-4D24-B9C7-66E0B6240745}" name="PROCESO" dataDxfId="16463" dataCellStyle="Normal 3"/>
    <tableColumn id="4" xr3:uid="{1D4B1FCC-A323-4A2F-A476-4075A1FB4BB6}" name="FECHA ENVIO " dataDxfId="16462"/>
    <tableColumn id="5" xr3:uid="{E54CC080-98A4-4AC4-B8DC-7477164372F4}" name="ULTIMO ESTADO" dataDxfId="16461"/>
    <tableColumn id="6" xr3:uid="{2776286E-73BB-467C-B405-6982671AC143}" name="VENCE " dataDxfId="16460"/>
    <tableColumn id="7" xr3:uid="{33C78B8F-4C42-48AD-93AF-775A3FCD272A}" name="VENCIMIENTO " dataDxfId="16459">
      <calculatedColumnFormula>IF(Tabla32[[#This Row],[VENCE ]]="","",E4+F4)</calculatedColumnFormula>
    </tableColumn>
    <tableColumn id="8" xr3:uid="{C1A477FD-E163-4926-8CD9-098A9F8F4D64}" name="ALERTA " dataDxfId="16458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16457">
      <calculatedColumnFormula>G4-$A$2</calculatedColumnFormula>
    </tableColumn>
    <tableColumn id="10" xr3:uid="{DF794602-0F88-4169-AA7B-A5B45A0F1E3F}" name="OBSERVACIONES " dataDxfId="16456"/>
    <tableColumn id="11" xr3:uid="{AE71A929-2384-4501-8C77-72F2DF296048}" name="FECHA" dataDxfId="16455"/>
    <tableColumn id="12" xr3:uid="{6700F719-2F67-40CB-A002-59F530693B72}" name="ACTUACIÓN " dataDxfId="164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16438" dataDxfId="16436" headerRowBorderDxfId="16437" tableBorderDxfId="16435" totalsRowBorderDxfId="16434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6433" dataCellStyle="Normal 3"/>
    <tableColumn id="2" xr3:uid="{13D154DE-C62F-4D70-B7F4-9E7D6C9DE2B3}" name="CARPETA" dataDxfId="16432" dataCellStyle="Normal 3"/>
    <tableColumn id="3" xr3:uid="{39FB530D-8F6C-4BEA-8580-CDFB9F449BF1}" name="PROCESO" dataDxfId="16431" dataCellStyle="Normal 3"/>
    <tableColumn id="4" xr3:uid="{5DD41BC8-CCA0-40A0-89F8-50650366F88A}" name="FECHA ENVIO " dataDxfId="16430"/>
    <tableColumn id="5" xr3:uid="{6338B4A9-BC0F-4E98-B956-EC6A9B088D98}" name="ULTIMO ESTADO" dataDxfId="16429"/>
    <tableColumn id="6" xr3:uid="{D16904E9-31C0-4010-977E-103CB292AB57}" name="VENCE " dataDxfId="16428"/>
    <tableColumn id="7" xr3:uid="{BD55EC89-D789-47E9-99FA-78570CC92AF7}" name="VENCIMIENTO " dataDxfId="16427">
      <calculatedColumnFormula>F4+G4</calculatedColumnFormula>
    </tableColumn>
    <tableColumn id="8" xr3:uid="{F8BCD4D1-2307-405F-9E36-DFD8E8FB5850}" name="ALERTA " dataDxfId="16426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16425">
      <calculatedColumnFormula>H4-$B$2</calculatedColumnFormula>
    </tableColumn>
    <tableColumn id="10" xr3:uid="{DE06937F-35AE-4781-A38D-6DD61EEC89FC}" name="OBSERVACIONES " dataDxfId="16424"/>
    <tableColumn id="11" xr3:uid="{855E74BF-77BF-4AB3-A8E6-85DF3D25090E}" name="Columna1" dataDxfId="164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XFD790" totalsRowShown="0" headerRowDxfId="16418">
  <autoFilter ref="A1:XFD790" xr:uid="{222BEDDD-4C2B-4A66-AE41-353843C95761}"/>
  <tableColumns count="16384">
    <tableColumn id="1" xr3:uid="{6D167436-983F-4A93-93E9-679BE1AE1CB1}" name="CARPETA" dataDxfId="16417"/>
    <tableColumn id="2" xr3:uid="{67C078E8-77EC-47DB-B553-1E788FC86705}" name="NUMERO DE RADICACION" dataDxfId="16416"/>
    <tableColumn id="3" xr3:uid="{A4845B3D-C593-4EE3-B6F2-B6EE96787A57}" name="JUZGADO" dataDxfId="16415"/>
    <tableColumn id="4" xr3:uid="{02F5A759-1026-4015-876B-9BB4E25E80AF}" name="FECHA ULTIMA ACTUACION" dataDxfId="16414"/>
    <tableColumn id="5" xr3:uid="{44B53503-9783-4324-9365-A10C2B050E1F}" name="OBSERVACION" dataDxfId="16413"/>
    <tableColumn id="6" xr3:uid="{DB35F74D-943A-476F-8A98-DCA281ACAD36}" name="CONSULTADO" dataDxfId="16412"/>
    <tableColumn id="7" xr3:uid="{DAFF72C6-B094-4BB3-98AC-30A46258DA9D}" name="Columna1" dataDxfId="16411"/>
    <tableColumn id="8" xr3:uid="{A7B590BA-A6D0-41CA-B503-C76EEA63BA42}" name="Columna2" dataDxfId="16410"/>
    <tableColumn id="9" xr3:uid="{373FC9E6-8E84-4774-B2FF-56F760AF8DFC}" name="Columna3" dataDxfId="16409"/>
    <tableColumn id="10" xr3:uid="{D35CAA92-BA7E-41A3-8C49-6DE14FEDAC7A}" name="Columna4" dataDxfId="16408"/>
    <tableColumn id="11" xr3:uid="{2539E450-978C-4234-9644-454646EA9912}" name="Columna5" dataDxfId="16407"/>
    <tableColumn id="12" xr3:uid="{FE259D15-0DB9-4FDE-A79A-09606324D31B}" name="Columna6" dataDxfId="16406"/>
    <tableColumn id="13" xr3:uid="{B698CCAC-A908-409A-BAAA-F2D74D227F5C}" name="Columna7" dataDxfId="16405"/>
    <tableColumn id="14" xr3:uid="{736A93D3-1B25-4210-BBD8-F96937BD1CA2}" name="Columna8" dataDxfId="16404"/>
    <tableColumn id="15" xr3:uid="{8481720F-BB91-483E-96E8-2B69B06119A6}" name="Columna9" dataDxfId="16403"/>
    <tableColumn id="16" xr3:uid="{29414D7D-1899-42D8-8D82-B65042B95906}" name="Columna10" dataDxfId="16402"/>
    <tableColumn id="17" xr3:uid="{11F822B2-C4B9-4AEB-93ED-B578FAAFD5A1}" name="Columna11" dataDxfId="16401"/>
    <tableColumn id="18" xr3:uid="{C668071B-131C-472A-8F75-08E4D096AB61}" name="Columna12" dataDxfId="16400"/>
    <tableColumn id="19" xr3:uid="{4CCA0D64-B357-487B-8B88-16993B21C7E5}" name="Columna13" dataDxfId="16399"/>
    <tableColumn id="20" xr3:uid="{BB482F75-54B7-4EEE-BF26-BD1F26043308}" name="Columna14" dataDxfId="16398"/>
    <tableColumn id="21" xr3:uid="{CFC3DA7D-C7B8-4B6A-89F9-8B627C495841}" name="Columna15" dataDxfId="16397"/>
    <tableColumn id="22" xr3:uid="{8D7FC936-107D-44E1-9EC1-0D82DD902286}" name="Columna16" dataDxfId="16396"/>
    <tableColumn id="23" xr3:uid="{3241A872-B37A-4565-AB8F-702608B8122D}" name="Columna17" dataDxfId="16395"/>
    <tableColumn id="24" xr3:uid="{C0324C13-C257-48BC-83A9-9931D9E787A0}" name="Columna18" dataDxfId="16394"/>
    <tableColumn id="25" xr3:uid="{052F577B-0F30-4E56-A8E3-B23D0D3CB652}" name="Columna19" dataDxfId="16393"/>
    <tableColumn id="26" xr3:uid="{95DFB23D-D9D1-48B6-BA72-F03272C6E65C}" name="Columna20" dataDxfId="16392"/>
    <tableColumn id="27" xr3:uid="{CBA86D34-CC4E-4872-81B6-CF8EBFDE9C07}" name="Columna21" dataDxfId="16391"/>
    <tableColumn id="28" xr3:uid="{8648D9F2-AECE-4FAD-8BFA-155630C453F8}" name="Columna22" dataDxfId="16390"/>
    <tableColumn id="29" xr3:uid="{17D76C27-5551-4C59-9943-2680944CC6EB}" name="Columna23" dataDxfId="16389"/>
    <tableColumn id="30" xr3:uid="{005C435B-5966-4980-BC56-7DB2ACDB2999}" name="Columna24" dataDxfId="16388"/>
    <tableColumn id="31" xr3:uid="{34AE732E-8022-4883-9F46-D5127DBDCE2A}" name="Columna25" dataDxfId="16387"/>
    <tableColumn id="32" xr3:uid="{28008BD2-E693-48D9-BB1A-4B62E08DC1C0}" name="Columna26" dataDxfId="16386"/>
    <tableColumn id="33" xr3:uid="{1AC538F3-4646-4FD9-9967-B24B0FA49B05}" name="Columna27" dataDxfId="16385"/>
    <tableColumn id="34" xr3:uid="{773AF4A1-44C2-462C-BE6B-77CE5418E9C2}" name="Columna28" dataDxfId="16384"/>
    <tableColumn id="35" xr3:uid="{2FA600FA-2E81-438F-8ADE-E07ABC851A82}" name="Columna29" dataDxfId="16383"/>
    <tableColumn id="36" xr3:uid="{64774CB9-3F21-4056-BD2F-26679972059D}" name="Columna30" dataDxfId="16382"/>
    <tableColumn id="37" xr3:uid="{C6351C0A-97A5-4193-8DF6-AF7F5BD0D12E}" name="Columna31" dataDxfId="16381"/>
    <tableColumn id="38" xr3:uid="{682289D6-979F-4218-A796-0038495BBCF5}" name="Columna32" dataDxfId="16380"/>
    <tableColumn id="39" xr3:uid="{799E41F0-A4B0-4BE5-943E-B48158B6CDA8}" name="Columna33" dataDxfId="16379"/>
    <tableColumn id="40" xr3:uid="{3E1AF618-8330-40E4-A6B9-309C77374ADA}" name="Columna34" dataDxfId="16378"/>
    <tableColumn id="41" xr3:uid="{C4DC3E68-BA49-4E67-9A79-1791652E1F1C}" name="Columna35" dataDxfId="16377"/>
    <tableColumn id="42" xr3:uid="{676173DF-6366-4B63-9240-1052F5ECFA1A}" name="Columna36" dataDxfId="16376"/>
    <tableColumn id="43" xr3:uid="{CDFC3C6C-4F86-42E8-8BCF-E16576D7A90D}" name="Columna37" dataDxfId="16375"/>
    <tableColumn id="44" xr3:uid="{00A2954D-258D-4A59-AD66-497CA12DD122}" name="Columna38" dataDxfId="16374"/>
    <tableColumn id="45" xr3:uid="{B3CDEC70-EBDD-4029-A849-64FEBAE71B8F}" name="Columna39" dataDxfId="16373"/>
    <tableColumn id="46" xr3:uid="{8F695389-7814-48E8-A77E-EF60711AC127}" name="Columna40" dataDxfId="16372"/>
    <tableColumn id="47" xr3:uid="{1148EC15-532B-423C-9103-04B52F48A2F7}" name="Columna41" dataDxfId="16371"/>
    <tableColumn id="48" xr3:uid="{21607D64-02BB-4C29-B488-643FAFB8D927}" name="Columna42" dataDxfId="16370"/>
    <tableColumn id="49" xr3:uid="{56F98732-FB19-40A8-ADA1-FA8EA37C14A3}" name="Columna43" dataDxfId="16369"/>
    <tableColumn id="50" xr3:uid="{87410B5A-0BA7-46BF-80A2-269DFFAEBF0F}" name="Columna44" dataDxfId="16368"/>
    <tableColumn id="51" xr3:uid="{D63FCF7B-B74B-4AFF-9C6B-22DFEA8D9CE6}" name="Columna45" dataDxfId="16367"/>
    <tableColumn id="52" xr3:uid="{D1DC5CC2-F0D1-4622-8811-C28CF46BDE0C}" name="Columna46" dataDxfId="16366"/>
    <tableColumn id="53" xr3:uid="{68F7FDEA-B5AB-432D-B928-0F825BC3F1D9}" name="Columna47" dataDxfId="16365"/>
    <tableColumn id="54" xr3:uid="{E42F9573-CACB-4DCD-8CF4-D43C6FB8CBAE}" name="Columna48" dataDxfId="16364"/>
    <tableColumn id="55" xr3:uid="{A8F7D7A6-F7C0-40F7-8C74-072EC627F33B}" name="Columna49" dataDxfId="16363"/>
    <tableColumn id="56" xr3:uid="{7148BE33-3EDC-493C-8367-BFAF350EDE88}" name="Columna50" dataDxfId="16362"/>
    <tableColumn id="57" xr3:uid="{32461D41-8A96-47EB-92B4-0628284B6FFC}" name="Columna51" dataDxfId="16361"/>
    <tableColumn id="58" xr3:uid="{CA27598F-141C-4225-8E98-63B53C851EFB}" name="Columna52" dataDxfId="16360"/>
    <tableColumn id="59" xr3:uid="{C31ECADF-AEBC-47C8-9354-B6587064ADC1}" name="Columna53" dataDxfId="16359"/>
    <tableColumn id="60" xr3:uid="{6009FB2A-BB59-4034-A4AC-81146FFD878A}" name="Columna54" dataDxfId="16358"/>
    <tableColumn id="61" xr3:uid="{A3A6EC6B-02BC-461A-A936-3FEA354D4534}" name="Columna55" dataDxfId="16357"/>
    <tableColumn id="62" xr3:uid="{A5E17C57-ACF0-4821-8559-A37146C8F715}" name="Columna56" dataDxfId="16356"/>
    <tableColumn id="63" xr3:uid="{FBA5EEC7-6F54-4D7F-8842-2B032CC45260}" name="Columna57" dataDxfId="16355"/>
    <tableColumn id="64" xr3:uid="{9DD77D27-2145-40E6-BF2E-46A3A832F61C}" name="Columna58" dataDxfId="16354"/>
    <tableColumn id="65" xr3:uid="{2F3814FF-B59D-465A-B3CB-BDDDCC6E2406}" name="Columna59" dataDxfId="16353"/>
    <tableColumn id="66" xr3:uid="{AA04FB96-7D23-4437-A765-8CD029C6B521}" name="Columna60" dataDxfId="16352"/>
    <tableColumn id="67" xr3:uid="{AAE3A63F-D6B2-42E2-97E7-0A7268656848}" name="Columna61" dataDxfId="16351"/>
    <tableColumn id="68" xr3:uid="{9B44E048-C6B4-4081-8B73-D0D47EB2D72B}" name="Columna62" dataDxfId="16350"/>
    <tableColumn id="69" xr3:uid="{2F2FE150-B73C-4F6F-8B09-E1DE9A96E1FA}" name="Columna63" dataDxfId="16349"/>
    <tableColumn id="70" xr3:uid="{90CF609B-8D07-4F1D-9A80-39DE20926BAC}" name="Columna64" dataDxfId="16348"/>
    <tableColumn id="71" xr3:uid="{A5504CC2-7012-45B9-B773-2BD295F0CD87}" name="Columna65" dataDxfId="16347"/>
    <tableColumn id="72" xr3:uid="{00AA5064-E3FC-458C-AB71-04421B577ABD}" name="Columna66" dataDxfId="16346"/>
    <tableColumn id="73" xr3:uid="{71A7EF5B-E0E3-405C-9329-9B8F35840A4E}" name="Columna67" dataDxfId="16345"/>
    <tableColumn id="74" xr3:uid="{2DFA2635-C386-4132-BAD5-D23B4D8496EB}" name="Columna68" dataDxfId="16344"/>
    <tableColumn id="75" xr3:uid="{456C172C-7DF8-4226-879E-74ED0AD084BE}" name="Columna69" dataDxfId="16343"/>
    <tableColumn id="76" xr3:uid="{F7F992AE-E271-46DC-BB66-93B41B241DF2}" name="Columna70" dataDxfId="16342"/>
    <tableColumn id="77" xr3:uid="{1AB8F24C-4853-4473-AECB-95EFD4B485B3}" name="Columna71" dataDxfId="16341"/>
    <tableColumn id="78" xr3:uid="{0740FB30-0294-456B-8B6E-49920267FCDD}" name="Columna72" dataDxfId="16340"/>
    <tableColumn id="79" xr3:uid="{C385CE11-79BA-45BF-8A02-10F2D30DCD33}" name="Columna73" dataDxfId="16339"/>
    <tableColumn id="80" xr3:uid="{19EEEFA7-DF05-413A-BE3B-42524165781A}" name="Columna74" dataDxfId="16338"/>
    <tableColumn id="81" xr3:uid="{38B33596-3E54-4E05-83F2-1A049D722D4D}" name="Columna75" dataDxfId="16337"/>
    <tableColumn id="82" xr3:uid="{D6D39F45-4599-476C-BD11-AF3BA6FE3BA0}" name="Columna76" dataDxfId="16336"/>
    <tableColumn id="83" xr3:uid="{7402B9E3-C0F5-4E8F-BD53-13E7507EA7A4}" name="Columna77" dataDxfId="16335"/>
    <tableColumn id="84" xr3:uid="{55E9F7FF-093B-4B7B-9727-A395D337E55D}" name="Columna78" dataDxfId="16334"/>
    <tableColumn id="85" xr3:uid="{60926A23-5013-4D1B-8E5E-B77F8C496B72}" name="Columna79" dataDxfId="16333"/>
    <tableColumn id="86" xr3:uid="{5E39BCA4-854F-4142-A4C5-A8FEFE0D8A11}" name="Columna80" dataDxfId="16332"/>
    <tableColumn id="87" xr3:uid="{5791C323-06D6-450E-AD79-6EDC0A1FAC00}" name="Columna81" dataDxfId="16331"/>
    <tableColumn id="88" xr3:uid="{E4B98C70-972B-48F3-A84C-7B4DA99DECBA}" name="Columna82" dataDxfId="16330"/>
    <tableColumn id="89" xr3:uid="{46F3D2D7-5CA3-47C5-9511-0D7F168FE888}" name="Columna83" dataDxfId="16329"/>
    <tableColumn id="90" xr3:uid="{3B6E52D8-A35E-4F6C-86F4-36FC27361DFA}" name="Columna84" dataDxfId="16328"/>
    <tableColumn id="91" xr3:uid="{8B06896B-F6E5-4429-88B2-916893C90A65}" name="Columna85" dataDxfId="16327"/>
    <tableColumn id="92" xr3:uid="{CA131461-B442-4E36-BF37-4D6574A3F42D}" name="Columna86" dataDxfId="16326"/>
    <tableColumn id="93" xr3:uid="{2F1465C1-FEF1-437B-9461-470539A6A576}" name="Columna87" dataDxfId="16325"/>
    <tableColumn id="94" xr3:uid="{B6E068B4-2E8C-4B84-8BB6-122758BD6527}" name="Columna88" dataDxfId="16324"/>
    <tableColumn id="95" xr3:uid="{4BBDF0E2-2E29-48DB-86CF-DB733B03A887}" name="Columna89" dataDxfId="16323"/>
    <tableColumn id="96" xr3:uid="{21E5E1A0-84DF-496F-8861-02459FC4B83E}" name="Columna90" dataDxfId="16322"/>
    <tableColumn id="97" xr3:uid="{2C6445B6-45C1-4A3F-A760-FE9C18EB44B2}" name="Columna91" dataDxfId="16321"/>
    <tableColumn id="98" xr3:uid="{9E0DC9BE-0562-4FF0-B5F0-0BDE5200D027}" name="Columna92" dataDxfId="16320"/>
    <tableColumn id="99" xr3:uid="{63652212-A91B-474E-985D-0FD2453BF5CB}" name="Columna93" dataDxfId="16319"/>
    <tableColumn id="100" xr3:uid="{F6E0EAE7-0025-492E-B333-8C8A6865D132}" name="Columna94" dataDxfId="16318"/>
    <tableColumn id="101" xr3:uid="{41B8C150-E824-4996-B423-5571FC895165}" name="Columna95" dataDxfId="16317"/>
    <tableColumn id="102" xr3:uid="{DD79120E-E2B2-4670-BB54-FE0E1C4511EA}" name="Columna96" dataDxfId="16316"/>
    <tableColumn id="103" xr3:uid="{C497411A-CDFB-49C2-8776-21E5B0B1A2D4}" name="Columna97" dataDxfId="16315"/>
    <tableColumn id="104" xr3:uid="{AA6B3CE8-FEAE-4A2B-8BE1-DE04BCEE7421}" name="Columna98" dataDxfId="16314"/>
    <tableColumn id="105" xr3:uid="{ACEEA8FB-9BCA-4996-9292-08A7FE54AAF4}" name="Columna99" dataDxfId="16313"/>
    <tableColumn id="106" xr3:uid="{54ADD339-7D72-40B8-9BA0-32E6210539EA}" name="Columna100" dataDxfId="16312"/>
    <tableColumn id="107" xr3:uid="{02CD0FF2-C1E0-42F7-86AD-08D1E3347438}" name="Columna101" dataDxfId="16311"/>
    <tableColumn id="108" xr3:uid="{E01E621E-184E-46E3-8783-E05A78D8FB44}" name="Columna102" dataDxfId="16310"/>
    <tableColumn id="109" xr3:uid="{96D307A2-6666-46BF-9C80-523A04098391}" name="Columna103" dataDxfId="16309"/>
    <tableColumn id="110" xr3:uid="{D60EAF9D-5392-4909-99A9-F4F12C1B1D64}" name="Columna104" dataDxfId="16308"/>
    <tableColumn id="111" xr3:uid="{A4106D22-B798-4A34-A608-B3CDA67563C4}" name="Columna105" dataDxfId="16307"/>
    <tableColumn id="112" xr3:uid="{BCC23D97-5ABB-4FEC-B237-A7CD37410ED2}" name="Columna106" dataDxfId="16306"/>
    <tableColumn id="113" xr3:uid="{DAABA2F0-187B-4593-9177-B6705FDB76CB}" name="Columna107" dataDxfId="16305"/>
    <tableColumn id="114" xr3:uid="{B12D664B-185C-4172-BE90-C060EF58DDEE}" name="Columna108" dataDxfId="16304"/>
    <tableColumn id="115" xr3:uid="{35522CA7-E5A3-4A63-9506-64DE80E90A2E}" name="Columna109" dataDxfId="16303"/>
    <tableColumn id="116" xr3:uid="{204B2A59-2FDD-4597-9D99-C1165A028C28}" name="Columna110" dataDxfId="16302"/>
    <tableColumn id="117" xr3:uid="{568D8874-6FD1-4A4C-AB59-DE30EC96E332}" name="Columna111" dataDxfId="16301"/>
    <tableColumn id="118" xr3:uid="{598A1915-E116-4002-82F0-2E2FCD97AC60}" name="Columna112" dataDxfId="16300"/>
    <tableColumn id="119" xr3:uid="{A9CE2E1B-8BF0-4194-98AC-8978B9F5D154}" name="Columna113" dataDxfId="16299"/>
    <tableColumn id="120" xr3:uid="{314C4F93-50B6-4DEB-A163-A6FE6C487F11}" name="Columna114" dataDxfId="16298"/>
    <tableColumn id="121" xr3:uid="{15A44CE8-4478-4AAC-9890-641561B17F90}" name="Columna115" dataDxfId="16297"/>
    <tableColumn id="122" xr3:uid="{847B9B9B-B4A6-4B68-BC18-D56B4EDF7B10}" name="Columna116" dataDxfId="16296"/>
    <tableColumn id="123" xr3:uid="{75A397C2-4487-4124-8149-DE2C55759E88}" name="Columna117" dataDxfId="16295"/>
    <tableColumn id="124" xr3:uid="{6E584C35-5993-4922-ADB3-453E06A85C99}" name="Columna118" dataDxfId="16294"/>
    <tableColumn id="125" xr3:uid="{40663F73-302B-4B46-A7E2-937834815AF8}" name="Columna119" dataDxfId="16293"/>
    <tableColumn id="126" xr3:uid="{7FA54E89-E6DD-4CA0-AB8B-0FF7DF27F02C}" name="Columna120" dataDxfId="16292"/>
    <tableColumn id="127" xr3:uid="{05D382AB-0C3E-4A04-A91E-FAE2624712F3}" name="Columna121" dataDxfId="16291"/>
    <tableColumn id="128" xr3:uid="{F583D375-3E58-43B5-950C-C9CB90253A52}" name="Columna122" dataDxfId="16290"/>
    <tableColumn id="129" xr3:uid="{6ABCEA77-833F-46EC-9558-C34D4D275C39}" name="Columna123" dataDxfId="16289"/>
    <tableColumn id="130" xr3:uid="{DDA4041E-35D1-4FE0-994A-A46195EA2120}" name="Columna124" dataDxfId="16288"/>
    <tableColumn id="131" xr3:uid="{C6F599C7-9E16-4AAF-817E-CD0979DB43DE}" name="Columna125" dataDxfId="16287"/>
    <tableColumn id="132" xr3:uid="{4F1BE1FA-844B-462F-AA4B-E0667B50F503}" name="Columna126" dataDxfId="16286"/>
    <tableColumn id="133" xr3:uid="{AA7A7214-F947-4217-9564-41CB30598D34}" name="Columna127" dataDxfId="16285"/>
    <tableColumn id="134" xr3:uid="{BBE61DB4-8066-451C-A032-2C9C48309C37}" name="Columna128" dataDxfId="16284"/>
    <tableColumn id="135" xr3:uid="{20CFCDA8-D2A2-40AD-8B34-DAC4DD427F6B}" name="Columna129" dataDxfId="16283"/>
    <tableColumn id="136" xr3:uid="{8257EDD7-0F1F-4009-81CB-787A1143F429}" name="Columna130" dataDxfId="16282"/>
    <tableColumn id="137" xr3:uid="{C0E5B39B-EEED-4E14-8735-5BEB07C26B7F}" name="Columna131" dataDxfId="16281"/>
    <tableColumn id="138" xr3:uid="{68973E45-EF00-4AFE-B221-5035EA91C40A}" name="Columna132" dataDxfId="16280"/>
    <tableColumn id="139" xr3:uid="{B4AA3ED8-84DC-486D-9B1D-209869EB2400}" name="Columna133" dataDxfId="16279"/>
    <tableColumn id="140" xr3:uid="{B008D817-1B55-4418-A572-F8350539AEAB}" name="Columna134" dataDxfId="16278"/>
    <tableColumn id="141" xr3:uid="{FF87B514-800D-4EEE-A27D-4CBCE1687004}" name="Columna135" dataDxfId="16277"/>
    <tableColumn id="142" xr3:uid="{3C4A2855-0A15-4547-A30F-66ADAB6F79FA}" name="Columna136" dataDxfId="16276"/>
    <tableColumn id="143" xr3:uid="{05137129-D5D5-412C-8C6E-42300256F0A2}" name="Columna137" dataDxfId="16275"/>
    <tableColumn id="144" xr3:uid="{8EE2302B-E03D-4C07-9452-FE11B73503A0}" name="Columna138" dataDxfId="16274"/>
    <tableColumn id="145" xr3:uid="{5F70AB40-F5FB-4506-9E23-5CE204FF5A14}" name="Columna139" dataDxfId="16273"/>
    <tableColumn id="146" xr3:uid="{FDC07C3A-CD40-4F96-AA36-5B52A1DA3914}" name="Columna140" dataDxfId="16272"/>
    <tableColumn id="147" xr3:uid="{E3C43790-1C59-4522-960E-69F99D962C52}" name="Columna141" dataDxfId="16271"/>
    <tableColumn id="148" xr3:uid="{60CD566A-6CBC-486B-9CE8-DD08E69F10BE}" name="Columna142" dataDxfId="16270"/>
    <tableColumn id="149" xr3:uid="{A5EA9BE7-73D5-4180-A02A-EE1CC5913BDA}" name="Columna143" dataDxfId="16269"/>
    <tableColumn id="150" xr3:uid="{CD5271CA-C96A-44EC-AE2D-B2E4180FEB82}" name="Columna144" dataDxfId="16268"/>
    <tableColumn id="151" xr3:uid="{DFAA06A1-310E-4A65-A3E4-503AC8160612}" name="Columna145" dataDxfId="16267"/>
    <tableColumn id="152" xr3:uid="{7FC4F65F-1CE8-469F-BAE7-F1AC4880C58F}" name="Columna146" dataDxfId="16266"/>
    <tableColumn id="153" xr3:uid="{F440CB01-FA11-4DF5-BDF2-09D21967F3B2}" name="Columna147" dataDxfId="16265"/>
    <tableColumn id="154" xr3:uid="{AD4DACC9-82CC-4AD6-9B3E-756D2338B02F}" name="Columna148" dataDxfId="16264"/>
    <tableColumn id="155" xr3:uid="{8FCB9C74-AFD6-4CB4-92A5-09140E56C474}" name="Columna149" dataDxfId="16263"/>
    <tableColumn id="156" xr3:uid="{6DC2028B-4BAD-433C-B5F1-6283E64395D2}" name="Columna150" dataDxfId="16262"/>
    <tableColumn id="157" xr3:uid="{8CC02404-7838-4B31-B252-A13FC17CEB70}" name="Columna151" dataDxfId="16261"/>
    <tableColumn id="158" xr3:uid="{4A3825AC-310D-4C1F-9C4E-748C5BE44187}" name="Columna152" dataDxfId="16260"/>
    <tableColumn id="159" xr3:uid="{A0D6B663-92D3-4EBD-8997-B3BE4CC6F7BC}" name="Columna153" dataDxfId="16259"/>
    <tableColumn id="160" xr3:uid="{FC445C58-90DA-4735-AA92-E63C8A065ABF}" name="Columna154" dataDxfId="16258"/>
    <tableColumn id="161" xr3:uid="{9BE02C1E-E545-4269-9467-FF398AAFC338}" name="Columna155" dataDxfId="16257"/>
    <tableColumn id="162" xr3:uid="{E367B004-D523-46D5-B9E2-6D8235493C44}" name="Columna156" dataDxfId="16256"/>
    <tableColumn id="163" xr3:uid="{E2FFD097-DAFA-4F34-B0C4-5167004077E0}" name="Columna157" dataDxfId="16255"/>
    <tableColumn id="164" xr3:uid="{F7E710E1-9A3C-4BBD-8F31-0B53B9989265}" name="Columna158" dataDxfId="16254"/>
    <tableColumn id="165" xr3:uid="{D62B7334-B6F9-4890-823B-3CD6A5E647BD}" name="Columna159" dataDxfId="16253"/>
    <tableColumn id="166" xr3:uid="{CBE6B906-BA9A-4E4C-91D6-756C923CB317}" name="Columna160" dataDxfId="16252"/>
    <tableColumn id="167" xr3:uid="{6F12854F-E77D-485B-8101-EA3DA699A9AD}" name="Columna161" dataDxfId="16251"/>
    <tableColumn id="168" xr3:uid="{87913336-C5F3-417B-AD11-4B43B100116A}" name="Columna162" dataDxfId="16250"/>
    <tableColumn id="169" xr3:uid="{AAB15769-E2D8-4391-936A-0095103385BD}" name="Columna163" dataDxfId="16249"/>
    <tableColumn id="170" xr3:uid="{F36D1856-9A75-4C89-BA04-D25078F2823F}" name="Columna164" dataDxfId="16248"/>
    <tableColumn id="171" xr3:uid="{BD373CFD-1453-44AF-AD71-96B0E3A39615}" name="Columna165" dataDxfId="16247"/>
    <tableColumn id="172" xr3:uid="{A8357C30-8471-479C-A544-01AE9BC47DE4}" name="Columna166" dataDxfId="16246"/>
    <tableColumn id="173" xr3:uid="{6A321D89-FA2B-4FE5-BA58-671D8D175789}" name="Columna167" dataDxfId="16245"/>
    <tableColumn id="174" xr3:uid="{8E14F4B9-B461-4CCE-9F84-FA52F0021371}" name="Columna168" dataDxfId="16244"/>
    <tableColumn id="175" xr3:uid="{F79389A1-5DEB-45C4-8AC5-972A2FC21945}" name="Columna169" dataDxfId="16243"/>
    <tableColumn id="176" xr3:uid="{D6E92D2F-E4D8-4EED-B1EA-F916ACD8B6EC}" name="Columna170" dataDxfId="16242"/>
    <tableColumn id="177" xr3:uid="{81FECE5C-EA1D-4335-8886-CFF77654F318}" name="Columna171" dataDxfId="16241"/>
    <tableColumn id="178" xr3:uid="{B13BE950-1C6A-44FE-9171-2BD0B961F097}" name="Columna172" dataDxfId="16240"/>
    <tableColumn id="179" xr3:uid="{C3E80B13-6F16-4828-A815-B413888E99FD}" name="Columna173" dataDxfId="16239"/>
    <tableColumn id="180" xr3:uid="{CE69890B-456A-471B-B7E8-DE5B8786C5F7}" name="Columna174" dataDxfId="16238"/>
    <tableColumn id="181" xr3:uid="{6A1D203B-0BEF-4FD7-B7D5-5785A3AB77E9}" name="Columna175" dataDxfId="16237"/>
    <tableColumn id="182" xr3:uid="{E26E2990-0BFA-4991-8CBE-76D06EA64DF4}" name="Columna176" dataDxfId="16236"/>
    <tableColumn id="183" xr3:uid="{D624B96C-FA11-4E77-92E2-2E5D74667FD5}" name="Columna177" dataDxfId="16235"/>
    <tableColumn id="184" xr3:uid="{34B6AB0A-852B-430F-97D3-A49FDBF2A2A7}" name="Columna178" dataDxfId="16234"/>
    <tableColumn id="185" xr3:uid="{90B04C4E-49D9-4D9D-89AE-9C2298CDD90D}" name="Columna179" dataDxfId="16233"/>
    <tableColumn id="186" xr3:uid="{9DD92594-9BFE-499A-82C7-B64975215698}" name="Columna180" dataDxfId="16232"/>
    <tableColumn id="187" xr3:uid="{B7AAA1D2-46EF-4418-BC5E-852DD8D75F35}" name="Columna181" dataDxfId="16231"/>
    <tableColumn id="188" xr3:uid="{D560D2F3-076E-4875-8A30-7B4D42C1DC74}" name="Columna182" dataDxfId="16230"/>
    <tableColumn id="189" xr3:uid="{5F5723AD-1911-4B4C-9EB6-A917B9CE7623}" name="Columna183" dataDxfId="16229"/>
    <tableColumn id="190" xr3:uid="{3A00A937-BE70-4989-8F68-73BCFF60B949}" name="Columna184" dataDxfId="16228"/>
    <tableColumn id="191" xr3:uid="{B780FB1B-FAFA-473D-9401-918CC6BF93C7}" name="Columna185" dataDxfId="16227"/>
    <tableColumn id="192" xr3:uid="{81D3680A-774C-4EAF-9F15-2737E242D3FC}" name="Columna186" dataDxfId="16226"/>
    <tableColumn id="193" xr3:uid="{832859EC-0890-4FF3-8032-52938900F6EE}" name="Columna187" dataDxfId="16225"/>
    <tableColumn id="194" xr3:uid="{5B038724-4E11-4E8F-8B9B-A86357A256DF}" name="Columna188" dataDxfId="16224"/>
    <tableColumn id="195" xr3:uid="{C1CDE02F-8C39-43B1-98E9-BD46B91E5116}" name="Columna189" dataDxfId="16223"/>
    <tableColumn id="196" xr3:uid="{628526E7-226C-4B11-9186-A222CD0EA677}" name="Columna190" dataDxfId="16222"/>
    <tableColumn id="197" xr3:uid="{9D2C18CA-BB37-42D4-8666-C92F1B8A78C8}" name="Columna191" dataDxfId="16221"/>
    <tableColumn id="198" xr3:uid="{62B925E5-1ABB-4F8A-A0BA-81F2DA874B78}" name="Columna192" dataDxfId="16220"/>
    <tableColumn id="199" xr3:uid="{DE06EF07-2B08-4552-91EC-258C4696D097}" name="Columna193" dataDxfId="16219"/>
    <tableColumn id="200" xr3:uid="{22665A6C-2BF7-437C-9906-FCF1ADC7E809}" name="Columna194" dataDxfId="16218"/>
    <tableColumn id="201" xr3:uid="{640AF805-EEFF-4507-87B5-60330FD47AE8}" name="Columna195" dataDxfId="16217"/>
    <tableColumn id="202" xr3:uid="{CEF8C973-1B5A-4752-96C7-A26096056701}" name="Columna196" dataDxfId="16216"/>
    <tableColumn id="203" xr3:uid="{44947AD9-A7AC-4FF7-B07B-4E70E7050124}" name="Columna197" dataDxfId="16215"/>
    <tableColumn id="204" xr3:uid="{5E2A43A1-1B6C-4474-AD61-33B018DB4A5D}" name="Columna198" dataDxfId="16214"/>
    <tableColumn id="205" xr3:uid="{7DD5F74B-18DD-44AB-B50B-313AAF7B4974}" name="Columna199" dataDxfId="16213"/>
    <tableColumn id="206" xr3:uid="{09178FD3-6E50-455C-877E-10FEDA79563B}" name="Columna200" dataDxfId="16212"/>
    <tableColumn id="207" xr3:uid="{EE7282E0-04BE-4C62-9162-0B062F2A4FA3}" name="Columna201" dataDxfId="16211"/>
    <tableColumn id="208" xr3:uid="{B4CEDA72-6ADA-42EB-B1B3-87CDA00112AE}" name="Columna202" dataDxfId="16210"/>
    <tableColumn id="209" xr3:uid="{9131F823-8D1C-4012-A616-F174F71A1C6C}" name="Columna203" dataDxfId="16209"/>
    <tableColumn id="210" xr3:uid="{4B7E441D-FD91-4C19-A8B5-2493190D96F7}" name="Columna204" dataDxfId="16208"/>
    <tableColumn id="211" xr3:uid="{DFE96A72-6193-4028-B480-A62F708BB936}" name="Columna205" dataDxfId="16207"/>
    <tableColumn id="212" xr3:uid="{905BA518-6099-419B-913F-90F583488801}" name="Columna206" dataDxfId="16206"/>
    <tableColumn id="213" xr3:uid="{BD04F8A2-EA80-4053-9285-860412A028C7}" name="Columna207" dataDxfId="16205"/>
    <tableColumn id="214" xr3:uid="{FCE2B2D4-EA0D-4F03-AE24-E55D5E91A087}" name="Columna208" dataDxfId="16204"/>
    <tableColumn id="215" xr3:uid="{79A4DCA2-B00F-4905-ADFA-54C89ADE071E}" name="Columna209" dataDxfId="16203"/>
    <tableColumn id="216" xr3:uid="{758D0D67-A72F-4968-9ECE-901FF6434D60}" name="Columna210" dataDxfId="16202"/>
    <tableColumn id="217" xr3:uid="{003DA6D2-8E2F-4FD5-BB25-08E3DD0097DE}" name="Columna211" dataDxfId="16201"/>
    <tableColumn id="218" xr3:uid="{E1121293-27A3-4BD7-895D-50AE6259A802}" name="Columna212" dataDxfId="16200"/>
    <tableColumn id="219" xr3:uid="{144D75BA-FFE7-4568-B85A-C4BC6ACE8F35}" name="Columna213" dataDxfId="16199"/>
    <tableColumn id="220" xr3:uid="{574A6A65-CFFE-4855-9C13-B2177CBDBD34}" name="Columna214" dataDxfId="16198"/>
    <tableColumn id="221" xr3:uid="{40166E5D-68CD-459C-BA25-403BACE7CE20}" name="Columna215" dataDxfId="16197"/>
    <tableColumn id="222" xr3:uid="{0A949DA5-F7B6-487F-BD62-7DAA3D80E865}" name="Columna216" dataDxfId="16196"/>
    <tableColumn id="223" xr3:uid="{069A3223-C020-4079-8DC6-6115AD403BD1}" name="Columna217" dataDxfId="16195"/>
    <tableColumn id="224" xr3:uid="{33BBE422-A6EA-4D45-A606-6DBCE75B8F18}" name="Columna218" dataDxfId="16194"/>
    <tableColumn id="225" xr3:uid="{351DAB1A-7235-4FF1-93D9-FF57FA4EB9F7}" name="Columna219" dataDxfId="16193"/>
    <tableColumn id="226" xr3:uid="{F79968CE-3354-4357-8257-8E1296434F2C}" name="Columna220" dataDxfId="16192"/>
    <tableColumn id="227" xr3:uid="{FBCE295F-ED27-4CD1-807A-75F3A751900A}" name="Columna221" dataDxfId="16191"/>
    <tableColumn id="228" xr3:uid="{52DC03C1-7AE9-4E3A-9AA2-BEAAF41F30FA}" name="Columna222" dataDxfId="16190"/>
    <tableColumn id="229" xr3:uid="{3A10D66F-7E38-46FF-94C9-EA68AE66CD6D}" name="Columna223" dataDxfId="16189"/>
    <tableColumn id="230" xr3:uid="{8AD43B14-617B-40E0-A70B-5B0313580B23}" name="Columna224" dataDxfId="16188"/>
    <tableColumn id="231" xr3:uid="{90DB679D-72B2-43CA-ABF6-E7C3CDE7578F}" name="Columna225" dataDxfId="16187"/>
    <tableColumn id="232" xr3:uid="{F04F5F06-CDDE-4B45-9459-DEDC6B97F3A0}" name="Columna226" dataDxfId="16186"/>
    <tableColumn id="233" xr3:uid="{2C3A3676-BC81-45D4-9E4C-37D2F2184404}" name="Columna227" dataDxfId="16185"/>
    <tableColumn id="234" xr3:uid="{8ED01A38-3295-4BDF-A3A6-3CF398E35355}" name="Columna228" dataDxfId="16184"/>
    <tableColumn id="235" xr3:uid="{9BBBD7E5-9A3B-437C-830D-498B4DDBD6E1}" name="Columna229" dataDxfId="16183"/>
    <tableColumn id="236" xr3:uid="{292CAD43-E95A-4869-83DC-877BB0D5F9CC}" name="Columna230" dataDxfId="16182"/>
    <tableColumn id="237" xr3:uid="{E98E48C9-450D-42D9-B49A-E6D23D2B9E58}" name="Columna231" dataDxfId="16181"/>
    <tableColumn id="238" xr3:uid="{8D3718C9-54F7-4756-BA79-95D0FB80CB0A}" name="Columna232" dataDxfId="16180"/>
    <tableColumn id="239" xr3:uid="{7B10C684-6A71-4121-9DB2-9685A0E3E428}" name="Columna233" dataDxfId="16179"/>
    <tableColumn id="240" xr3:uid="{8643B9F4-4688-4288-B481-5E5C2C8E1F6D}" name="Columna234" dataDxfId="16178"/>
    <tableColumn id="241" xr3:uid="{EDB59B7F-76B5-47D1-A1B0-C9D9ABF0FB3D}" name="Columna235" dataDxfId="16177"/>
    <tableColumn id="242" xr3:uid="{6988527F-6D44-4DC2-9425-0311AA5C60C7}" name="Columna236" dataDxfId="16176"/>
    <tableColumn id="243" xr3:uid="{2CDDA6F1-4CE2-4DB3-842E-9FB44046F127}" name="Columna237" dataDxfId="16175"/>
    <tableColumn id="244" xr3:uid="{0F56A6EF-D787-47C5-BBC4-971C2F3AF0D1}" name="Columna238" dataDxfId="16174"/>
    <tableColumn id="245" xr3:uid="{BE4BEA8C-4F3B-41DD-A11E-684AEDDD1333}" name="Columna239" dataDxfId="16173"/>
    <tableColumn id="246" xr3:uid="{78BAB368-42A3-4AF5-8C5A-94409ED52E3A}" name="Columna240" dataDxfId="16172"/>
    <tableColumn id="247" xr3:uid="{705B5D74-4DFF-4213-BCFC-E5AC5D3F9CEF}" name="Columna241" dataDxfId="16171"/>
    <tableColumn id="248" xr3:uid="{3BDCE419-F4B1-438C-AB8E-FEB4718BD131}" name="Columna242" dataDxfId="16170"/>
    <tableColumn id="249" xr3:uid="{6DD58FD9-0154-40E5-B5F1-5331CB914CC2}" name="Columna243" dataDxfId="16169"/>
    <tableColumn id="250" xr3:uid="{4C3613D8-15F8-487D-BEBB-314EE4A27D7A}" name="Columna244" dataDxfId="16168"/>
    <tableColumn id="251" xr3:uid="{A491DC7A-2939-4FA8-83D4-D2551AEA58AA}" name="Columna245" dataDxfId="16167"/>
    <tableColumn id="252" xr3:uid="{FB27E7F7-35B7-405A-993E-2AF000D9FD29}" name="Columna246" dataDxfId="16166"/>
    <tableColumn id="253" xr3:uid="{2FEEFF19-830A-43FE-876C-4BF41C42D9E1}" name="Columna247" dataDxfId="16165"/>
    <tableColumn id="254" xr3:uid="{4C47476F-FC12-4F86-BC41-83C415630872}" name="Columna248" dataDxfId="16164"/>
    <tableColumn id="255" xr3:uid="{D1637E70-3455-44BD-9143-039E86E22368}" name="Columna249" dataDxfId="16163"/>
    <tableColumn id="256" xr3:uid="{654AE463-0094-4FEA-A25D-DDEB87230E68}" name="Columna250" dataDxfId="16162"/>
    <tableColumn id="257" xr3:uid="{C2DEF323-EB17-43E9-8483-3C9E75BC611A}" name="Columna251" dataDxfId="16161"/>
    <tableColumn id="258" xr3:uid="{11D3BF94-531D-4890-9C6C-F2633F85ECA3}" name="Columna252" dataDxfId="16160"/>
    <tableColumn id="259" xr3:uid="{0C312B3C-AD8D-4244-B057-0519DE752424}" name="Columna253" dataDxfId="16159"/>
    <tableColumn id="260" xr3:uid="{B19576AC-D54C-491E-B269-99B05F6D90DA}" name="Columna254" dataDxfId="16158"/>
    <tableColumn id="261" xr3:uid="{19BBA1AE-C1A4-4F6F-A17B-F68A9EF8ADA5}" name="Columna255" dataDxfId="16157"/>
    <tableColumn id="262" xr3:uid="{84B9F4CA-1788-46D3-9227-DF4F0CCB29B4}" name="Columna256" dataDxfId="16156"/>
    <tableColumn id="263" xr3:uid="{B25BFD11-D916-430E-8FE2-C347984FD973}" name="Columna257" dataDxfId="16155"/>
    <tableColumn id="264" xr3:uid="{3B5061CA-97CC-4EB1-9C77-1F913E70941C}" name="Columna258" dataDxfId="16154"/>
    <tableColumn id="265" xr3:uid="{3305EDDF-29B0-418F-87B5-90392567B616}" name="Columna259" dataDxfId="16153"/>
    <tableColumn id="266" xr3:uid="{7B81DAD2-7558-4AF9-9431-7209E0A04567}" name="Columna260" dataDxfId="16152"/>
    <tableColumn id="267" xr3:uid="{274DF790-7913-4561-822D-BCE90BC53068}" name="Columna261" dataDxfId="16151"/>
    <tableColumn id="268" xr3:uid="{D6201089-5FEB-491A-BC95-621DBE68F851}" name="Columna262" dataDxfId="16150"/>
    <tableColumn id="269" xr3:uid="{92FDAAD1-3371-405B-923F-BCDE802F13E8}" name="Columna263" dataDxfId="16149"/>
    <tableColumn id="270" xr3:uid="{C8638F53-24EF-4E88-BCCD-7C16150E8A1C}" name="Columna264" dataDxfId="16148"/>
    <tableColumn id="271" xr3:uid="{2A4F802A-92FC-4268-9805-AF4428784E2D}" name="Columna265" dataDxfId="16147"/>
    <tableColumn id="272" xr3:uid="{DE4D78F5-9647-415B-ADDC-B69952A81283}" name="Columna266" dataDxfId="16146"/>
    <tableColumn id="273" xr3:uid="{A9ADDC52-263E-45F7-9186-8B03B795391E}" name="Columna267" dataDxfId="16145"/>
    <tableColumn id="274" xr3:uid="{224DAF0E-2F73-4504-95B1-B3B7A93D1065}" name="Columna268" dataDxfId="16144"/>
    <tableColumn id="275" xr3:uid="{BD811B4D-4164-4B2B-8A20-FD0FA46D027E}" name="Columna269" dataDxfId="16143"/>
    <tableColumn id="276" xr3:uid="{8C547A5B-757E-4994-9911-3BC7A6C25242}" name="Columna270" dataDxfId="16142"/>
    <tableColumn id="277" xr3:uid="{C71CA8BD-5874-4572-AFC9-13327EA5B70A}" name="Columna271" dataDxfId="16141"/>
    <tableColumn id="278" xr3:uid="{8DF984EE-003F-4C7D-B8B1-A2912BADDE5F}" name="Columna272" dataDxfId="16140"/>
    <tableColumn id="279" xr3:uid="{14BBEE66-DA4E-4C0D-8AA7-29BB91880C77}" name="Columna273" dataDxfId="16139"/>
    <tableColumn id="280" xr3:uid="{7321E2C7-85B8-4C54-86C0-7EAC69D5A3CE}" name="Columna274" dataDxfId="16138"/>
    <tableColumn id="281" xr3:uid="{F323B4B7-A5A6-4743-B28E-9C641D9BA61E}" name="Columna275" dataDxfId="16137"/>
    <tableColumn id="282" xr3:uid="{F363A874-80DE-4BD8-94BE-F02D575DCD73}" name="Columna276" dataDxfId="16136"/>
    <tableColumn id="283" xr3:uid="{8F69A38C-52F3-4754-A628-56B3BC3F4496}" name="Columna277" dataDxfId="16135"/>
    <tableColumn id="284" xr3:uid="{702915BC-D692-49DB-93CC-01C31F6ADF81}" name="Columna278" dataDxfId="16134"/>
    <tableColumn id="285" xr3:uid="{845C4416-CF0C-4F75-874E-B65BC9111655}" name="Columna279" dataDxfId="16133"/>
    <tableColumn id="286" xr3:uid="{476F828E-D6F6-4178-8AF1-806B7D594DDE}" name="Columna280" dataDxfId="16132"/>
    <tableColumn id="287" xr3:uid="{F82B5124-AA5E-412D-8E68-D3EC9A588AB2}" name="Columna281" dataDxfId="16131"/>
    <tableColumn id="288" xr3:uid="{92F87F94-C18A-4879-9E0E-DA4FB992CB48}" name="Columna282" dataDxfId="16130"/>
    <tableColumn id="289" xr3:uid="{F8A17C49-32B8-425A-9700-0446C9C8CA64}" name="Columna283" dataDxfId="16129"/>
    <tableColumn id="290" xr3:uid="{6F1BCF75-0129-40C7-B4BA-9DAD7FF56CAF}" name="Columna284" dataDxfId="16128"/>
    <tableColumn id="291" xr3:uid="{88FBEA4A-EC73-4653-AEFA-BDBFA8E5E1F5}" name="Columna285" dataDxfId="16127"/>
    <tableColumn id="292" xr3:uid="{1DB34CC5-C8A5-4444-B0C2-A2FEE1B2FB56}" name="Columna286" dataDxfId="16126"/>
    <tableColumn id="293" xr3:uid="{C4E75A4F-1E6E-408B-B2A8-DF0B179B87F9}" name="Columna287" dataDxfId="16125"/>
    <tableColumn id="294" xr3:uid="{62F64A2B-AF54-4F4D-B25E-6BFC7437656A}" name="Columna288" dataDxfId="16124"/>
    <tableColumn id="295" xr3:uid="{7A81A6CD-7583-404C-B461-5D444A8FD9B7}" name="Columna289" dataDxfId="16123"/>
    <tableColumn id="296" xr3:uid="{D5B0B22B-DF65-4E22-B1A9-55808FD818F9}" name="Columna290" dataDxfId="16122"/>
    <tableColumn id="297" xr3:uid="{71315150-C21C-4844-9FB6-4C5F78E772B0}" name="Columna291" dataDxfId="16121"/>
    <tableColumn id="298" xr3:uid="{C25FF092-523C-464C-ADF8-55041CB3763F}" name="Columna292" dataDxfId="16120"/>
    <tableColumn id="299" xr3:uid="{1AC8DE41-5AE8-4661-A100-88CA47F4D6B0}" name="Columna293" dataDxfId="16119"/>
    <tableColumn id="300" xr3:uid="{63651D30-313F-46BD-B22B-1164ABCDFB68}" name="Columna294" dataDxfId="16118"/>
    <tableColumn id="301" xr3:uid="{B558B724-F23A-44E6-9746-A60DCBA47412}" name="Columna295" dataDxfId="16117"/>
    <tableColumn id="302" xr3:uid="{A1A071DE-B32D-42A8-B99C-42B5E2034B3E}" name="Columna296" dataDxfId="16116"/>
    <tableColumn id="303" xr3:uid="{BC7EB722-6557-49B5-B35E-65865E36216E}" name="Columna297" dataDxfId="16115"/>
    <tableColumn id="304" xr3:uid="{2C420B93-6902-45CE-9881-2E6E922BEFFF}" name="Columna298" dataDxfId="16114"/>
    <tableColumn id="305" xr3:uid="{A2FDB95F-F171-4712-A63B-1F121196B54C}" name="Columna299" dataDxfId="16113"/>
    <tableColumn id="306" xr3:uid="{AAF15F61-421E-411C-8850-FE0649E3E6E9}" name="Columna300" dataDxfId="16112"/>
    <tableColumn id="307" xr3:uid="{1F1E8911-DB89-4FC1-9241-4D1E4109332A}" name="Columna301" dataDxfId="16111"/>
    <tableColumn id="308" xr3:uid="{55C8EA39-00F5-4DDB-A6C4-4A3358D1D7C1}" name="Columna302" dataDxfId="16110"/>
    <tableColumn id="309" xr3:uid="{CFAA0F35-E60F-487A-9352-24292D362DA0}" name="Columna303" dataDxfId="16109"/>
    <tableColumn id="310" xr3:uid="{33C75CBC-A9EF-4C9A-BF6E-7E455528BB73}" name="Columna304" dataDxfId="16108"/>
    <tableColumn id="311" xr3:uid="{2C99F3C4-F84E-4335-8B62-BE2B72060C45}" name="Columna305" dataDxfId="16107"/>
    <tableColumn id="312" xr3:uid="{0A682BB8-96E4-43FC-8D20-090A6C85CB00}" name="Columna306" dataDxfId="16106"/>
    <tableColumn id="313" xr3:uid="{80D0BAEA-38AA-4CB3-A970-1F2891BE8A98}" name="Columna307" dataDxfId="16105"/>
    <tableColumn id="314" xr3:uid="{E46EA77D-EBAD-4A2C-AD7B-C5ABE95C0EC2}" name="Columna308" dataDxfId="16104"/>
    <tableColumn id="315" xr3:uid="{1467B616-8503-42C6-B827-EA4BE4E09994}" name="Columna309" dataDxfId="16103"/>
    <tableColumn id="316" xr3:uid="{9C375B1D-1A50-4399-936E-58565091956B}" name="Columna310" dataDxfId="16102"/>
    <tableColumn id="317" xr3:uid="{797BFA42-6784-4915-A824-C3BC2344CA67}" name="Columna311" dataDxfId="16101"/>
    <tableColumn id="318" xr3:uid="{F3779087-140A-4C5C-9A1E-DC197A46AF42}" name="Columna312" dataDxfId="16100"/>
    <tableColumn id="319" xr3:uid="{F70EB7C9-0C4F-47D2-8BCE-6563A02B4A58}" name="Columna313" dataDxfId="16099"/>
    <tableColumn id="320" xr3:uid="{8E28912A-AE32-42BE-9865-0744A8195E8A}" name="Columna314" dataDxfId="16098"/>
    <tableColumn id="321" xr3:uid="{74882A6E-FD61-4773-9559-B5D87A4440C9}" name="Columna315" dataDxfId="16097"/>
    <tableColumn id="322" xr3:uid="{1B504DBC-C1D0-40FF-8A92-51F1310DF036}" name="Columna316" dataDxfId="16096"/>
    <tableColumn id="323" xr3:uid="{DE42B915-D1B3-4D7F-9526-CDC3E7166AB7}" name="Columna317" dataDxfId="16095"/>
    <tableColumn id="324" xr3:uid="{45236A06-2C3A-4645-B7E2-9C6B55B9B9B2}" name="Columna318" dataDxfId="16094"/>
    <tableColumn id="325" xr3:uid="{28326BED-02C4-4840-BABA-02293A04AEE1}" name="Columna319" dataDxfId="16093"/>
    <tableColumn id="326" xr3:uid="{EECB83F8-1CA9-47AA-A356-E32BF8CF3559}" name="Columna320" dataDxfId="16092"/>
    <tableColumn id="327" xr3:uid="{E1EC9D35-BCF6-42E5-8D74-EE3D5B7C7775}" name="Columna321" dataDxfId="16091"/>
    <tableColumn id="328" xr3:uid="{98D43C4A-1310-4371-97F4-3D0A1251D13E}" name="Columna322" dataDxfId="16090"/>
    <tableColumn id="329" xr3:uid="{DD5C20D1-A2DF-447E-9A59-56DFFA8B2471}" name="Columna323" dataDxfId="16089"/>
    <tableColumn id="330" xr3:uid="{DDCFBBD4-9D1F-474A-915A-AB47652061A0}" name="Columna324" dataDxfId="16088"/>
    <tableColumn id="331" xr3:uid="{D558DDF5-92C1-44E1-BF47-B7E2C0723D58}" name="Columna325" dataDxfId="16087"/>
    <tableColumn id="332" xr3:uid="{F7DD0EBF-6F79-413C-98BE-55397EAF3A77}" name="Columna326" dataDxfId="16086"/>
    <tableColumn id="333" xr3:uid="{89E1500E-22F8-44AD-A651-5AD6FF0481AB}" name="Columna327" dataDxfId="16085"/>
    <tableColumn id="334" xr3:uid="{14044096-8914-4F69-BEB3-B6CE086EED6B}" name="Columna328" dataDxfId="16084"/>
    <tableColumn id="335" xr3:uid="{C55BC356-AE8F-4764-A2D5-AAA11F9C39E4}" name="Columna329" dataDxfId="16083"/>
    <tableColumn id="336" xr3:uid="{11848A6A-AA44-4615-A6D6-71FB017A0735}" name="Columna330" dataDxfId="16082"/>
    <tableColumn id="337" xr3:uid="{5A670780-E8EB-49F2-A0B5-8847ACAA8359}" name="Columna331" dataDxfId="16081"/>
    <tableColumn id="338" xr3:uid="{6B960142-821D-4791-9779-9C6BCA39151D}" name="Columna332" dataDxfId="16080"/>
    <tableColumn id="339" xr3:uid="{1C7BF95B-63AD-463A-873B-6249F911F541}" name="Columna333" dataDxfId="16079"/>
    <tableColumn id="340" xr3:uid="{5233C499-F3F1-4575-8BF2-481699E93740}" name="Columna334" dataDxfId="16078"/>
    <tableColumn id="341" xr3:uid="{7AB01893-AD86-4AF4-8E34-C43FFD54983C}" name="Columna335" dataDxfId="16077"/>
    <tableColumn id="342" xr3:uid="{2224F02D-AEEB-435E-A0DA-AA99F6FFD14B}" name="Columna336" dataDxfId="16076"/>
    <tableColumn id="343" xr3:uid="{2450731B-B796-4924-853C-4B2CA0D74858}" name="Columna337" dataDxfId="16075"/>
    <tableColumn id="344" xr3:uid="{18CDFE4B-BEAF-4C17-802C-5684104D4E15}" name="Columna338" dataDxfId="16074"/>
    <tableColumn id="345" xr3:uid="{1D4370EB-8A55-43AF-BCCF-9F9709491078}" name="Columna339" dataDxfId="16073"/>
    <tableColumn id="346" xr3:uid="{9F2F56A3-1179-4C66-A032-8C1B6A896B04}" name="Columna340" dataDxfId="16072"/>
    <tableColumn id="347" xr3:uid="{1303AF70-41E2-4550-BE24-9A94FA89593E}" name="Columna341" dataDxfId="16071"/>
    <tableColumn id="348" xr3:uid="{3DD56FDD-D94C-4B91-85AE-A358E3B71177}" name="Columna342" dataDxfId="16070"/>
    <tableColumn id="349" xr3:uid="{1B229D55-E0CE-4808-A7F1-BBC3A33608FC}" name="Columna343" dataDxfId="16069"/>
    <tableColumn id="350" xr3:uid="{79CC863E-E1DA-4AC9-90C6-46786AF97E7B}" name="Columna344" dataDxfId="16068"/>
    <tableColumn id="351" xr3:uid="{973091A0-886F-4330-8F5F-900942C5EA15}" name="Columna345" dataDxfId="16067"/>
    <tableColumn id="352" xr3:uid="{6E8A09C8-FA8D-462B-B3DF-4FD8D15F4C3B}" name="Columna346" dataDxfId="16066"/>
    <tableColumn id="353" xr3:uid="{2F130864-33B4-453D-A174-CB0830089612}" name="Columna347" dataDxfId="16065"/>
    <tableColumn id="354" xr3:uid="{F156966C-46A5-4F35-A748-3F7D0C84CB59}" name="Columna348" dataDxfId="16064"/>
    <tableColumn id="355" xr3:uid="{B2E6BA50-F10F-4FD1-BD03-CAB12726A40B}" name="Columna349" dataDxfId="16063"/>
    <tableColumn id="356" xr3:uid="{FD943A94-00B9-47C4-9CE6-812443EB56DC}" name="Columna350" dataDxfId="16062"/>
    <tableColumn id="357" xr3:uid="{0F47F489-6CC5-42AC-880D-F6471511C524}" name="Columna351" dataDxfId="16061"/>
    <tableColumn id="358" xr3:uid="{4570E5FE-6B03-46E7-8499-2EA1877A70B1}" name="Columna352" dataDxfId="16060"/>
    <tableColumn id="359" xr3:uid="{E685B213-DBF1-48D1-88A7-0A7500247B36}" name="Columna353" dataDxfId="16059"/>
    <tableColumn id="360" xr3:uid="{2C66953A-3445-431B-93A2-E369F9C69C9B}" name="Columna354" dataDxfId="16058"/>
    <tableColumn id="361" xr3:uid="{FFB74BBF-2A88-4EA0-B490-443D1A3476F3}" name="Columna355" dataDxfId="16057"/>
    <tableColumn id="362" xr3:uid="{4C70F6D2-603C-48C7-A64F-04F837ADA56A}" name="Columna356" dataDxfId="16056"/>
    <tableColumn id="363" xr3:uid="{69384B1B-2F49-47E1-BCE4-CFD00559EEFC}" name="Columna357" dataDxfId="16055"/>
    <tableColumn id="364" xr3:uid="{6545B249-13DD-4E6C-9360-2F707189545E}" name="Columna358" dataDxfId="16054"/>
    <tableColumn id="365" xr3:uid="{3E8E7786-B5CB-46AB-B490-3733003E4F2B}" name="Columna359" dataDxfId="16053"/>
    <tableColumn id="366" xr3:uid="{15766EA0-857B-4718-A2A9-B3B6B2276921}" name="Columna360" dataDxfId="16052"/>
    <tableColumn id="367" xr3:uid="{21F898E4-A47D-43A8-9585-457E82637533}" name="Columna361" dataDxfId="16051"/>
    <tableColumn id="368" xr3:uid="{CA6506C5-EE7D-4709-BEA3-8ECB18EAAF56}" name="Columna362" dataDxfId="16050"/>
    <tableColumn id="369" xr3:uid="{CCA98D9F-FCE3-40CB-B89A-5209002CDEE0}" name="Columna363" dataDxfId="16049"/>
    <tableColumn id="370" xr3:uid="{409FE7E8-FB49-494D-BCB0-DA7B340E69FC}" name="Columna364" dataDxfId="16048"/>
    <tableColumn id="371" xr3:uid="{8332AFD3-681A-40EA-A08E-1B0573E7798E}" name="Columna365" dataDxfId="16047"/>
    <tableColumn id="372" xr3:uid="{B1EFC3F6-57B5-42D5-A1F1-581E5CB68D72}" name="Columna366" dataDxfId="16046"/>
    <tableColumn id="373" xr3:uid="{11CC3B3D-0B99-4F19-926B-E2292FA0EC7E}" name="Columna367" dataDxfId="16045"/>
    <tableColumn id="374" xr3:uid="{D2A4EEB6-B4F7-4440-A1D5-74788F12246E}" name="Columna368" dataDxfId="16044"/>
    <tableColumn id="375" xr3:uid="{5EFC1371-40F9-4906-80B4-61C8F1723CF6}" name="Columna369" dataDxfId="16043"/>
    <tableColumn id="376" xr3:uid="{E97F1B9B-68FA-4D17-9F72-6DB430324121}" name="Columna370" dataDxfId="16042"/>
    <tableColumn id="377" xr3:uid="{5D2016F2-860D-4E9B-95C0-57BB9CF981E7}" name="Columna371" dataDxfId="16041"/>
    <tableColumn id="378" xr3:uid="{2FFC59AE-D2D5-4E2E-A246-08C2C3A84F3C}" name="Columna372" dataDxfId="16040"/>
    <tableColumn id="379" xr3:uid="{0E1E66FD-C28B-45FA-AB7E-9ADD4B079660}" name="Columna373" dataDxfId="16039"/>
    <tableColumn id="380" xr3:uid="{131F83A9-6249-4B7A-AD41-B44AE989EB64}" name="Columna374" dataDxfId="16038"/>
    <tableColumn id="381" xr3:uid="{2E973400-6DF7-485B-9EA5-330AA6E6C417}" name="Columna375" dataDxfId="16037"/>
    <tableColumn id="382" xr3:uid="{1316E68D-E790-48F0-91A4-4AF2918D0765}" name="Columna376" dataDxfId="16036"/>
    <tableColumn id="383" xr3:uid="{264D5ABB-34B4-474B-AD1A-0F2476CEC63D}" name="Columna377" dataDxfId="16035"/>
    <tableColumn id="384" xr3:uid="{CEEA644C-F9A3-40E5-9560-922424C0ABDD}" name="Columna378" dataDxfId="16034"/>
    <tableColumn id="385" xr3:uid="{4691688C-ED6F-4B66-A308-194026895255}" name="Columna379" dataDxfId="16033"/>
    <tableColumn id="386" xr3:uid="{832E2B40-E3AD-4EC6-A348-4D5C0A501B7A}" name="Columna380" dataDxfId="16032"/>
    <tableColumn id="387" xr3:uid="{CD0E2B77-FDBE-44AF-BEE8-AC6F0929E9C1}" name="Columna381" dataDxfId="16031"/>
    <tableColumn id="388" xr3:uid="{5EED86A7-4663-4DB3-9D6A-A6133140391C}" name="Columna382" dataDxfId="16030"/>
    <tableColumn id="389" xr3:uid="{07F120A5-F5A7-4AFE-A671-65DD207FA29D}" name="Columna383" dataDxfId="16029"/>
    <tableColumn id="390" xr3:uid="{C8FA6417-76B7-4DA5-BAE8-BBA6593EB0F0}" name="Columna384" dataDxfId="16028"/>
    <tableColumn id="391" xr3:uid="{41350F04-9534-4829-8D18-0BC35D3CB975}" name="Columna385" dataDxfId="16027"/>
    <tableColumn id="392" xr3:uid="{49DC64DB-6EC9-4C54-A136-D41C0AFC647F}" name="Columna386" dataDxfId="16026"/>
    <tableColumn id="393" xr3:uid="{012B1522-23B8-4764-9186-7691442BBEC1}" name="Columna387" dataDxfId="16025"/>
    <tableColumn id="394" xr3:uid="{E856CFB6-CB37-4E96-8BA9-EFFF75CA403A}" name="Columna388" dataDxfId="16024"/>
    <tableColumn id="395" xr3:uid="{D8A64108-F8FE-46E6-B262-3112735274A5}" name="Columna389" dataDxfId="16023"/>
    <tableColumn id="396" xr3:uid="{2F5C96D6-1686-4174-A257-AA20F8C8E30D}" name="Columna390" dataDxfId="16022"/>
    <tableColumn id="397" xr3:uid="{97BD736E-31F2-4933-BDEE-F9A5B6E0C99F}" name="Columna391" dataDxfId="16021"/>
    <tableColumn id="398" xr3:uid="{FA32B958-EA87-44F7-AF77-06EB5C329C7D}" name="Columna392" dataDxfId="16020"/>
    <tableColumn id="399" xr3:uid="{BE21FEEF-AA45-4C2C-82EA-AA96E05CB08F}" name="Columna393" dataDxfId="16019"/>
    <tableColumn id="400" xr3:uid="{5978F059-1741-4813-88E6-B4459AF602E9}" name="Columna394" dataDxfId="16018"/>
    <tableColumn id="401" xr3:uid="{155D7D64-5D7A-4790-BBEF-FFD9AF4C6ABC}" name="Columna395" dataDxfId="16017"/>
    <tableColumn id="402" xr3:uid="{E3C0FF40-FC96-4781-831B-FA7894A52641}" name="Columna396" dataDxfId="16016"/>
    <tableColumn id="403" xr3:uid="{A4F7F75A-367D-4CE9-8FBE-6ECC7702A944}" name="Columna397" dataDxfId="16015"/>
    <tableColumn id="404" xr3:uid="{4F174FA3-7CDC-4755-BA4C-3D6E1B559100}" name="Columna398" dataDxfId="16014"/>
    <tableColumn id="405" xr3:uid="{0D61D8BF-CD5A-4F78-94DE-B0D3E3590A21}" name="Columna399" dataDxfId="16013"/>
    <tableColumn id="406" xr3:uid="{271D01A2-E95F-410A-8C35-0AA935438FDB}" name="Columna400" dataDxfId="16012"/>
    <tableColumn id="407" xr3:uid="{43FEE358-AC82-4CD1-947D-2CFAACD77A52}" name="Columna401" dataDxfId="16011"/>
    <tableColumn id="408" xr3:uid="{4D80C67D-59CD-4C45-8B48-B72BBF141E4C}" name="Columna402" dataDxfId="16010"/>
    <tableColumn id="409" xr3:uid="{17EAFB1A-726B-41AE-B3C5-1C52B56693AD}" name="Columna403" dataDxfId="16009"/>
    <tableColumn id="410" xr3:uid="{DFF5D096-5004-4600-B2FB-E9C4FFEA96CD}" name="Columna404" dataDxfId="16008"/>
    <tableColumn id="411" xr3:uid="{E1922C90-A4BE-43DB-9967-628010355DF8}" name="Columna405" dataDxfId="16007"/>
    <tableColumn id="412" xr3:uid="{CD34CA07-B339-4CED-AB0E-BFECF2C15E0F}" name="Columna406" dataDxfId="16006"/>
    <tableColumn id="413" xr3:uid="{BFC64AA0-A5AE-469B-AD58-BC6BD0532E2B}" name="Columna407" dataDxfId="16005"/>
    <tableColumn id="414" xr3:uid="{DE37D300-1B5F-4F08-A289-9511E9EE9A8B}" name="Columna408" dataDxfId="16004"/>
    <tableColumn id="415" xr3:uid="{1DC0F4EC-217F-4AEE-A8EE-DB267A794EE1}" name="Columna409" dataDxfId="16003"/>
    <tableColumn id="416" xr3:uid="{D2AB82F7-F2CA-42F0-AFA3-FC3539308C54}" name="Columna410" dataDxfId="16002"/>
    <tableColumn id="417" xr3:uid="{22F6DF08-5330-477C-8DBF-29BDDCE59328}" name="Columna411" dataDxfId="16001"/>
    <tableColumn id="418" xr3:uid="{C6945270-F6DC-42F9-A754-22AE0375C66B}" name="Columna412" dataDxfId="16000"/>
    <tableColumn id="419" xr3:uid="{57037B42-DCF8-423D-97C2-188D2C97B646}" name="Columna413" dataDxfId="15999"/>
    <tableColumn id="420" xr3:uid="{29305B82-DA8A-4A3D-96FF-86A04505AF68}" name="Columna414" dataDxfId="15998"/>
    <tableColumn id="421" xr3:uid="{6CE2EB81-510A-493E-A5A9-B19AA2D5FE66}" name="Columna415" dataDxfId="15997"/>
    <tableColumn id="422" xr3:uid="{EA51A1F5-28F4-4E0C-AA7D-A0314604751F}" name="Columna416" dataDxfId="15996"/>
    <tableColumn id="423" xr3:uid="{788E8822-DE63-4083-AF84-F1BF60836B9E}" name="Columna417" dataDxfId="15995"/>
    <tableColumn id="424" xr3:uid="{346E844E-2886-4842-9088-8151ADEBDA64}" name="Columna418" dataDxfId="15994"/>
    <tableColumn id="425" xr3:uid="{1A52681E-DBEA-44ED-95AF-AF5DB1AF34BF}" name="Columna419" dataDxfId="15993"/>
    <tableColumn id="426" xr3:uid="{EA212190-6AD4-4D95-86FB-ED598521EDF0}" name="Columna420" dataDxfId="15992"/>
    <tableColumn id="427" xr3:uid="{A728EC42-D60C-427E-9930-457BAC6266F9}" name="Columna421" dataDxfId="15991"/>
    <tableColumn id="428" xr3:uid="{282C9D79-D724-4409-8F16-50C7D809B32B}" name="Columna422" dataDxfId="15990"/>
    <tableColumn id="429" xr3:uid="{5EE5F57E-00E3-4D38-9522-B69FBF45FBBA}" name="Columna423" dataDxfId="15989"/>
    <tableColumn id="430" xr3:uid="{A7723BFE-CE62-4F34-8AD7-BF5DBAD240AE}" name="Columna424" dataDxfId="15988"/>
    <tableColumn id="431" xr3:uid="{52E35510-B262-464F-924F-514A5B49BDE7}" name="Columna425" dataDxfId="15987"/>
    <tableColumn id="432" xr3:uid="{EBE0CA9F-890A-4786-AC0B-C13DDD986C92}" name="Columna426" dataDxfId="15986"/>
    <tableColumn id="433" xr3:uid="{25EB7D14-8FE0-414D-96B7-178886FE4137}" name="Columna427" dataDxfId="15985"/>
    <tableColumn id="434" xr3:uid="{200CA29A-3C95-441E-85DC-5E951F412DE0}" name="Columna428" dataDxfId="15984"/>
    <tableColumn id="435" xr3:uid="{0FEA5ACB-A4BE-46F2-878B-5CF8C5836053}" name="Columna429" dataDxfId="15983"/>
    <tableColumn id="436" xr3:uid="{9F462C3D-53EF-455D-8C31-EBD284F42250}" name="Columna430" dataDxfId="15982"/>
    <tableColumn id="437" xr3:uid="{408FFDEC-3B8A-4435-8FAB-F7C4F8A6991A}" name="Columna431" dataDxfId="15981"/>
    <tableColumn id="438" xr3:uid="{E961C358-0101-4656-B972-4F39B1B36A96}" name="Columna432" dataDxfId="15980"/>
    <tableColumn id="439" xr3:uid="{BF095DB3-A117-4D7A-B1D4-05D97E98B298}" name="Columna433" dataDxfId="15979"/>
    <tableColumn id="440" xr3:uid="{158C8A16-F366-414E-91E5-CA008F2DAB00}" name="Columna434" dataDxfId="15978"/>
    <tableColumn id="441" xr3:uid="{F83C421A-4FF1-493F-89DD-A5D3EF6A3278}" name="Columna435" dataDxfId="15977"/>
    <tableColumn id="442" xr3:uid="{6A4E3913-C0A5-4723-BBCD-105E3F2ADA14}" name="Columna436" dataDxfId="15976"/>
    <tableColumn id="443" xr3:uid="{726FC552-E205-4C41-B3B9-93097AB60BFF}" name="Columna437" dataDxfId="15975"/>
    <tableColumn id="444" xr3:uid="{6DC897A5-0D8F-403D-9699-AA8E266742B5}" name="Columna438" dataDxfId="15974"/>
    <tableColumn id="445" xr3:uid="{649700A9-3757-4189-87E8-EF16E09C554F}" name="Columna439" dataDxfId="15973"/>
    <tableColumn id="446" xr3:uid="{365D0653-CE91-4FBC-9A11-CC096584B428}" name="Columna440" dataDxfId="15972"/>
    <tableColumn id="447" xr3:uid="{FE13F7ED-B511-48BD-B416-0CD4648743FE}" name="Columna441" dataDxfId="15971"/>
    <tableColumn id="448" xr3:uid="{7DBB4AB8-1746-4943-BD87-3CB2F4698DF1}" name="Columna442" dataDxfId="15970"/>
    <tableColumn id="449" xr3:uid="{4D473077-2541-4174-87BB-849C596256ED}" name="Columna443" dataDxfId="15969"/>
    <tableColumn id="450" xr3:uid="{3B489B90-2449-42C4-A3DB-F86502585668}" name="Columna444" dataDxfId="15968"/>
    <tableColumn id="451" xr3:uid="{BD44D1AA-5CF4-47A9-93CF-339517546CE4}" name="Columna445" dataDxfId="15967"/>
    <tableColumn id="452" xr3:uid="{18700367-754C-46B8-9705-40B5B38D6752}" name="Columna446" dataDxfId="15966"/>
    <tableColumn id="453" xr3:uid="{41A67472-8848-4B9B-8715-23B10F45A08C}" name="Columna447" dataDxfId="15965"/>
    <tableColumn id="454" xr3:uid="{78535082-EC34-4E61-89AE-9048417D7C16}" name="Columna448" dataDxfId="15964"/>
    <tableColumn id="455" xr3:uid="{69942DA1-0645-4077-8E79-EC8F0D8C6523}" name="Columna449" dataDxfId="15963"/>
    <tableColumn id="456" xr3:uid="{A9B69F97-AB2C-4D70-809F-DA8832077C04}" name="Columna450" dataDxfId="15962"/>
    <tableColumn id="457" xr3:uid="{E8A85979-27EC-4CE9-9BCC-39E52F99D250}" name="Columna451" dataDxfId="15961"/>
    <tableColumn id="458" xr3:uid="{5F4CBB39-53D2-4484-9FCC-608988943B38}" name="Columna452" dataDxfId="15960"/>
    <tableColumn id="459" xr3:uid="{7B99C6C9-1CA4-40BE-9A40-66DBCA48112D}" name="Columna453" dataDxfId="15959"/>
    <tableColumn id="460" xr3:uid="{4B27E1CD-4F90-4276-9E72-617CBF39B9D5}" name="Columna454" dataDxfId="15958"/>
    <tableColumn id="461" xr3:uid="{B446B9E7-8742-4A30-B99F-40DD0C81664B}" name="Columna455" dataDxfId="15957"/>
    <tableColumn id="462" xr3:uid="{48BB6D0D-B9AF-4791-B681-E45CC6B913BC}" name="Columna456" dataDxfId="15956"/>
    <tableColumn id="463" xr3:uid="{F9A6A695-FD38-4AE5-81BC-D244D2032504}" name="Columna457" dataDxfId="15955"/>
    <tableColumn id="464" xr3:uid="{E0DA4B44-A099-4A93-B8EF-4D3D7A5A7227}" name="Columna458" dataDxfId="15954"/>
    <tableColumn id="465" xr3:uid="{FE34D5BE-E285-4EBA-9159-957926B3CE89}" name="Columna459" dataDxfId="15953"/>
    <tableColumn id="466" xr3:uid="{4A9105FF-83D9-4D5D-9CB5-90AC0BEC0CA6}" name="Columna460" dataDxfId="15952"/>
    <tableColumn id="467" xr3:uid="{D6DB6933-77DA-4032-9942-FD005A7CEBFF}" name="Columna461" dataDxfId="15951"/>
    <tableColumn id="468" xr3:uid="{F38E9402-CC4C-4FF2-B5C6-6106E514C1C8}" name="Columna462" dataDxfId="15950"/>
    <tableColumn id="469" xr3:uid="{E9DC3B4B-97AA-4502-B6E5-2BBB8A96383F}" name="Columna463" dataDxfId="15949"/>
    <tableColumn id="470" xr3:uid="{018E8B17-9EF8-4D6C-90D3-4DEDE44988A3}" name="Columna464" dataDxfId="15948"/>
    <tableColumn id="471" xr3:uid="{B5652474-45C9-4B94-B088-719D07EDB6B6}" name="Columna465" dataDxfId="15947"/>
    <tableColumn id="472" xr3:uid="{5D7E93A8-B791-4E28-930E-E33F4F27A277}" name="Columna466" dataDxfId="15946"/>
    <tableColumn id="473" xr3:uid="{12F1CB91-9E0F-4FE6-BF9A-605E997EE2AE}" name="Columna467" dataDxfId="15945"/>
    <tableColumn id="474" xr3:uid="{F268F5EC-1A3D-45A6-A151-5147EDD91034}" name="Columna468" dataDxfId="15944"/>
    <tableColumn id="475" xr3:uid="{629656BF-7503-432A-8EC5-E4DAE5CF7AD9}" name="Columna469" dataDxfId="15943"/>
    <tableColumn id="476" xr3:uid="{EDD2080D-372C-4780-A5EF-0C223C630C15}" name="Columna470" dataDxfId="15942"/>
    <tableColumn id="477" xr3:uid="{E7CB661E-702D-45B5-A935-87111A50F57E}" name="Columna471" dataDxfId="15941"/>
    <tableColumn id="478" xr3:uid="{CFF2BB5A-A314-453B-90D9-46B2F6781CE7}" name="Columna472" dataDxfId="15940"/>
    <tableColumn id="479" xr3:uid="{82D77E13-9F85-4450-A232-CAE00E5B70C9}" name="Columna473" dataDxfId="15939"/>
    <tableColumn id="480" xr3:uid="{33B4C41E-3165-4A56-AA26-708D2AB5AF3E}" name="Columna474" dataDxfId="15938"/>
    <tableColumn id="481" xr3:uid="{B9D9B55A-4BC4-4843-AF89-C9D6DF01D8A2}" name="Columna475" dataDxfId="15937"/>
    <tableColumn id="482" xr3:uid="{C34277D9-AAF9-43D8-AE88-EDC2A7C4C3D0}" name="Columna476" dataDxfId="15936"/>
    <tableColumn id="483" xr3:uid="{740CF5EB-8B32-438D-B9BB-3912CC4135CB}" name="Columna477" dataDxfId="15935"/>
    <tableColumn id="484" xr3:uid="{D6D6E570-9F3B-4EE5-B3A9-5F415B521C0E}" name="Columna478" dataDxfId="15934"/>
    <tableColumn id="485" xr3:uid="{19B944F7-406B-4306-B51E-2B5919A7FF98}" name="Columna479" dataDxfId="15933"/>
    <tableColumn id="486" xr3:uid="{171BEB5F-EDA0-463F-BEB5-12288DA6511F}" name="Columna480" dataDxfId="15932"/>
    <tableColumn id="487" xr3:uid="{CC1D1FB2-BA3F-43E7-9B21-062E2622CE8D}" name="Columna481" dataDxfId="15931"/>
    <tableColumn id="488" xr3:uid="{620E72B8-E38A-4C95-B1DB-5C53BA212D5D}" name="Columna482" dataDxfId="15930"/>
    <tableColumn id="489" xr3:uid="{0486780E-34B1-4063-885A-8B39EFF06969}" name="Columna483" dataDxfId="15929"/>
    <tableColumn id="490" xr3:uid="{A85AE6B2-9644-4367-B8ED-D6BDA8CAB49C}" name="Columna484" dataDxfId="15928"/>
    <tableColumn id="491" xr3:uid="{215F218D-C9CC-4E7B-8D85-9CDDC2D14D2C}" name="Columna485" dataDxfId="15927"/>
    <tableColumn id="492" xr3:uid="{6B7843F0-A26E-49AC-BA9F-1FDED4BD9584}" name="Columna486" dataDxfId="15926"/>
    <tableColumn id="493" xr3:uid="{446FD3B8-51B7-48BD-83E9-52A5423C04AD}" name="Columna487" dataDxfId="15925"/>
    <tableColumn id="494" xr3:uid="{2D5A5728-FC73-44E5-A937-EC4A91509862}" name="Columna488" dataDxfId="15924"/>
    <tableColumn id="495" xr3:uid="{916C5624-2606-499E-8576-54B1F53F3B5A}" name="Columna489" dataDxfId="15923"/>
    <tableColumn id="496" xr3:uid="{D98F692C-F37D-482A-B8CF-49755CE4D605}" name="Columna490" dataDxfId="15922"/>
    <tableColumn id="497" xr3:uid="{5685B57F-BDD5-4981-B2C7-4940AB247CB7}" name="Columna491" dataDxfId="15921"/>
    <tableColumn id="498" xr3:uid="{21D34482-B2A0-478A-B670-C6C05A61DC7C}" name="Columna492" dataDxfId="15920"/>
    <tableColumn id="499" xr3:uid="{ADA5E30F-6EC7-4497-869D-B56FBA21713E}" name="Columna493" dataDxfId="15919"/>
    <tableColumn id="500" xr3:uid="{73FD85A9-3B45-4C83-A91D-C3BE67091839}" name="Columna494" dataDxfId="15918"/>
    <tableColumn id="501" xr3:uid="{129D06D3-23F0-4984-A3F4-6C29C7FE7EB7}" name="Columna495" dataDxfId="15917"/>
    <tableColumn id="502" xr3:uid="{F728EA84-138C-4138-926A-35B067A26AF3}" name="Columna496" dataDxfId="15916"/>
    <tableColumn id="503" xr3:uid="{D6345103-3F11-4AAE-9DF7-41A2868B768B}" name="Columna497" dataDxfId="15915"/>
    <tableColumn id="504" xr3:uid="{F17D2905-2B5C-4D9D-ABA3-6E7EBA5554F3}" name="Columna498" dataDxfId="15914"/>
    <tableColumn id="505" xr3:uid="{B11E5ED1-454C-4C82-978D-E06876CBC780}" name="Columna499" dataDxfId="15913"/>
    <tableColumn id="506" xr3:uid="{7F05AA1E-FB51-4C3A-8273-9A632DB6A490}" name="Columna500" dataDxfId="15912"/>
    <tableColumn id="507" xr3:uid="{13E2E88B-9374-44FB-B7A5-4B518B49B495}" name="Columna501" dataDxfId="15911"/>
    <tableColumn id="508" xr3:uid="{73A35403-C2B0-40F6-A72B-EA58BCFF9CB7}" name="Columna502" dataDxfId="15910"/>
    <tableColumn id="509" xr3:uid="{19B68D0F-ADC3-4FE2-B57A-34ACB4897B86}" name="Columna503" dataDxfId="15909"/>
    <tableColumn id="510" xr3:uid="{AFB90FD9-E339-4C89-BDFE-978EC00675FE}" name="Columna504" dataDxfId="15908"/>
    <tableColumn id="511" xr3:uid="{1C1289E7-BADE-45E2-AA15-826024E669AE}" name="Columna505" dataDxfId="15907"/>
    <tableColumn id="512" xr3:uid="{C310F5CD-6E06-4361-AE29-4A37B676701E}" name="Columna506" dataDxfId="15906"/>
    <tableColumn id="513" xr3:uid="{8AC41A1D-16F2-476F-A2A9-F98167A68A8F}" name="Columna507" dataDxfId="15905"/>
    <tableColumn id="514" xr3:uid="{603555CB-D320-466E-83B0-D72CE48B771B}" name="Columna508" dataDxfId="15904"/>
    <tableColumn id="515" xr3:uid="{E3141CD0-1195-46F9-ACCE-2CB410846E8E}" name="Columna509" dataDxfId="15903"/>
    <tableColumn id="516" xr3:uid="{7D25D264-1155-4811-B9C5-EE301FB389D8}" name="Columna510" dataDxfId="15902"/>
    <tableColumn id="517" xr3:uid="{67ACA650-3DA9-4F7C-A743-4303B1EC3183}" name="Columna511" dataDxfId="15901"/>
    <tableColumn id="518" xr3:uid="{30E7C943-2369-4058-82C0-63836FA3C132}" name="Columna512" dataDxfId="15900"/>
    <tableColumn id="519" xr3:uid="{BE16B1E5-0A9E-4527-845D-F15D055B0042}" name="Columna513" dataDxfId="15899"/>
    <tableColumn id="520" xr3:uid="{438A06C6-2A45-4CC7-9CF9-4A50BAA5B353}" name="Columna514" dataDxfId="15898"/>
    <tableColumn id="521" xr3:uid="{9B1BA570-3E7A-4ED9-8A93-AB61BC8A8403}" name="Columna515" dataDxfId="15897"/>
    <tableColumn id="522" xr3:uid="{5FB81E30-62D9-4C93-9C75-CEA7DAD4A7E1}" name="Columna516" dataDxfId="15896"/>
    <tableColumn id="523" xr3:uid="{999F4B6C-56FC-4473-90ED-0DBC81AFC151}" name="Columna517" dataDxfId="15895"/>
    <tableColumn id="524" xr3:uid="{086BD10E-2561-4BCB-8ACC-682F0DFE1150}" name="Columna518" dataDxfId="15894"/>
    <tableColumn id="525" xr3:uid="{2D8D7BE7-C832-4328-BEFA-0DAC528FD2FB}" name="Columna519" dataDxfId="15893"/>
    <tableColumn id="526" xr3:uid="{BE949E08-D219-47DD-8379-635BE6F20432}" name="Columna520" dataDxfId="15892"/>
    <tableColumn id="527" xr3:uid="{4EA9A81F-6CBE-4414-8F4C-6F5DB2ED090E}" name="Columna521" dataDxfId="15891"/>
    <tableColumn id="528" xr3:uid="{5328D396-0289-4F59-81A2-F697CCA7C91F}" name="Columna522" dataDxfId="15890"/>
    <tableColumn id="529" xr3:uid="{4D551992-D6BB-4046-8B35-1C59F343CC89}" name="Columna523" dataDxfId="15889"/>
    <tableColumn id="530" xr3:uid="{EC3F2303-5382-4885-8582-6BAD738C9F50}" name="Columna524" dataDxfId="15888"/>
    <tableColumn id="531" xr3:uid="{12FE0766-DA56-4110-8FF5-CC44F6A1F87A}" name="Columna525" dataDxfId="15887"/>
    <tableColumn id="532" xr3:uid="{C0627FCF-2C39-457D-996D-E3286289D368}" name="Columna526" dataDxfId="15886"/>
    <tableColumn id="533" xr3:uid="{068A3C8B-D52C-4A14-B5EE-D6DB24E43586}" name="Columna527" dataDxfId="15885"/>
    <tableColumn id="534" xr3:uid="{D1DF69BF-42B3-4763-870E-6C15A7EC0A27}" name="Columna528" dataDxfId="15884"/>
    <tableColumn id="535" xr3:uid="{ED8F5E11-898A-406E-A03D-63C70B31DB95}" name="Columna529" dataDxfId="15883"/>
    <tableColumn id="536" xr3:uid="{11F2369F-7098-40F7-AAA6-9ED21221EAB8}" name="Columna530" dataDxfId="15882"/>
    <tableColumn id="537" xr3:uid="{594674E7-0379-447E-A080-452DC26271F0}" name="Columna531" dataDxfId="15881"/>
    <tableColumn id="538" xr3:uid="{812B1816-6899-4D5D-82F7-05A4D96D55EA}" name="Columna532" dataDxfId="15880"/>
    <tableColumn id="539" xr3:uid="{BAE3AE86-AF36-46EC-9B22-A61481AAC60F}" name="Columna533" dataDxfId="15879"/>
    <tableColumn id="540" xr3:uid="{A1AEA486-C1CA-43D8-9045-FF94F22CFEA8}" name="Columna534" dataDxfId="15878"/>
    <tableColumn id="541" xr3:uid="{8AF4FF7B-A635-47E9-B455-F27E85AEDFA1}" name="Columna535" dataDxfId="15877"/>
    <tableColumn id="542" xr3:uid="{3E4BB8BA-0E19-456A-849C-9BF4695B7DFA}" name="Columna536" dataDxfId="15876"/>
    <tableColumn id="543" xr3:uid="{C975AB58-B2BC-4AEB-A56B-1F35CB319A91}" name="Columna537" dataDxfId="15875"/>
    <tableColumn id="544" xr3:uid="{1BFC0B5D-4CB0-4559-B475-1E1562148EC0}" name="Columna538" dataDxfId="15874"/>
    <tableColumn id="545" xr3:uid="{4A4D5375-C97C-45F5-8071-5A0D6A430D03}" name="Columna539" dataDxfId="15873"/>
    <tableColumn id="546" xr3:uid="{4AF5D11B-2AAB-4619-B2C1-21DD357D0543}" name="Columna540" dataDxfId="15872"/>
    <tableColumn id="547" xr3:uid="{7DA8ECA2-F061-49D0-B113-AF3B411AA7E2}" name="Columna541" dataDxfId="15871"/>
    <tableColumn id="548" xr3:uid="{3E5093ED-CDE4-4B23-9F00-37F100822315}" name="Columna542" dataDxfId="15870"/>
    <tableColumn id="549" xr3:uid="{CA960D13-37A7-4959-A8C7-F6C7DF354220}" name="Columna543" dataDxfId="15869"/>
    <tableColumn id="550" xr3:uid="{0EF4C311-87BA-45F6-BD90-43C92A9C94D6}" name="Columna544" dataDxfId="15868"/>
    <tableColumn id="551" xr3:uid="{6CFCA27C-4C29-43F7-A350-561286D3D000}" name="Columna545" dataDxfId="15867"/>
    <tableColumn id="552" xr3:uid="{8D143C45-5895-4869-972B-60A69D90ADCB}" name="Columna546" dataDxfId="15866"/>
    <tableColumn id="553" xr3:uid="{BD4B0845-FEAE-4B8E-98AA-D25875BFC016}" name="Columna547" dataDxfId="15865"/>
    <tableColumn id="554" xr3:uid="{5F619BB9-868D-4928-976E-8102C0512807}" name="Columna548" dataDxfId="15864"/>
    <tableColumn id="555" xr3:uid="{C5875C11-1881-4446-8B1D-88F636B1C121}" name="Columna549" dataDxfId="15863"/>
    <tableColumn id="556" xr3:uid="{26777CCF-1822-4DAF-BC6B-B957538C99DF}" name="Columna550" dataDxfId="15862"/>
    <tableColumn id="557" xr3:uid="{24E5D8B2-F96F-4899-AF95-FF3C55EDED73}" name="Columna551" dataDxfId="15861"/>
    <tableColumn id="558" xr3:uid="{2B2C77FE-C096-4A33-BF2D-BB1747EB1921}" name="Columna552" dataDxfId="15860"/>
    <tableColumn id="559" xr3:uid="{A0FC45B7-F114-4A3B-A2D2-053978D2CFD1}" name="Columna553" dataDxfId="15859"/>
    <tableColumn id="560" xr3:uid="{D297C35F-AB6A-4A0F-8F83-ECBDD8F62510}" name="Columna554" dataDxfId="15858"/>
    <tableColumn id="561" xr3:uid="{A6150F90-A38D-4D0E-A157-6874EA69AB5E}" name="Columna555" dataDxfId="15857"/>
    <tableColumn id="562" xr3:uid="{3838970B-9838-4865-B291-ABEBBF8027C3}" name="Columna556" dataDxfId="15856"/>
    <tableColumn id="563" xr3:uid="{595B8302-0894-4A63-B0B9-F8E30BB4253B}" name="Columna557" dataDxfId="15855"/>
    <tableColumn id="564" xr3:uid="{5FB94C20-9A2F-43DA-BC6B-8F644968A696}" name="Columna558" dataDxfId="15854"/>
    <tableColumn id="565" xr3:uid="{390A0D40-B1D5-41B7-A358-B9DD07B6B126}" name="Columna559" dataDxfId="15853"/>
    <tableColumn id="566" xr3:uid="{96E62458-B661-4BF0-87DA-92E7D5ACDF22}" name="Columna560" dataDxfId="15852"/>
    <tableColumn id="567" xr3:uid="{1B33ACC3-CDD5-45B6-B2B0-FAC59BE43A25}" name="Columna561" dataDxfId="15851"/>
    <tableColumn id="568" xr3:uid="{657B5437-1E1D-4293-9827-B1AB0CAED053}" name="Columna562" dataDxfId="15850"/>
    <tableColumn id="569" xr3:uid="{A3DF87EE-7106-442D-B7FD-269D6A80BE56}" name="Columna563" dataDxfId="15849"/>
    <tableColumn id="570" xr3:uid="{839344FD-9256-410E-8A01-7AE4670EBE5C}" name="Columna564" dataDxfId="15848"/>
    <tableColumn id="571" xr3:uid="{3DD3B181-2C93-4355-B943-0175BF8A8006}" name="Columna565" dataDxfId="15847"/>
    <tableColumn id="572" xr3:uid="{EB63F410-A841-42A3-816F-6C19FB613BB2}" name="Columna566" dataDxfId="15846"/>
    <tableColumn id="573" xr3:uid="{C37DC686-7356-449C-813D-87B4C1EF8A5E}" name="Columna567" dataDxfId="15845"/>
    <tableColumn id="574" xr3:uid="{B48CDDD9-0AD0-4043-88EE-33C687C322E0}" name="Columna568" dataDxfId="15844"/>
    <tableColumn id="575" xr3:uid="{66A4F3F7-D89D-4937-9222-7C143906FE98}" name="Columna569" dataDxfId="15843"/>
    <tableColumn id="576" xr3:uid="{058945C8-FB8F-4498-9782-DF07D0BF4768}" name="Columna570" dataDxfId="15842"/>
    <tableColumn id="577" xr3:uid="{C7176334-4D60-42A4-BDB8-B34E775A9BFA}" name="Columna571" dataDxfId="15841"/>
    <tableColumn id="578" xr3:uid="{4D1727E9-2237-4E30-8FB4-1CCE80A38FBF}" name="Columna572" dataDxfId="15840"/>
    <tableColumn id="579" xr3:uid="{28628917-EE4B-4002-9748-7EFE8C453931}" name="Columna573" dataDxfId="15839"/>
    <tableColumn id="580" xr3:uid="{13639222-CF15-4173-8DC5-F4E778787ECA}" name="Columna574" dataDxfId="15838"/>
    <tableColumn id="581" xr3:uid="{145BE019-A212-4A73-892E-ACC458E60A37}" name="Columna575" dataDxfId="15837"/>
    <tableColumn id="582" xr3:uid="{1F609D8D-767A-40F1-AF13-45E51797D1FF}" name="Columna576" dataDxfId="15836"/>
    <tableColumn id="583" xr3:uid="{71B61A1E-328D-4E8F-92FF-BE12D2C8A549}" name="Columna577" dataDxfId="15835"/>
    <tableColumn id="584" xr3:uid="{9B85927E-BE43-4267-8853-6A02371849C5}" name="Columna578" dataDxfId="15834"/>
    <tableColumn id="585" xr3:uid="{781BC174-DB15-41C0-940F-D57F11D869B6}" name="Columna579" dataDxfId="15833"/>
    <tableColumn id="586" xr3:uid="{7B78AC1B-E716-4001-81EF-4164F482F9B5}" name="Columna580" dataDxfId="15832"/>
    <tableColumn id="587" xr3:uid="{934EEE0A-62AE-4A6B-839C-5027238DF41B}" name="Columna581" dataDxfId="15831"/>
    <tableColumn id="588" xr3:uid="{609758FA-BB9B-4707-986C-6391A8918076}" name="Columna582" dataDxfId="15830"/>
    <tableColumn id="589" xr3:uid="{490256DF-DB17-4A8C-BE6A-4D20B1F839B2}" name="Columna583" dataDxfId="15829"/>
    <tableColumn id="590" xr3:uid="{00C80999-9A74-4DE3-9B58-DCAD202CE349}" name="Columna584" dataDxfId="15828"/>
    <tableColumn id="591" xr3:uid="{6EE1A225-8FEA-4C15-AC38-73F389CD1469}" name="Columna585" dataDxfId="15827"/>
    <tableColumn id="592" xr3:uid="{4957D8FA-807D-432F-9AC8-649C92E33C1E}" name="Columna586" dataDxfId="15826"/>
    <tableColumn id="593" xr3:uid="{6780ACE2-D928-439B-A189-0CCDA709E1DB}" name="Columna587" dataDxfId="15825"/>
    <tableColumn id="594" xr3:uid="{7A7630CD-9188-411E-8D7F-EE2B1F9A287B}" name="Columna588" dataDxfId="15824"/>
    <tableColumn id="595" xr3:uid="{EBC2DAC1-F3FB-4A0D-BF47-0EDF0E6D0550}" name="Columna589" dataDxfId="15823"/>
    <tableColumn id="596" xr3:uid="{65DFD8C7-D36A-4761-9517-DD4CCF86604E}" name="Columna590" dataDxfId="15822"/>
    <tableColumn id="597" xr3:uid="{6E7D931F-3F54-4F2E-B243-9AF14AC17408}" name="Columna591" dataDxfId="15821"/>
    <tableColumn id="598" xr3:uid="{AF94E5C4-1CDD-46EC-9F27-78C163D6B0F4}" name="Columna592" dataDxfId="15820"/>
    <tableColumn id="599" xr3:uid="{331D5005-4C56-449D-A1E3-2F37A61C8E2C}" name="Columna593" dataDxfId="15819"/>
    <tableColumn id="600" xr3:uid="{20036193-9FB8-4F88-B8EF-B435DBB6E787}" name="Columna594" dataDxfId="15818"/>
    <tableColumn id="601" xr3:uid="{B263134C-4427-4258-884C-7A4DBA6DF80D}" name="Columna595" dataDxfId="15817"/>
    <tableColumn id="602" xr3:uid="{6F05DBB9-7DA3-487D-BE5C-7FCFA504E89D}" name="Columna596" dataDxfId="15816"/>
    <tableColumn id="603" xr3:uid="{861A5462-0FC5-447A-9772-7F477738AD42}" name="Columna597" dataDxfId="15815"/>
    <tableColumn id="604" xr3:uid="{A3CD710E-A386-45A9-B541-02E06C189904}" name="Columna598" dataDxfId="15814"/>
    <tableColumn id="605" xr3:uid="{A4A74527-C7DC-4FCF-86F2-BAE3C249A66F}" name="Columna599" dataDxfId="15813"/>
    <tableColumn id="606" xr3:uid="{7A3EAF7E-15E4-47B5-967F-CEA9B9896877}" name="Columna600" dataDxfId="15812"/>
    <tableColumn id="607" xr3:uid="{2E438AE3-588E-48A7-B6EE-C481DE04613E}" name="Columna601" dataDxfId="15811"/>
    <tableColumn id="608" xr3:uid="{DDA6CC83-C689-4407-A5FE-5ABA759140F6}" name="Columna602" dataDxfId="15810"/>
    <tableColumn id="609" xr3:uid="{A4866006-7ED0-4788-820C-F169B8F53848}" name="Columna603" dataDxfId="15809"/>
    <tableColumn id="610" xr3:uid="{76605D1B-179F-41E0-9B33-E5A9FD3CB70F}" name="Columna604" dataDxfId="15808"/>
    <tableColumn id="611" xr3:uid="{F486E0AD-3AE9-4FC5-A26C-F87D8BEFDFD5}" name="Columna605" dataDxfId="15807"/>
    <tableColumn id="612" xr3:uid="{9C953474-7A17-425D-B44C-1D8A9860E67A}" name="Columna606" dataDxfId="15806"/>
    <tableColumn id="613" xr3:uid="{08042554-2768-43C7-ACD4-E42B70CD495B}" name="Columna607" dataDxfId="15805"/>
    <tableColumn id="614" xr3:uid="{3B961D7B-2D01-41E8-BC5D-D036CC800E94}" name="Columna608" dataDxfId="15804"/>
    <tableColumn id="615" xr3:uid="{6D825E3A-23E1-454B-B1D6-ED63194460B4}" name="Columna609" dataDxfId="15803"/>
    <tableColumn id="616" xr3:uid="{95A72B4A-DFB0-43D5-906E-018B8FA5AC7E}" name="Columna610" dataDxfId="15802"/>
    <tableColumn id="617" xr3:uid="{33877AF6-8821-425C-A1EE-DF3AD6533024}" name="Columna611" dataDxfId="15801"/>
    <tableColumn id="618" xr3:uid="{148AFBDE-4466-4CB9-B671-BE98470E1CC4}" name="Columna612" dataDxfId="15800"/>
    <tableColumn id="619" xr3:uid="{4843B886-6763-4DF3-A252-7865C0055F9B}" name="Columna613" dataDxfId="15799"/>
    <tableColumn id="620" xr3:uid="{3F159BA7-22AF-4139-B416-8F32FA966F5D}" name="Columna614" dataDxfId="15798"/>
    <tableColumn id="621" xr3:uid="{4859AD69-D73D-435F-8A01-A9E61F37D389}" name="Columna615" dataDxfId="15797"/>
    <tableColumn id="622" xr3:uid="{4E7F1F6F-7FFE-4EAC-A0D1-8E9B9CB2848B}" name="Columna616" dataDxfId="15796"/>
    <tableColumn id="623" xr3:uid="{927C330D-B161-4F85-A798-837641278F41}" name="Columna617" dataDxfId="15795"/>
    <tableColumn id="624" xr3:uid="{084ECBFF-CE66-4AA7-8D23-1D4CF51CC95D}" name="Columna618" dataDxfId="15794"/>
    <tableColumn id="625" xr3:uid="{A6474148-A0DE-4698-89FC-5D5E80E3AFDE}" name="Columna619" dataDxfId="15793"/>
    <tableColumn id="626" xr3:uid="{D44F0BA0-6373-4235-B1B4-FB347B97493E}" name="Columna620" dataDxfId="15792"/>
    <tableColumn id="627" xr3:uid="{C8035DA0-44A5-43F3-931B-BC18F0218117}" name="Columna621" dataDxfId="15791"/>
    <tableColumn id="628" xr3:uid="{0B64D2EC-2919-4645-8B00-69B435F93A29}" name="Columna622" dataDxfId="15790"/>
    <tableColumn id="629" xr3:uid="{466DF066-5A42-4A64-A2C4-6B67A9005E11}" name="Columna623" dataDxfId="15789"/>
    <tableColumn id="630" xr3:uid="{AC2CB5FB-D8B8-41D5-888A-5B6134908759}" name="Columna624" dataDxfId="15788"/>
    <tableColumn id="631" xr3:uid="{BB7BE4AD-426D-45C6-A06C-F633D6D3C336}" name="Columna625" dataDxfId="15787"/>
    <tableColumn id="632" xr3:uid="{23D75740-398C-4865-BFB7-F9CC63D43ACB}" name="Columna626" dataDxfId="15786"/>
    <tableColumn id="633" xr3:uid="{32B2514B-E731-4727-A1AA-A5B20F1F6E69}" name="Columna627" dataDxfId="15785"/>
    <tableColumn id="634" xr3:uid="{59E54EB8-1EB1-4787-B475-C27162037071}" name="Columna628" dataDxfId="15784"/>
    <tableColumn id="635" xr3:uid="{173AC5E0-691A-48E7-8367-A2EE5CEE7155}" name="Columna629" dataDxfId="15783"/>
    <tableColumn id="636" xr3:uid="{32C1E864-B32E-4648-B403-52BD640DCB2E}" name="Columna630" dataDxfId="15782"/>
    <tableColumn id="637" xr3:uid="{ED1AD5B7-E68E-4686-BCCA-9A92F8017D7E}" name="Columna631" dataDxfId="15781"/>
    <tableColumn id="638" xr3:uid="{0AF5116F-BE0C-4876-9870-8C22B04BBE13}" name="Columna632" dataDxfId="15780"/>
    <tableColumn id="639" xr3:uid="{C4B03D76-1F7F-4B93-A222-061F198958E9}" name="Columna633" dataDxfId="15779"/>
    <tableColumn id="640" xr3:uid="{A1956F69-2574-4123-91D3-D5B08FB4BA01}" name="Columna634" dataDxfId="15778"/>
    <tableColumn id="641" xr3:uid="{06D547A8-7D77-40F2-862A-B8A8434D41BC}" name="Columna635" dataDxfId="15777"/>
    <tableColumn id="642" xr3:uid="{32655A12-EA0B-4E97-89DE-5B39D37399BF}" name="Columna636" dataDxfId="15776"/>
    <tableColumn id="643" xr3:uid="{1DF4135A-F8C7-435D-AA79-3B69E0B7AC25}" name="Columna637" dataDxfId="15775"/>
    <tableColumn id="644" xr3:uid="{53292C93-351C-4DE7-BF1A-D7F7F6498BA5}" name="Columna638" dataDxfId="15774"/>
    <tableColumn id="645" xr3:uid="{30C44A66-34C0-4EC4-B303-C6304B97729B}" name="Columna639" dataDxfId="15773"/>
    <tableColumn id="646" xr3:uid="{0AEA4B34-5F00-41B5-91F9-4FCBF6F5906A}" name="Columna640" dataDxfId="15772"/>
    <tableColumn id="647" xr3:uid="{FB882531-D466-4EF7-859B-017A73041CC4}" name="Columna641" dataDxfId="15771"/>
    <tableColumn id="648" xr3:uid="{BFF83682-C6FB-4BC2-BDE7-8DC17BD8C483}" name="Columna642" dataDxfId="15770"/>
    <tableColumn id="649" xr3:uid="{FCA657F0-8326-4732-B1CF-81E1EE4390C2}" name="Columna643" dataDxfId="15769"/>
    <tableColumn id="650" xr3:uid="{87534620-2E4F-4557-A1D5-C7A73CB9ABBB}" name="Columna644" dataDxfId="15768"/>
    <tableColumn id="651" xr3:uid="{F96633BF-4A31-48C2-A5D2-1470275DD1A8}" name="Columna645" dataDxfId="15767"/>
    <tableColumn id="652" xr3:uid="{B109F14E-195B-4DD5-99C8-2751C275307B}" name="Columna646" dataDxfId="15766"/>
    <tableColumn id="653" xr3:uid="{B642FDEA-1250-4FA5-BD9F-5B036EDAD2D9}" name="Columna647" dataDxfId="15765"/>
    <tableColumn id="654" xr3:uid="{DC01D535-C3C6-41A7-8B5F-2D990FE80308}" name="Columna648" dataDxfId="15764"/>
    <tableColumn id="655" xr3:uid="{88C6F75F-BF20-4799-AA85-4E7F7DD8FC4F}" name="Columna649" dataDxfId="15763"/>
    <tableColumn id="656" xr3:uid="{9FF4CD8D-6C3B-482C-B4B9-6C1A3769C077}" name="Columna650" dataDxfId="15762"/>
    <tableColumn id="657" xr3:uid="{ACF3E857-5951-4EBC-8D4D-39A08A66BFED}" name="Columna651" dataDxfId="15761"/>
    <tableColumn id="658" xr3:uid="{DE3FEBAC-CB22-4F4B-AFF6-0DCC2B0B44FE}" name="Columna652" dataDxfId="15760"/>
    <tableColumn id="659" xr3:uid="{03BA19F6-F926-4E40-A39A-4CE90FA05C65}" name="Columna653" dataDxfId="15759"/>
    <tableColumn id="660" xr3:uid="{D8E91AE3-CB7C-4058-AF01-4C5E6398DCCD}" name="Columna654" dataDxfId="15758"/>
    <tableColumn id="661" xr3:uid="{10C9D892-B353-4CEE-A467-0FE33B495C62}" name="Columna655" dataDxfId="15757"/>
    <tableColumn id="662" xr3:uid="{0525FD89-540D-4653-9C29-2D892033F260}" name="Columna656" dataDxfId="15756"/>
    <tableColumn id="663" xr3:uid="{48B73A61-21CC-42C4-8B99-3AF0F80A5E18}" name="Columna657" dataDxfId="15755"/>
    <tableColumn id="664" xr3:uid="{4811BDFE-4721-4942-8150-FF202C7028F4}" name="Columna658" dataDxfId="15754"/>
    <tableColumn id="665" xr3:uid="{983C62A5-FB3A-4641-B3DC-600DBABCFD56}" name="Columna659" dataDxfId="15753"/>
    <tableColumn id="666" xr3:uid="{92BE2A81-2769-45E7-AB2D-46EE037136ED}" name="Columna660" dataDxfId="15752"/>
    <tableColumn id="667" xr3:uid="{96734FB4-64F1-4406-9331-7B760A646A71}" name="Columna661" dataDxfId="15751"/>
    <tableColumn id="668" xr3:uid="{0017329E-2AB8-4308-BEB0-E09E54F3A5E5}" name="Columna662" dataDxfId="15750"/>
    <tableColumn id="669" xr3:uid="{B6E32C51-92E5-40D5-A135-4F11B3DEA81B}" name="Columna663" dataDxfId="15749"/>
    <tableColumn id="670" xr3:uid="{11558D33-61EC-4BFF-845E-BD09C093E3BC}" name="Columna664" dataDxfId="15748"/>
    <tableColumn id="671" xr3:uid="{297B21D6-1159-419A-8FF6-A3C88F6A70C9}" name="Columna665" dataDxfId="15747"/>
    <tableColumn id="672" xr3:uid="{06B9378A-F17E-4EA9-A87A-6301AE7EA475}" name="Columna666" dataDxfId="15746"/>
    <tableColumn id="673" xr3:uid="{B0D38781-834D-4F92-B298-1A60E6185DB9}" name="Columna667" dataDxfId="15745"/>
    <tableColumn id="674" xr3:uid="{013F535B-577A-443A-AEA9-749018F0F908}" name="Columna668" dataDxfId="15744"/>
    <tableColumn id="675" xr3:uid="{2668D429-5592-4C34-B699-27B8955AC2CE}" name="Columna669" dataDxfId="15743"/>
    <tableColumn id="676" xr3:uid="{E33F4E61-BBFE-4A1F-8C0E-69E8D2E00F61}" name="Columna670" dataDxfId="15742"/>
    <tableColumn id="677" xr3:uid="{F7ADB10C-60F2-4187-9839-957491755514}" name="Columna671" dataDxfId="15741"/>
    <tableColumn id="678" xr3:uid="{AE23FBAF-0D3E-4650-9486-4CB72523CDAC}" name="Columna672" dataDxfId="15740"/>
    <tableColumn id="679" xr3:uid="{F84CF059-E33A-49A5-AB87-11EB3DEA4EC0}" name="Columna673" dataDxfId="15739"/>
    <tableColumn id="680" xr3:uid="{B0C4ADD1-516F-46B4-9BFD-B1CCD4240A8A}" name="Columna674" dataDxfId="15738"/>
    <tableColumn id="681" xr3:uid="{2A9C2C7E-6BED-48A0-BBEC-E3D1E9372A51}" name="Columna675" dataDxfId="15737"/>
    <tableColumn id="682" xr3:uid="{12D77F07-188A-41CC-92F2-D48DF893F14F}" name="Columna676" dataDxfId="15736"/>
    <tableColumn id="683" xr3:uid="{CEBE477D-5222-4A6C-8AA7-6F2FAFE5D8D6}" name="Columna677" dataDxfId="15735"/>
    <tableColumn id="684" xr3:uid="{01130E09-7A68-4AD9-9719-E03CF7C4CDF8}" name="Columna678" dataDxfId="15734"/>
    <tableColumn id="685" xr3:uid="{B1C3E9AD-98DA-4835-B4BE-1242D91D2903}" name="Columna679" dataDxfId="15733"/>
    <tableColumn id="686" xr3:uid="{91703F85-5C0B-44BB-840D-0C86BF5D7438}" name="Columna680" dataDxfId="15732"/>
    <tableColumn id="687" xr3:uid="{F06A00C1-AD6D-4121-ADC3-31F673C1B404}" name="Columna681" dataDxfId="15731"/>
    <tableColumn id="688" xr3:uid="{9354703B-6754-4043-A71A-574E3C8A1761}" name="Columna682" dataDxfId="15730"/>
    <tableColumn id="689" xr3:uid="{0AE665CF-7C55-4D57-9C61-E256D7A1688E}" name="Columna683" dataDxfId="15729"/>
    <tableColumn id="690" xr3:uid="{06D6AE5F-C7B9-4E71-891E-2DB60901C24E}" name="Columna684" dataDxfId="15728"/>
    <tableColumn id="691" xr3:uid="{FE18C221-24A5-4660-8483-A611A7261B68}" name="Columna685" dataDxfId="15727"/>
    <tableColumn id="692" xr3:uid="{A5753D44-FE4A-40EE-8057-FE82BB4F5280}" name="Columna686" dataDxfId="15726"/>
    <tableColumn id="693" xr3:uid="{9140DEBE-D2FB-4022-9C10-9124BB99EFFF}" name="Columna687" dataDxfId="15725"/>
    <tableColumn id="694" xr3:uid="{3DC65389-349B-4AFD-87CD-16692F15D5FF}" name="Columna688" dataDxfId="15724"/>
    <tableColumn id="695" xr3:uid="{3453BC03-E4B2-41D5-BD42-775EBA7AB377}" name="Columna689" dataDxfId="15723"/>
    <tableColumn id="696" xr3:uid="{E88102D6-25E1-41A6-A797-3D2EF1CD152C}" name="Columna690" dataDxfId="15722"/>
    <tableColumn id="697" xr3:uid="{28872361-FE93-47F5-805B-253046D2DAB3}" name="Columna691" dataDxfId="15721"/>
    <tableColumn id="698" xr3:uid="{803A7F1D-C14A-438E-BF9D-3C1C34726B3C}" name="Columna692" dataDxfId="15720"/>
    <tableColumn id="699" xr3:uid="{E59FAFC3-A716-4184-A75C-5F78E581902E}" name="Columna693" dataDxfId="15719"/>
    <tableColumn id="700" xr3:uid="{A7A5DBEE-D767-439B-B70F-2FBE25894ECB}" name="Columna694" dataDxfId="15718"/>
    <tableColumn id="701" xr3:uid="{A92E1AB1-6325-4470-9F2C-5A448A9D4DA6}" name="Columna695" dataDxfId="15717"/>
    <tableColumn id="702" xr3:uid="{D6A468AA-5F67-47BF-9C9F-59DD63C22B88}" name="Columna696" dataDxfId="15716"/>
    <tableColumn id="703" xr3:uid="{E81A9AAD-ED00-4279-B65A-9B87167A8CA4}" name="Columna697" dataDxfId="15715"/>
    <tableColumn id="704" xr3:uid="{CAB5B25B-F0C2-47FA-A365-F370182F956D}" name="Columna698" dataDxfId="15714"/>
    <tableColumn id="705" xr3:uid="{21D1395A-28DA-49A5-B086-53B43A2BCA44}" name="Columna699" dataDxfId="15713"/>
    <tableColumn id="706" xr3:uid="{155A46CE-2ED3-427D-9674-D4FCE2C24172}" name="Columna700" dataDxfId="15712"/>
    <tableColumn id="707" xr3:uid="{6C3EB035-1CD3-49E5-87E9-684A46191361}" name="Columna701" dataDxfId="15711"/>
    <tableColumn id="708" xr3:uid="{F44EFD56-0D64-4CC8-B58E-919884E13127}" name="Columna702" dataDxfId="15710"/>
    <tableColumn id="709" xr3:uid="{D0D60FD4-3E4A-44F2-AF24-C1B38E09BC84}" name="Columna703" dataDxfId="15709"/>
    <tableColumn id="710" xr3:uid="{2EF11446-3056-4ACE-AC9C-005D2DDDEB5D}" name="Columna704" dataDxfId="15708"/>
    <tableColumn id="711" xr3:uid="{D2A0695D-D712-4AB8-8614-98DB9FD893A3}" name="Columna705" dataDxfId="15707"/>
    <tableColumn id="712" xr3:uid="{8EF2B49C-0657-4CE3-8594-3372EB65D297}" name="Columna706" dataDxfId="15706"/>
    <tableColumn id="713" xr3:uid="{27FEDA8F-A3DE-490C-95AF-6C3B2F984307}" name="Columna707" dataDxfId="15705"/>
    <tableColumn id="714" xr3:uid="{2B312975-B52F-4AB0-9CC9-A435A8B6B5EA}" name="Columna708" dataDxfId="15704"/>
    <tableColumn id="715" xr3:uid="{8CD073D5-17A8-41CA-82E7-0D84F9AE7BD2}" name="Columna709" dataDxfId="15703"/>
    <tableColumn id="716" xr3:uid="{EB181441-1F76-48BC-AFB4-7F95992BC4F7}" name="Columna710" dataDxfId="15702"/>
    <tableColumn id="717" xr3:uid="{93316E45-9FA8-4D9F-9DA5-C7F6E88BFC20}" name="Columna711" dataDxfId="15701"/>
    <tableColumn id="718" xr3:uid="{394E9F83-C32B-4A8C-AA5F-5632652A6969}" name="Columna712" dataDxfId="15700"/>
    <tableColumn id="719" xr3:uid="{3FCF6E11-7C1C-42E0-98E8-FDC25791D4CC}" name="Columna713" dataDxfId="15699"/>
    <tableColumn id="720" xr3:uid="{7633DD13-81F0-447E-9EB1-07E9C29519DF}" name="Columna714" dataDxfId="15698"/>
    <tableColumn id="721" xr3:uid="{6A2D1B1A-0084-49DA-81E8-7A83CAF97E61}" name="Columna715" dataDxfId="15697"/>
    <tableColumn id="722" xr3:uid="{20C6AD0A-5446-48AA-9890-57ED800AD053}" name="Columna716" dataDxfId="15696"/>
    <tableColumn id="723" xr3:uid="{4FFC6ED3-8025-4028-AD78-D58E7D79E6F4}" name="Columna717" dataDxfId="15695"/>
    <tableColumn id="724" xr3:uid="{BC24C656-482B-4E1C-957C-9F0E58D40D7B}" name="Columna718" dataDxfId="15694"/>
    <tableColumn id="725" xr3:uid="{4ADB4D2C-75F0-4038-903B-CFF0AB910CCE}" name="Columna719" dataDxfId="15693"/>
    <tableColumn id="726" xr3:uid="{59500D2C-8DEA-4023-A7BC-6CDFA4A0A4D5}" name="Columna720" dataDxfId="15692"/>
    <tableColumn id="727" xr3:uid="{65976D50-E8A5-443E-BA54-661AFC22AEEC}" name="Columna721" dataDxfId="15691"/>
    <tableColumn id="728" xr3:uid="{4A39F160-483E-476D-B44C-D41E4FDB599F}" name="Columna722" dataDxfId="15690"/>
    <tableColumn id="729" xr3:uid="{C03FB1D0-CB80-4A76-B4AA-AC18CE2C5A21}" name="Columna723" dataDxfId="15689"/>
    <tableColumn id="730" xr3:uid="{DC4C1F89-6836-4CB5-9E38-5D8C472704FE}" name="Columna724" dataDxfId="15688"/>
    <tableColumn id="731" xr3:uid="{0AA09759-B07B-49B1-89EF-B5E43B8CDB64}" name="Columna725" dataDxfId="15687"/>
    <tableColumn id="732" xr3:uid="{1C15C8B3-F286-49C9-A718-918E6FCB563D}" name="Columna726" dataDxfId="15686"/>
    <tableColumn id="733" xr3:uid="{6554025E-145C-403C-84C5-7856A44AE6D7}" name="Columna727" dataDxfId="15685"/>
    <tableColumn id="734" xr3:uid="{68C33442-98A2-4AD6-924C-6EDBD083FA5F}" name="Columna728" dataDxfId="15684"/>
    <tableColumn id="735" xr3:uid="{D8F06604-3EB2-4C1A-9BA8-7C17EE830D77}" name="Columna729" dataDxfId="15683"/>
    <tableColumn id="736" xr3:uid="{755E04DF-A817-4164-BF4F-D80962A4ABE5}" name="Columna730" dataDxfId="15682"/>
    <tableColumn id="737" xr3:uid="{217DD46C-ABA6-4E5C-9C26-52D93D95D7B2}" name="Columna731" dataDxfId="15681"/>
    <tableColumn id="738" xr3:uid="{7BB12AC8-0FB5-40E2-8C7E-7F38BBDAD445}" name="Columna732" dataDxfId="15680"/>
    <tableColumn id="739" xr3:uid="{DDBFE207-1504-4992-B99D-93176EF8BB98}" name="Columna733" dataDxfId="15679"/>
    <tableColumn id="740" xr3:uid="{DB1DC904-4372-4178-8077-9A61ED054607}" name="Columna734" dataDxfId="15678"/>
    <tableColumn id="741" xr3:uid="{370B0CFE-0116-42CD-AE8A-18FF111809DB}" name="Columna735" dataDxfId="15677"/>
    <tableColumn id="742" xr3:uid="{D2727B27-65D2-4420-99AC-936D35CF3FC2}" name="Columna736" dataDxfId="15676"/>
    <tableColumn id="743" xr3:uid="{31A22F63-D850-473A-A494-D8C15511AE80}" name="Columna737" dataDxfId="15675"/>
    <tableColumn id="744" xr3:uid="{5D5C72E5-9C80-494A-AA73-D9BF162EECF1}" name="Columna738" dataDxfId="15674"/>
    <tableColumn id="745" xr3:uid="{F8BCE47E-6089-4007-B853-243559D29D38}" name="Columna739" dataDxfId="15673"/>
    <tableColumn id="746" xr3:uid="{6A0C9812-DF49-422B-9BC3-A6E117C0AF5A}" name="Columna740" dataDxfId="15672"/>
    <tableColumn id="747" xr3:uid="{FE26A128-ADC6-444D-B554-3839260EDC51}" name="Columna741" dataDxfId="15671"/>
    <tableColumn id="748" xr3:uid="{43F42E7C-74E1-4842-903C-9E7078E83148}" name="Columna742" dataDxfId="15670"/>
    <tableColumn id="749" xr3:uid="{75E133E8-B295-4EC3-A828-E25AB260E1A7}" name="Columna743" dataDxfId="15669"/>
    <tableColumn id="750" xr3:uid="{859723C6-2100-4ED0-B47C-99438C632256}" name="Columna744" dataDxfId="15668"/>
    <tableColumn id="751" xr3:uid="{92A574A2-17A8-4E22-A02C-7E0DA887632F}" name="Columna745" dataDxfId="15667"/>
    <tableColumn id="752" xr3:uid="{4D972548-79F9-4B39-B94A-142757959207}" name="Columna746" dataDxfId="15666"/>
    <tableColumn id="753" xr3:uid="{140CB4C0-100E-4A99-A195-1B75698DE629}" name="Columna747" dataDxfId="15665"/>
    <tableColumn id="754" xr3:uid="{3F971932-2983-4120-A0D5-6360BA7A89DB}" name="Columna748" dataDxfId="15664"/>
    <tableColumn id="755" xr3:uid="{A4A5D4BD-D160-47CA-A5AE-6459FDC136E0}" name="Columna749" dataDxfId="15663"/>
    <tableColumn id="756" xr3:uid="{919C1297-46BB-4425-9825-A7DD5482BD24}" name="Columna750" dataDxfId="15662"/>
    <tableColumn id="757" xr3:uid="{724BC15B-8C91-4F1F-9784-0DF3E0946F05}" name="Columna751" dataDxfId="15661"/>
    <tableColumn id="758" xr3:uid="{26640B5E-9C5A-440F-99CF-8E1F9F3772C9}" name="Columna752" dataDxfId="15660"/>
    <tableColumn id="759" xr3:uid="{770E7015-E36B-4488-94A7-B295932998B4}" name="Columna753" dataDxfId="15659"/>
    <tableColumn id="760" xr3:uid="{35B6CA32-9745-4C5B-A447-279D7590FF4B}" name="Columna754" dataDxfId="15658"/>
    <tableColumn id="761" xr3:uid="{773C4C5A-3668-4564-8E1D-AE3606BFBFD9}" name="Columna755" dataDxfId="15657"/>
    <tableColumn id="762" xr3:uid="{06C6A805-5A8F-45A6-8A53-729842364A86}" name="Columna756" dataDxfId="15656"/>
    <tableColumn id="763" xr3:uid="{AD3D11B3-C2DA-4568-8052-E3F3E015EF6E}" name="Columna757" dataDxfId="15655"/>
    <tableColumn id="764" xr3:uid="{8B2C6DD1-6351-4B15-A0E9-D1D3DB234975}" name="Columna758" dataDxfId="15654"/>
    <tableColumn id="765" xr3:uid="{BBEAE384-F078-43A9-B10A-033086BEB27D}" name="Columna759" dataDxfId="15653"/>
    <tableColumn id="766" xr3:uid="{D2E92FF1-EFAB-4EEA-8B75-7AE348820751}" name="Columna760" dataDxfId="15652"/>
    <tableColumn id="767" xr3:uid="{034EDC3C-9AAF-4651-B07B-1E19C622D876}" name="Columna761" dataDxfId="15651"/>
    <tableColumn id="768" xr3:uid="{C4B0AD72-6790-4407-A1D0-BAD8F8FB7DC5}" name="Columna762" dataDxfId="15650"/>
    <tableColumn id="769" xr3:uid="{193D2B94-F026-423F-9876-8B61556A874C}" name="Columna763" dataDxfId="15649"/>
    <tableColumn id="770" xr3:uid="{B97A6807-FEFF-451F-A392-376B4A9700CB}" name="Columna764" dataDxfId="15648"/>
    <tableColumn id="771" xr3:uid="{BE2A0696-2D5D-4227-AB85-A0981F3BA562}" name="Columna765" dataDxfId="15647"/>
    <tableColumn id="772" xr3:uid="{09C435F4-3DBD-40CC-BF79-44046CAF197C}" name="Columna766" dataDxfId="15646"/>
    <tableColumn id="773" xr3:uid="{9345D988-1F6A-413C-B54C-76DB97819BB0}" name="Columna767" dataDxfId="15645"/>
    <tableColumn id="774" xr3:uid="{51FBBEB2-A5D2-4875-8FA2-9A9CC78B5A59}" name="Columna768" dataDxfId="15644"/>
    <tableColumn id="775" xr3:uid="{0CC6C32A-A4BB-469D-869D-366B9F624715}" name="Columna769" dataDxfId="15643"/>
    <tableColumn id="776" xr3:uid="{000A6E8E-7B98-49F5-8077-2191D555A716}" name="Columna770" dataDxfId="15642"/>
    <tableColumn id="777" xr3:uid="{A12DA3D3-1052-4BA7-A534-802543E12669}" name="Columna771" dataDxfId="15641"/>
    <tableColumn id="778" xr3:uid="{8AD5CC01-A543-478B-B7DC-C9C332F2D915}" name="Columna772" dataDxfId="15640"/>
    <tableColumn id="779" xr3:uid="{5504FA28-6BB0-486B-8F3B-43FCCA0698F7}" name="Columna773" dataDxfId="15639"/>
    <tableColumn id="780" xr3:uid="{FD909CC4-5A59-4FB6-9CEE-5285A7F40713}" name="Columna774" dataDxfId="15638"/>
    <tableColumn id="781" xr3:uid="{E3823B2D-C258-4E13-9664-405DE1F73DD9}" name="Columna775" dataDxfId="15637"/>
    <tableColumn id="782" xr3:uid="{F4D99AC4-BC5B-4F46-886B-B43E64C784E0}" name="Columna776" dataDxfId="15636"/>
    <tableColumn id="783" xr3:uid="{8698F164-9076-4DE6-B546-57AE808F7289}" name="Columna777" dataDxfId="15635"/>
    <tableColumn id="784" xr3:uid="{5C0B1DA3-4DC2-46B9-89E4-7DCB185809AB}" name="Columna778" dataDxfId="15634"/>
    <tableColumn id="785" xr3:uid="{D833E4ED-C023-471C-88D7-1C390EC9DB13}" name="Columna779" dataDxfId="15633"/>
    <tableColumn id="786" xr3:uid="{55B52F0F-0F24-4A3C-8F81-5791DA821244}" name="Columna780" dataDxfId="15632"/>
    <tableColumn id="787" xr3:uid="{8601B166-76F0-457D-BA6F-4ADEC2618E2A}" name="Columna781" dataDxfId="15631"/>
    <tableColumn id="788" xr3:uid="{7556C0DD-531E-4A29-B687-8B180B05B916}" name="Columna782" dataDxfId="15630"/>
    <tableColumn id="789" xr3:uid="{F9D68589-EEE5-49BE-961F-67B85F7B87A0}" name="Columna783" dataDxfId="15629"/>
    <tableColumn id="790" xr3:uid="{64CE8421-57A4-40C0-8E5E-0D1B991FC011}" name="Columna784" dataDxfId="15628"/>
    <tableColumn id="791" xr3:uid="{10AEDFA9-D2F0-4938-AE90-7C65DAFA52F0}" name="Columna785" dataDxfId="15627"/>
    <tableColumn id="792" xr3:uid="{E8818F22-BF55-4F37-9D6E-E9E8099B2771}" name="Columna786" dataDxfId="15626"/>
    <tableColumn id="793" xr3:uid="{97E53E84-8EA0-4F24-A80F-B726B4F5DB31}" name="Columna787" dataDxfId="15625"/>
    <tableColumn id="794" xr3:uid="{27DB8F96-DCF6-4A7D-A7A3-C22234F0C028}" name="Columna788" dataDxfId="15624"/>
    <tableColumn id="795" xr3:uid="{A3AFAB5F-FEC4-439E-B7BA-B038A648FE78}" name="Columna789" dataDxfId="15623"/>
    <tableColumn id="796" xr3:uid="{D4454D7C-7173-4CCC-8426-D24406AEFF40}" name="Columna790" dataDxfId="15622"/>
    <tableColumn id="797" xr3:uid="{963298DF-C354-43F3-BF11-C6E75062C0A2}" name="Columna791" dataDxfId="15621"/>
    <tableColumn id="798" xr3:uid="{AC67EBD7-2FE9-4AC7-A8A9-3CEDE0A12BDC}" name="Columna792" dataDxfId="15620"/>
    <tableColumn id="799" xr3:uid="{BA7F9DA2-D682-4EAB-90C0-D924D5E52D90}" name="Columna793" dataDxfId="15619"/>
    <tableColumn id="800" xr3:uid="{40AC90F0-6CB8-405B-85F3-BDC926A9821E}" name="Columna794" dataDxfId="15618"/>
    <tableColumn id="801" xr3:uid="{C6D249C4-C774-4B1C-8FF4-0FEFF302F34A}" name="Columna795" dataDxfId="15617"/>
    <tableColumn id="802" xr3:uid="{A892E1EF-5DB3-4CBD-8A1B-E14B199A9823}" name="Columna796" dataDxfId="15616"/>
    <tableColumn id="803" xr3:uid="{965C01FB-0397-4675-A137-7A98E21337EB}" name="Columna797" dataDxfId="15615"/>
    <tableColumn id="804" xr3:uid="{2757C911-F2FC-45EA-8424-4F315B4BADCA}" name="Columna798" dataDxfId="15614"/>
    <tableColumn id="805" xr3:uid="{B19E4B6B-7D02-4DBE-A279-EDEA3EF391EA}" name="Columna799" dataDxfId="15613"/>
    <tableColumn id="806" xr3:uid="{476DD5F7-1DF9-4A0D-8F46-3D3F2C9BEBF9}" name="Columna800" dataDxfId="15612"/>
    <tableColumn id="807" xr3:uid="{9CAE5604-F9F4-405E-8A0A-7441CB98BEC4}" name="Columna801" dataDxfId="15611"/>
    <tableColumn id="808" xr3:uid="{00A9E095-36CE-477E-AD2A-15E012272301}" name="Columna802" dataDxfId="15610"/>
    <tableColumn id="809" xr3:uid="{DC09A109-1A11-4792-A9CD-3F6EFA85C7DB}" name="Columna803" dataDxfId="15609"/>
    <tableColumn id="810" xr3:uid="{EF66B81F-73AC-44D1-802F-5A478C94EE1E}" name="Columna804" dataDxfId="15608"/>
    <tableColumn id="811" xr3:uid="{1427D1A7-9A35-4890-8894-7CAD08A2B514}" name="Columna805" dataDxfId="15607"/>
    <tableColumn id="812" xr3:uid="{C95606E8-45BA-4AB4-B615-DB023B542A88}" name="Columna806" dataDxfId="15606"/>
    <tableColumn id="813" xr3:uid="{EDEB73E6-7515-4328-8A54-F224F26E3162}" name="Columna807" dataDxfId="15605"/>
    <tableColumn id="814" xr3:uid="{460B607A-7548-42EF-810B-0D8535BE7FA6}" name="Columna808" dataDxfId="15604"/>
    <tableColumn id="815" xr3:uid="{3DDA2228-AEFA-4E76-A172-06A54334BD61}" name="Columna809" dataDxfId="15603"/>
    <tableColumn id="816" xr3:uid="{16CF5593-18A3-4FBE-8A6A-FD20A90A1AE4}" name="Columna810" dataDxfId="15602"/>
    <tableColumn id="817" xr3:uid="{3C7C8C80-FC70-42B4-AF90-6DF0FD213EDF}" name="Columna811" dataDxfId="15601"/>
    <tableColumn id="818" xr3:uid="{84EE96A5-F219-40C8-B54E-0BFBC3094F42}" name="Columna812" dataDxfId="15600"/>
    <tableColumn id="819" xr3:uid="{A12B9E08-8C04-4A7D-8B45-3BDE203C9579}" name="Columna813" dataDxfId="15599"/>
    <tableColumn id="820" xr3:uid="{3BC7EAD0-5501-4262-96BB-3F4931202308}" name="Columna814" dataDxfId="15598"/>
    <tableColumn id="821" xr3:uid="{41777BBA-66B3-4FCD-A845-205A1419A55F}" name="Columna815" dataDxfId="15597"/>
    <tableColumn id="822" xr3:uid="{64A68D0A-FAAD-490A-8E30-D05DE17771AE}" name="Columna816" dataDxfId="15596"/>
    <tableColumn id="823" xr3:uid="{6DFEC7B5-317E-4D4F-9FCE-9484475FF9CA}" name="Columna817" dataDxfId="15595"/>
    <tableColumn id="824" xr3:uid="{812E8EB2-C376-433C-AAAF-DD8E1005EBD6}" name="Columna818" dataDxfId="15594"/>
    <tableColumn id="825" xr3:uid="{B74D01E2-2F38-4ACD-AD8B-C54EDE748693}" name="Columna819" dataDxfId="15593"/>
    <tableColumn id="826" xr3:uid="{556448E4-59ED-4B3B-9EEC-B861AACF076E}" name="Columna820" dataDxfId="15592"/>
    <tableColumn id="827" xr3:uid="{0BE75A33-73CB-4F00-A232-BDB1ECC688D7}" name="Columna821" dataDxfId="15591"/>
    <tableColumn id="828" xr3:uid="{B5DA6399-3C83-43E9-B826-9CB89A0BD2BD}" name="Columna822" dataDxfId="15590"/>
    <tableColumn id="829" xr3:uid="{6DD155E2-AFD0-4709-B218-5F7A735A0F4A}" name="Columna823" dataDxfId="15589"/>
    <tableColumn id="830" xr3:uid="{45CAC597-B65C-40A4-9483-95DDAA750F6C}" name="Columna824" dataDxfId="15588"/>
    <tableColumn id="831" xr3:uid="{8DE3F88B-BF97-4F23-B3A0-AC6CE5B17616}" name="Columna825" dataDxfId="15587"/>
    <tableColumn id="832" xr3:uid="{BA21473B-9469-4964-B897-DF930C7587EB}" name="Columna826" dataDxfId="15586"/>
    <tableColumn id="833" xr3:uid="{3FAAC94B-0EBA-463C-BE40-E86C281200F4}" name="Columna827" dataDxfId="15585"/>
    <tableColumn id="834" xr3:uid="{249D3F4D-F535-4223-828B-21CA2560335B}" name="Columna828" dataDxfId="15584"/>
    <tableColumn id="835" xr3:uid="{86DE82E1-DEFD-41BB-A566-BE0000A93977}" name="Columna829" dataDxfId="15583"/>
    <tableColumn id="836" xr3:uid="{FD80FD8D-03B6-4CE1-995E-0C4F187ABB96}" name="Columna830" dataDxfId="15582"/>
    <tableColumn id="837" xr3:uid="{D8CA7D20-DF8A-4B5C-B1ED-1C583128E595}" name="Columna831" dataDxfId="15581"/>
    <tableColumn id="838" xr3:uid="{5241220D-CD3E-41B1-B8E6-0C0D5578B194}" name="Columna832" dataDxfId="15580"/>
    <tableColumn id="839" xr3:uid="{0C4634C8-F3D1-4FBC-9C1D-683A5B3BEEB3}" name="Columna833" dataDxfId="15579"/>
    <tableColumn id="840" xr3:uid="{7F870C5B-18C9-44B5-A5C0-284C278DC5F4}" name="Columna834" dataDxfId="15578"/>
    <tableColumn id="841" xr3:uid="{3A72F522-E58A-49EE-A499-ED5DCF110076}" name="Columna835" dataDxfId="15577"/>
    <tableColumn id="842" xr3:uid="{B1DC125E-5CAA-4A28-A890-2BCE01CCD8E2}" name="Columna836" dataDxfId="15576"/>
    <tableColumn id="843" xr3:uid="{E79DDC3E-1A14-4D14-A84E-577E59FEE127}" name="Columna837" dataDxfId="15575"/>
    <tableColumn id="844" xr3:uid="{0C6D7BA7-201F-4C83-981B-498AB6A45E36}" name="Columna838" dataDxfId="15574"/>
    <tableColumn id="845" xr3:uid="{9DDA9176-B566-414C-9929-68554DE288DA}" name="Columna839" dataDxfId="15573"/>
    <tableColumn id="846" xr3:uid="{C8A5BC84-A794-47BB-A652-854476D6CA04}" name="Columna840" dataDxfId="15572"/>
    <tableColumn id="847" xr3:uid="{7B943801-1506-469A-A2C4-953A1596F85A}" name="Columna841" dataDxfId="15571"/>
    <tableColumn id="848" xr3:uid="{03474B25-8FF6-494D-919C-E71E62BBE556}" name="Columna842" dataDxfId="15570"/>
    <tableColumn id="849" xr3:uid="{06497D99-9B92-4715-98B0-401BA0308536}" name="Columna843" dataDxfId="15569"/>
    <tableColumn id="850" xr3:uid="{CBD6AEB4-D4EA-46B8-A28F-7AA00BC77655}" name="Columna844" dataDxfId="15568"/>
    <tableColumn id="851" xr3:uid="{41F5ED35-2E2F-451C-9BCF-30CEA8DE8AD3}" name="Columna845" dataDxfId="15567"/>
    <tableColumn id="852" xr3:uid="{152D52ED-3DE2-4E0C-968B-C537F47C1231}" name="Columna846" dataDxfId="15566"/>
    <tableColumn id="853" xr3:uid="{2259273F-55E1-4B59-A7F6-941486B15E77}" name="Columna847" dataDxfId="15565"/>
    <tableColumn id="854" xr3:uid="{16DC3035-E6B4-4B3A-A960-9202343E2AAF}" name="Columna848" dataDxfId="15564"/>
    <tableColumn id="855" xr3:uid="{0CE627F7-95DC-4EA3-B841-58F9DAF041BF}" name="Columna849" dataDxfId="15563"/>
    <tableColumn id="856" xr3:uid="{8AB62FF4-30B6-4AE1-8143-48286B217F12}" name="Columna850" dataDxfId="15562"/>
    <tableColumn id="857" xr3:uid="{01D79E97-4FD3-4783-80CA-6A791A4D6487}" name="Columna851" dataDxfId="15561"/>
    <tableColumn id="858" xr3:uid="{74C4FF6E-FB09-4BCB-B859-A07938D43221}" name="Columna852" dataDxfId="15560"/>
    <tableColumn id="859" xr3:uid="{7965BBA9-34FC-4B0D-86BF-72D0A33B76CF}" name="Columna853" dataDxfId="15559"/>
    <tableColumn id="860" xr3:uid="{D60B9F1B-D8CB-4E5D-893F-B1A8941276E3}" name="Columna854" dataDxfId="15558"/>
    <tableColumn id="861" xr3:uid="{396F5546-85CB-4E90-BDF4-3E939CC362DE}" name="Columna855" dataDxfId="15557"/>
    <tableColumn id="862" xr3:uid="{72D60AF8-D44C-4C73-8EA9-489095A402AD}" name="Columna856" dataDxfId="15556"/>
    <tableColumn id="863" xr3:uid="{B4FB9B3B-AD64-4E2C-BB2E-DA2705C7CE86}" name="Columna857" dataDxfId="15555"/>
    <tableColumn id="864" xr3:uid="{73EAA035-F78D-4AE6-B21E-36B1B01B45D2}" name="Columna858" dataDxfId="15554"/>
    <tableColumn id="865" xr3:uid="{85E6D9CB-C7D1-40CF-9BC7-54890F826669}" name="Columna859" dataDxfId="15553"/>
    <tableColumn id="866" xr3:uid="{76344D02-0488-4FC6-9000-CED4C10B9F1B}" name="Columna860" dataDxfId="15552"/>
    <tableColumn id="867" xr3:uid="{9E024B1F-2058-4432-84CD-2ACC1CFFD155}" name="Columna861" dataDxfId="15551"/>
    <tableColumn id="868" xr3:uid="{A65722B3-DCF3-40D7-A72E-8CE1D9860CD0}" name="Columna862" dataDxfId="15550"/>
    <tableColumn id="869" xr3:uid="{8E14F740-FBBE-4BF1-BC47-ED5916AFFE96}" name="Columna863" dataDxfId="15549"/>
    <tableColumn id="870" xr3:uid="{257B6166-4F2F-4EA7-B64F-432B84BFA0A4}" name="Columna864" dataDxfId="15548"/>
    <tableColumn id="871" xr3:uid="{54A3AB5B-0651-45F9-9FAD-A17304C2DCED}" name="Columna865" dataDxfId="15547"/>
    <tableColumn id="872" xr3:uid="{AD4517A5-FCA6-4D81-A292-FB22ABB1828F}" name="Columna866" dataDxfId="15546"/>
    <tableColumn id="873" xr3:uid="{2F435A3D-93F9-43D5-8F05-95BCCFFFACEB}" name="Columna867" dataDxfId="15545"/>
    <tableColumn id="874" xr3:uid="{596A2C47-9F91-40E6-9558-64FA3713F57A}" name="Columna868" dataDxfId="15544"/>
    <tableColumn id="875" xr3:uid="{A0C88725-50D3-48B2-9C2E-E81EE6C8F744}" name="Columna869" dataDxfId="15543"/>
    <tableColumn id="876" xr3:uid="{F76ABB4B-B61C-43BE-933F-C9759F40A28B}" name="Columna870" dataDxfId="15542"/>
    <tableColumn id="877" xr3:uid="{AC606AC2-161A-44AB-9123-BE6818072062}" name="Columna871" dataDxfId="15541"/>
    <tableColumn id="878" xr3:uid="{B4ECAE3C-426C-48B0-B0EC-9D06EE1D23DB}" name="Columna872" dataDxfId="15540"/>
    <tableColumn id="879" xr3:uid="{1199B44C-6ADE-4C4E-B155-AA737010742B}" name="Columna873" dataDxfId="15539"/>
    <tableColumn id="880" xr3:uid="{3B07408F-74A0-4368-B55A-D8127535CA92}" name="Columna874" dataDxfId="15538"/>
    <tableColumn id="881" xr3:uid="{471D51DF-6E03-437D-9F11-869CF8BE592F}" name="Columna875" dataDxfId="15537"/>
    <tableColumn id="882" xr3:uid="{E2331A76-B5F1-4042-A92A-30D09C12613B}" name="Columna876" dataDxfId="15536"/>
    <tableColumn id="883" xr3:uid="{95A27E54-79C3-4246-9FB7-D5312A0D1D9B}" name="Columna877" dataDxfId="15535"/>
    <tableColumn id="884" xr3:uid="{CBB24DE9-8815-45C6-A6FF-CC1D12A80D43}" name="Columna878" dataDxfId="15534"/>
    <tableColumn id="885" xr3:uid="{2EA8F537-158E-43B0-B93E-E8EFED2B0979}" name="Columna879" dataDxfId="15533"/>
    <tableColumn id="886" xr3:uid="{524F824C-3B10-4A0D-BAC9-EA07B634B184}" name="Columna880" dataDxfId="15532"/>
    <tableColumn id="887" xr3:uid="{3F8353CE-1907-47E6-801F-D902A9401168}" name="Columna881" dataDxfId="15531"/>
    <tableColumn id="888" xr3:uid="{0CEAB67F-7E57-431D-9FEC-FAF3D7DE024D}" name="Columna882" dataDxfId="15530"/>
    <tableColumn id="889" xr3:uid="{E4788214-C7E4-466E-AB78-31FD57F65639}" name="Columna883" dataDxfId="15529"/>
    <tableColumn id="890" xr3:uid="{46641129-DB31-4EFD-B476-7320A372D09F}" name="Columna884" dataDxfId="15528"/>
    <tableColumn id="891" xr3:uid="{DBF3A072-6122-41D6-BE06-D6E4450915E1}" name="Columna885" dataDxfId="15527"/>
    <tableColumn id="892" xr3:uid="{1DC244BF-38D6-4A57-8AA9-816307B931D7}" name="Columna886" dataDxfId="15526"/>
    <tableColumn id="893" xr3:uid="{BEF61915-5671-42BF-BDB1-BD8F96F9CE5B}" name="Columna887" dataDxfId="15525"/>
    <tableColumn id="894" xr3:uid="{A68E4AE4-92C2-4042-9A9F-4CBD9C7DB924}" name="Columna888" dataDxfId="15524"/>
    <tableColumn id="895" xr3:uid="{00D43C6F-6550-4891-A139-CD27282EE859}" name="Columna889" dataDxfId="15523"/>
    <tableColumn id="896" xr3:uid="{9DE2AB40-CAA4-41AB-B08A-9824D6FAFE50}" name="Columna890" dataDxfId="15522"/>
    <tableColumn id="897" xr3:uid="{2115B636-3ACA-46CB-8AB2-F28467029110}" name="Columna891" dataDxfId="15521"/>
    <tableColumn id="898" xr3:uid="{4FC1A770-A447-475B-9640-0C94A214B6BA}" name="Columna892" dataDxfId="15520"/>
    <tableColumn id="899" xr3:uid="{C15791EC-5BBC-46D8-9689-BA347921A212}" name="Columna893" dataDxfId="15519"/>
    <tableColumn id="900" xr3:uid="{9F55B74C-D088-4179-9509-76178C06AF9C}" name="Columna894" dataDxfId="15518"/>
    <tableColumn id="901" xr3:uid="{53BC6A8E-3DA9-4C32-9DD2-C6DEC6A7C2EC}" name="Columna895" dataDxfId="15517"/>
    <tableColumn id="902" xr3:uid="{2F9A2FAB-4DCA-4F9E-9ACC-AD6568B68DC4}" name="Columna896" dataDxfId="15516"/>
    <tableColumn id="903" xr3:uid="{1168D8CA-3B87-42A3-90A2-6B9F5890AB6A}" name="Columna897" dataDxfId="15515"/>
    <tableColumn id="904" xr3:uid="{0E3A1FC2-C57B-4EEA-9D94-26251F8188BB}" name="Columna898" dataDxfId="15514"/>
    <tableColumn id="905" xr3:uid="{DD031344-D4DC-4B22-A348-EC83FB804524}" name="Columna899" dataDxfId="15513"/>
    <tableColumn id="906" xr3:uid="{86E5EB59-28E1-4267-AAA5-F20753C23358}" name="Columna900" dataDxfId="15512"/>
    <tableColumn id="907" xr3:uid="{BABC0B0F-689A-4676-A7E4-BB11B8F76E12}" name="Columna901" dataDxfId="15511"/>
    <tableColumn id="908" xr3:uid="{0A7E8B32-EDCC-47AD-8121-314BFD00676E}" name="Columna902" dataDxfId="15510"/>
    <tableColumn id="909" xr3:uid="{E84F099A-43B9-4915-849D-7A9C6803105E}" name="Columna903" dataDxfId="15509"/>
    <tableColumn id="910" xr3:uid="{82BBE7E0-D2A6-41FE-9A5B-46D519055343}" name="Columna904" dataDxfId="15508"/>
    <tableColumn id="911" xr3:uid="{D584F7F8-5DF8-4EF0-8711-C2D06DF35D9C}" name="Columna905" dataDxfId="15507"/>
    <tableColumn id="912" xr3:uid="{9454006C-79E0-400C-8A68-598700A5C7B3}" name="Columna906" dataDxfId="15506"/>
    <tableColumn id="913" xr3:uid="{C845B77E-0CE0-41E2-9B75-4E23716B1254}" name="Columna907" dataDxfId="15505"/>
    <tableColumn id="914" xr3:uid="{787DCCEA-773E-44B4-8CAA-7407E9296704}" name="Columna908" dataDxfId="15504"/>
    <tableColumn id="915" xr3:uid="{D9AF1363-4F49-4143-AD1B-14BCB9B1DE9D}" name="Columna909" dataDxfId="15503"/>
    <tableColumn id="916" xr3:uid="{69128A2D-1B2F-4951-A8C4-CC176E650C47}" name="Columna910" dataDxfId="15502"/>
    <tableColumn id="917" xr3:uid="{5ACE3288-31DC-4DE6-B827-2101BB216577}" name="Columna911" dataDxfId="15501"/>
    <tableColumn id="918" xr3:uid="{1A1827B1-F22F-4F2B-8E84-32E2E4102D70}" name="Columna912" dataDxfId="15500"/>
    <tableColumn id="919" xr3:uid="{BFB255C1-336A-417D-BAAE-E99DA68BF960}" name="Columna913" dataDxfId="15499"/>
    <tableColumn id="920" xr3:uid="{F2D4F415-63CA-4687-B4CC-9F284801C4A0}" name="Columna914" dataDxfId="15498"/>
    <tableColumn id="921" xr3:uid="{5637CD35-42E2-4E7A-AAD3-AB65B9EE6B48}" name="Columna915" dataDxfId="15497"/>
    <tableColumn id="922" xr3:uid="{EB291EA2-7F5E-4C19-A502-DC2BCB7E2F40}" name="Columna916" dataDxfId="15496"/>
    <tableColumn id="923" xr3:uid="{3CC53828-D85D-4144-A0E2-4BDDF885AE78}" name="Columna917" dataDxfId="15495"/>
    <tableColumn id="924" xr3:uid="{DEBCBDAA-31D6-405D-A547-CB293CDC89B4}" name="Columna918" dataDxfId="15494"/>
    <tableColumn id="925" xr3:uid="{3B8506D9-74BF-4DA6-A365-4FA1EF367308}" name="Columna919" dataDxfId="15493"/>
    <tableColumn id="926" xr3:uid="{D3CC29C6-0937-431F-8E08-09410C595E20}" name="Columna920" dataDxfId="15492"/>
    <tableColumn id="927" xr3:uid="{2F44164E-034F-4B40-9BEE-7A105E489183}" name="Columna921" dataDxfId="15491"/>
    <tableColumn id="928" xr3:uid="{2CBE008D-EA06-4B2B-90EA-9157926DDE32}" name="Columna922" dataDxfId="15490"/>
    <tableColumn id="929" xr3:uid="{E40A68EE-30EC-4024-AE5A-13036EF85668}" name="Columna923" dataDxfId="15489"/>
    <tableColumn id="930" xr3:uid="{1526428F-1258-4605-8E79-5769B60EE954}" name="Columna924" dataDxfId="15488"/>
    <tableColumn id="931" xr3:uid="{D8D2D4C7-4F90-41E7-93AC-F98E178A18DA}" name="Columna925" dataDxfId="15487"/>
    <tableColumn id="932" xr3:uid="{83757B20-D43E-410E-BB07-22EBFF1899FC}" name="Columna926" dataDxfId="15486"/>
    <tableColumn id="933" xr3:uid="{A96D3D08-5A25-4DF5-8F93-87C89BE1F48F}" name="Columna927" dataDxfId="15485"/>
    <tableColumn id="934" xr3:uid="{37468F74-AA34-4F8E-91A4-DC690837278D}" name="Columna928" dataDxfId="15484"/>
    <tableColumn id="935" xr3:uid="{CEA8B0FF-3EA5-44D9-B976-9E1BEAEEA21E}" name="Columna929" dataDxfId="15483"/>
    <tableColumn id="936" xr3:uid="{69E503FA-F724-44FC-A8B3-AA337CE5C3B6}" name="Columna930" dataDxfId="15482"/>
    <tableColumn id="937" xr3:uid="{8C831EE2-8094-4C29-8932-8F336AE24F9A}" name="Columna931" dataDxfId="15481"/>
    <tableColumn id="938" xr3:uid="{0396CA75-DDAE-4907-A97F-66F703F13BCA}" name="Columna932" dataDxfId="15480"/>
    <tableColumn id="939" xr3:uid="{FEE8CD17-109B-40F3-9E6D-87FD58683DD1}" name="Columna933" dataDxfId="15479"/>
    <tableColumn id="940" xr3:uid="{7F3A5CCC-63F4-48CF-80DE-804DE1BE8DD5}" name="Columna934" dataDxfId="15478"/>
    <tableColumn id="941" xr3:uid="{C8ACCE96-8DD1-4ADB-A020-F847AD3323F0}" name="Columna935" dataDxfId="15477"/>
    <tableColumn id="942" xr3:uid="{8F01E88F-3625-4739-8A5B-8FF0E4E6CB7E}" name="Columna936" dataDxfId="15476"/>
    <tableColumn id="943" xr3:uid="{83853377-49E9-415C-8F9E-CE55BF841535}" name="Columna937" dataDxfId="15475"/>
    <tableColumn id="944" xr3:uid="{E710B5D8-F4CC-4EE8-B098-F83BDC81DE2A}" name="Columna938" dataDxfId="15474"/>
    <tableColumn id="945" xr3:uid="{F3195777-84B8-41F3-BC89-EA68004EAE17}" name="Columna939" dataDxfId="15473"/>
    <tableColumn id="946" xr3:uid="{BEF4F805-C2C1-4B1C-87CE-634E55487D07}" name="Columna940" dataDxfId="15472"/>
    <tableColumn id="947" xr3:uid="{8A441217-DE1B-47E0-87BF-570A10347910}" name="Columna941" dataDxfId="15471"/>
    <tableColumn id="948" xr3:uid="{9763872C-AE14-40AC-8901-7B6D1EE5A1BB}" name="Columna942" dataDxfId="15470"/>
    <tableColumn id="949" xr3:uid="{8F6C6878-341A-42C0-8D40-7135F27485DC}" name="Columna943" dataDxfId="15469"/>
    <tableColumn id="950" xr3:uid="{F2CD5B5B-4FA5-4A3D-BD4C-04488BD1C608}" name="Columna944" dataDxfId="15468"/>
    <tableColumn id="951" xr3:uid="{6431F478-FE4C-423B-8DD1-E199D82DC8F1}" name="Columna945" dataDxfId="15467"/>
    <tableColumn id="952" xr3:uid="{0AB9B87E-FE6E-4886-AB71-1045A5B57E4B}" name="Columna946" dataDxfId="15466"/>
    <tableColumn id="953" xr3:uid="{07D76A20-72E1-4ED2-BE3E-F62AE225C909}" name="Columna947" dataDxfId="15465"/>
    <tableColumn id="954" xr3:uid="{8C1793A5-5B7F-4F71-9172-BDE34A6D85FC}" name="Columna948" dataDxfId="15464"/>
    <tableColumn id="955" xr3:uid="{35BA7AA6-6474-4A36-8D3D-840A22C29A18}" name="Columna949" dataDxfId="15463"/>
    <tableColumn id="956" xr3:uid="{4BDA3498-7926-4295-8A60-A00BACFB44BD}" name="Columna950" dataDxfId="15462"/>
    <tableColumn id="957" xr3:uid="{A4E0D86A-6812-4E7E-B417-58871EB8A647}" name="Columna951" dataDxfId="15461"/>
    <tableColumn id="958" xr3:uid="{4B9FF09B-F3F6-45BC-AAC4-2CDF94D7D7AF}" name="Columna952" dataDxfId="15460"/>
    <tableColumn id="959" xr3:uid="{8A5DCB9A-E91F-4264-BAEB-FF4103835039}" name="Columna953" dataDxfId="15459"/>
    <tableColumn id="960" xr3:uid="{AC3BD96E-8670-4DEE-98E4-7423A94C912F}" name="Columna954" dataDxfId="15458"/>
    <tableColumn id="961" xr3:uid="{52680D75-48AA-4437-97CA-CA7785B48619}" name="Columna955" dataDxfId="15457"/>
    <tableColumn id="962" xr3:uid="{A2F63DCD-7645-4AB2-A229-3DFD59123C9D}" name="Columna956" dataDxfId="15456"/>
    <tableColumn id="963" xr3:uid="{A51E93C3-B6F9-4743-A137-B4F1060C8903}" name="Columna957" dataDxfId="15455"/>
    <tableColumn id="964" xr3:uid="{36C479E6-3FC2-45BD-B495-3DF6958C6095}" name="Columna958" dataDxfId="15454"/>
    <tableColumn id="965" xr3:uid="{DAF99AAD-C981-4044-A8FE-8EE280B096DD}" name="Columna959" dataDxfId="15453"/>
    <tableColumn id="966" xr3:uid="{0CD259FD-A538-4745-94A2-5DB01D965224}" name="Columna960" dataDxfId="15452"/>
    <tableColumn id="967" xr3:uid="{03FEDFD0-6767-4A44-95D9-1BD01D90914B}" name="Columna961" dataDxfId="15451"/>
    <tableColumn id="968" xr3:uid="{1C39E04C-6A60-4261-BE6C-05CA2420D2A4}" name="Columna962" dataDxfId="15450"/>
    <tableColumn id="969" xr3:uid="{62A9FFF8-5538-457F-937C-C4FCA00A81A5}" name="Columna963" dataDxfId="15449"/>
    <tableColumn id="970" xr3:uid="{8F200958-9920-4987-84A1-B89CD045F89D}" name="Columna964" dataDxfId="15448"/>
    <tableColumn id="971" xr3:uid="{63CCB800-F30D-4CF0-8288-91DE256A9E1E}" name="Columna965" dataDxfId="15447"/>
    <tableColumn id="972" xr3:uid="{BD8741C3-0174-4632-A62F-333B589642E5}" name="Columna966" dataDxfId="15446"/>
    <tableColumn id="973" xr3:uid="{916D3786-DF5D-43FE-8F6A-317236F6F73D}" name="Columna967" dataDxfId="15445"/>
    <tableColumn id="974" xr3:uid="{B7DB00DB-C31E-42F9-9E9A-47C42D2C32F5}" name="Columna968" dataDxfId="15444"/>
    <tableColumn id="975" xr3:uid="{BAAFE8C6-50AE-43FD-AC3C-7A9611441EEE}" name="Columna969" dataDxfId="15443"/>
    <tableColumn id="976" xr3:uid="{2AEBBB2D-4B8F-4F8D-8B7B-00E465E9670B}" name="Columna970" dataDxfId="15442"/>
    <tableColumn id="977" xr3:uid="{407F2BEF-7CFB-4E22-AE33-C45FF8E4AC49}" name="Columna971" dataDxfId="15441"/>
    <tableColumn id="978" xr3:uid="{4C0A493B-F8F5-48C2-A55E-FDD50E555929}" name="Columna972" dataDxfId="15440"/>
    <tableColumn id="979" xr3:uid="{FB1EDFBA-DFF8-4A02-AC70-0CF8195E0B6F}" name="Columna973" dataDxfId="15439"/>
    <tableColumn id="980" xr3:uid="{1EF6EB75-F8EF-4537-81A2-EE73D8C6C080}" name="Columna974" dataDxfId="15438"/>
    <tableColumn id="981" xr3:uid="{D90AFA6D-0EC5-4F88-A147-50F13362BA35}" name="Columna975" dataDxfId="15437"/>
    <tableColumn id="982" xr3:uid="{307B57C6-9D22-4B34-A801-5E50772081B6}" name="Columna976" dataDxfId="15436"/>
    <tableColumn id="983" xr3:uid="{4DF8DAED-BF08-425E-B311-B5CE3E32D8E5}" name="Columna977" dataDxfId="15435"/>
    <tableColumn id="984" xr3:uid="{D14C3A12-2958-435F-A413-1DBDE3C92AFA}" name="Columna978" dataDxfId="15434"/>
    <tableColumn id="985" xr3:uid="{34B97F5E-8E32-4C25-AA17-60E04160F139}" name="Columna979" dataDxfId="15433"/>
    <tableColumn id="986" xr3:uid="{768B6E3E-0994-4F5C-8F5D-7B55BB3F5368}" name="Columna980" dataDxfId="15432"/>
    <tableColumn id="987" xr3:uid="{E52ABA82-B3D3-44D1-BEFC-472C4C40F31C}" name="Columna981" dataDxfId="15431"/>
    <tableColumn id="988" xr3:uid="{B8D82CD2-B27E-49D4-99CA-CB92C0F515E6}" name="Columna982" dataDxfId="15430"/>
    <tableColumn id="989" xr3:uid="{FBC473D3-A474-4A81-865A-8C6B326B38EF}" name="Columna983" dataDxfId="15429"/>
    <tableColumn id="990" xr3:uid="{A3B9FEF6-3A66-4356-9F7D-5992A05E9D56}" name="Columna984" dataDxfId="15428"/>
    <tableColumn id="991" xr3:uid="{04B09F15-482F-45B0-853E-75E5DF0F03D9}" name="Columna985" dataDxfId="15427"/>
    <tableColumn id="992" xr3:uid="{AF6CA495-DC23-4212-9AA5-14FCBE406550}" name="Columna986" dataDxfId="15426"/>
    <tableColumn id="993" xr3:uid="{8F1C35B6-C000-4E9D-91B4-8E996E1B76BA}" name="Columna987" dataDxfId="15425"/>
    <tableColumn id="994" xr3:uid="{1C766373-F1F3-497B-9DF7-383F3EF24149}" name="Columna988" dataDxfId="15424"/>
    <tableColumn id="995" xr3:uid="{1E7CC81E-0B27-430A-BB66-9AF401073711}" name="Columna989" dataDxfId="15423"/>
    <tableColumn id="996" xr3:uid="{0D891975-D7C6-4D57-9AAA-C5D22DD6789A}" name="Columna990" dataDxfId="15422"/>
    <tableColumn id="997" xr3:uid="{605A5CB7-C5A3-419E-872D-C26F12A8D426}" name="Columna991" dataDxfId="15421"/>
    <tableColumn id="998" xr3:uid="{18BF00AD-F958-48BA-B482-218C684AD480}" name="Columna992" dataDxfId="15420"/>
    <tableColumn id="999" xr3:uid="{545F4756-8D82-4C64-ABD9-9275C6264703}" name="Columna993" dataDxfId="15419"/>
    <tableColumn id="1000" xr3:uid="{B844F43F-4F85-487D-A709-81EC3B7A57A3}" name="Columna994" dataDxfId="15418"/>
    <tableColumn id="1001" xr3:uid="{B50BDAE3-CCEB-4D77-B07B-CEEFB809A22F}" name="Columna995" dataDxfId="15417"/>
    <tableColumn id="1002" xr3:uid="{95FF7BBE-FAA9-4640-8CE1-C375C1893FD8}" name="Columna996" dataDxfId="15416"/>
    <tableColumn id="1003" xr3:uid="{D9DAAA4A-186F-4884-9BB2-281BF67C0B1D}" name="Columna997" dataDxfId="15415"/>
    <tableColumn id="1004" xr3:uid="{81A8AA20-9119-40A4-A215-22E46CF45154}" name="Columna998" dataDxfId="15414"/>
    <tableColumn id="1005" xr3:uid="{1549EF31-237A-4BB5-950E-176BA6EA653B}" name="Columna999" dataDxfId="15413"/>
    <tableColumn id="1006" xr3:uid="{4A372716-AC20-4D76-9980-15A617BCCAB6}" name="Columna1000" dataDxfId="15412"/>
    <tableColumn id="1007" xr3:uid="{63630306-8EE6-4542-BEDB-8CEB78365912}" name="Columna1001" dataDxfId="15411"/>
    <tableColumn id="1008" xr3:uid="{9E76F9E2-89A9-492A-849F-24DB7DB93896}" name="Columna1002" dataDxfId="15410"/>
    <tableColumn id="1009" xr3:uid="{E6EB1F6F-4529-47D5-B98D-B5413FAB7736}" name="Columna1003" dataDxfId="15409"/>
    <tableColumn id="1010" xr3:uid="{6EDC7E86-90C7-4C5B-9100-798EAD42AE1B}" name="Columna1004" dataDxfId="15408"/>
    <tableColumn id="1011" xr3:uid="{0FACAA89-7D8B-4FE5-9955-6A0F2B67D257}" name="Columna1005" dataDxfId="15407"/>
    <tableColumn id="1012" xr3:uid="{73596D70-A67E-4E09-9776-8C194E922235}" name="Columna1006" dataDxfId="15406"/>
    <tableColumn id="1013" xr3:uid="{04994018-E556-400E-9002-C6093DCFADA8}" name="Columna1007" dataDxfId="15405"/>
    <tableColumn id="1014" xr3:uid="{B1670FCA-D2E0-48A0-9FD2-F11EEC185952}" name="Columna1008" dataDxfId="15404"/>
    <tableColumn id="1015" xr3:uid="{46BAA1FA-417F-47DB-A97B-F72053E6D399}" name="Columna1009" dataDxfId="15403"/>
    <tableColumn id="1016" xr3:uid="{C94950A5-5521-4F39-9BEE-06D9E7EBA45F}" name="Columna1010" dataDxfId="15402"/>
    <tableColumn id="1017" xr3:uid="{65D05887-BD60-44C5-A083-D086C56617BD}" name="Columna1011" dataDxfId="15401"/>
    <tableColumn id="1018" xr3:uid="{0A27A17B-6DD9-451C-AF62-5388252B5103}" name="Columna1012" dataDxfId="15400"/>
    <tableColumn id="1019" xr3:uid="{2171C7A7-F70F-4098-B353-D901E9A06C05}" name="Columna1013" dataDxfId="15399"/>
    <tableColumn id="1020" xr3:uid="{6F766D00-0BE9-4A62-A772-FEF31ED91764}" name="Columna1014" dataDxfId="15398"/>
    <tableColumn id="1021" xr3:uid="{F9C7414D-EFF2-436D-BB6D-DBAE0FDB37BE}" name="Columna1015" dataDxfId="15397"/>
    <tableColumn id="1022" xr3:uid="{1588F232-2555-4031-AECC-0D17B1CD4F07}" name="Columna1016" dataDxfId="15396"/>
    <tableColumn id="1023" xr3:uid="{81D58B3D-92AD-4A7F-B059-D0A477B7246A}" name="Columna1017" dataDxfId="15395"/>
    <tableColumn id="1024" xr3:uid="{AE4DE760-4A83-4E59-AB74-26E1C5B0FAB0}" name="Columna1018" dataDxfId="15394"/>
    <tableColumn id="1025" xr3:uid="{D21DEFD8-9006-4036-A6BF-6D0FEA1AEFA0}" name="Columna1019" dataDxfId="15393"/>
    <tableColumn id="1026" xr3:uid="{AC1397F9-9A7B-4B87-915A-1A6973CCC504}" name="Columna1020" dataDxfId="15392"/>
    <tableColumn id="1027" xr3:uid="{3F7065F6-B7BB-48CB-BBC7-997A101F0081}" name="Columna1021" dataDxfId="15391"/>
    <tableColumn id="1028" xr3:uid="{27F30E97-FEDB-4765-95FB-9BFF60328B40}" name="Columna1022" dataDxfId="15390"/>
    <tableColumn id="1029" xr3:uid="{20034E29-0414-4063-B083-CE690BBF509A}" name="Columna1023" dataDxfId="15389"/>
    <tableColumn id="1030" xr3:uid="{AA864B4A-9183-4D59-BF3B-AA297440275C}" name="Columna1024" dataDxfId="15388"/>
    <tableColumn id="1031" xr3:uid="{5A7D0534-4A0B-472F-9E11-69CFE2AE2EF7}" name="Columna1025" dataDxfId="15387"/>
    <tableColumn id="1032" xr3:uid="{FED77445-01EC-4D68-83AF-4032C63E527E}" name="Columna1026" dataDxfId="15386"/>
    <tableColumn id="1033" xr3:uid="{0586FE9A-20A9-44F5-81B0-161C2EAEA3F2}" name="Columna1027" dataDxfId="15385"/>
    <tableColumn id="1034" xr3:uid="{9E3B4C7E-1871-4355-83EB-8FED3DD08776}" name="Columna1028" dataDxfId="15384"/>
    <tableColumn id="1035" xr3:uid="{60EE686B-0E94-4D3E-BC6B-10432CD91EF7}" name="Columna1029" dataDxfId="15383"/>
    <tableColumn id="1036" xr3:uid="{85B7AE14-BDBB-44AC-90D9-1026707CF8AF}" name="Columna1030" dataDxfId="15382"/>
    <tableColumn id="1037" xr3:uid="{61266513-141E-4983-80DF-DA4A0C53497C}" name="Columna1031" dataDxfId="15381"/>
    <tableColumn id="1038" xr3:uid="{00EBC86C-0DB6-4004-A78E-FC1CD3B4EAF8}" name="Columna1032" dataDxfId="15380"/>
    <tableColumn id="1039" xr3:uid="{B16D5835-6EA7-4F18-89DA-4FAC66F4A659}" name="Columna1033" dataDxfId="15379"/>
    <tableColumn id="1040" xr3:uid="{C0E329DA-399B-4439-A408-F69B25CCA9A1}" name="Columna1034" dataDxfId="15378"/>
    <tableColumn id="1041" xr3:uid="{C18955A4-732C-446A-97DD-B8CF6F193B01}" name="Columna1035" dataDxfId="15377"/>
    <tableColumn id="1042" xr3:uid="{3B277F74-63CC-4EA6-92BC-213C21E6FF86}" name="Columna1036" dataDxfId="15376"/>
    <tableColumn id="1043" xr3:uid="{F57CD02A-E372-4A69-8B4D-0E2781E37A86}" name="Columna1037" dataDxfId="15375"/>
    <tableColumn id="1044" xr3:uid="{F2575A38-2406-4EAB-A2BC-23ED316CC32C}" name="Columna1038" dataDxfId="15374"/>
    <tableColumn id="1045" xr3:uid="{7CA8038B-4E76-4FBB-AD4C-168F2B53ADB4}" name="Columna1039" dataDxfId="15373"/>
    <tableColumn id="1046" xr3:uid="{01EB04EE-8CC9-41AE-97DE-FE1A6BF3B1B5}" name="Columna1040" dataDxfId="15372"/>
    <tableColumn id="1047" xr3:uid="{402AB3EB-C9AA-47C0-91E6-A3ED6111CFE9}" name="Columna1041" dataDxfId="15371"/>
    <tableColumn id="1048" xr3:uid="{E5BFFC44-2B67-41E7-9F91-9B8851C0F632}" name="Columna1042" dataDxfId="15370"/>
    <tableColumn id="1049" xr3:uid="{DD01579D-417B-4AED-A455-3EEAFDC3CDCB}" name="Columna1043" dataDxfId="15369"/>
    <tableColumn id="1050" xr3:uid="{D1524DB8-7260-4263-B34D-A3AB1FE88414}" name="Columna1044" dataDxfId="15368"/>
    <tableColumn id="1051" xr3:uid="{8CDBA1D9-7CA7-4526-89BB-278BE714DEB4}" name="Columna1045" dataDxfId="15367"/>
    <tableColumn id="1052" xr3:uid="{128925F1-846B-4BB4-8828-AFE1D6835039}" name="Columna1046" dataDxfId="15366"/>
    <tableColumn id="1053" xr3:uid="{9BC0AE3A-9AB2-46A9-A8D3-DC8CEAC8B059}" name="Columna1047" dataDxfId="15365"/>
    <tableColumn id="1054" xr3:uid="{4BFCD90B-409A-48D6-88C4-B7DD2F2CAC77}" name="Columna1048" dataDxfId="15364"/>
    <tableColumn id="1055" xr3:uid="{BB8053C5-4D0A-46E1-B823-B0B798F95A4D}" name="Columna1049" dataDxfId="15363"/>
    <tableColumn id="1056" xr3:uid="{BA264E20-6588-4D93-9B66-FA83B470B192}" name="Columna1050" dataDxfId="15362"/>
    <tableColumn id="1057" xr3:uid="{8E61D312-BF39-4CEA-9954-FFAEF1748A56}" name="Columna1051" dataDxfId="15361"/>
    <tableColumn id="1058" xr3:uid="{ACAF052D-EFAD-462C-B377-C78D73B921D6}" name="Columna1052" dataDxfId="15360"/>
    <tableColumn id="1059" xr3:uid="{A053A742-E692-4F1A-BF8F-E4A5F250B6E2}" name="Columna1053" dataDxfId="15359"/>
    <tableColumn id="1060" xr3:uid="{65C6ACF6-E256-419F-B9AC-75BEAEB661A7}" name="Columna1054" dataDxfId="15358"/>
    <tableColumn id="1061" xr3:uid="{1F366355-5BB2-4E8F-A3A5-B354FED22ABF}" name="Columna1055" dataDxfId="15357"/>
    <tableColumn id="1062" xr3:uid="{818777A4-8B19-4AFD-A9A9-3E9A4D28FDF6}" name="Columna1056" dataDxfId="15356"/>
    <tableColumn id="1063" xr3:uid="{AD8D54CE-83B2-4C74-BBEA-F52E9725151A}" name="Columna1057" dataDxfId="15355"/>
    <tableColumn id="1064" xr3:uid="{3E563ABF-4661-43A2-80E1-8331C1792460}" name="Columna1058" dataDxfId="15354"/>
    <tableColumn id="1065" xr3:uid="{DE500F09-4368-492F-A90A-82AA39123B7D}" name="Columna1059" dataDxfId="15353"/>
    <tableColumn id="1066" xr3:uid="{B85FFFD1-4AD5-456E-B411-B7F7F38C2217}" name="Columna1060" dataDxfId="15352"/>
    <tableColumn id="1067" xr3:uid="{834C7868-D9D0-45E2-BBB8-51DB5411FC4D}" name="Columna1061" dataDxfId="15351"/>
    <tableColumn id="1068" xr3:uid="{E10C57FB-7119-4C6A-8A17-8210598030EE}" name="Columna1062" dataDxfId="15350"/>
    <tableColumn id="1069" xr3:uid="{7BF523DB-9F39-4D30-8750-9446C5E709FB}" name="Columna1063" dataDxfId="15349"/>
    <tableColumn id="1070" xr3:uid="{BB8602C5-9BF3-4074-BF9A-FF48501F646B}" name="Columna1064" dataDxfId="15348"/>
    <tableColumn id="1071" xr3:uid="{9C5D49A1-D96D-4695-B081-42FB6380D327}" name="Columna1065" dataDxfId="15347"/>
    <tableColumn id="1072" xr3:uid="{C5F9C9BE-C133-42BA-8D2C-EF3652E6AE4D}" name="Columna1066" dataDxfId="15346"/>
    <tableColumn id="1073" xr3:uid="{A4AFF2DF-4123-4558-AB43-15D39BF94954}" name="Columna1067" dataDxfId="15345"/>
    <tableColumn id="1074" xr3:uid="{F7160AED-15B0-4D28-A20A-39ABAA27DA4F}" name="Columna1068" dataDxfId="15344"/>
    <tableColumn id="1075" xr3:uid="{D85A8B66-6636-4D4B-8284-7D85A4E00173}" name="Columna1069" dataDxfId="15343"/>
    <tableColumn id="1076" xr3:uid="{C19D947D-B2BB-408C-867A-1963F2806B82}" name="Columna1070" dataDxfId="15342"/>
    <tableColumn id="1077" xr3:uid="{73ACF6EE-1D44-478D-AD11-333CF7AD8664}" name="Columna1071" dataDxfId="15341"/>
    <tableColumn id="1078" xr3:uid="{7D5D73C7-0045-408C-B92F-305D06C55657}" name="Columna1072" dataDxfId="15340"/>
    <tableColumn id="1079" xr3:uid="{453ECAC8-E2BE-45D9-A7AB-F36DE3DAFA3F}" name="Columna1073" dataDxfId="15339"/>
    <tableColumn id="1080" xr3:uid="{CCDAAE97-66F1-4A8F-85EB-07B3C1B9CA1E}" name="Columna1074" dataDxfId="15338"/>
    <tableColumn id="1081" xr3:uid="{E3EA3BA0-F661-4821-92D0-F2220A3EF092}" name="Columna1075" dataDxfId="15337"/>
    <tableColumn id="1082" xr3:uid="{348867BF-8963-4A45-B5F2-0D49416B2B36}" name="Columna1076" dataDxfId="15336"/>
    <tableColumn id="1083" xr3:uid="{378BADF5-AF7E-4D4D-8ADA-6D6ABECF0406}" name="Columna1077" dataDxfId="15335"/>
    <tableColumn id="1084" xr3:uid="{3CDFA5BF-565F-4DC2-AA88-2359F38B4E5C}" name="Columna1078" dataDxfId="15334"/>
    <tableColumn id="1085" xr3:uid="{6A16BF52-79C2-47F1-99BC-9829B4918FDF}" name="Columna1079" dataDxfId="15333"/>
    <tableColumn id="1086" xr3:uid="{E322F05E-C0C1-4516-BC7A-3CFD4736411F}" name="Columna1080" dataDxfId="15332"/>
    <tableColumn id="1087" xr3:uid="{CC2D953F-3E85-41A6-8513-B744B6CEE2BF}" name="Columna1081" dataDxfId="15331"/>
    <tableColumn id="1088" xr3:uid="{CAA6AA86-8DCE-4F9D-9814-9C4D0A015960}" name="Columna1082" dataDxfId="15330"/>
    <tableColumn id="1089" xr3:uid="{BBB1F76F-5E3E-4218-AD26-0DD917D4C77C}" name="Columna1083" dataDxfId="15329"/>
    <tableColumn id="1090" xr3:uid="{C7BAAFF7-7DE7-490D-A0B1-900CE98AD175}" name="Columna1084" dataDxfId="15328"/>
    <tableColumn id="1091" xr3:uid="{B76A9BF0-A67F-413C-B3FA-EC9CD26E3F14}" name="Columna1085" dataDxfId="15327"/>
    <tableColumn id="1092" xr3:uid="{A6772D6D-BFBF-4AC9-A947-9BE701AD0805}" name="Columna1086" dataDxfId="15326"/>
    <tableColumn id="1093" xr3:uid="{726714E0-B932-4D40-BDD5-52F4213DC29F}" name="Columna1087" dataDxfId="15325"/>
    <tableColumn id="1094" xr3:uid="{324D6FA2-14C1-4E1F-B36C-D3C5175946A1}" name="Columna1088" dataDxfId="15324"/>
    <tableColumn id="1095" xr3:uid="{48CEB2A6-7C4D-4661-BF31-A33CBDC31CE6}" name="Columna1089" dataDxfId="15323"/>
    <tableColumn id="1096" xr3:uid="{AA734ADC-0075-4742-974C-51484D8519C5}" name="Columna1090" dataDxfId="15322"/>
    <tableColumn id="1097" xr3:uid="{1228E45D-9F3A-43DD-A19D-D435CE448A5D}" name="Columna1091" dataDxfId="15321"/>
    <tableColumn id="1098" xr3:uid="{D882E5E3-35B5-4451-9D46-7C4FF5BFF740}" name="Columna1092" dataDxfId="15320"/>
    <tableColumn id="1099" xr3:uid="{AB3AFD72-5BC2-465F-837F-380669896383}" name="Columna1093" dataDxfId="15319"/>
    <tableColumn id="1100" xr3:uid="{5287FB7D-0910-4472-8D2B-90C2ADDBBDAE}" name="Columna1094" dataDxfId="15318"/>
    <tableColumn id="1101" xr3:uid="{E415225A-E7B9-4400-82DC-922D465059FC}" name="Columna1095" dataDxfId="15317"/>
    <tableColumn id="1102" xr3:uid="{E5005EF7-6EA7-4239-B8A1-8D4A50DFEF06}" name="Columna1096" dataDxfId="15316"/>
    <tableColumn id="1103" xr3:uid="{53C8A853-4325-41B4-8B6E-60C6CB3E2447}" name="Columna1097" dataDxfId="15315"/>
    <tableColumn id="1104" xr3:uid="{5D85DDA0-57BB-42E7-B43D-9EBEA417F8E2}" name="Columna1098" dataDxfId="15314"/>
    <tableColumn id="1105" xr3:uid="{52B7DE7F-ED77-4CF8-8CB3-245F2DFAC2A1}" name="Columna1099" dataDxfId="15313"/>
    <tableColumn id="1106" xr3:uid="{DCC05E6C-A0C5-4038-9616-CE934175BD5F}" name="Columna1100" dataDxfId="15312"/>
    <tableColumn id="1107" xr3:uid="{599082E7-8C97-4DCE-8E50-CAB277E176E4}" name="Columna1101" dataDxfId="15311"/>
    <tableColumn id="1108" xr3:uid="{8BAF6C7E-29C5-42A2-8C49-870242A3D58D}" name="Columna1102" dataDxfId="15310"/>
    <tableColumn id="1109" xr3:uid="{F03E2C4F-CF82-4717-9C4D-0523F53A281C}" name="Columna1103" dataDxfId="15309"/>
    <tableColumn id="1110" xr3:uid="{6661E52B-AF53-48F0-8A81-8B9A1F80166D}" name="Columna1104" dataDxfId="15308"/>
    <tableColumn id="1111" xr3:uid="{62331209-6B29-4B8B-9466-282846CABBC9}" name="Columna1105" dataDxfId="15307"/>
    <tableColumn id="1112" xr3:uid="{686EA8F4-8374-479D-87EE-2573091E757D}" name="Columna1106" dataDxfId="15306"/>
    <tableColumn id="1113" xr3:uid="{96192FB9-FA94-45D4-AF58-62B41CDB4BB6}" name="Columna1107" dataDxfId="15305"/>
    <tableColumn id="1114" xr3:uid="{BE133645-5CA6-4634-B9A5-BE4733771F74}" name="Columna1108" dataDxfId="15304"/>
    <tableColumn id="1115" xr3:uid="{725E9CF0-8534-4D3B-B596-0E0E336692A3}" name="Columna1109" dataDxfId="15303"/>
    <tableColumn id="1116" xr3:uid="{6D14E755-0AA8-4338-99F2-4BCB081A350E}" name="Columna1110" dataDxfId="15302"/>
    <tableColumn id="1117" xr3:uid="{15F6EA27-9DB4-4C81-97F2-41C4DF6E197D}" name="Columna1111" dataDxfId="15301"/>
    <tableColumn id="1118" xr3:uid="{F9C80EA5-AFF8-45EF-A91D-FCE92D31E4F6}" name="Columna1112" dataDxfId="15300"/>
    <tableColumn id="1119" xr3:uid="{F137C051-5570-4B23-95BB-1B165D7542C4}" name="Columna1113" dataDxfId="15299"/>
    <tableColumn id="1120" xr3:uid="{B17A998D-B82C-4CED-B936-9E44A8D887D6}" name="Columna1114" dataDxfId="15298"/>
    <tableColumn id="1121" xr3:uid="{87329671-AFF9-47E8-9A2B-7D7B727B4D81}" name="Columna1115" dataDxfId="15297"/>
    <tableColumn id="1122" xr3:uid="{DE686B96-9212-418E-9605-F39A1446369D}" name="Columna1116" dataDxfId="15296"/>
    <tableColumn id="1123" xr3:uid="{F243A031-0D4B-412D-BE07-FBA34F23EC1F}" name="Columna1117" dataDxfId="15295"/>
    <tableColumn id="1124" xr3:uid="{81FA67DB-C5BD-44FF-883B-F3E954FC98FE}" name="Columna1118" dataDxfId="15294"/>
    <tableColumn id="1125" xr3:uid="{2B94668C-FE57-465E-8FBC-CCD90FDCCC36}" name="Columna1119" dataDxfId="15293"/>
    <tableColumn id="1126" xr3:uid="{012194CC-0F52-43B1-8A90-38597947E0F1}" name="Columna1120" dataDxfId="15292"/>
    <tableColumn id="1127" xr3:uid="{922ED8DF-ED65-4E79-B730-002B328F12CA}" name="Columna1121" dataDxfId="15291"/>
    <tableColumn id="1128" xr3:uid="{C2B7EFDB-F1B9-4548-ACAA-07FC3EBCA359}" name="Columna1122" dataDxfId="15290"/>
    <tableColumn id="1129" xr3:uid="{B8E527B3-8A06-4C7F-829E-EDD35E003074}" name="Columna1123" dataDxfId="15289"/>
    <tableColumn id="1130" xr3:uid="{1E4E03CA-7E5F-46DF-B702-50C03EB23F31}" name="Columna1124" dataDxfId="15288"/>
    <tableColumn id="1131" xr3:uid="{3CE7A181-863E-448C-86EF-0D9543F2439C}" name="Columna1125" dataDxfId="15287"/>
    <tableColumn id="1132" xr3:uid="{BFB2F2B4-B3D0-4636-83E4-481EAAC75790}" name="Columna1126" dataDxfId="15286"/>
    <tableColumn id="1133" xr3:uid="{7B475467-7BB9-4E5E-9A7C-F166A2827FC9}" name="Columna1127" dataDxfId="15285"/>
    <tableColumn id="1134" xr3:uid="{0E697E64-9DCA-42DF-A722-0E75F44BE9AD}" name="Columna1128" dataDxfId="15284"/>
    <tableColumn id="1135" xr3:uid="{54CDF4FA-3413-4630-9D48-517F31DB5A9B}" name="Columna1129" dataDxfId="15283"/>
    <tableColumn id="1136" xr3:uid="{8A7E5ECA-5741-4804-97C1-C7ACF81973A0}" name="Columna1130" dataDxfId="15282"/>
    <tableColumn id="1137" xr3:uid="{75936117-1B32-412F-8073-0BEFF1C76C89}" name="Columna1131" dataDxfId="15281"/>
    <tableColumn id="1138" xr3:uid="{21F89306-0F79-4A1F-8561-8B25AC64F148}" name="Columna1132" dataDxfId="15280"/>
    <tableColumn id="1139" xr3:uid="{F7FE08EE-0FBF-43B5-87E7-00776772A6D9}" name="Columna1133" dataDxfId="15279"/>
    <tableColumn id="1140" xr3:uid="{EE11A803-560B-4946-933A-A0A0A024A1F6}" name="Columna1134" dataDxfId="15278"/>
    <tableColumn id="1141" xr3:uid="{DDFBA075-9558-415D-9A82-1485BBA94F90}" name="Columna1135" dataDxfId="15277"/>
    <tableColumn id="1142" xr3:uid="{FCFDC5F8-F5E3-43A2-90B9-CAA926B6C211}" name="Columna1136" dataDxfId="15276"/>
    <tableColumn id="1143" xr3:uid="{AD5110FB-F6AF-4614-A3BF-F7ADE2B5BE21}" name="Columna1137" dataDxfId="15275"/>
    <tableColumn id="1144" xr3:uid="{578DDFAD-6134-4BF7-B493-73740DBFBE55}" name="Columna1138" dataDxfId="15274"/>
    <tableColumn id="1145" xr3:uid="{17F997FF-E9DA-4261-9D4A-068DADB1C30F}" name="Columna1139" dataDxfId="15273"/>
    <tableColumn id="1146" xr3:uid="{2778AD3D-87DE-40F7-847D-F5EA07B0BDB4}" name="Columna1140" dataDxfId="15272"/>
    <tableColumn id="1147" xr3:uid="{879C16B7-B02D-47FF-A2EA-DD09229BFBBF}" name="Columna1141" dataDxfId="15271"/>
    <tableColumn id="1148" xr3:uid="{3E6976B4-2E42-4F7B-A9BF-8483E07550A1}" name="Columna1142" dataDxfId="15270"/>
    <tableColumn id="1149" xr3:uid="{7F573D5E-C2E0-4D5C-BBFA-304F27F24855}" name="Columna1143" dataDxfId="15269"/>
    <tableColumn id="1150" xr3:uid="{57152389-65C2-42ED-A694-CBDCDBD2F213}" name="Columna1144" dataDxfId="15268"/>
    <tableColumn id="1151" xr3:uid="{E6111B9B-A827-4FD8-9F90-1D0BB1EE9535}" name="Columna1145" dataDxfId="15267"/>
    <tableColumn id="1152" xr3:uid="{029E2FBB-E0C8-4E68-9F0C-B7164403FDF8}" name="Columna1146" dataDxfId="15266"/>
    <tableColumn id="1153" xr3:uid="{E617D1C4-C12E-45B1-BF0A-4B782C748980}" name="Columna1147" dataDxfId="15265"/>
    <tableColumn id="1154" xr3:uid="{AC5481CF-CB9D-4A55-826E-567E800181F0}" name="Columna1148" dataDxfId="15264"/>
    <tableColumn id="1155" xr3:uid="{7433559C-B5E5-4B2B-8D92-37E267EAE62E}" name="Columna1149" dataDxfId="15263"/>
    <tableColumn id="1156" xr3:uid="{A33EDF8C-77BB-4E64-8C42-19766A7EB9CA}" name="Columna1150" dataDxfId="15262"/>
    <tableColumn id="1157" xr3:uid="{FDBFFB8F-A96E-44EA-9E2D-2AFF3C301000}" name="Columna1151" dataDxfId="15261"/>
    <tableColumn id="1158" xr3:uid="{158A298E-4929-4EFA-8B8F-B02AF86F5C6E}" name="Columna1152" dataDxfId="15260"/>
    <tableColumn id="1159" xr3:uid="{364EFD7B-00F4-4628-A314-4DCD2C7DF228}" name="Columna1153" dataDxfId="15259"/>
    <tableColumn id="1160" xr3:uid="{C1C18BF5-4420-484B-BC2B-E1121B6CFDAC}" name="Columna1154" dataDxfId="15258"/>
    <tableColumn id="1161" xr3:uid="{4F4917EC-5668-4176-918A-F90C3F147CB6}" name="Columna1155" dataDxfId="15257"/>
    <tableColumn id="1162" xr3:uid="{3C0AF8A2-B258-455F-9F81-6A73703BD8E0}" name="Columna1156" dataDxfId="15256"/>
    <tableColumn id="1163" xr3:uid="{C74023E8-7D42-48AC-AD89-AB8E12BE4F83}" name="Columna1157" dataDxfId="15255"/>
    <tableColumn id="1164" xr3:uid="{4AF6F6FD-F9D2-4E69-9645-9DAAF1D350B7}" name="Columna1158" dataDxfId="15254"/>
    <tableColumn id="1165" xr3:uid="{6B13655C-1658-4BF4-9443-055E367CF976}" name="Columna1159" dataDxfId="15253"/>
    <tableColumn id="1166" xr3:uid="{62C2D419-8E28-4D92-9548-614FD9810D03}" name="Columna1160" dataDxfId="15252"/>
    <tableColumn id="1167" xr3:uid="{F21AE7F9-80B8-4EE7-8412-20F6B4C89242}" name="Columna1161" dataDxfId="15251"/>
    <tableColumn id="1168" xr3:uid="{89B5DBEE-0A0F-4F70-A3E2-A2021FC8C556}" name="Columna1162" dataDxfId="15250"/>
    <tableColumn id="1169" xr3:uid="{957C7287-FB9B-4D80-A973-D285C5D640B5}" name="Columna1163" dataDxfId="15249"/>
    <tableColumn id="1170" xr3:uid="{5DE6D87E-6D3B-4997-82AE-E942931C57ED}" name="Columna1164" dataDxfId="15248"/>
    <tableColumn id="1171" xr3:uid="{EC843313-E5B9-4E56-965F-4A22CF33C741}" name="Columna1165" dataDxfId="15247"/>
    <tableColumn id="1172" xr3:uid="{694EC6B9-9FB4-431B-BD86-7B66324E30A3}" name="Columna1166" dataDxfId="15246"/>
    <tableColumn id="1173" xr3:uid="{3C8CF742-5221-49A3-887A-9E818D55F75A}" name="Columna1167" dataDxfId="15245"/>
    <tableColumn id="1174" xr3:uid="{83936667-60EA-4F3C-A659-E592AC1D970C}" name="Columna1168" dataDxfId="15244"/>
    <tableColumn id="1175" xr3:uid="{177701CA-E019-4330-B933-0C2C655D7E66}" name="Columna1169" dataDxfId="15243"/>
    <tableColumn id="1176" xr3:uid="{5F9BB9D2-1940-4EC8-B866-CF6750E74746}" name="Columna1170" dataDxfId="15242"/>
    <tableColumn id="1177" xr3:uid="{34566995-1C3B-4071-898D-157D04CB32B5}" name="Columna1171" dataDxfId="15241"/>
    <tableColumn id="1178" xr3:uid="{4DBAC832-CD99-41CE-A9B2-27B91A8DAF8C}" name="Columna1172" dataDxfId="15240"/>
    <tableColumn id="1179" xr3:uid="{F6886B5B-4467-4891-B7F4-8F42A8381E8E}" name="Columna1173" dataDxfId="15239"/>
    <tableColumn id="1180" xr3:uid="{F8B49290-12C6-4184-B7DC-D087E4261F1D}" name="Columna1174" dataDxfId="15238"/>
    <tableColumn id="1181" xr3:uid="{0703DAC0-B756-4E50-BF9B-1DDDA2B4C893}" name="Columna1175" dataDxfId="15237"/>
    <tableColumn id="1182" xr3:uid="{4AEAA4F9-2250-4B6B-9CA0-6F4223A19070}" name="Columna1176" dataDxfId="15236"/>
    <tableColumn id="1183" xr3:uid="{69FD945F-713B-4E38-BBF2-2500C2F10071}" name="Columna1177" dataDxfId="15235"/>
    <tableColumn id="1184" xr3:uid="{D6228663-6B86-4C4F-8CB3-FB8E0678CBF5}" name="Columna1178" dataDxfId="15234"/>
    <tableColumn id="1185" xr3:uid="{A9D2BE37-DB64-4471-B992-B0A3AB51A104}" name="Columna1179" dataDxfId="15233"/>
    <tableColumn id="1186" xr3:uid="{FE38A4A7-AFAA-4D41-AACF-7CC4D4B4999D}" name="Columna1180" dataDxfId="15232"/>
    <tableColumn id="1187" xr3:uid="{C90BBB50-78F7-4233-BA9C-48F042DA3FE7}" name="Columna1181" dataDxfId="15231"/>
    <tableColumn id="1188" xr3:uid="{14623C76-E693-4C56-954C-F92231417F93}" name="Columna1182" dataDxfId="15230"/>
    <tableColumn id="1189" xr3:uid="{B0A555E8-20A5-48D8-BC75-6832A5DA1ED9}" name="Columna1183" dataDxfId="15229"/>
    <tableColumn id="1190" xr3:uid="{03C8144D-8924-469C-A4C5-77F70D4004A5}" name="Columna1184" dataDxfId="15228"/>
    <tableColumn id="1191" xr3:uid="{64A182A1-688B-444B-80B3-2AD74874B7A6}" name="Columna1185" dataDxfId="15227"/>
    <tableColumn id="1192" xr3:uid="{D4ACBD71-5028-4297-96E2-73A0D541730E}" name="Columna1186" dataDxfId="15226"/>
    <tableColumn id="1193" xr3:uid="{CB9C2649-84DB-4B3A-B93E-4ADC6EA03CC3}" name="Columna1187" dataDxfId="15225"/>
    <tableColumn id="1194" xr3:uid="{1F1BFC97-8852-4E53-8B1B-FA69BC225A5F}" name="Columna1188" dataDxfId="15224"/>
    <tableColumn id="1195" xr3:uid="{8AD5974C-626D-49AB-A7D2-8D02E3F87E53}" name="Columna1189" dataDxfId="15223"/>
    <tableColumn id="1196" xr3:uid="{429DB29C-A2C0-43CD-B51B-EE9905E4ABA7}" name="Columna1190" dataDxfId="15222"/>
    <tableColumn id="1197" xr3:uid="{815151FB-9D4C-4306-AF31-BF3F4C3E6AC8}" name="Columna1191" dataDxfId="15221"/>
    <tableColumn id="1198" xr3:uid="{89F75A7F-555F-4B7E-A983-27F8BD0D24B7}" name="Columna1192" dataDxfId="15220"/>
    <tableColumn id="1199" xr3:uid="{AF5C57A5-026A-4409-95B7-61FD315D83C0}" name="Columna1193" dataDxfId="15219"/>
    <tableColumn id="1200" xr3:uid="{12EA01D1-2A9B-455F-8E38-F31DFB0D52E8}" name="Columna1194" dataDxfId="15218"/>
    <tableColumn id="1201" xr3:uid="{DA944FE5-68F1-415D-BA97-37BA5772E91B}" name="Columna1195" dataDxfId="15217"/>
    <tableColumn id="1202" xr3:uid="{6F1C7FCF-E42C-418E-B758-1259B499D53F}" name="Columna1196" dataDxfId="15216"/>
    <tableColumn id="1203" xr3:uid="{F5F205E2-DC7A-4169-BD3F-0394654C1EFB}" name="Columna1197" dataDxfId="15215"/>
    <tableColumn id="1204" xr3:uid="{F822C47E-12C6-4B6B-AFEA-32736055A558}" name="Columna1198" dataDxfId="15214"/>
    <tableColumn id="1205" xr3:uid="{A8F225CC-664F-497A-BE07-346DDA9976B9}" name="Columna1199" dataDxfId="15213"/>
    <tableColumn id="1206" xr3:uid="{0367E289-5266-4C2C-9422-DE7F21F6C908}" name="Columna1200" dataDxfId="15212"/>
    <tableColumn id="1207" xr3:uid="{2A922D3D-8E87-4ABF-AC16-DB88C953EDF1}" name="Columna1201" dataDxfId="15211"/>
    <tableColumn id="1208" xr3:uid="{50E09815-5EF8-4E7D-9A5A-B07A0DF33530}" name="Columna1202" dataDxfId="15210"/>
    <tableColumn id="1209" xr3:uid="{52CDD47A-CA36-464B-B99B-C2741856E22B}" name="Columna1203" dataDxfId="15209"/>
    <tableColumn id="1210" xr3:uid="{08CC6667-CB04-4ED4-B3DE-CD6B7C1CA656}" name="Columna1204" dataDxfId="15208"/>
    <tableColumn id="1211" xr3:uid="{761A762A-AFBC-4E1B-87D8-0D4FEE7DA2E5}" name="Columna1205" dataDxfId="15207"/>
    <tableColumn id="1212" xr3:uid="{11DAE2FD-BD6C-4F2D-A098-393C79C5CD62}" name="Columna1206" dataDxfId="15206"/>
    <tableColumn id="1213" xr3:uid="{5917F1C3-8D17-41F5-B918-7F0954B2B4F0}" name="Columna1207" dataDxfId="15205"/>
    <tableColumn id="1214" xr3:uid="{4943F0AE-2C56-40CC-9E95-C7193D3631F4}" name="Columna1208" dataDxfId="15204"/>
    <tableColumn id="1215" xr3:uid="{3B2862D3-5634-4D2C-8474-EDD5B5D73634}" name="Columna1209" dataDxfId="15203"/>
    <tableColumn id="1216" xr3:uid="{B02C2C0C-8B78-493A-8276-0180FABC93E4}" name="Columna1210" dataDxfId="15202"/>
    <tableColumn id="1217" xr3:uid="{091D865B-55BA-4F88-9B3F-C3C0A2031EDF}" name="Columna1211" dataDxfId="15201"/>
    <tableColumn id="1218" xr3:uid="{3E45D542-E270-4C0E-AB3E-49B604018642}" name="Columna1212" dataDxfId="15200"/>
    <tableColumn id="1219" xr3:uid="{9CA3ADA9-D0C8-4B21-BCEC-4965AA32568D}" name="Columna1213" dataDxfId="15199"/>
    <tableColumn id="1220" xr3:uid="{A9C2C0BE-0228-4359-B326-96B35FA741F1}" name="Columna1214" dataDxfId="15198"/>
    <tableColumn id="1221" xr3:uid="{1DE49152-82E5-4511-ADD4-019B34D11880}" name="Columna1215" dataDxfId="15197"/>
    <tableColumn id="1222" xr3:uid="{E0E2D3F7-8998-494D-9467-67DD5B5514A5}" name="Columna1216" dataDxfId="15196"/>
    <tableColumn id="1223" xr3:uid="{AB80E057-CC89-4BE5-8269-D5F8A08BEB3F}" name="Columna1217" dataDxfId="15195"/>
    <tableColumn id="1224" xr3:uid="{1D7092FE-15CB-447E-9792-B410602B0797}" name="Columna1218" dataDxfId="15194"/>
    <tableColumn id="1225" xr3:uid="{20D95783-4FD3-4EED-B4D1-3E34D0BBD3D0}" name="Columna1219" dataDxfId="15193"/>
    <tableColumn id="1226" xr3:uid="{088E0F56-756A-47AA-BE25-64957A7A01C1}" name="Columna1220" dataDxfId="15192"/>
    <tableColumn id="1227" xr3:uid="{2D61C84C-0FA0-4E1A-A791-CC20013D2523}" name="Columna1221" dataDxfId="15191"/>
    <tableColumn id="1228" xr3:uid="{4D4020A0-2C92-4212-A501-69F9F1810B0E}" name="Columna1222" dataDxfId="15190"/>
    <tableColumn id="1229" xr3:uid="{17BDC329-D70D-47C6-9B17-1DBA5AE3E7D9}" name="Columna1223" dataDxfId="15189"/>
    <tableColumn id="1230" xr3:uid="{CD199B7E-CAF4-4E2C-BDCF-D9417DA38334}" name="Columna1224" dataDxfId="15188"/>
    <tableColumn id="1231" xr3:uid="{6E7A57DF-1F90-45D4-BB2F-DA0058FE501D}" name="Columna1225" dataDxfId="15187"/>
    <tableColumn id="1232" xr3:uid="{108E6B73-5548-4D4D-9A84-7A50936C2703}" name="Columna1226" dataDxfId="15186"/>
    <tableColumn id="1233" xr3:uid="{93A49A9F-4054-4D5B-823B-4C57BF48B585}" name="Columna1227" dataDxfId="15185"/>
    <tableColumn id="1234" xr3:uid="{ECEB9259-7798-49B9-930B-A3D26AE359F2}" name="Columna1228" dataDxfId="15184"/>
    <tableColumn id="1235" xr3:uid="{994F3E00-A6F9-432B-9A40-EB5F6CEF1E34}" name="Columna1229" dataDxfId="15183"/>
    <tableColumn id="1236" xr3:uid="{60B0EAA6-8B77-4C71-8EFB-2E50E1EB090A}" name="Columna1230" dataDxfId="15182"/>
    <tableColumn id="1237" xr3:uid="{3BAAD320-3E77-40CD-BD40-14D764B53061}" name="Columna1231" dataDxfId="15181"/>
    <tableColumn id="1238" xr3:uid="{DD5EF7CC-0C64-49CB-91C6-CE886DC5313E}" name="Columna1232" dataDxfId="15180"/>
    <tableColumn id="1239" xr3:uid="{763498A5-406E-4384-9E20-1439EA261BE3}" name="Columna1233" dataDxfId="15179"/>
    <tableColumn id="1240" xr3:uid="{CCAFA5CE-083A-450C-A1BC-4DCE057D5CF4}" name="Columna1234" dataDxfId="15178"/>
    <tableColumn id="1241" xr3:uid="{DFC93BA3-9E6D-49E2-9561-81B37614970F}" name="Columna1235" dataDxfId="15177"/>
    <tableColumn id="1242" xr3:uid="{CAD842BB-E488-4AA7-8A16-7A505DD8D86C}" name="Columna1236" dataDxfId="15176"/>
    <tableColumn id="1243" xr3:uid="{44A9A3B0-0E0D-4548-9CFB-94F7EC22E7FD}" name="Columna1237" dataDxfId="15175"/>
    <tableColumn id="1244" xr3:uid="{EFDAEEE5-4D68-4E42-88CD-B8653B10F2C5}" name="Columna1238" dataDxfId="15174"/>
    <tableColumn id="1245" xr3:uid="{7FAC0676-FD88-408C-83C1-3ADE7FF91C91}" name="Columna1239" dataDxfId="15173"/>
    <tableColumn id="1246" xr3:uid="{057A647E-0BDD-4F2B-9681-037B124999F8}" name="Columna1240" dataDxfId="15172"/>
    <tableColumn id="1247" xr3:uid="{16187BC5-4DA2-47A4-A955-90942ADC669C}" name="Columna1241" dataDxfId="15171"/>
    <tableColumn id="1248" xr3:uid="{2A421DC7-C679-4383-9F82-7B81A67D7E76}" name="Columna1242" dataDxfId="15170"/>
    <tableColumn id="1249" xr3:uid="{DAC5CC46-C6C6-404F-9DA3-71743D608A3F}" name="Columna1243" dataDxfId="15169"/>
    <tableColumn id="1250" xr3:uid="{50CB8F37-8607-4D34-BDF8-3BC49857BD9E}" name="Columna1244" dataDxfId="15168"/>
    <tableColumn id="1251" xr3:uid="{50D91438-12AA-4F96-8498-AEC12EB828EF}" name="Columna1245" dataDxfId="15167"/>
    <tableColumn id="1252" xr3:uid="{816EFE92-61B1-4229-8826-66E7FAB30CE7}" name="Columna1246" dataDxfId="15166"/>
    <tableColumn id="1253" xr3:uid="{EF0C7C84-A926-428C-9103-8C00E66CD91F}" name="Columna1247" dataDxfId="15165"/>
    <tableColumn id="1254" xr3:uid="{463B4674-43DB-4369-971D-EBD3075BAB53}" name="Columna1248" dataDxfId="15164"/>
    <tableColumn id="1255" xr3:uid="{14053A52-3E49-4916-8E95-905D60C81878}" name="Columna1249" dataDxfId="15163"/>
    <tableColumn id="1256" xr3:uid="{9C0311E9-DF78-4035-9B78-DF3D09BCA4CB}" name="Columna1250" dataDxfId="15162"/>
    <tableColumn id="1257" xr3:uid="{B77B73CA-786B-48CD-A057-3432C044CDF3}" name="Columna1251" dataDxfId="15161"/>
    <tableColumn id="1258" xr3:uid="{57DB5BEC-DDDE-4B5C-9F7A-70865B2AA1B5}" name="Columna1252" dataDxfId="15160"/>
    <tableColumn id="1259" xr3:uid="{B5000D0A-B23F-4D7B-98DF-0D93E37AE2E5}" name="Columna1253" dataDxfId="15159"/>
    <tableColumn id="1260" xr3:uid="{FDEFB4A2-B18D-4178-9037-FFF5C549C3F0}" name="Columna1254" dataDxfId="15158"/>
    <tableColumn id="1261" xr3:uid="{76F42CDF-52B4-4715-975B-C33BFE701CE8}" name="Columna1255" dataDxfId="15157"/>
    <tableColumn id="1262" xr3:uid="{2566F41E-43CB-4D42-AAB1-6FC7C0FC2CEA}" name="Columna1256" dataDxfId="15156"/>
    <tableColumn id="1263" xr3:uid="{8F309825-15DA-40BB-974C-024886869BA5}" name="Columna1257" dataDxfId="15155"/>
    <tableColumn id="1264" xr3:uid="{A7E6EBDE-BC23-4B98-83C5-6CAAEAD390BD}" name="Columna1258" dataDxfId="15154"/>
    <tableColumn id="1265" xr3:uid="{A35F72D4-28B6-4CBC-8071-56F19E65C8E6}" name="Columna1259" dataDxfId="15153"/>
    <tableColumn id="1266" xr3:uid="{4FF9F85B-0A34-474E-9FB7-16E72DF75763}" name="Columna1260" dataDxfId="15152"/>
    <tableColumn id="1267" xr3:uid="{EDEE6510-F1D9-4EA6-BC3E-9CAE3FEB9A8A}" name="Columna1261" dataDxfId="15151"/>
    <tableColumn id="1268" xr3:uid="{4EFE1507-7827-4E98-B0A6-960E33C7B398}" name="Columna1262" dataDxfId="15150"/>
    <tableColumn id="1269" xr3:uid="{8B60FFF2-4163-4B17-A94A-2A9FB5F3588F}" name="Columna1263" dataDxfId="15149"/>
    <tableColumn id="1270" xr3:uid="{DBA97331-270A-4B81-B92A-E034E123C7AE}" name="Columna1264" dataDxfId="15148"/>
    <tableColumn id="1271" xr3:uid="{EE9BB9F4-0B60-4AFD-9D5E-088F6C1EC40B}" name="Columna1265" dataDxfId="15147"/>
    <tableColumn id="1272" xr3:uid="{1B481EFB-71B5-4313-B607-DC2A375521AD}" name="Columna1266" dataDxfId="15146"/>
    <tableColumn id="1273" xr3:uid="{7E00066E-8703-4FFC-9239-665A79812950}" name="Columna1267" dataDxfId="15145"/>
    <tableColumn id="1274" xr3:uid="{AE4C74A1-9D19-45CA-8F8D-88EA3B52F762}" name="Columna1268" dataDxfId="15144"/>
    <tableColumn id="1275" xr3:uid="{1CB33550-AC0D-4EA8-9DAA-BDED24D9C2C1}" name="Columna1269" dataDxfId="15143"/>
    <tableColumn id="1276" xr3:uid="{22F5AEE4-2E05-4605-AACF-DAA450825A96}" name="Columna1270" dataDxfId="15142"/>
    <tableColumn id="1277" xr3:uid="{89E13FE1-7642-487F-9552-ECCC818B720F}" name="Columna1271" dataDxfId="15141"/>
    <tableColumn id="1278" xr3:uid="{D8BEEAA4-2FCF-4AFF-96C1-6134ECC46037}" name="Columna1272" dataDxfId="15140"/>
    <tableColumn id="1279" xr3:uid="{F2901D4E-2704-423D-9DCB-A0ACFFF74C01}" name="Columna1273" dataDxfId="15139"/>
    <tableColumn id="1280" xr3:uid="{BFEEA992-7ADF-437F-811A-FD0ED6C5DD15}" name="Columna1274" dataDxfId="15138"/>
    <tableColumn id="1281" xr3:uid="{1C8832BB-8FFA-4645-8BB3-FA9A710F7D95}" name="Columna1275" dataDxfId="15137"/>
    <tableColumn id="1282" xr3:uid="{0EA52324-CC07-48BE-B770-E82B44F3BB23}" name="Columna1276" dataDxfId="15136"/>
    <tableColumn id="1283" xr3:uid="{5AFE3B93-9B3A-4A28-86DD-7BEF4D0D9029}" name="Columna1277" dataDxfId="15135"/>
    <tableColumn id="1284" xr3:uid="{0F270438-D731-45FE-87E8-416A5BD33073}" name="Columna1278" dataDxfId="15134"/>
    <tableColumn id="1285" xr3:uid="{00A2AADE-691B-448D-9330-16DFE0C94E5B}" name="Columna1279" dataDxfId="15133"/>
    <tableColumn id="1286" xr3:uid="{B7446AF2-C1ED-4DE2-A684-F0A382FA31FC}" name="Columna1280" dataDxfId="15132"/>
    <tableColumn id="1287" xr3:uid="{B8001589-EA3B-451C-95B2-7CC9D0A07584}" name="Columna1281" dataDxfId="15131"/>
    <tableColumn id="1288" xr3:uid="{7A34DDC9-8C02-498B-95C9-3AF1BEEFAFF1}" name="Columna1282" dataDxfId="15130"/>
    <tableColumn id="1289" xr3:uid="{5A3371B4-8DF0-4051-BA88-6CE4B52C883F}" name="Columna1283" dataDxfId="15129"/>
    <tableColumn id="1290" xr3:uid="{9775B861-1FE8-43EC-8553-B214E83AA727}" name="Columna1284" dataDxfId="15128"/>
    <tableColumn id="1291" xr3:uid="{2FA3225F-1886-450C-B43B-F85FFDA8ADE2}" name="Columna1285" dataDxfId="15127"/>
    <tableColumn id="1292" xr3:uid="{B36E8C57-290D-4467-90C2-70360E8DE7F5}" name="Columna1286" dataDxfId="15126"/>
    <tableColumn id="1293" xr3:uid="{59385AEE-F2CD-4731-B441-5AFBACF7CBD9}" name="Columna1287" dataDxfId="15125"/>
    <tableColumn id="1294" xr3:uid="{DCC85C1D-9A0D-41E0-9553-73A5C1632F1E}" name="Columna1288" dataDxfId="15124"/>
    <tableColumn id="1295" xr3:uid="{55F7680E-4D66-4680-892C-388F2FB0095F}" name="Columna1289" dataDxfId="15123"/>
    <tableColumn id="1296" xr3:uid="{D9CE58CB-05BC-41B3-83FF-5CD0B490E392}" name="Columna1290" dataDxfId="15122"/>
    <tableColumn id="1297" xr3:uid="{F3B1474C-FF03-4B46-BA6E-EEDED490AA9F}" name="Columna1291" dataDxfId="15121"/>
    <tableColumn id="1298" xr3:uid="{D73AB77F-F6FF-4F3D-960F-C3BC5C8FEC52}" name="Columna1292" dataDxfId="15120"/>
    <tableColumn id="1299" xr3:uid="{0AF34EDF-CB30-4EF3-B0A9-610608E0FF10}" name="Columna1293" dataDxfId="15119"/>
    <tableColumn id="1300" xr3:uid="{CD06E8E1-A7D8-4B38-B7B8-16EBC809DADC}" name="Columna1294" dataDxfId="15118"/>
    <tableColumn id="1301" xr3:uid="{18587B58-E578-4853-BAA5-4718383A919C}" name="Columna1295" dataDxfId="15117"/>
    <tableColumn id="1302" xr3:uid="{693277FD-AAF9-4FDC-88CA-14B7C2ADB2AC}" name="Columna1296" dataDxfId="15116"/>
    <tableColumn id="1303" xr3:uid="{5D546180-6009-44CA-BDF6-3958CDE7C77D}" name="Columna1297" dataDxfId="15115"/>
    <tableColumn id="1304" xr3:uid="{724D9D86-7BF4-49FC-8094-A81E6E9979E5}" name="Columna1298" dataDxfId="15114"/>
    <tableColumn id="1305" xr3:uid="{84B2404D-33A4-4F2A-9EBB-4A29E0F93345}" name="Columna1299" dataDxfId="15113"/>
    <tableColumn id="1306" xr3:uid="{C31E0B3A-AE74-4208-B5F1-7CDB82D51D16}" name="Columna1300" dataDxfId="15112"/>
    <tableColumn id="1307" xr3:uid="{6EBA2F84-FBD3-45DE-9C87-40B2C04E2030}" name="Columna1301" dataDxfId="15111"/>
    <tableColumn id="1308" xr3:uid="{58368B03-B1AA-4CA8-B606-71D87DA95669}" name="Columna1302" dataDxfId="15110"/>
    <tableColumn id="1309" xr3:uid="{6ECD95B0-79E8-4F67-9A51-8B45571A569F}" name="Columna1303" dataDxfId="15109"/>
    <tableColumn id="1310" xr3:uid="{23F35C56-E6E8-438D-802E-A8057CC0CCE2}" name="Columna1304" dataDxfId="15108"/>
    <tableColumn id="1311" xr3:uid="{3D7954DB-BCEE-4945-9E53-F9D5C5FDC19D}" name="Columna1305" dataDxfId="15107"/>
    <tableColumn id="1312" xr3:uid="{F5F82E24-8E6F-4078-ADCC-55EC0AC5A5FA}" name="Columna1306" dataDxfId="15106"/>
    <tableColumn id="1313" xr3:uid="{D6A7B8B6-F694-4940-A1CB-CB30134F8856}" name="Columna1307" dataDxfId="15105"/>
    <tableColumn id="1314" xr3:uid="{2E3FE6C8-DF5B-471D-93B2-A2106442170E}" name="Columna1308" dataDxfId="15104"/>
    <tableColumn id="1315" xr3:uid="{EDBD8923-60D7-4EE6-B979-83572928EA8A}" name="Columna1309" dataDxfId="15103"/>
    <tableColumn id="1316" xr3:uid="{5CF8C6E4-7534-49CE-8DC7-161458DDE19E}" name="Columna1310" dataDxfId="15102"/>
    <tableColumn id="1317" xr3:uid="{15A80477-E3D4-468B-AAF9-7F23B3B25ACC}" name="Columna1311" dataDxfId="15101"/>
    <tableColumn id="1318" xr3:uid="{FAEB9979-279A-4CF2-A70E-D402D3BDB5BE}" name="Columna1312" dataDxfId="15100"/>
    <tableColumn id="1319" xr3:uid="{C8BD39FD-DF77-4692-AEA6-1838E57BE9F8}" name="Columna1313" dataDxfId="15099"/>
    <tableColumn id="1320" xr3:uid="{CB3E4E71-900F-4B87-957A-A35E954F2BC8}" name="Columna1314" dataDxfId="15098"/>
    <tableColumn id="1321" xr3:uid="{1E354642-6CA8-4402-BC95-EDB3362ACBDD}" name="Columna1315" dataDxfId="15097"/>
    <tableColumn id="1322" xr3:uid="{765B39BD-9E7A-44F1-AAA8-14D42B469F6A}" name="Columna1316" dataDxfId="15096"/>
    <tableColumn id="1323" xr3:uid="{DD9081C8-E157-4A06-89BF-7096C4DAD9A0}" name="Columna1317" dataDxfId="15095"/>
    <tableColumn id="1324" xr3:uid="{A1885B3F-264E-4116-AA84-3884B426980B}" name="Columna1318" dataDxfId="15094"/>
    <tableColumn id="1325" xr3:uid="{1727852B-38C2-4FCD-913A-931BDD21DBFD}" name="Columna1319" dataDxfId="15093"/>
    <tableColumn id="1326" xr3:uid="{4858944D-148B-46A7-B496-9C7DF5FA16D1}" name="Columna1320" dataDxfId="15092"/>
    <tableColumn id="1327" xr3:uid="{83B273EA-D2D1-4761-A39F-6B5A920B5D55}" name="Columna1321" dataDxfId="15091"/>
    <tableColumn id="1328" xr3:uid="{DFF26B67-0A8F-4D77-9155-73D04F50D4E9}" name="Columna1322" dataDxfId="15090"/>
    <tableColumn id="1329" xr3:uid="{FA514798-F062-412E-8CDB-87FB75704803}" name="Columna1323" dataDxfId="15089"/>
    <tableColumn id="1330" xr3:uid="{6AA27D86-42A5-4B80-9EA6-E46ED6B6A733}" name="Columna1324" dataDxfId="15088"/>
    <tableColumn id="1331" xr3:uid="{0BD67D44-FF24-4711-86A7-AC72840DD3C1}" name="Columna1325" dataDxfId="15087"/>
    <tableColumn id="1332" xr3:uid="{8B71A449-B66E-4DD4-B968-0D4EB2D77D8E}" name="Columna1326" dataDxfId="15086"/>
    <tableColumn id="1333" xr3:uid="{5D35FA0A-FAB9-44A7-99A3-D86E88548F14}" name="Columna1327" dataDxfId="15085"/>
    <tableColumn id="1334" xr3:uid="{3B76A8B1-CD04-4787-AD6F-73112CBA6DA4}" name="Columna1328" dataDxfId="15084"/>
    <tableColumn id="1335" xr3:uid="{3005C524-5820-4B64-87FA-BB234EBC4046}" name="Columna1329" dataDxfId="15083"/>
    <tableColumn id="1336" xr3:uid="{7747CDEB-6A05-4CE3-8ADB-EA7D454A5F10}" name="Columna1330" dataDxfId="15082"/>
    <tableColumn id="1337" xr3:uid="{A042D906-1A07-48B1-97F3-EB6222E2E492}" name="Columna1331" dataDxfId="15081"/>
    <tableColumn id="1338" xr3:uid="{CF07F442-23D2-416E-9900-38B17035AD1B}" name="Columna1332" dataDxfId="15080"/>
    <tableColumn id="1339" xr3:uid="{EB260674-A08E-4A08-9661-F8C825D1E5FB}" name="Columna1333" dataDxfId="15079"/>
    <tableColumn id="1340" xr3:uid="{6E6224AA-D439-45DD-BE68-22E33FA003E4}" name="Columna1334" dataDxfId="15078"/>
    <tableColumn id="1341" xr3:uid="{32A08367-527A-4698-B984-B7A6E2EBFDF4}" name="Columna1335" dataDxfId="15077"/>
    <tableColumn id="1342" xr3:uid="{7BFAC482-55A7-4B35-B7A7-19DCF4F1A330}" name="Columna1336" dataDxfId="15076"/>
    <tableColumn id="1343" xr3:uid="{350068AD-2415-42D7-BB20-09E09C9380A2}" name="Columna1337" dataDxfId="15075"/>
    <tableColumn id="1344" xr3:uid="{49546BE5-4E2F-4F32-B25C-72524D0681B0}" name="Columna1338" dataDxfId="15074"/>
    <tableColumn id="1345" xr3:uid="{886EFC45-E7CB-4CC8-85A1-327B045C10C0}" name="Columna1339" dataDxfId="15073"/>
    <tableColumn id="1346" xr3:uid="{F45B5D90-080D-47C0-BAB4-F56550CF2DEA}" name="Columna1340" dataDxfId="15072"/>
    <tableColumn id="1347" xr3:uid="{51D9129B-A82F-4E64-BC7E-BAE0DFEEC93D}" name="Columna1341" dataDxfId="15071"/>
    <tableColumn id="1348" xr3:uid="{149A6F88-52E4-48C3-9B6F-368CE5077081}" name="Columna1342" dataDxfId="15070"/>
    <tableColumn id="1349" xr3:uid="{0BAACABE-C0FD-4D7B-BEBC-D70417FD0B8D}" name="Columna1343" dataDxfId="15069"/>
    <tableColumn id="1350" xr3:uid="{63F90CDA-7EE9-4079-A837-DAC48664FA3E}" name="Columna1344" dataDxfId="15068"/>
    <tableColumn id="1351" xr3:uid="{564A6653-71A9-4737-A249-CA51CFDD6B50}" name="Columna1345" dataDxfId="15067"/>
    <tableColumn id="1352" xr3:uid="{51DEB90E-D10B-4804-A846-1296311D0509}" name="Columna1346" dataDxfId="15066"/>
    <tableColumn id="1353" xr3:uid="{7C667795-8E3F-4856-819C-98256888E331}" name="Columna1347" dataDxfId="15065"/>
    <tableColumn id="1354" xr3:uid="{8B3B1BB5-9E57-41E1-8B3A-D60BB69FC25D}" name="Columna1348" dataDxfId="15064"/>
    <tableColumn id="1355" xr3:uid="{C3BF5DD5-1C9F-4A23-B7D6-56F3F98CE98B}" name="Columna1349" dataDxfId="15063"/>
    <tableColumn id="1356" xr3:uid="{3A656F9E-58DC-4C5A-89D4-F603BA336A90}" name="Columna1350" dataDxfId="15062"/>
    <tableColumn id="1357" xr3:uid="{478D94E5-08FC-4139-8773-A55CC4983B53}" name="Columna1351" dataDxfId="15061"/>
    <tableColumn id="1358" xr3:uid="{49C0DE7E-250D-4DA4-ACD3-ED0D1202F187}" name="Columna1352" dataDxfId="15060"/>
    <tableColumn id="1359" xr3:uid="{67CC2DC7-36B0-48DB-A9D7-1048CFF5C077}" name="Columna1353" dataDxfId="15059"/>
    <tableColumn id="1360" xr3:uid="{22623DC8-6483-4556-98D7-099303A6BB6D}" name="Columna1354" dataDxfId="15058"/>
    <tableColumn id="1361" xr3:uid="{E1207EE3-CC3F-4E69-A1C0-0301D1260154}" name="Columna1355" dataDxfId="15057"/>
    <tableColumn id="1362" xr3:uid="{BA72249E-C495-471B-ABC2-1FFE47D34887}" name="Columna1356" dataDxfId="15056"/>
    <tableColumn id="1363" xr3:uid="{D06BFDFE-C9DB-4198-BC8C-2AB5E06F8130}" name="Columna1357" dataDxfId="15055"/>
    <tableColumn id="1364" xr3:uid="{5E104622-9898-43C3-B208-C5B3FABD4486}" name="Columna1358" dataDxfId="15054"/>
    <tableColumn id="1365" xr3:uid="{A0F2E040-F81C-4AB1-965C-A1FA1A8A94C8}" name="Columna1359" dataDxfId="15053"/>
    <tableColumn id="1366" xr3:uid="{AEC8834A-FF0D-4692-A3EB-0ACFD6A5BDF7}" name="Columna1360" dataDxfId="15052"/>
    <tableColumn id="1367" xr3:uid="{0BE8F3EC-4C0C-4651-A146-1225AF5908C5}" name="Columna1361" dataDxfId="15051"/>
    <tableColumn id="1368" xr3:uid="{7D18142E-EAC1-4ADA-8349-AC4C5A8BF9AA}" name="Columna1362" dataDxfId="15050"/>
    <tableColumn id="1369" xr3:uid="{240B5E3A-0780-4454-A3CC-706F4FDE4CA1}" name="Columna1363" dataDxfId="15049"/>
    <tableColumn id="1370" xr3:uid="{4253E10D-D1A3-40B3-9EEB-3D320AF5CDEC}" name="Columna1364" dataDxfId="15048"/>
    <tableColumn id="1371" xr3:uid="{7AEA0A5F-D0A1-48B4-996C-00CF6D596DBC}" name="Columna1365" dataDxfId="15047"/>
    <tableColumn id="1372" xr3:uid="{A30E5D23-AF84-4234-BF72-F5395097F56E}" name="Columna1366" dataDxfId="15046"/>
    <tableColumn id="1373" xr3:uid="{3C543A8F-6DEF-4A87-81B0-095083FBAB23}" name="Columna1367" dataDxfId="15045"/>
    <tableColumn id="1374" xr3:uid="{C1E0C851-98F5-4AFF-8A89-B97E4D64FA98}" name="Columna1368" dataDxfId="15044"/>
    <tableColumn id="1375" xr3:uid="{0E9ED8BF-6051-4B20-A5A0-58D93FC89485}" name="Columna1369" dataDxfId="15043"/>
    <tableColumn id="1376" xr3:uid="{6883C452-FD37-4E86-BD40-CA49D4C2E832}" name="Columna1370" dataDxfId="15042"/>
    <tableColumn id="1377" xr3:uid="{D41CAC38-37FC-4912-89A9-75A4048A9AAC}" name="Columna1371" dataDxfId="15041"/>
    <tableColumn id="1378" xr3:uid="{6ED631B5-15D0-4F5B-A55B-B706E3311ADA}" name="Columna1372" dataDxfId="15040"/>
    <tableColumn id="1379" xr3:uid="{1CF42921-6ECD-4263-9653-1C7FFABD951C}" name="Columna1373" dataDxfId="15039"/>
    <tableColumn id="1380" xr3:uid="{835F21CF-D182-4C80-BFAD-E219BB57C41D}" name="Columna1374" dataDxfId="15038"/>
    <tableColumn id="1381" xr3:uid="{C6AF4155-AEB6-499C-ADC8-DE886727DC74}" name="Columna1375" dataDxfId="15037"/>
    <tableColumn id="1382" xr3:uid="{D8CEBD17-8ACF-47EE-80C9-6F5126D64992}" name="Columna1376" dataDxfId="15036"/>
    <tableColumn id="1383" xr3:uid="{FA169312-FF59-48C6-9D34-1E9EEBAA3ECC}" name="Columna1377" dataDxfId="15035"/>
    <tableColumn id="1384" xr3:uid="{83B996BC-AB90-4476-9857-C275B842864C}" name="Columna1378" dataDxfId="15034"/>
    <tableColumn id="1385" xr3:uid="{3AF745E9-C0F1-476C-9142-7FBBA0156C0E}" name="Columna1379" dataDxfId="15033"/>
    <tableColumn id="1386" xr3:uid="{1E1A8A0B-D324-4640-80EE-F8409916192F}" name="Columna1380" dataDxfId="15032"/>
    <tableColumn id="1387" xr3:uid="{C64F9891-3782-4FD7-96D2-74A9CE3150F9}" name="Columna1381" dataDxfId="15031"/>
    <tableColumn id="1388" xr3:uid="{805BCCB5-362B-41E6-93EA-CD18BEB2B6D0}" name="Columna1382" dataDxfId="15030"/>
    <tableColumn id="1389" xr3:uid="{530D5787-A701-4A1B-BEB7-01AB28D33DC0}" name="Columna1383" dataDxfId="15029"/>
    <tableColumn id="1390" xr3:uid="{CDE476B3-D75C-4272-94AD-B01B41AA1173}" name="Columna1384" dataDxfId="15028"/>
    <tableColumn id="1391" xr3:uid="{FF616DF7-5070-46F4-9627-60FEAD295960}" name="Columna1385" dataDxfId="15027"/>
    <tableColumn id="1392" xr3:uid="{5FBD74C1-CB07-45A1-A610-8939F444823A}" name="Columna1386" dataDxfId="15026"/>
    <tableColumn id="1393" xr3:uid="{41747BE4-D6E2-4497-BC62-4CA26A59C11F}" name="Columna1387" dataDxfId="15025"/>
    <tableColumn id="1394" xr3:uid="{8823326E-76CB-494A-AA7F-7D3FCCA8B4A5}" name="Columna1388" dataDxfId="15024"/>
    <tableColumn id="1395" xr3:uid="{F4CA3BCA-C720-49D7-9CEB-8C8EB50EC404}" name="Columna1389" dataDxfId="15023"/>
    <tableColumn id="1396" xr3:uid="{A53AD89D-9573-4E81-8AA1-557E2085CE33}" name="Columna1390" dataDxfId="15022"/>
    <tableColumn id="1397" xr3:uid="{1AAF1B7A-0766-4604-A79E-C5BD9C1C6391}" name="Columna1391" dataDxfId="15021"/>
    <tableColumn id="1398" xr3:uid="{6B268EC5-ABF6-403B-8DBD-710C431E3867}" name="Columna1392" dataDxfId="15020"/>
    <tableColumn id="1399" xr3:uid="{798A88C9-9C2F-4741-8D5D-EE9C0D5FF4A6}" name="Columna1393" dataDxfId="15019"/>
    <tableColumn id="1400" xr3:uid="{150262D7-1154-4A07-AEA0-FFEB78AC025D}" name="Columna1394" dataDxfId="15018"/>
    <tableColumn id="1401" xr3:uid="{60DA5758-BB67-41E0-87C7-AA7C2B1A0863}" name="Columna1395" dataDxfId="15017"/>
    <tableColumn id="1402" xr3:uid="{158FDD5A-7077-4B60-97EE-B73A75F7D0C8}" name="Columna1396" dataDxfId="15016"/>
    <tableColumn id="1403" xr3:uid="{F2F4E2C1-EDD0-4EB2-A1A5-C0BCF20468BF}" name="Columna1397" dataDxfId="15015"/>
    <tableColumn id="1404" xr3:uid="{F3590A66-B7A7-4383-AB80-7FEBD7104B3F}" name="Columna1398" dataDxfId="15014"/>
    <tableColumn id="1405" xr3:uid="{94B0B639-5BE3-4D37-9D9B-6BCD4E3D38C4}" name="Columna1399" dataDxfId="15013"/>
    <tableColumn id="1406" xr3:uid="{62DCA318-1CA7-4400-AF15-F566F929ED53}" name="Columna1400" dataDxfId="15012"/>
    <tableColumn id="1407" xr3:uid="{A0A21568-EDC3-45EC-8D0B-7E73884CC7AF}" name="Columna1401" dataDxfId="15011"/>
    <tableColumn id="1408" xr3:uid="{245241C0-198D-48C6-9C9D-248B65607728}" name="Columna1402" dataDxfId="15010"/>
    <tableColumn id="1409" xr3:uid="{EEE06B75-907A-440C-ABFA-8AE701218979}" name="Columna1403" dataDxfId="15009"/>
    <tableColumn id="1410" xr3:uid="{FB7EADA9-0A05-46CB-9481-2161785F5281}" name="Columna1404" dataDxfId="15008"/>
    <tableColumn id="1411" xr3:uid="{F29E9456-5CFE-48A5-8FAD-E655E5C9BF65}" name="Columna1405" dataDxfId="15007"/>
    <tableColumn id="1412" xr3:uid="{6A674761-31B8-4672-9779-DAC820357E88}" name="Columna1406" dataDxfId="15006"/>
    <tableColumn id="1413" xr3:uid="{75D3049F-E239-424A-8E9F-1315CFD909F3}" name="Columna1407" dataDxfId="15005"/>
    <tableColumn id="1414" xr3:uid="{9C2BFB41-AC52-4DFB-9218-C53E0931738E}" name="Columna1408" dataDxfId="15004"/>
    <tableColumn id="1415" xr3:uid="{46A9F1FD-93EF-41D5-B686-096431C8FA13}" name="Columna1409" dataDxfId="15003"/>
    <tableColumn id="1416" xr3:uid="{DDE1BD9E-4D4A-4E43-AA67-C4809DE7B725}" name="Columna1410" dataDxfId="15002"/>
    <tableColumn id="1417" xr3:uid="{F09CCFED-1C41-4FC3-BA4E-0CCDEE2EEE12}" name="Columna1411" dataDxfId="15001"/>
    <tableColumn id="1418" xr3:uid="{DC0534A8-2C44-4502-94AF-B81F590AF0D5}" name="Columna1412" dataDxfId="15000"/>
    <tableColumn id="1419" xr3:uid="{32ACC864-FB44-4536-B1A5-5F3024768E1E}" name="Columna1413" dataDxfId="14999"/>
    <tableColumn id="1420" xr3:uid="{A6F9BA14-6111-4CB2-BE9D-AEF0266431C6}" name="Columna1414" dataDxfId="14998"/>
    <tableColumn id="1421" xr3:uid="{235B303C-DBF6-4EE7-BC74-4AB91BFE8ADC}" name="Columna1415" dataDxfId="14997"/>
    <tableColumn id="1422" xr3:uid="{55C12D9B-F33F-4816-9F00-D81E2B652D19}" name="Columna1416" dataDxfId="14996"/>
    <tableColumn id="1423" xr3:uid="{58D65205-6DDE-4CFB-B4A1-52CB1EF1AAD0}" name="Columna1417" dataDxfId="14995"/>
    <tableColumn id="1424" xr3:uid="{1C543C0D-7088-459B-AAF8-E0E9B69C9B07}" name="Columna1418" dataDxfId="14994"/>
    <tableColumn id="1425" xr3:uid="{2AFC559E-037C-4182-80DB-8F20F163F695}" name="Columna1419" dataDxfId="14993"/>
    <tableColumn id="1426" xr3:uid="{73203B6C-6762-406A-A7F5-7B520A74E656}" name="Columna1420" dataDxfId="14992"/>
    <tableColumn id="1427" xr3:uid="{7C9A80F3-3BDD-4BD9-918E-9BE7112E5C1B}" name="Columna1421" dataDxfId="14991"/>
    <tableColumn id="1428" xr3:uid="{561D5C2E-30D4-436C-9939-DDA09E4D6287}" name="Columna1422" dataDxfId="14990"/>
    <tableColumn id="1429" xr3:uid="{31850E4D-7310-4EFB-865A-393E8FCD4BA5}" name="Columna1423" dataDxfId="14989"/>
    <tableColumn id="1430" xr3:uid="{E96DAE25-D85D-45C8-96CE-9EE451646E1F}" name="Columna1424" dataDxfId="14988"/>
    <tableColumn id="1431" xr3:uid="{0973DDB5-D219-4F12-8586-8E59AB72628F}" name="Columna1425" dataDxfId="14987"/>
    <tableColumn id="1432" xr3:uid="{C2055405-1E97-4A17-BBEE-553F3EE40610}" name="Columna1426" dataDxfId="14986"/>
    <tableColumn id="1433" xr3:uid="{66ADD75C-9FDB-4B47-A3A4-1F1C13C6EDB6}" name="Columna1427" dataDxfId="14985"/>
    <tableColumn id="1434" xr3:uid="{CDAA9BD4-683D-4800-BEA6-455C33EEEA5A}" name="Columna1428" dataDxfId="14984"/>
    <tableColumn id="1435" xr3:uid="{16D8DB16-C000-40F6-8965-9B2AF03ACA50}" name="Columna1429" dataDxfId="14983"/>
    <tableColumn id="1436" xr3:uid="{772551A4-EA33-4174-A20E-8413F11DF974}" name="Columna1430" dataDxfId="14982"/>
    <tableColumn id="1437" xr3:uid="{8B4C3218-F657-490C-8AF4-6B786AB49DCD}" name="Columna1431" dataDxfId="14981"/>
    <tableColumn id="1438" xr3:uid="{2F0DAF38-2BB4-44DB-B9B1-81820A64A3A7}" name="Columna1432" dataDxfId="14980"/>
    <tableColumn id="1439" xr3:uid="{69494997-0783-4DAC-A0AE-E566A269C406}" name="Columna1433" dataDxfId="14979"/>
    <tableColumn id="1440" xr3:uid="{9069EBF3-8E3D-4111-BF04-FC34D43026F6}" name="Columna1434" dataDxfId="14978"/>
    <tableColumn id="1441" xr3:uid="{CBEAD9A8-0713-44B1-8FF2-A125ABF60CBB}" name="Columna1435" dataDxfId="14977"/>
    <tableColumn id="1442" xr3:uid="{4C3FD8B6-C6A0-4515-A0F9-C7337E238064}" name="Columna1436" dataDxfId="14976"/>
    <tableColumn id="1443" xr3:uid="{6F270F29-9D30-4200-BBCA-D97E9E1D9DD1}" name="Columna1437" dataDxfId="14975"/>
    <tableColumn id="1444" xr3:uid="{B060A8D9-4DC5-4931-916D-E1556EB66CF5}" name="Columna1438" dataDxfId="14974"/>
    <tableColumn id="1445" xr3:uid="{C579184A-6F06-4ED0-BD8F-F51FE1EA7187}" name="Columna1439" dataDxfId="14973"/>
    <tableColumn id="1446" xr3:uid="{5A48A818-0436-4B87-946D-14E7417734D7}" name="Columna1440" dataDxfId="14972"/>
    <tableColumn id="1447" xr3:uid="{B9EEBA44-1167-4DCB-81C1-7759B4F7C811}" name="Columna1441" dataDxfId="14971"/>
    <tableColumn id="1448" xr3:uid="{B66B80D2-ACEA-4C45-A2B6-D28381560F72}" name="Columna1442" dataDxfId="14970"/>
    <tableColumn id="1449" xr3:uid="{FD6D7047-8D0F-43D1-B74F-391BD7D2CF98}" name="Columna1443" dataDxfId="14969"/>
    <tableColumn id="1450" xr3:uid="{4CE9FE8C-8E7B-4F13-8219-2CA82515E36B}" name="Columna1444" dataDxfId="14968"/>
    <tableColumn id="1451" xr3:uid="{3E66BBE5-CEE7-4D56-8926-59279EB658B8}" name="Columna1445" dataDxfId="14967"/>
    <tableColumn id="1452" xr3:uid="{82291504-AAEF-4CD1-AD5A-1C99C15144EF}" name="Columna1446" dataDxfId="14966"/>
    <tableColumn id="1453" xr3:uid="{FEDDDAE4-4CA7-45B9-BC89-4D360113303C}" name="Columna1447" dataDxfId="14965"/>
    <tableColumn id="1454" xr3:uid="{7301E7E9-8139-48DD-9558-7312BFE5BF68}" name="Columna1448" dataDxfId="14964"/>
    <tableColumn id="1455" xr3:uid="{73A02F0A-52AC-4447-B045-BFC34C347F4D}" name="Columna1449" dataDxfId="14963"/>
    <tableColumn id="1456" xr3:uid="{2933D767-6EAC-4E2C-AD1D-AF2758639300}" name="Columna1450" dataDxfId="14962"/>
    <tableColumn id="1457" xr3:uid="{2794D2B3-18E7-4F3F-A2B1-BBC6C5C8DBCE}" name="Columna1451" dataDxfId="14961"/>
    <tableColumn id="1458" xr3:uid="{E7324E9F-4A80-43F9-9754-6AB01B32274F}" name="Columna1452" dataDxfId="14960"/>
    <tableColumn id="1459" xr3:uid="{DB028E77-734E-4466-AFEA-63807B501B98}" name="Columna1453" dataDxfId="14959"/>
    <tableColumn id="1460" xr3:uid="{1E6AF30B-3194-4143-BD22-C91E5A7B942D}" name="Columna1454" dataDxfId="14958"/>
    <tableColumn id="1461" xr3:uid="{8CDBD3B8-B8EB-4FEC-AD2A-EAFBFE9E0347}" name="Columna1455" dataDxfId="14957"/>
    <tableColumn id="1462" xr3:uid="{B2EDAC36-A88C-4394-AC18-C7BABDE8B9A5}" name="Columna1456" dataDxfId="14956"/>
    <tableColumn id="1463" xr3:uid="{F7237074-3251-4AE0-875B-4C7D3B404A76}" name="Columna1457" dataDxfId="14955"/>
    <tableColumn id="1464" xr3:uid="{62F89C6E-0208-409E-8351-81432F3125D6}" name="Columna1458" dataDxfId="14954"/>
    <tableColumn id="1465" xr3:uid="{B04F5C21-7430-4D38-9709-E57F2CB8A9E0}" name="Columna1459" dataDxfId="14953"/>
    <tableColumn id="1466" xr3:uid="{DFBBE519-A8B1-4ADC-B9F3-2AE04A736EE6}" name="Columna1460" dataDxfId="14952"/>
    <tableColumn id="1467" xr3:uid="{7560FA93-9DA1-4F22-9E4E-30ACD7D764BF}" name="Columna1461" dataDxfId="14951"/>
    <tableColumn id="1468" xr3:uid="{DE8C41BE-5DD3-4E71-8FE1-5992AC930CE4}" name="Columna1462" dataDxfId="14950"/>
    <tableColumn id="1469" xr3:uid="{25E9C17F-DF24-4D0A-9576-D2E24D8B3942}" name="Columna1463" dataDxfId="14949"/>
    <tableColumn id="1470" xr3:uid="{AF8E5B4C-22B7-4F9F-B1C4-30402DD388CA}" name="Columna1464" dataDxfId="14948"/>
    <tableColumn id="1471" xr3:uid="{4AE949B6-2030-4FE0-BD8E-DDE5B57B6C73}" name="Columna1465" dataDxfId="14947"/>
    <tableColumn id="1472" xr3:uid="{D7341104-AA5B-405B-8E88-CE29FB7B34A5}" name="Columna1466" dataDxfId="14946"/>
    <tableColumn id="1473" xr3:uid="{896DFE73-1C57-4FFD-8F22-148C8B2C6D86}" name="Columna1467" dataDxfId="14945"/>
    <tableColumn id="1474" xr3:uid="{A0053D83-A5D3-48C8-A0D6-F11A8C84D05B}" name="Columna1468" dataDxfId="14944"/>
    <tableColumn id="1475" xr3:uid="{8143FAC1-D10E-4E22-B491-7D564997540B}" name="Columna1469" dataDxfId="14943"/>
    <tableColumn id="1476" xr3:uid="{03C9F7A2-3D7C-48D9-9418-2DB71033F43C}" name="Columna1470" dataDxfId="14942"/>
    <tableColumn id="1477" xr3:uid="{D20E9615-A541-4677-A5B4-B22F28782CA1}" name="Columna1471" dataDxfId="14941"/>
    <tableColumn id="1478" xr3:uid="{D985EA44-1233-4799-9959-53247CB426CC}" name="Columna1472" dataDxfId="14940"/>
    <tableColumn id="1479" xr3:uid="{65BD1B17-8E7E-405A-9F2F-1532DDFEBD40}" name="Columna1473" dataDxfId="14939"/>
    <tableColumn id="1480" xr3:uid="{31047B1E-DB79-47EC-B787-285E80E91F22}" name="Columna1474" dataDxfId="14938"/>
    <tableColumn id="1481" xr3:uid="{13F47FB0-966C-4D46-9A2F-89230A710C66}" name="Columna1475" dataDxfId="14937"/>
    <tableColumn id="1482" xr3:uid="{C970569B-7D36-4D96-8248-5B1C05B5F611}" name="Columna1476" dataDxfId="14936"/>
    <tableColumn id="1483" xr3:uid="{68DD4ABE-3771-48D8-8111-12759342E9F8}" name="Columna1477" dataDxfId="14935"/>
    <tableColumn id="1484" xr3:uid="{959DAE89-3044-44FF-B5BB-E499FA6212FE}" name="Columna1478" dataDxfId="14934"/>
    <tableColumn id="1485" xr3:uid="{820F031B-A357-4B86-8087-7164E5C507A0}" name="Columna1479" dataDxfId="14933"/>
    <tableColumn id="1486" xr3:uid="{8C4A12DB-56C5-42F8-B8DB-17F18AFF4509}" name="Columna1480" dataDxfId="14932"/>
    <tableColumn id="1487" xr3:uid="{EA79AA4A-9AA5-4287-9016-08BFA4C4E59C}" name="Columna1481" dataDxfId="14931"/>
    <tableColumn id="1488" xr3:uid="{5F2F8F0B-40BD-4402-9017-E24D3021EC30}" name="Columna1482" dataDxfId="14930"/>
    <tableColumn id="1489" xr3:uid="{F47604EB-A708-49E6-BDF9-115D34E09651}" name="Columna1483" dataDxfId="14929"/>
    <tableColumn id="1490" xr3:uid="{D18313E5-3C03-4959-8D50-B833C9320668}" name="Columna1484" dataDxfId="14928"/>
    <tableColumn id="1491" xr3:uid="{1FAE7FB8-3147-4CE4-94AC-CF892F263FF7}" name="Columna1485" dataDxfId="14927"/>
    <tableColumn id="1492" xr3:uid="{5E7B099A-EE7D-4FF9-BE38-E346787C040F}" name="Columna1486" dataDxfId="14926"/>
    <tableColumn id="1493" xr3:uid="{C9DB1B67-76F3-4B53-ACD7-52A371328B4F}" name="Columna1487" dataDxfId="14925"/>
    <tableColumn id="1494" xr3:uid="{52F7C1DC-6716-4B6A-A549-EF1A392F5BDD}" name="Columna1488" dataDxfId="14924"/>
    <tableColumn id="1495" xr3:uid="{4627F639-4B40-450E-8C03-1805C78D22CA}" name="Columna1489" dataDxfId="14923"/>
    <tableColumn id="1496" xr3:uid="{C429C17B-2EC1-4983-A4A2-FCB0547D136B}" name="Columna1490" dataDxfId="14922"/>
    <tableColumn id="1497" xr3:uid="{1358B1CB-A823-4D87-94B8-6108F35B1FC7}" name="Columna1491" dataDxfId="14921"/>
    <tableColumn id="1498" xr3:uid="{805C2B5B-801F-4B7B-95FF-A23616950E63}" name="Columna1492" dataDxfId="14920"/>
    <tableColumn id="1499" xr3:uid="{542649AB-5A02-4EF3-BE25-EE7AD1317310}" name="Columna1493" dataDxfId="14919"/>
    <tableColumn id="1500" xr3:uid="{1684C27A-D71D-45BE-8903-1AA37EEDF5F8}" name="Columna1494" dataDxfId="14918"/>
    <tableColumn id="1501" xr3:uid="{62152477-800B-4030-9C34-354951BE1E37}" name="Columna1495" dataDxfId="14917"/>
    <tableColumn id="1502" xr3:uid="{5FC69FEB-35D5-4E15-8302-A486E20297A7}" name="Columna1496" dataDxfId="14916"/>
    <tableColumn id="1503" xr3:uid="{4FC9BE5B-D598-4692-BAB0-CA58F9BB8F61}" name="Columna1497" dataDxfId="14915"/>
    <tableColumn id="1504" xr3:uid="{F1B0ECAC-DC9F-481C-A9A6-F671F440E217}" name="Columna1498" dataDxfId="14914"/>
    <tableColumn id="1505" xr3:uid="{CA1F316B-B7DE-42A2-802C-AFF0F2AB926B}" name="Columna1499" dataDxfId="14913"/>
    <tableColumn id="1506" xr3:uid="{C60CC234-9971-47C8-92DF-01DEFC225E7B}" name="Columna1500" dataDxfId="14912"/>
    <tableColumn id="1507" xr3:uid="{A6C933B3-B55F-40F1-9281-3B885812F10F}" name="Columna1501" dataDxfId="14911"/>
    <tableColumn id="1508" xr3:uid="{1E8666B4-8515-48D4-9BB5-41F548880A0F}" name="Columna1502" dataDxfId="14910"/>
    <tableColumn id="1509" xr3:uid="{991C1362-4BCB-4B6C-A76C-A5B025C96680}" name="Columna1503" dataDxfId="14909"/>
    <tableColumn id="1510" xr3:uid="{D692707E-D708-461F-A832-C3049D3AD2D3}" name="Columna1504" dataDxfId="14908"/>
    <tableColumn id="1511" xr3:uid="{BDC5D8C6-7968-4DCA-9CB7-7E0F88D78BF1}" name="Columna1505" dataDxfId="14907"/>
    <tableColumn id="1512" xr3:uid="{5852068F-E7EA-49B7-B261-80DCA2637BB7}" name="Columna1506" dataDxfId="14906"/>
    <tableColumn id="1513" xr3:uid="{D79C1D12-EE36-4013-B450-F11D9A3C9329}" name="Columna1507" dataDxfId="14905"/>
    <tableColumn id="1514" xr3:uid="{2F51B159-08AB-4582-B4A7-1F00741C52D9}" name="Columna1508" dataDxfId="14904"/>
    <tableColumn id="1515" xr3:uid="{3C5911D3-3301-4CF3-8371-EA0D9159B03B}" name="Columna1509" dataDxfId="14903"/>
    <tableColumn id="1516" xr3:uid="{37BF2F59-46FB-467B-87C2-9CCAE8A32099}" name="Columna1510" dataDxfId="14902"/>
    <tableColumn id="1517" xr3:uid="{2327B8FC-B624-429C-AE17-7DD07C40DB8A}" name="Columna1511" dataDxfId="14901"/>
    <tableColumn id="1518" xr3:uid="{C9FF7883-C6D1-46AA-8CC1-DF9FD4051BF3}" name="Columna1512" dataDxfId="14900"/>
    <tableColumn id="1519" xr3:uid="{2832D668-2583-480A-BA26-07D87DB6F1E8}" name="Columna1513" dataDxfId="14899"/>
    <tableColumn id="1520" xr3:uid="{606A4586-7C0C-48F6-9952-78A29160E364}" name="Columna1514" dataDxfId="14898"/>
    <tableColumn id="1521" xr3:uid="{AF8E39A1-BF1B-47B3-915C-BECE0BC963AC}" name="Columna1515" dataDxfId="14897"/>
    <tableColumn id="1522" xr3:uid="{F085F560-17CA-4154-9B99-50C28E633C63}" name="Columna1516" dataDxfId="14896"/>
    <tableColumn id="1523" xr3:uid="{C1463325-CD1B-4000-BF08-FAD6E908F5BD}" name="Columna1517" dataDxfId="14895"/>
    <tableColumn id="1524" xr3:uid="{5FAC3195-8A38-4DE3-BE0F-230E3585AF5C}" name="Columna1518" dataDxfId="14894"/>
    <tableColumn id="1525" xr3:uid="{885F4EDF-BA75-4F52-BB48-654B287743C4}" name="Columna1519" dataDxfId="14893"/>
    <tableColumn id="1526" xr3:uid="{5AE778D2-0FF6-414C-B722-6E095CD928BE}" name="Columna1520" dataDxfId="14892"/>
    <tableColumn id="1527" xr3:uid="{5FA8754A-DD3D-4F7D-AF29-347893AC506E}" name="Columna1521" dataDxfId="14891"/>
    <tableColumn id="1528" xr3:uid="{E873EA1E-4F15-4871-9AA5-74ABD7A4F3B2}" name="Columna1522" dataDxfId="14890"/>
    <tableColumn id="1529" xr3:uid="{9BD079AE-2D9D-47C0-BE66-9F7B39464E49}" name="Columna1523" dataDxfId="14889"/>
    <tableColumn id="1530" xr3:uid="{09B54FFB-12A5-4752-9308-79C5726B7573}" name="Columna1524" dataDxfId="14888"/>
    <tableColumn id="1531" xr3:uid="{27E09A22-E07A-4743-AB44-1746F4F35817}" name="Columna1525" dataDxfId="14887"/>
    <tableColumn id="1532" xr3:uid="{0CE64FBC-30CE-4ECC-8073-8CB861A8A626}" name="Columna1526" dataDxfId="14886"/>
    <tableColumn id="1533" xr3:uid="{D21C929B-9139-4CF1-AF7B-105D050E334B}" name="Columna1527" dataDxfId="14885"/>
    <tableColumn id="1534" xr3:uid="{B066F6F6-9BCE-4B07-94F6-F94D7F767E15}" name="Columna1528" dataDxfId="14884"/>
    <tableColumn id="1535" xr3:uid="{CE8F9734-37F9-4A2E-B5EF-7A221AA8E376}" name="Columna1529" dataDxfId="14883"/>
    <tableColumn id="1536" xr3:uid="{093F8796-13E1-415A-8895-F429CFC9C3D5}" name="Columna1530" dataDxfId="14882"/>
    <tableColumn id="1537" xr3:uid="{223F7803-F502-4B77-B4E1-82AEAE2ACCD6}" name="Columna1531" dataDxfId="14881"/>
    <tableColumn id="1538" xr3:uid="{06B71763-DC92-428E-A646-D9E9FE640CB2}" name="Columna1532" dataDxfId="14880"/>
    <tableColumn id="1539" xr3:uid="{942BD14E-5F19-47DD-BDE2-0D0D6D54648D}" name="Columna1533" dataDxfId="14879"/>
    <tableColumn id="1540" xr3:uid="{40E15808-3ED4-4A3E-AA95-A14CC9F76F29}" name="Columna1534" dataDxfId="14878"/>
    <tableColumn id="1541" xr3:uid="{36216A80-10D8-493A-8374-FA1532E94862}" name="Columna1535" dataDxfId="14877"/>
    <tableColumn id="1542" xr3:uid="{400E298D-7CA9-48B0-A852-D6FAA82F3A8E}" name="Columna1536" dataDxfId="14876"/>
    <tableColumn id="1543" xr3:uid="{75B2C49C-9114-4F15-8F6D-7B64FA274C27}" name="Columna1537" dataDxfId="14875"/>
    <tableColumn id="1544" xr3:uid="{158B3492-7447-451B-A71E-903844BD834C}" name="Columna1538" dataDxfId="14874"/>
    <tableColumn id="1545" xr3:uid="{8E8169C9-5555-45A5-AF9B-E14961CE75F1}" name="Columna1539" dataDxfId="14873"/>
    <tableColumn id="1546" xr3:uid="{28CA33B9-A760-421D-A8EC-EAD059ACEEC5}" name="Columna1540" dataDxfId="14872"/>
    <tableColumn id="1547" xr3:uid="{19E1742A-3A60-43C8-906A-C21AD0C25C87}" name="Columna1541" dataDxfId="14871"/>
    <tableColumn id="1548" xr3:uid="{5457DC3D-D37A-478F-A659-548762C25BE1}" name="Columna1542" dataDxfId="14870"/>
    <tableColumn id="1549" xr3:uid="{F233BF90-0BEA-45B4-8B83-A114F7CE99C1}" name="Columna1543" dataDxfId="14869"/>
    <tableColumn id="1550" xr3:uid="{6BDA72DE-F577-43A6-9247-6AE141864B9F}" name="Columna1544" dataDxfId="14868"/>
    <tableColumn id="1551" xr3:uid="{716F590D-549E-4D67-92FD-5B7F8FFCA3E6}" name="Columna1545" dataDxfId="14867"/>
    <tableColumn id="1552" xr3:uid="{6FDAF184-8038-419F-B51D-CDAF257DA65D}" name="Columna1546" dataDxfId="14866"/>
    <tableColumn id="1553" xr3:uid="{10939557-5C43-4516-9DC0-04A91DB5E95D}" name="Columna1547" dataDxfId="14865"/>
    <tableColumn id="1554" xr3:uid="{9D3C8B9E-F6D1-49C7-B8DD-82B13D6F5CAD}" name="Columna1548" dataDxfId="14864"/>
    <tableColumn id="1555" xr3:uid="{C38AF328-651A-41BE-AEFC-3C5ACF64DD7F}" name="Columna1549" dataDxfId="14863"/>
    <tableColumn id="1556" xr3:uid="{1E71A0E0-D3DA-4237-8C75-0F40D7FCB9D4}" name="Columna1550" dataDxfId="14862"/>
    <tableColumn id="1557" xr3:uid="{703B1BFD-2556-4EC7-9AAF-24E48F52780D}" name="Columna1551" dataDxfId="14861"/>
    <tableColumn id="1558" xr3:uid="{FDD79125-5728-4E84-8A9C-F2C937E5850F}" name="Columna1552" dataDxfId="14860"/>
    <tableColumn id="1559" xr3:uid="{B2B1697C-D563-4A37-B418-B39D5089BCD2}" name="Columna1553" dataDxfId="14859"/>
    <tableColumn id="1560" xr3:uid="{892FE81E-BEB1-4402-8398-E4A895F75D8D}" name="Columna1554" dataDxfId="14858"/>
    <tableColumn id="1561" xr3:uid="{90071D74-9110-4654-BC61-58F49B1D5C6A}" name="Columna1555" dataDxfId="14857"/>
    <tableColumn id="1562" xr3:uid="{00D095A3-ACCD-47B6-93E1-05CAE30836F7}" name="Columna1556" dataDxfId="14856"/>
    <tableColumn id="1563" xr3:uid="{F163354A-3A4E-4FA0-B086-002328B85189}" name="Columna1557" dataDxfId="14855"/>
    <tableColumn id="1564" xr3:uid="{918B3112-AA50-484C-BDD8-5B40838EF082}" name="Columna1558" dataDxfId="14854"/>
    <tableColumn id="1565" xr3:uid="{D570A462-FA18-4EAC-8046-5B2F518A3BE6}" name="Columna1559" dataDxfId="14853"/>
    <tableColumn id="1566" xr3:uid="{FB9D0103-AA5B-4D35-9832-A7B0CDEF43E1}" name="Columna1560" dataDxfId="14852"/>
    <tableColumn id="1567" xr3:uid="{DB8B5B01-9160-4B64-B150-1A5342D3DB04}" name="Columna1561" dataDxfId="14851"/>
    <tableColumn id="1568" xr3:uid="{5DA724F4-DB1E-463E-98C7-D4F680D0C6DC}" name="Columna1562" dataDxfId="14850"/>
    <tableColumn id="1569" xr3:uid="{951CB4DC-4521-4EBC-95AE-04DB04C347BA}" name="Columna1563" dataDxfId="14849"/>
    <tableColumn id="1570" xr3:uid="{2288F0C4-6213-4997-A91E-CBF87D15CC4E}" name="Columna1564" dataDxfId="14848"/>
    <tableColumn id="1571" xr3:uid="{33719741-8952-411C-A273-8CAAC102224E}" name="Columna1565" dataDxfId="14847"/>
    <tableColumn id="1572" xr3:uid="{AB041004-1CFB-4E8E-B148-56585AFF7AA0}" name="Columna1566" dataDxfId="14846"/>
    <tableColumn id="1573" xr3:uid="{E51C8514-C859-4014-BFF0-7150C5228553}" name="Columna1567" dataDxfId="14845"/>
    <tableColumn id="1574" xr3:uid="{E4AE0C69-C673-4E2F-BF4C-44C8E81D445B}" name="Columna1568" dataDxfId="14844"/>
    <tableColumn id="1575" xr3:uid="{22EE656F-F4CB-42E0-A251-037563548874}" name="Columna1569" dataDxfId="14843"/>
    <tableColumn id="1576" xr3:uid="{1CF73432-CFE7-4752-B44A-18CF11E2A82A}" name="Columna1570" dataDxfId="14842"/>
    <tableColumn id="1577" xr3:uid="{FDF73FBC-EB04-4546-91E6-EC19DDD84494}" name="Columna1571" dataDxfId="14841"/>
    <tableColumn id="1578" xr3:uid="{45320DBA-A504-4764-8544-FB7B00AAD2E4}" name="Columna1572" dataDxfId="14840"/>
    <tableColumn id="1579" xr3:uid="{F34380F8-19C7-4577-95BF-DA4D29B9BE1D}" name="Columna1573" dataDxfId="14839"/>
    <tableColumn id="1580" xr3:uid="{8DEA1EF7-AB59-4F67-8666-3022B2B9AD21}" name="Columna1574" dataDxfId="14838"/>
    <tableColumn id="1581" xr3:uid="{D0F0D698-FBBF-459F-88A7-C99F0D0D1ABC}" name="Columna1575" dataDxfId="14837"/>
    <tableColumn id="1582" xr3:uid="{00872457-27CF-4A0A-B605-C2A22FA30899}" name="Columna1576" dataDxfId="14836"/>
    <tableColumn id="1583" xr3:uid="{38DFFE0B-F370-4210-AD1E-C6ED306F1A2B}" name="Columna1577" dataDxfId="14835"/>
    <tableColumn id="1584" xr3:uid="{57DF92DA-9CDB-4638-B62F-9D61D9E57668}" name="Columna1578" dataDxfId="14834"/>
    <tableColumn id="1585" xr3:uid="{A2550E18-D6F0-4C64-9B34-765077587490}" name="Columna1579" dataDxfId="14833"/>
    <tableColumn id="1586" xr3:uid="{038D41F6-42A2-4405-BB6D-CE3CF400DA31}" name="Columna1580" dataDxfId="14832"/>
    <tableColumn id="1587" xr3:uid="{31C1CBA9-69EE-4F19-B8B9-7724B3C8D8D8}" name="Columna1581" dataDxfId="14831"/>
    <tableColumn id="1588" xr3:uid="{07DB1F9F-5EA8-43A0-B39C-EE5764980A2D}" name="Columna1582" dataDxfId="14830"/>
    <tableColumn id="1589" xr3:uid="{AE3384CE-F953-4970-8401-1B25CAE6EF71}" name="Columna1583" dataDxfId="14829"/>
    <tableColumn id="1590" xr3:uid="{F8FD89E6-9705-4FC5-8A03-C122DA7C35F7}" name="Columna1584" dataDxfId="14828"/>
    <tableColumn id="1591" xr3:uid="{EB02F333-53B7-4ADE-AFD5-F8AF12856C15}" name="Columna1585" dataDxfId="14827"/>
    <tableColumn id="1592" xr3:uid="{BF4EBCF6-1B3B-4EC6-A828-EEEEC6226355}" name="Columna1586" dataDxfId="14826"/>
    <tableColumn id="1593" xr3:uid="{E74B8EF0-FE56-47D2-B177-4D8A42EE2423}" name="Columna1587" dataDxfId="14825"/>
    <tableColumn id="1594" xr3:uid="{43634AC4-B12F-4513-9A5C-D357167C584D}" name="Columna1588" dataDxfId="14824"/>
    <tableColumn id="1595" xr3:uid="{702BCD2A-88F0-4051-B920-52F707257CA1}" name="Columna1589" dataDxfId="14823"/>
    <tableColumn id="1596" xr3:uid="{B455468D-79F0-4EFB-A2B3-DD574948A313}" name="Columna1590" dataDxfId="14822"/>
    <tableColumn id="1597" xr3:uid="{2ACE6B5F-97AB-4737-8D7F-B883C3828920}" name="Columna1591" dataDxfId="14821"/>
    <tableColumn id="1598" xr3:uid="{AAB940CF-F447-41C3-B2C4-43887BC7C1B6}" name="Columna1592" dataDxfId="14820"/>
    <tableColumn id="1599" xr3:uid="{02C19939-9D5F-4FF6-844F-ABBBE14AE3D7}" name="Columna1593" dataDxfId="14819"/>
    <tableColumn id="1600" xr3:uid="{659825EA-CD31-4643-8EDE-91E192F59488}" name="Columna1594" dataDxfId="14818"/>
    <tableColumn id="1601" xr3:uid="{71847BC4-8BD9-4E4D-A845-DF0026E68318}" name="Columna1595" dataDxfId="14817"/>
    <tableColumn id="1602" xr3:uid="{3A134D52-AF0B-403C-B401-6D0350EF0C7A}" name="Columna1596" dataDxfId="14816"/>
    <tableColumn id="1603" xr3:uid="{B64CCBB7-08D7-4A23-B724-3BBB2A494F73}" name="Columna1597" dataDxfId="14815"/>
    <tableColumn id="1604" xr3:uid="{2564BDF2-86F3-4467-A3DA-CC9A908F6DE8}" name="Columna1598" dataDxfId="14814"/>
    <tableColumn id="1605" xr3:uid="{3FBF0CED-DDC3-4711-91AC-76229AA7ADCC}" name="Columna1599" dataDxfId="14813"/>
    <tableColumn id="1606" xr3:uid="{4DFAE22E-BF5B-4160-BC58-105CB4ED7D64}" name="Columna1600" dataDxfId="14812"/>
    <tableColumn id="1607" xr3:uid="{4A80CA45-B6DE-4990-A8C0-A060A4AF71D1}" name="Columna1601" dataDxfId="14811"/>
    <tableColumn id="1608" xr3:uid="{0FB2469C-DD12-4AE7-A1AB-9CC4F83C12BF}" name="Columna1602" dataDxfId="14810"/>
    <tableColumn id="1609" xr3:uid="{D8A8654A-4BF0-44DB-9313-D9C86209E695}" name="Columna1603" dataDxfId="14809"/>
    <tableColumn id="1610" xr3:uid="{904AF0BA-9A66-4A15-BE23-E0745B742C9A}" name="Columna1604" dataDxfId="14808"/>
    <tableColumn id="1611" xr3:uid="{92A88C61-9C73-4D98-B786-66FBCF061BB9}" name="Columna1605" dataDxfId="14807"/>
    <tableColumn id="1612" xr3:uid="{357F87B5-4B30-4ECC-ACA2-36652507F5F5}" name="Columna1606" dataDxfId="14806"/>
    <tableColumn id="1613" xr3:uid="{1BEFFD7C-6EA6-43E5-A7D6-F689D1E2E9B5}" name="Columna1607" dataDxfId="14805"/>
    <tableColumn id="1614" xr3:uid="{B4D6F7EB-CF20-4B75-AB8B-2E79FEC08703}" name="Columna1608" dataDxfId="14804"/>
    <tableColumn id="1615" xr3:uid="{D8C24B2F-CC8E-41E4-BB0D-F88D65EBDF9A}" name="Columna1609" dataDxfId="14803"/>
    <tableColumn id="1616" xr3:uid="{F638A86D-41E5-4B46-B595-F8EC42385041}" name="Columna1610" dataDxfId="14802"/>
    <tableColumn id="1617" xr3:uid="{E1CE4E89-7A12-4BCB-A57F-D1A4814C96A2}" name="Columna1611" dataDxfId="14801"/>
    <tableColumn id="1618" xr3:uid="{057A0F9A-8F23-41B9-AABE-FDF2406328EC}" name="Columna1612" dataDxfId="14800"/>
    <tableColumn id="1619" xr3:uid="{027ECF93-2100-402E-9DC5-E5BBFFC2E64F}" name="Columna1613" dataDxfId="14799"/>
    <tableColumn id="1620" xr3:uid="{A03EB8EE-A640-4B02-9544-41C62E16A403}" name="Columna1614" dataDxfId="14798"/>
    <tableColumn id="1621" xr3:uid="{7FD287F7-EDAC-4789-9409-B065702445AE}" name="Columna1615" dataDxfId="14797"/>
    <tableColumn id="1622" xr3:uid="{1B6DEDF0-909A-4248-BDF4-FA0F473B68FA}" name="Columna1616" dataDxfId="14796"/>
    <tableColumn id="1623" xr3:uid="{D5D90B66-8881-497B-B474-1B3335874411}" name="Columna1617" dataDxfId="14795"/>
    <tableColumn id="1624" xr3:uid="{6844033C-F10E-4EC1-BE4A-4ED5C3FF6F7C}" name="Columna1618" dataDxfId="14794"/>
    <tableColumn id="1625" xr3:uid="{0EE2F36E-51F9-4685-B1B8-C04F96E8FD3D}" name="Columna1619" dataDxfId="14793"/>
    <tableColumn id="1626" xr3:uid="{56AF12FE-D7AC-4CD0-A16C-64810DE123CA}" name="Columna1620" dataDxfId="14792"/>
    <tableColumn id="1627" xr3:uid="{A0C7FF3A-6841-4CEF-8045-E84B20888741}" name="Columna1621" dataDxfId="14791"/>
    <tableColumn id="1628" xr3:uid="{C51D4623-0426-4A58-B8A5-AD150EEAFD34}" name="Columna1622" dataDxfId="14790"/>
    <tableColumn id="1629" xr3:uid="{234E864C-C533-436E-A626-0D9E43BE0AA5}" name="Columna1623" dataDxfId="14789"/>
    <tableColumn id="1630" xr3:uid="{64D4DFB1-39B9-4E75-8DD7-A41C5BF26002}" name="Columna1624" dataDxfId="14788"/>
    <tableColumn id="1631" xr3:uid="{039747A5-3550-4555-9E5F-58AD8AB299B1}" name="Columna1625" dataDxfId="14787"/>
    <tableColumn id="1632" xr3:uid="{535E32C6-7B3E-464B-B294-2F5CE5AA24D4}" name="Columna1626" dataDxfId="14786"/>
    <tableColumn id="1633" xr3:uid="{AD8F673D-9641-43D4-99FD-248CE3A83DE9}" name="Columna1627" dataDxfId="14785"/>
    <tableColumn id="1634" xr3:uid="{A724EF68-3C10-4B39-B9C5-69C517C3E01F}" name="Columna1628" dataDxfId="14784"/>
    <tableColumn id="1635" xr3:uid="{2F727D6C-9760-4013-8E98-A8568D03D7D6}" name="Columna1629" dataDxfId="14783"/>
    <tableColumn id="1636" xr3:uid="{24E8CA8E-37AE-400A-A6D9-077A1C6FD769}" name="Columna1630" dataDxfId="14782"/>
    <tableColumn id="1637" xr3:uid="{D579CDB4-0B7A-4551-B690-1B045D51CCF0}" name="Columna1631" dataDxfId="14781"/>
    <tableColumn id="1638" xr3:uid="{D4A567B5-2F2F-4CA4-816B-7E3A1DC2CBA0}" name="Columna1632" dataDxfId="14780"/>
    <tableColumn id="1639" xr3:uid="{A49E6D88-C6A6-41D6-81A3-AEDD5C904FB6}" name="Columna1633" dataDxfId="14779"/>
    <tableColumn id="1640" xr3:uid="{C5D098DE-EE88-4FE7-963B-9F2E6C9ACC4D}" name="Columna1634" dataDxfId="14778"/>
    <tableColumn id="1641" xr3:uid="{4990933D-3BA8-40CD-9DE8-60E9B105609F}" name="Columna1635" dataDxfId="14777"/>
    <tableColumn id="1642" xr3:uid="{F40BDC24-AB9F-4C97-9EB7-AB2801FFD3CC}" name="Columna1636" dataDxfId="14776"/>
    <tableColumn id="1643" xr3:uid="{CD92D160-517B-478F-B69B-F501F365F200}" name="Columna1637" dataDxfId="14775"/>
    <tableColumn id="1644" xr3:uid="{305632A4-89FE-434F-8026-5F87FFC607D6}" name="Columna1638" dataDxfId="14774"/>
    <tableColumn id="1645" xr3:uid="{C755781C-78F8-4C7C-B01A-218ECA76BB93}" name="Columna1639" dataDxfId="14773"/>
    <tableColumn id="1646" xr3:uid="{F74965A5-116A-461B-AC70-55F8977EF894}" name="Columna1640" dataDxfId="14772"/>
    <tableColumn id="1647" xr3:uid="{30078DE8-CAB0-408F-8A13-1923169864B1}" name="Columna1641" dataDxfId="14771"/>
    <tableColumn id="1648" xr3:uid="{206176B7-CA8B-4F19-8605-F83DEC31B721}" name="Columna1642" dataDxfId="14770"/>
    <tableColumn id="1649" xr3:uid="{74DE2D99-2810-4697-821C-A3DE87CC2954}" name="Columna1643" dataDxfId="14769"/>
    <tableColumn id="1650" xr3:uid="{6E1A1475-3C50-4D71-A424-12F7C210E342}" name="Columna1644" dataDxfId="14768"/>
    <tableColumn id="1651" xr3:uid="{5E5D0B7A-A0D9-4286-8131-09E278B8298C}" name="Columna1645" dataDxfId="14767"/>
    <tableColumn id="1652" xr3:uid="{8E6EB91F-DD2E-4AAD-8332-80E393488430}" name="Columna1646" dataDxfId="14766"/>
    <tableColumn id="1653" xr3:uid="{A251F26C-BC5A-425B-AC06-080EF30FDEF2}" name="Columna1647" dataDxfId="14765"/>
    <tableColumn id="1654" xr3:uid="{EE469129-C63C-4FA5-BA77-B6EB1C6DFEBB}" name="Columna1648" dataDxfId="14764"/>
    <tableColumn id="1655" xr3:uid="{4068BAC7-BC3E-496D-BFBA-A3867674CF23}" name="Columna1649" dataDxfId="14763"/>
    <tableColumn id="1656" xr3:uid="{E37956FA-3364-49AB-B11B-3F78834B4E5F}" name="Columna1650" dataDxfId="14762"/>
    <tableColumn id="1657" xr3:uid="{D4B86F56-C73C-4B29-9B6F-FEEEAD936B79}" name="Columna1651" dataDxfId="14761"/>
    <tableColumn id="1658" xr3:uid="{A3BBCB61-1B0C-4548-A6CF-CDABCBDB45CC}" name="Columna1652" dataDxfId="14760"/>
    <tableColumn id="1659" xr3:uid="{348621EC-8E3E-46A1-BA10-CB9A14749E20}" name="Columna1653" dataDxfId="14759"/>
    <tableColumn id="1660" xr3:uid="{DCA3DE5B-A229-4A39-8030-25AF641A973D}" name="Columna1654" dataDxfId="14758"/>
    <tableColumn id="1661" xr3:uid="{5C05E7B4-287A-4790-BA3C-6C14C1BE8AD3}" name="Columna1655" dataDxfId="14757"/>
    <tableColumn id="1662" xr3:uid="{E9BED4ED-0B81-4F88-BA6F-5402D6C2527D}" name="Columna1656" dataDxfId="14756"/>
    <tableColumn id="1663" xr3:uid="{DCE7761E-70FB-468F-BBD3-68739F02EA5A}" name="Columna1657" dataDxfId="14755"/>
    <tableColumn id="1664" xr3:uid="{7D8B6EDB-5D14-4450-A48F-1FE4B13E2BAA}" name="Columna1658" dataDxfId="14754"/>
    <tableColumn id="1665" xr3:uid="{6704CCBD-400A-4E58-8C4D-2E9DFD3583E2}" name="Columna1659" dataDxfId="14753"/>
    <tableColumn id="1666" xr3:uid="{FE4EA02F-72BE-4989-BF4F-79318808E822}" name="Columna1660" dataDxfId="14752"/>
    <tableColumn id="1667" xr3:uid="{7E6A309A-0F6E-419B-9A48-C2B8AB7E81A8}" name="Columna1661" dataDxfId="14751"/>
    <tableColumn id="1668" xr3:uid="{C90E36F9-73E6-4E0D-9744-7FA1346E59CF}" name="Columna1662" dataDxfId="14750"/>
    <tableColumn id="1669" xr3:uid="{F52B3E9B-3DA5-475E-AD53-A9DB5E64E828}" name="Columna1663" dataDxfId="14749"/>
    <tableColumn id="1670" xr3:uid="{80C98A12-4DE6-4688-9AF6-72525142EBC8}" name="Columna1664" dataDxfId="14748"/>
    <tableColumn id="1671" xr3:uid="{65AEDD93-58E4-4C1F-BD10-0B0B0774E125}" name="Columna1665" dataDxfId="14747"/>
    <tableColumn id="1672" xr3:uid="{B41515BB-A38C-4E8F-B01E-6F023612FB83}" name="Columna1666" dataDxfId="14746"/>
    <tableColumn id="1673" xr3:uid="{102E4034-3523-4658-A279-31C586585A92}" name="Columna1667" dataDxfId="14745"/>
    <tableColumn id="1674" xr3:uid="{4DD00D25-89F4-449B-8DBF-02717A10D7C0}" name="Columna1668" dataDxfId="14744"/>
    <tableColumn id="1675" xr3:uid="{92C05A6E-805B-43C9-A6DE-8D21A647F9A1}" name="Columna1669" dataDxfId="14743"/>
    <tableColumn id="1676" xr3:uid="{EA321F8A-D6BD-447E-967D-4D97D70F6CD1}" name="Columna1670" dataDxfId="14742"/>
    <tableColumn id="1677" xr3:uid="{1630365E-9D45-4044-9247-8C701B77D82E}" name="Columna1671" dataDxfId="14741"/>
    <tableColumn id="1678" xr3:uid="{6F6E9BE3-5388-4983-8DF1-660A23F7629A}" name="Columna1672" dataDxfId="14740"/>
    <tableColumn id="1679" xr3:uid="{8FE2131F-E22D-474F-BB85-2C44D5E0F75A}" name="Columna1673" dataDxfId="14739"/>
    <tableColumn id="1680" xr3:uid="{C5825370-4894-42F3-A0B0-E3A6562C4AA2}" name="Columna1674" dataDxfId="14738"/>
    <tableColumn id="1681" xr3:uid="{8B4A1E31-A410-4E58-A8ED-533D4AAC74D7}" name="Columna1675" dataDxfId="14737"/>
    <tableColumn id="1682" xr3:uid="{67291F34-FF3B-4268-B59B-99447E61BB30}" name="Columna1676" dataDxfId="14736"/>
    <tableColumn id="1683" xr3:uid="{13D956F4-8111-4E05-9046-4F542E97FE12}" name="Columna1677" dataDxfId="14735"/>
    <tableColumn id="1684" xr3:uid="{1ED26C01-FE58-44D8-80B3-B90B974BD47D}" name="Columna1678" dataDxfId="14734"/>
    <tableColumn id="1685" xr3:uid="{DB39396D-386B-4298-8083-8B16B071739D}" name="Columna1679" dataDxfId="14733"/>
    <tableColumn id="1686" xr3:uid="{A6484975-8690-41BA-8BDB-113C7ED097C0}" name="Columna1680" dataDxfId="14732"/>
    <tableColumn id="1687" xr3:uid="{657195D7-22CB-42E5-9239-23D957CD11EA}" name="Columna1681" dataDxfId="14731"/>
    <tableColumn id="1688" xr3:uid="{7A50D78B-28F2-4573-B563-1B2D3FE5B4EB}" name="Columna1682" dataDxfId="14730"/>
    <tableColumn id="1689" xr3:uid="{459723DF-16D7-4B6D-8D81-3810B193DDA0}" name="Columna1683" dataDxfId="14729"/>
    <tableColumn id="1690" xr3:uid="{E701FBD7-1C6D-4A94-9B86-3E7D86D74BED}" name="Columna1684" dataDxfId="14728"/>
    <tableColumn id="1691" xr3:uid="{A7657B41-69D3-4980-BF1E-78031BD9B25A}" name="Columna1685" dataDxfId="14727"/>
    <tableColumn id="1692" xr3:uid="{DB4A0DBE-38EF-4F7B-B764-45DE9703C2F4}" name="Columna1686" dataDxfId="14726"/>
    <tableColumn id="1693" xr3:uid="{FC02D66B-6526-46A6-A122-C50B6546AC79}" name="Columna1687" dataDxfId="14725"/>
    <tableColumn id="1694" xr3:uid="{A9B7FC63-FDE9-4E65-BF49-A2D9DB45F6C3}" name="Columna1688" dataDxfId="14724"/>
    <tableColumn id="1695" xr3:uid="{92A8D0E1-0581-429E-9839-428E0CF1448E}" name="Columna1689" dataDxfId="14723"/>
    <tableColumn id="1696" xr3:uid="{1593C57C-D28F-4754-B11F-F8F33DF46349}" name="Columna1690" dataDxfId="14722"/>
    <tableColumn id="1697" xr3:uid="{B3C4086C-BE71-423D-80C4-25451FF48222}" name="Columna1691" dataDxfId="14721"/>
    <tableColumn id="1698" xr3:uid="{CD55D864-6A63-4A67-8678-789FB599CCBB}" name="Columna1692" dataDxfId="14720"/>
    <tableColumn id="1699" xr3:uid="{4E413413-7552-4362-BBCD-5B62EACDE6EF}" name="Columna1693" dataDxfId="14719"/>
    <tableColumn id="1700" xr3:uid="{D86264B7-A369-4E0B-8C86-0685C632C2C5}" name="Columna1694" dataDxfId="14718"/>
    <tableColumn id="1701" xr3:uid="{AFCE9040-C35B-46EA-B830-03577E7FB74C}" name="Columna1695" dataDxfId="14717"/>
    <tableColumn id="1702" xr3:uid="{4CF90D8A-2C67-4C6B-91AC-76B71D219E75}" name="Columna1696" dataDxfId="14716"/>
    <tableColumn id="1703" xr3:uid="{284DDD73-31B8-4495-8795-701BAB7849D3}" name="Columna1697" dataDxfId="14715"/>
    <tableColumn id="1704" xr3:uid="{17201488-3A61-4E32-8D9D-297D986793EF}" name="Columna1698" dataDxfId="14714"/>
    <tableColumn id="1705" xr3:uid="{3C7C4F83-D89C-47A7-8093-94D64E0A8C94}" name="Columna1699" dataDxfId="14713"/>
    <tableColumn id="1706" xr3:uid="{6B3674F0-C858-4A47-8761-54B9149DF6E3}" name="Columna1700" dataDxfId="14712"/>
    <tableColumn id="1707" xr3:uid="{3E5423D4-2060-42EA-8593-D8BAAF31101D}" name="Columna1701" dataDxfId="14711"/>
    <tableColumn id="1708" xr3:uid="{E9D70F43-DD4D-4C96-B0F3-E284A4D474B7}" name="Columna1702" dataDxfId="14710"/>
    <tableColumn id="1709" xr3:uid="{81D70945-D3F9-4720-BEF9-C13D4903F9CF}" name="Columna1703" dataDxfId="14709"/>
    <tableColumn id="1710" xr3:uid="{BB259101-2678-4139-944F-9817B7F277BD}" name="Columna1704" dataDxfId="14708"/>
    <tableColumn id="1711" xr3:uid="{41F24E91-8076-4EB1-8783-8A8805AA5D76}" name="Columna1705" dataDxfId="14707"/>
    <tableColumn id="1712" xr3:uid="{53B3C5E1-67A7-4095-8427-43A145B7671D}" name="Columna1706" dataDxfId="14706"/>
    <tableColumn id="1713" xr3:uid="{69C94A5C-A1F4-41EC-BC8C-CEE6776A83D0}" name="Columna1707" dataDxfId="14705"/>
    <tableColumn id="1714" xr3:uid="{22D08035-8996-4568-A1BC-2D2A9EDC6DF5}" name="Columna1708" dataDxfId="14704"/>
    <tableColumn id="1715" xr3:uid="{4E55EE01-9F98-4C6C-A8B7-61D38F162D3D}" name="Columna1709" dataDxfId="14703"/>
    <tableColumn id="1716" xr3:uid="{41A98773-905A-4752-88D8-240B9012B927}" name="Columna1710" dataDxfId="14702"/>
    <tableColumn id="1717" xr3:uid="{9219A549-F200-4384-91F0-F26988FB3528}" name="Columna1711" dataDxfId="14701"/>
    <tableColumn id="1718" xr3:uid="{7662FFE6-6E76-4D21-A720-2CDD67AB839B}" name="Columna1712" dataDxfId="14700"/>
    <tableColumn id="1719" xr3:uid="{9A8886FE-0051-4C21-8781-84956B4D50CC}" name="Columna1713" dataDxfId="14699"/>
    <tableColumn id="1720" xr3:uid="{4DAC254D-6ADE-46B1-B814-6C5457C82B4D}" name="Columna1714" dataDxfId="14698"/>
    <tableColumn id="1721" xr3:uid="{E5A81F3A-22AC-4208-97C9-EBD61A6E82DF}" name="Columna1715" dataDxfId="14697"/>
    <tableColumn id="1722" xr3:uid="{9E0DCAF6-CBE8-41D8-B876-73B7654B4B59}" name="Columna1716" dataDxfId="14696"/>
    <tableColumn id="1723" xr3:uid="{B684D901-F377-4FF1-86D2-D0AED6BD6889}" name="Columna1717" dataDxfId="14695"/>
    <tableColumn id="1724" xr3:uid="{223B824F-A583-45CA-852B-51D150DB0205}" name="Columna1718" dataDxfId="14694"/>
    <tableColumn id="1725" xr3:uid="{B7EF651E-C13A-4CA0-844B-C01E042A94D5}" name="Columna1719" dataDxfId="14693"/>
    <tableColumn id="1726" xr3:uid="{66B7E970-E7E3-4EC7-9D8E-1EB71B23EE67}" name="Columna1720" dataDxfId="14692"/>
    <tableColumn id="1727" xr3:uid="{C953C46A-1361-46BC-B35B-71FB279B649A}" name="Columna1721" dataDxfId="14691"/>
    <tableColumn id="1728" xr3:uid="{10788822-2A2F-4959-9794-C31238BA5170}" name="Columna1722" dataDxfId="14690"/>
    <tableColumn id="1729" xr3:uid="{B368A50F-249A-484C-A13E-12DFA39FD9BE}" name="Columna1723" dataDxfId="14689"/>
    <tableColumn id="1730" xr3:uid="{8927083D-6DAE-4CCD-8BB0-43D2171CF190}" name="Columna1724" dataDxfId="14688"/>
    <tableColumn id="1731" xr3:uid="{B9E92582-E949-4623-AA88-BE99384E2EFA}" name="Columna1725" dataDxfId="14687"/>
    <tableColumn id="1732" xr3:uid="{C2912D0D-0DF4-4F48-821A-BF98D0EBA783}" name="Columna1726" dataDxfId="14686"/>
    <tableColumn id="1733" xr3:uid="{D74C305A-143E-43E1-A2E5-B50AC365F0E4}" name="Columna1727" dataDxfId="14685"/>
    <tableColumn id="1734" xr3:uid="{CA3CF30F-FE79-401A-8F19-6C702EA538A5}" name="Columna1728" dataDxfId="14684"/>
    <tableColumn id="1735" xr3:uid="{642BD6DC-AF31-45A2-AFCE-86C2F49A1D65}" name="Columna1729" dataDxfId="14683"/>
    <tableColumn id="1736" xr3:uid="{166608A8-9A32-45BC-8875-9A31B66F9635}" name="Columna1730" dataDxfId="14682"/>
    <tableColumn id="1737" xr3:uid="{2687A155-4497-4A7A-9930-46519E3FB947}" name="Columna1731" dataDxfId="14681"/>
    <tableColumn id="1738" xr3:uid="{07DE7119-1EA2-4B58-A270-E9C7642B0BC7}" name="Columna1732" dataDxfId="14680"/>
    <tableColumn id="1739" xr3:uid="{88A815D8-2191-42C3-BC57-5251A0E0069A}" name="Columna1733" dataDxfId="14679"/>
    <tableColumn id="1740" xr3:uid="{AC0E41A4-EB86-430D-82D0-3FCF9C6E1A48}" name="Columna1734" dataDxfId="14678"/>
    <tableColumn id="1741" xr3:uid="{D32C5593-1F1F-417E-AF2D-C60A31E3B3C8}" name="Columna1735" dataDxfId="14677"/>
    <tableColumn id="1742" xr3:uid="{A1253D81-2A65-41AC-94B3-80E8A6705CEB}" name="Columna1736" dataDxfId="14676"/>
    <tableColumn id="1743" xr3:uid="{81522EC9-B96E-4E24-865A-00B8C989ACBA}" name="Columna1737" dataDxfId="14675"/>
    <tableColumn id="1744" xr3:uid="{4E8817D7-34B5-4C1C-A940-81EBA915449D}" name="Columna1738" dataDxfId="14674"/>
    <tableColumn id="1745" xr3:uid="{206627A2-201C-47F9-8B4F-55B98581BA37}" name="Columna1739" dataDxfId="14673"/>
    <tableColumn id="1746" xr3:uid="{6125AE6D-D758-484D-BB82-709973381FC0}" name="Columna1740" dataDxfId="14672"/>
    <tableColumn id="1747" xr3:uid="{F1B5CFAA-EA79-4BDD-9980-B7362E4279B0}" name="Columna1741" dataDxfId="14671"/>
    <tableColumn id="1748" xr3:uid="{1B427750-0F38-4528-89BB-5EE441EB3D82}" name="Columna1742" dataDxfId="14670"/>
    <tableColumn id="1749" xr3:uid="{7A5AE3E0-94F8-4FB3-A56D-60145E6DB3B1}" name="Columna1743" dataDxfId="14669"/>
    <tableColumn id="1750" xr3:uid="{D13C600A-6DAC-408D-838F-AF469F9C2A4C}" name="Columna1744" dataDxfId="14668"/>
    <tableColumn id="1751" xr3:uid="{3C8BCC65-D220-43C0-BB08-D71AE64AFD11}" name="Columna1745" dataDxfId="14667"/>
    <tableColumn id="1752" xr3:uid="{80611C69-1A23-4CBF-AEA0-D85114B366E6}" name="Columna1746" dataDxfId="14666"/>
    <tableColumn id="1753" xr3:uid="{3A7F0F64-8C1D-4169-9BA7-76B9032E59A4}" name="Columna1747" dataDxfId="14665"/>
    <tableColumn id="1754" xr3:uid="{FD139CB8-C87C-4CFB-A8D1-A0F75D1C1856}" name="Columna1748" dataDxfId="14664"/>
    <tableColumn id="1755" xr3:uid="{A3DBBE81-6F9B-428F-8659-A880363E2294}" name="Columna1749" dataDxfId="14663"/>
    <tableColumn id="1756" xr3:uid="{758AD32E-80F4-4A65-A513-99FC65C12BD6}" name="Columna1750" dataDxfId="14662"/>
    <tableColumn id="1757" xr3:uid="{796F846A-51DD-4386-8219-7E61B11D8429}" name="Columna1751" dataDxfId="14661"/>
    <tableColumn id="1758" xr3:uid="{84A4B3AA-9E57-4E98-BE39-28F5149E52F9}" name="Columna1752" dataDxfId="14660"/>
    <tableColumn id="1759" xr3:uid="{588873E4-5D52-47CD-A025-70C0487AFC31}" name="Columna1753" dataDxfId="14659"/>
    <tableColumn id="1760" xr3:uid="{564A1230-861C-4E2E-8451-56A129371304}" name="Columna1754" dataDxfId="14658"/>
    <tableColumn id="1761" xr3:uid="{100489A1-5BE7-4D79-8B22-4E60D46F3C88}" name="Columna1755" dataDxfId="14657"/>
    <tableColumn id="1762" xr3:uid="{54E458EE-A188-4506-BA39-A8DD20E25F2F}" name="Columna1756" dataDxfId="14656"/>
    <tableColumn id="1763" xr3:uid="{843C8CB7-E775-4AC3-9781-5BFF85FC2077}" name="Columna1757" dataDxfId="14655"/>
    <tableColumn id="1764" xr3:uid="{430D6E68-6910-410C-9D23-0779CC1E30B5}" name="Columna1758" dataDxfId="14654"/>
    <tableColumn id="1765" xr3:uid="{672D3B5F-A335-4A51-9FA0-4E49458D565A}" name="Columna1759" dataDxfId="14653"/>
    <tableColumn id="1766" xr3:uid="{B9B7E264-16FE-40B4-94C8-56FD91CF745E}" name="Columna1760" dataDxfId="14652"/>
    <tableColumn id="1767" xr3:uid="{17313279-D0FB-45E0-8340-C3765CDBFA8F}" name="Columna1761" dataDxfId="14651"/>
    <tableColumn id="1768" xr3:uid="{A1E84E0C-7C7F-4764-AA24-C0801034E82E}" name="Columna1762" dataDxfId="14650"/>
    <tableColumn id="1769" xr3:uid="{83818AEB-77B3-4315-9F21-98E4F543FD5F}" name="Columna1763" dataDxfId="14649"/>
    <tableColumn id="1770" xr3:uid="{23C2E52E-AAD5-4658-93D5-0F3DA9547842}" name="Columna1764" dataDxfId="14648"/>
    <tableColumn id="1771" xr3:uid="{819F7BE9-9B66-447F-81E7-CE8A6AF64C3E}" name="Columna1765" dataDxfId="14647"/>
    <tableColumn id="1772" xr3:uid="{BD423A3B-AEA9-40D4-A61B-5BFF0B5A1BE8}" name="Columna1766" dataDxfId="14646"/>
    <tableColumn id="1773" xr3:uid="{96FFA159-F8C1-4AA7-AE3D-D0790BBA7AE0}" name="Columna1767" dataDxfId="14645"/>
    <tableColumn id="1774" xr3:uid="{BA5058E0-FBDE-46C4-804F-DEFF46268937}" name="Columna1768" dataDxfId="14644"/>
    <tableColumn id="1775" xr3:uid="{38095346-49BA-4083-97DD-7FB4AC20DB6B}" name="Columna1769" dataDxfId="14643"/>
    <tableColumn id="1776" xr3:uid="{A5B18EA2-9E1F-4597-9859-96BDFAA7A8DB}" name="Columna1770" dataDxfId="14642"/>
    <tableColumn id="1777" xr3:uid="{BAA52E20-9025-445F-AFC7-44F6E6FBCAFA}" name="Columna1771" dataDxfId="14641"/>
    <tableColumn id="1778" xr3:uid="{03271BBF-D128-4900-8D6D-1EAA526CC817}" name="Columna1772" dataDxfId="14640"/>
    <tableColumn id="1779" xr3:uid="{33EAB391-6AD7-4269-8EF0-B4E4627E31FA}" name="Columna1773" dataDxfId="14639"/>
    <tableColumn id="1780" xr3:uid="{DC9FF769-52F9-4CC4-8971-21101C5F3F65}" name="Columna1774" dataDxfId="14638"/>
    <tableColumn id="1781" xr3:uid="{B5ED2FAB-EB74-48DC-979D-E9A759CA0EB1}" name="Columna1775" dataDxfId="14637"/>
    <tableColumn id="1782" xr3:uid="{EA4A9886-52E4-4195-A7D6-5CB5287DF12A}" name="Columna1776" dataDxfId="14636"/>
    <tableColumn id="1783" xr3:uid="{3020E367-BDF0-41A7-924D-93E2DC7935F5}" name="Columna1777" dataDxfId="14635"/>
    <tableColumn id="1784" xr3:uid="{A28D0C2A-E52A-47E2-AC54-90073E527940}" name="Columna1778" dataDxfId="14634"/>
    <tableColumn id="1785" xr3:uid="{3A7B964F-DCC1-433B-B935-351982FB8893}" name="Columna1779" dataDxfId="14633"/>
    <tableColumn id="1786" xr3:uid="{D1AB0F3F-43E6-4FEE-B4C6-66E5A4126A41}" name="Columna1780" dataDxfId="14632"/>
    <tableColumn id="1787" xr3:uid="{B2EC5F58-2B91-4E14-9E13-30DB2845B2EF}" name="Columna1781" dataDxfId="14631"/>
    <tableColumn id="1788" xr3:uid="{065056A8-38ED-46F1-BEDE-277966A3BAC4}" name="Columna1782" dataDxfId="14630"/>
    <tableColumn id="1789" xr3:uid="{A2ABA5D7-AA4F-41F5-820E-8567C0D35B14}" name="Columna1783" dataDxfId="14629"/>
    <tableColumn id="1790" xr3:uid="{4F42FB8C-48B8-450A-AC1F-1BC5744A5C7E}" name="Columna1784" dataDxfId="14628"/>
    <tableColumn id="1791" xr3:uid="{C35023F7-2E71-49F5-B309-6A5825BF6AC7}" name="Columna1785" dataDxfId="14627"/>
    <tableColumn id="1792" xr3:uid="{937B7016-5DCF-4F05-B51A-886CF5DD44AF}" name="Columna1786" dataDxfId="14626"/>
    <tableColumn id="1793" xr3:uid="{CB4EA235-5E87-4EF1-AC09-5FB84D4836C3}" name="Columna1787" dataDxfId="14625"/>
    <tableColumn id="1794" xr3:uid="{C6D016A4-9FDF-45AA-AD1F-C8FA8B534EFD}" name="Columna1788" dataDxfId="14624"/>
    <tableColumn id="1795" xr3:uid="{1A8A2558-5625-4FE8-8CFF-E97E6C5C583A}" name="Columna1789" dataDxfId="14623"/>
    <tableColumn id="1796" xr3:uid="{C9E09AE4-DD98-4044-815B-D057C41C6E86}" name="Columna1790" dataDxfId="14622"/>
    <tableColumn id="1797" xr3:uid="{30876F32-7170-493B-A7EA-E0E33E48D9A6}" name="Columna1791" dataDxfId="14621"/>
    <tableColumn id="1798" xr3:uid="{FCF71D75-DDD5-466D-B86E-B0828CC597AE}" name="Columna1792" dataDxfId="14620"/>
    <tableColumn id="1799" xr3:uid="{950B816B-A438-476A-8640-4BC90F8CE8BA}" name="Columna1793" dataDxfId="14619"/>
    <tableColumn id="1800" xr3:uid="{CCADE40C-217E-42BC-AE6B-54AEB3D1475E}" name="Columna1794" dataDxfId="14618"/>
    <tableColumn id="1801" xr3:uid="{C44FC126-121E-4DB2-891B-B30EDFF09F2D}" name="Columna1795" dataDxfId="14617"/>
    <tableColumn id="1802" xr3:uid="{99FC9A2B-AE6A-42BB-AA11-2C825A536CDB}" name="Columna1796" dataDxfId="14616"/>
    <tableColumn id="1803" xr3:uid="{27FE1FF1-3980-4CA2-A8D2-A89BD22993BE}" name="Columna1797" dataDxfId="14615"/>
    <tableColumn id="1804" xr3:uid="{C80DDE11-885C-4069-9E30-54711AF2CA82}" name="Columna1798" dataDxfId="14614"/>
    <tableColumn id="1805" xr3:uid="{31E70825-50D0-4FBA-8DF0-005C88D7AA7E}" name="Columna1799" dataDxfId="14613"/>
    <tableColumn id="1806" xr3:uid="{7CE08012-0DD6-4A77-9F26-F04881624CBC}" name="Columna1800" dataDxfId="14612"/>
    <tableColumn id="1807" xr3:uid="{CA16B03A-94E5-4AEF-9205-9ED91DEB3B62}" name="Columna1801" dataDxfId="14611"/>
    <tableColumn id="1808" xr3:uid="{E39F0665-3B2E-49E9-9C46-C0DA5BF99F94}" name="Columna1802" dataDxfId="14610"/>
    <tableColumn id="1809" xr3:uid="{6CFA853E-741A-4386-91C9-2738023742E8}" name="Columna1803" dataDxfId="14609"/>
    <tableColumn id="1810" xr3:uid="{3B7FE391-55C4-4B21-A1D8-7E26912DFDC3}" name="Columna1804" dataDxfId="14608"/>
    <tableColumn id="1811" xr3:uid="{0C1B3576-2576-41D3-BF7B-D30262515EA7}" name="Columna1805" dataDxfId="14607"/>
    <tableColumn id="1812" xr3:uid="{2EC87420-5296-4993-ADA7-B3ADC8B2D4B7}" name="Columna1806" dataDxfId="14606"/>
    <tableColumn id="1813" xr3:uid="{3E58A010-A771-4A2B-8638-15432C0F7439}" name="Columna1807" dataDxfId="14605"/>
    <tableColumn id="1814" xr3:uid="{B4A7A5A2-DBA7-4ED8-B0B4-B11DA99ECE1D}" name="Columna1808" dataDxfId="14604"/>
    <tableColumn id="1815" xr3:uid="{81FD9EEF-6EBB-40C0-84A9-94B22909640C}" name="Columna1809" dataDxfId="14603"/>
    <tableColumn id="1816" xr3:uid="{E94985D3-2485-49D9-A42A-7C93BEA02461}" name="Columna1810" dataDxfId="14602"/>
    <tableColumn id="1817" xr3:uid="{5A188182-BA7C-450C-9EF8-8A0EFF8475B4}" name="Columna1811" dataDxfId="14601"/>
    <tableColumn id="1818" xr3:uid="{6FAF28F5-4886-414F-B3F4-5F8DE707585B}" name="Columna1812" dataDxfId="14600"/>
    <tableColumn id="1819" xr3:uid="{915ECD72-53E1-4159-A155-81F5B8C60582}" name="Columna1813" dataDxfId="14599"/>
    <tableColumn id="1820" xr3:uid="{3B03F3EC-9A61-429D-8E00-A4A4DEA5BB4E}" name="Columna1814" dataDxfId="14598"/>
    <tableColumn id="1821" xr3:uid="{A6FB8B3C-C2F7-4ADA-B153-8E71018BFEAF}" name="Columna1815" dataDxfId="14597"/>
    <tableColumn id="1822" xr3:uid="{5C8A30EA-B17E-4F1D-85E5-F0A2D935E56E}" name="Columna1816" dataDxfId="14596"/>
    <tableColumn id="1823" xr3:uid="{8A796262-6A65-4961-9E1C-78BC1CB1F5A3}" name="Columna1817" dataDxfId="14595"/>
    <tableColumn id="1824" xr3:uid="{728278B9-1386-454B-B6D9-15EE63EB283B}" name="Columna1818" dataDxfId="14594"/>
    <tableColumn id="1825" xr3:uid="{E965B271-22F8-4147-B201-6A8FD12E1282}" name="Columna1819" dataDxfId="14593"/>
    <tableColumn id="1826" xr3:uid="{FE179E72-537A-4833-8A31-DDFF8C64ED76}" name="Columna1820" dataDxfId="14592"/>
    <tableColumn id="1827" xr3:uid="{56833C2D-B636-4F00-837D-FCBF22B2288A}" name="Columna1821" dataDxfId="14591"/>
    <tableColumn id="1828" xr3:uid="{6A7486E1-EAA9-4B30-8E3C-7C1D60C5BEF7}" name="Columna1822" dataDxfId="14590"/>
    <tableColumn id="1829" xr3:uid="{E391ACDE-323F-4518-8B3A-45B0D5C3AA79}" name="Columna1823" dataDxfId="14589"/>
    <tableColumn id="1830" xr3:uid="{BD977CA8-56CA-46AF-B324-3CFEB6BCFB7F}" name="Columna1824" dataDxfId="14588"/>
    <tableColumn id="1831" xr3:uid="{8749D193-D7C9-4A89-AC37-BA6447F7A36E}" name="Columna1825" dataDxfId="14587"/>
    <tableColumn id="1832" xr3:uid="{30828F25-EF66-46F0-853C-7CA12A21AC8F}" name="Columna1826" dataDxfId="14586"/>
    <tableColumn id="1833" xr3:uid="{9742E1FA-CEB2-4F25-9938-F7EBC9431A74}" name="Columna1827" dataDxfId="14585"/>
    <tableColumn id="1834" xr3:uid="{3CFF52CD-12F6-47C0-BAF9-0DBCA79DDB15}" name="Columna1828" dataDxfId="14584"/>
    <tableColumn id="1835" xr3:uid="{A139CFDA-8E0E-4ACA-B83D-AFEE66FD6187}" name="Columna1829" dataDxfId="14583"/>
    <tableColumn id="1836" xr3:uid="{1B89A94C-AA99-4C0B-859F-3B6BC37D8024}" name="Columna1830" dataDxfId="14582"/>
    <tableColumn id="1837" xr3:uid="{A2243CC6-7BE4-402A-B49C-955E28BACD05}" name="Columna1831" dataDxfId="14581"/>
    <tableColumn id="1838" xr3:uid="{39040BCB-EA08-48E5-BD6A-1A9B90735BFE}" name="Columna1832" dataDxfId="14580"/>
    <tableColumn id="1839" xr3:uid="{6CE98B30-0BDF-4D8A-81E7-076BCDA8D237}" name="Columna1833" dataDxfId="14579"/>
    <tableColumn id="1840" xr3:uid="{3F66B981-4448-4FB3-A5D4-E79E554CBB6A}" name="Columna1834" dataDxfId="14578"/>
    <tableColumn id="1841" xr3:uid="{7EA31169-A257-4C21-8799-8C87CFB34A1F}" name="Columna1835" dataDxfId="14577"/>
    <tableColumn id="1842" xr3:uid="{819FCD9E-BB6E-474E-A429-EACE338C0100}" name="Columna1836" dataDxfId="14576"/>
    <tableColumn id="1843" xr3:uid="{7F9331A0-FAEF-4105-B55E-425331EE4F12}" name="Columna1837" dataDxfId="14575"/>
    <tableColumn id="1844" xr3:uid="{203856EA-2AFB-4773-9717-DED9D630F3A2}" name="Columna1838" dataDxfId="14574"/>
    <tableColumn id="1845" xr3:uid="{1F4EBAAB-B6F7-448C-A3C9-04E0B5562019}" name="Columna1839" dataDxfId="14573"/>
    <tableColumn id="1846" xr3:uid="{AE2EBB8F-6F06-4EFC-A619-B2B82B57FC02}" name="Columna1840" dataDxfId="14572"/>
    <tableColumn id="1847" xr3:uid="{2E932D5B-A9C4-43EA-B518-F5AD633FBC13}" name="Columna1841" dataDxfId="14571"/>
    <tableColumn id="1848" xr3:uid="{3EDFBA70-B315-4B9D-AF68-F83CD75597C8}" name="Columna1842" dataDxfId="14570"/>
    <tableColumn id="1849" xr3:uid="{7C45078F-74F3-48FB-B82D-ED0365A8D9B5}" name="Columna1843" dataDxfId="14569"/>
    <tableColumn id="1850" xr3:uid="{125EBCFF-BC48-4C0C-8D9D-D24D8CD0422D}" name="Columna1844" dataDxfId="14568"/>
    <tableColumn id="1851" xr3:uid="{41720564-D94B-49DF-9F0C-A04F47CEA4E8}" name="Columna1845" dataDxfId="14567"/>
    <tableColumn id="1852" xr3:uid="{A0E054EF-7E4C-499A-AD2D-37F1E202E604}" name="Columna1846" dataDxfId="14566"/>
    <tableColumn id="1853" xr3:uid="{30578464-00B1-4457-99F9-A178F724ED08}" name="Columna1847" dataDxfId="14565"/>
    <tableColumn id="1854" xr3:uid="{436563E6-BE89-4861-A5A6-6C14D35C02F5}" name="Columna1848" dataDxfId="14564"/>
    <tableColumn id="1855" xr3:uid="{A056DB52-9B43-407F-96C3-F7D43A5461FB}" name="Columna1849" dataDxfId="14563"/>
    <tableColumn id="1856" xr3:uid="{1435A702-0D5D-467D-995C-D7B208EC052B}" name="Columna1850" dataDxfId="14562"/>
    <tableColumn id="1857" xr3:uid="{94825ACB-5E1F-4AD8-9FF2-C3CBC5C54CA2}" name="Columna1851" dataDxfId="14561"/>
    <tableColumn id="1858" xr3:uid="{DCD1D0F3-875E-4B16-872D-8512484DA3AC}" name="Columna1852" dataDxfId="14560"/>
    <tableColumn id="1859" xr3:uid="{E065031E-97CE-4119-88D9-A59E9A77282B}" name="Columna1853" dataDxfId="14559"/>
    <tableColumn id="1860" xr3:uid="{DFA6BBA2-3D07-45F9-B91B-428861E73081}" name="Columna1854" dataDxfId="14558"/>
    <tableColumn id="1861" xr3:uid="{4F948482-748D-4851-87DC-FF13A9E5CE25}" name="Columna1855" dataDxfId="14557"/>
    <tableColumn id="1862" xr3:uid="{62AE3F63-DC82-4898-9F7D-1A0C9042F423}" name="Columna1856" dataDxfId="14556"/>
    <tableColumn id="1863" xr3:uid="{EBC808BF-4F99-49C8-AF2A-C42D19177B55}" name="Columna1857" dataDxfId="14555"/>
    <tableColumn id="1864" xr3:uid="{32AA3D28-EED7-4F7A-82E4-28225AFAF218}" name="Columna1858" dataDxfId="14554"/>
    <tableColumn id="1865" xr3:uid="{ABF10EBD-E20D-475C-98E1-8B060122C549}" name="Columna1859" dataDxfId="14553"/>
    <tableColumn id="1866" xr3:uid="{D28B729F-579C-40BE-AB66-64A9BC86440B}" name="Columna1860" dataDxfId="14552"/>
    <tableColumn id="1867" xr3:uid="{8496EC2C-8FC4-4826-A58E-755A3AA9A713}" name="Columna1861" dataDxfId="14551"/>
    <tableColumn id="1868" xr3:uid="{6FBF0C81-BFE4-4FF2-96F8-13E40BE7B302}" name="Columna1862" dataDxfId="14550"/>
    <tableColumn id="1869" xr3:uid="{4E35D423-60B4-4202-9A72-5ED137D74C65}" name="Columna1863" dataDxfId="14549"/>
    <tableColumn id="1870" xr3:uid="{65A7B993-E943-429D-A610-FA171EE2B472}" name="Columna1864" dataDxfId="14548"/>
    <tableColumn id="1871" xr3:uid="{83F225BF-78EB-4A76-A227-70B7D1264F6B}" name="Columna1865" dataDxfId="14547"/>
    <tableColumn id="1872" xr3:uid="{4EDBAAAF-2EF1-492A-AD46-4C88B33FCB74}" name="Columna1866" dataDxfId="14546"/>
    <tableColumn id="1873" xr3:uid="{C4A77523-C57D-49A0-BD05-0CFC42281711}" name="Columna1867" dataDxfId="14545"/>
    <tableColumn id="1874" xr3:uid="{F3E576C2-AEF2-4C6B-B006-54E0693ED038}" name="Columna1868" dataDxfId="14544"/>
    <tableColumn id="1875" xr3:uid="{D212E7FE-9DC4-43DC-B5F2-C95CBCF35E92}" name="Columna1869" dataDxfId="14543"/>
    <tableColumn id="1876" xr3:uid="{D0874282-4877-4BE4-8BFB-2F199F0DD380}" name="Columna1870" dataDxfId="14542"/>
    <tableColumn id="1877" xr3:uid="{8A6A2D2A-C683-4D2A-8D5C-ABB819A36889}" name="Columna1871" dataDxfId="14541"/>
    <tableColumn id="1878" xr3:uid="{F7925231-1972-4A9F-8F21-C79AACB6059C}" name="Columna1872" dataDxfId="14540"/>
    <tableColumn id="1879" xr3:uid="{7656F487-168D-4487-84CD-EEBEA1794D85}" name="Columna1873" dataDxfId="14539"/>
    <tableColumn id="1880" xr3:uid="{95A6E3BC-0579-4AE3-9F6C-4A0C67E90632}" name="Columna1874" dataDxfId="14538"/>
    <tableColumn id="1881" xr3:uid="{019B0A59-C81C-41A6-9008-596DD8D88C31}" name="Columna1875" dataDxfId="14537"/>
    <tableColumn id="1882" xr3:uid="{9E97E3DD-85EB-4EE0-8CB7-42E0C7FCDBA5}" name="Columna1876" dataDxfId="14536"/>
    <tableColumn id="1883" xr3:uid="{C88F2661-7AAB-4E6C-AA96-D45F7B822717}" name="Columna1877" dataDxfId="14535"/>
    <tableColumn id="1884" xr3:uid="{07CE583E-37C7-4D0D-B9C4-752CB2332526}" name="Columna1878" dataDxfId="14534"/>
    <tableColumn id="1885" xr3:uid="{71FCF9F8-93F1-4B3B-BDAE-6710E6E3472E}" name="Columna1879" dataDxfId="14533"/>
    <tableColumn id="1886" xr3:uid="{D81705A4-95CE-4EFD-B794-4B087494EEED}" name="Columna1880" dataDxfId="14532"/>
    <tableColumn id="1887" xr3:uid="{194176CB-EF52-4045-935E-278D14280EA5}" name="Columna1881" dataDxfId="14531"/>
    <tableColumn id="1888" xr3:uid="{3D4C0F04-5A43-4349-A488-1B2E7A68165A}" name="Columna1882" dataDxfId="14530"/>
    <tableColumn id="1889" xr3:uid="{17A0216B-A7AE-49F7-A200-3A857177F5A0}" name="Columna1883" dataDxfId="14529"/>
    <tableColumn id="1890" xr3:uid="{765A2656-BED5-4EF0-AA4D-9E78EBF59F39}" name="Columna1884" dataDxfId="14528"/>
    <tableColumn id="1891" xr3:uid="{D6EBE07A-F796-4B41-83FF-B1AC7E53467A}" name="Columna1885" dataDxfId="14527"/>
    <tableColumn id="1892" xr3:uid="{8828A054-6644-4BD8-B312-7C6C8A201BD6}" name="Columna1886" dataDxfId="14526"/>
    <tableColumn id="1893" xr3:uid="{53D07FB2-0532-4420-97BD-310D76B044A1}" name="Columna1887" dataDxfId="14525"/>
    <tableColumn id="1894" xr3:uid="{9C9EF8C8-33BC-42AA-B87D-3381B351D6F0}" name="Columna1888" dataDxfId="14524"/>
    <tableColumn id="1895" xr3:uid="{25186B74-063A-4437-9812-7DBCEE7FE259}" name="Columna1889" dataDxfId="14523"/>
    <tableColumn id="1896" xr3:uid="{3596D625-F120-4B0E-8965-8E31E7E43DC2}" name="Columna1890" dataDxfId="14522"/>
    <tableColumn id="1897" xr3:uid="{BD597E09-76C5-4B3E-8D17-DBB49F66C2A1}" name="Columna1891" dataDxfId="14521"/>
    <tableColumn id="1898" xr3:uid="{45DACF36-B1CE-4E02-9E97-654B77449411}" name="Columna1892" dataDxfId="14520"/>
    <tableColumn id="1899" xr3:uid="{2CD1F13D-1F9B-4596-91DB-9C7426537415}" name="Columna1893" dataDxfId="14519"/>
    <tableColumn id="1900" xr3:uid="{AF030B94-74E2-4177-9DBF-26A015FD3895}" name="Columna1894" dataDxfId="14518"/>
    <tableColumn id="1901" xr3:uid="{2C25E57F-B716-44F8-918F-35362CA64F78}" name="Columna1895" dataDxfId="14517"/>
    <tableColumn id="1902" xr3:uid="{E5C6B7BB-3047-4FC3-A403-500D60531671}" name="Columna1896" dataDxfId="14516"/>
    <tableColumn id="1903" xr3:uid="{EC5437CD-29CF-4EC8-AE18-EBD07DDD089C}" name="Columna1897" dataDxfId="14515"/>
    <tableColumn id="1904" xr3:uid="{B42384BB-2EC4-4B30-B753-9801D680D274}" name="Columna1898" dataDxfId="14514"/>
    <tableColumn id="1905" xr3:uid="{BBB2749A-B44D-431E-A1AA-2D2825068BE3}" name="Columna1899" dataDxfId="14513"/>
    <tableColumn id="1906" xr3:uid="{882A816E-460B-4244-8C3D-487B376737E3}" name="Columna1900" dataDxfId="14512"/>
    <tableColumn id="1907" xr3:uid="{1DA4A6E9-599F-4B21-AA02-CABEBC52233A}" name="Columna1901" dataDxfId="14511"/>
    <tableColumn id="1908" xr3:uid="{711F3010-3E69-4D88-869B-93DB923B15CE}" name="Columna1902" dataDxfId="14510"/>
    <tableColumn id="1909" xr3:uid="{BA831DD7-6C2A-4A1A-A125-C70678AFC1CF}" name="Columna1903" dataDxfId="14509"/>
    <tableColumn id="1910" xr3:uid="{13298D03-A25F-4343-BBDA-D20C44DC8EE7}" name="Columna1904" dataDxfId="14508"/>
    <tableColumn id="1911" xr3:uid="{7EC4BB0B-B879-460D-999D-2246EB97E57E}" name="Columna1905" dataDxfId="14507"/>
    <tableColumn id="1912" xr3:uid="{FD487D62-E189-45F6-B93F-585EC8DE7E61}" name="Columna1906" dataDxfId="14506"/>
    <tableColumn id="1913" xr3:uid="{6DAB131B-04DC-462B-B7B3-CDCE463123A1}" name="Columna1907" dataDxfId="14505"/>
    <tableColumn id="1914" xr3:uid="{2E2B5317-AE50-409F-B08B-09669FEC94EC}" name="Columna1908" dataDxfId="14504"/>
    <tableColumn id="1915" xr3:uid="{0A90AAD1-5B1B-421C-869A-8CEEB7CA53C4}" name="Columna1909" dataDxfId="14503"/>
    <tableColumn id="1916" xr3:uid="{E99ACB51-AB10-4D6C-A417-2AB59E791696}" name="Columna1910" dataDxfId="14502"/>
    <tableColumn id="1917" xr3:uid="{3F501FB2-6D1E-4C39-8277-C92BC52A6EC4}" name="Columna1911" dataDxfId="14501"/>
    <tableColumn id="1918" xr3:uid="{42143756-4C24-4250-92DF-E2D80DCC4454}" name="Columna1912" dataDxfId="14500"/>
    <tableColumn id="1919" xr3:uid="{3282F827-FC00-4BDD-A38E-2C579BE10DA1}" name="Columna1913" dataDxfId="14499"/>
    <tableColumn id="1920" xr3:uid="{500727AA-DB44-400F-A9F0-B9DC32D72194}" name="Columna1914" dataDxfId="14498"/>
    <tableColumn id="1921" xr3:uid="{AE2A4955-A04B-43C9-B634-86E09726EE97}" name="Columna1915" dataDxfId="14497"/>
    <tableColumn id="1922" xr3:uid="{77B10C99-BC78-4002-9D7B-01234C6966E4}" name="Columna1916" dataDxfId="14496"/>
    <tableColumn id="1923" xr3:uid="{BC15B05A-E529-4110-8A5B-54EE2DDD105A}" name="Columna1917" dataDxfId="14495"/>
    <tableColumn id="1924" xr3:uid="{68AA890A-55EA-480B-BC24-06D65891885D}" name="Columna1918" dataDxfId="14494"/>
    <tableColumn id="1925" xr3:uid="{453DA284-A5B3-47EF-99EC-93D0DAD74726}" name="Columna1919" dataDxfId="14493"/>
    <tableColumn id="1926" xr3:uid="{911F27B6-D55E-412D-AD56-D97DF5B7EFAB}" name="Columna1920" dataDxfId="14492"/>
    <tableColumn id="1927" xr3:uid="{B0FB48C5-3479-462B-8932-9DF53443CA7D}" name="Columna1921" dataDxfId="14491"/>
    <tableColumn id="1928" xr3:uid="{10D0D691-607F-4442-9E2D-D7D0AEE581E0}" name="Columna1922" dataDxfId="14490"/>
    <tableColumn id="1929" xr3:uid="{1795DF7C-9A52-426F-8F47-CE6119ECCD8A}" name="Columna1923" dataDxfId="14489"/>
    <tableColumn id="1930" xr3:uid="{91F18188-E545-46C4-AF2C-53D04CBF8F22}" name="Columna1924" dataDxfId="14488"/>
    <tableColumn id="1931" xr3:uid="{92DA2634-0487-4E51-BA11-3A8BAB910872}" name="Columna1925" dataDxfId="14487"/>
    <tableColumn id="1932" xr3:uid="{81785E04-9E73-4CBF-8231-E69F457CFADE}" name="Columna1926" dataDxfId="14486"/>
    <tableColumn id="1933" xr3:uid="{94FC5D4C-EE25-4EF3-A529-9271A7A78BF0}" name="Columna1927" dataDxfId="14485"/>
    <tableColumn id="1934" xr3:uid="{1C7B46ED-C1B2-4042-9A4C-278280DD893B}" name="Columna1928" dataDxfId="14484"/>
    <tableColumn id="1935" xr3:uid="{61A6E9CD-2A24-4D28-829B-74A063431A42}" name="Columna1929" dataDxfId="14483"/>
    <tableColumn id="1936" xr3:uid="{467CDE4A-C5C2-4C75-854A-ECF6DB10F9C7}" name="Columna1930" dataDxfId="14482"/>
    <tableColumn id="1937" xr3:uid="{A9F7A2C2-71AC-4D7C-8982-EFA0E4144B3A}" name="Columna1931" dataDxfId="14481"/>
    <tableColumn id="1938" xr3:uid="{9292D185-B440-45C1-961B-4B0067FBB503}" name="Columna1932" dataDxfId="14480"/>
    <tableColumn id="1939" xr3:uid="{6068DCBC-2BF1-4300-9C9E-D8BEBAB37266}" name="Columna1933" dataDxfId="14479"/>
    <tableColumn id="1940" xr3:uid="{7546274B-E277-49D7-ADB5-C5DEDAE1AADB}" name="Columna1934" dataDxfId="14478"/>
    <tableColumn id="1941" xr3:uid="{5E4DD74B-781F-4B35-9BBE-C25ABFD51E7F}" name="Columna1935" dataDxfId="14477"/>
    <tableColumn id="1942" xr3:uid="{396FCDE4-5FBB-47FE-A221-E77BF6EC792E}" name="Columna1936" dataDxfId="14476"/>
    <tableColumn id="1943" xr3:uid="{CD1C6017-1963-449A-AC4F-BC60D9E7529C}" name="Columna1937" dataDxfId="14475"/>
    <tableColumn id="1944" xr3:uid="{D2047490-B029-4C34-93D2-1C23D6A4069E}" name="Columna1938" dataDxfId="14474"/>
    <tableColumn id="1945" xr3:uid="{5FF46C31-E549-45E1-9143-BB3C62400D4A}" name="Columna1939" dataDxfId="14473"/>
    <tableColumn id="1946" xr3:uid="{BA3681E6-751C-41D2-B47C-0BFB22DFA095}" name="Columna1940" dataDxfId="14472"/>
    <tableColumn id="1947" xr3:uid="{A20302F9-0549-4FF9-A5E2-C30179B8DD97}" name="Columna1941" dataDxfId="14471"/>
    <tableColumn id="1948" xr3:uid="{0B9A02B3-47B5-46F0-B7EE-F8658A3A51E3}" name="Columna1942" dataDxfId="14470"/>
    <tableColumn id="1949" xr3:uid="{CC3015AE-DBDD-45AF-BF1E-E4105F1BB982}" name="Columna1943" dataDxfId="14469"/>
    <tableColumn id="1950" xr3:uid="{B5E1AE93-9238-45F3-BFFF-AE3F0C5A9F31}" name="Columna1944" dataDxfId="14468"/>
    <tableColumn id="1951" xr3:uid="{2191BEE2-C469-49D2-8863-99567C166833}" name="Columna1945" dataDxfId="14467"/>
    <tableColumn id="1952" xr3:uid="{88D8201F-D394-4F06-9145-9C51C3A82CC9}" name="Columna1946" dataDxfId="14466"/>
    <tableColumn id="1953" xr3:uid="{335B9042-6480-4AB3-B584-01DD0861F129}" name="Columna1947" dataDxfId="14465"/>
    <tableColumn id="1954" xr3:uid="{E02CF565-A1A4-49E4-BC46-B468FAADEECF}" name="Columna1948" dataDxfId="14464"/>
    <tableColumn id="1955" xr3:uid="{173993A1-0F67-434D-B2EA-FA5ECD721232}" name="Columna1949" dataDxfId="14463"/>
    <tableColumn id="1956" xr3:uid="{E2270344-1DBE-49D7-88E1-DA86E02FD9D3}" name="Columna1950" dataDxfId="14462"/>
    <tableColumn id="1957" xr3:uid="{C58847CB-AC99-4E44-8800-C1D8A8DC56A7}" name="Columna1951" dataDxfId="14461"/>
    <tableColumn id="1958" xr3:uid="{0658A415-C045-4282-8715-4A6D18051182}" name="Columna1952" dataDxfId="14460"/>
    <tableColumn id="1959" xr3:uid="{CE9DA77E-5BA0-4485-8B1C-E60A045DB443}" name="Columna1953" dataDxfId="14459"/>
    <tableColumn id="1960" xr3:uid="{157BA122-1C97-4BE7-8708-67620DB0067C}" name="Columna1954" dataDxfId="14458"/>
    <tableColumn id="1961" xr3:uid="{20B0F40C-D930-4ECE-9794-1C2C31DBA7FC}" name="Columna1955" dataDxfId="14457"/>
    <tableColumn id="1962" xr3:uid="{51903AEB-8C76-45E5-A617-BE3B430C3CEE}" name="Columna1956" dataDxfId="14456"/>
    <tableColumn id="1963" xr3:uid="{72DCA317-A008-4E88-9583-04084BC842B2}" name="Columna1957" dataDxfId="14455"/>
    <tableColumn id="1964" xr3:uid="{F1EB3C31-9E8A-4439-9AD7-2B21134F4425}" name="Columna1958" dataDxfId="14454"/>
    <tableColumn id="1965" xr3:uid="{139C869A-9D60-4283-88CE-6BB320E0939E}" name="Columna1959" dataDxfId="14453"/>
    <tableColumn id="1966" xr3:uid="{AB370A2B-2275-4975-BBF7-ED23824F40F9}" name="Columna1960" dataDxfId="14452"/>
    <tableColumn id="1967" xr3:uid="{0477FB9C-1FEF-45B7-A9E8-BE6521C3C3F6}" name="Columna1961" dataDxfId="14451"/>
    <tableColumn id="1968" xr3:uid="{04933077-6F13-4BFB-9860-7E6D345AB58D}" name="Columna1962" dataDxfId="14450"/>
    <tableColumn id="1969" xr3:uid="{049C618C-4E4C-43CF-95B1-C6D0C927CC5A}" name="Columna1963" dataDxfId="14449"/>
    <tableColumn id="1970" xr3:uid="{BE642FFD-F5AB-447E-91C2-B35E63A784D4}" name="Columna1964" dataDxfId="14448"/>
    <tableColumn id="1971" xr3:uid="{5543E142-5125-404C-B308-15E6E080011C}" name="Columna1965" dataDxfId="14447"/>
    <tableColumn id="1972" xr3:uid="{F8BBF4B4-2C6F-4A4D-BB3E-561CDC81EE5D}" name="Columna1966" dataDxfId="14446"/>
    <tableColumn id="1973" xr3:uid="{2F7829BA-E7A0-4AA2-A21B-183B563CE0D5}" name="Columna1967" dataDxfId="14445"/>
    <tableColumn id="1974" xr3:uid="{824EC477-758E-484D-B637-AF09DCB54C00}" name="Columna1968" dataDxfId="14444"/>
    <tableColumn id="1975" xr3:uid="{3164BCD5-936F-4679-A1BA-82A24A31DBDE}" name="Columna1969" dataDxfId="14443"/>
    <tableColumn id="1976" xr3:uid="{CF98A2D6-A092-41B5-9B7C-281E95044A14}" name="Columna1970" dataDxfId="14442"/>
    <tableColumn id="1977" xr3:uid="{2768ED42-CAAD-44D8-95E1-A84EBD543FA0}" name="Columna1971" dataDxfId="14441"/>
    <tableColumn id="1978" xr3:uid="{384E7ADA-6B54-4FD5-9C9F-E595A1D20D4D}" name="Columna1972" dataDxfId="14440"/>
    <tableColumn id="1979" xr3:uid="{F4C0FE11-FCD7-436B-97C8-851E1AC7EA63}" name="Columna1973" dataDxfId="14439"/>
    <tableColumn id="1980" xr3:uid="{267141A7-3CA0-4908-BD8F-31EDBE50F123}" name="Columna1974" dataDxfId="14438"/>
    <tableColumn id="1981" xr3:uid="{6D638A53-24E7-420B-87CE-E7A85DE16B27}" name="Columna1975" dataDxfId="14437"/>
    <tableColumn id="1982" xr3:uid="{9E2BA422-BD4C-463C-9A87-BDA224F3F9C1}" name="Columna1976" dataDxfId="14436"/>
    <tableColumn id="1983" xr3:uid="{4672DF45-7D0A-4AAB-A898-DB58184165EE}" name="Columna1977" dataDxfId="14435"/>
    <tableColumn id="1984" xr3:uid="{12841FC9-670C-4FED-BB84-FAAA9A4C285A}" name="Columna1978" dataDxfId="14434"/>
    <tableColumn id="1985" xr3:uid="{5DF27FD0-E40F-414E-BC95-4DA576BC7932}" name="Columna1979" dataDxfId="14433"/>
    <tableColumn id="1986" xr3:uid="{BCA91CA0-01A7-4F1F-BB5A-7E7DBA4C4584}" name="Columna1980" dataDxfId="14432"/>
    <tableColumn id="1987" xr3:uid="{D73D7FEE-C97A-40B2-8DAF-D249EEE9B45D}" name="Columna1981" dataDxfId="14431"/>
    <tableColumn id="1988" xr3:uid="{B8BC682A-A246-4A9D-A9CF-297B5008F54B}" name="Columna1982" dataDxfId="14430"/>
    <tableColumn id="1989" xr3:uid="{74B845C8-4CA6-4BD6-97EF-C57EBF44173A}" name="Columna1983" dataDxfId="14429"/>
    <tableColumn id="1990" xr3:uid="{38CDA6CB-C87A-4552-8F26-36B943F2E474}" name="Columna1984" dataDxfId="14428"/>
    <tableColumn id="1991" xr3:uid="{7D2096BA-7C0E-4C7A-9AF5-CDD96DAA8EC1}" name="Columna1985" dataDxfId="14427"/>
    <tableColumn id="1992" xr3:uid="{91F44625-A44D-4F2F-B2F6-BA801BE54C5D}" name="Columna1986" dataDxfId="14426"/>
    <tableColumn id="1993" xr3:uid="{680DCA82-BBBD-4AEC-BB8B-51B4B17A66FC}" name="Columna1987" dataDxfId="14425"/>
    <tableColumn id="1994" xr3:uid="{E6FA40A8-093F-4E1F-B878-D8AE32B037FC}" name="Columna1988" dataDxfId="14424"/>
    <tableColumn id="1995" xr3:uid="{A57B07A1-C86D-4D82-90BC-800AE96AB78D}" name="Columna1989" dataDxfId="14423"/>
    <tableColumn id="1996" xr3:uid="{CFA47C53-AC04-4E62-BDAA-C7EEE95CD9F9}" name="Columna1990" dataDxfId="14422"/>
    <tableColumn id="1997" xr3:uid="{E8AAFA13-115D-4AC9-B053-F605046EE98F}" name="Columna1991" dataDxfId="14421"/>
    <tableColumn id="1998" xr3:uid="{F088E904-9A7F-4FB9-874E-CDFA12A7AAC1}" name="Columna1992" dataDxfId="14420"/>
    <tableColumn id="1999" xr3:uid="{330A965D-DF88-4245-8BC6-85C95F11525D}" name="Columna1993" dataDxfId="14419"/>
    <tableColumn id="2000" xr3:uid="{2F25B7B0-4247-43D3-ACB9-D6AE973439A4}" name="Columna1994" dataDxfId="14418"/>
    <tableColumn id="2001" xr3:uid="{0F40984B-3263-4C3D-A9AD-46B9384B2B80}" name="Columna1995" dataDxfId="14417"/>
    <tableColumn id="2002" xr3:uid="{28530B42-5016-4491-B4A3-23BF7440D5FF}" name="Columna1996" dataDxfId="14416"/>
    <tableColumn id="2003" xr3:uid="{8876BBA6-7379-4172-8BF6-3F0019E004A5}" name="Columna1997" dataDxfId="14415"/>
    <tableColumn id="2004" xr3:uid="{C2C0C63F-90FA-4573-9F66-6785FB791635}" name="Columna1998" dataDxfId="14414"/>
    <tableColumn id="2005" xr3:uid="{F724EAD0-FCB2-4DCA-B37B-0986FB13DBBA}" name="Columna1999" dataDxfId="14413"/>
    <tableColumn id="2006" xr3:uid="{479B881F-9E09-4DB3-9F60-791E0BF08590}" name="Columna2000" dataDxfId="14412"/>
    <tableColumn id="2007" xr3:uid="{D30CE46E-21A5-40BF-B009-55020D7B0CE6}" name="Columna2001" dataDxfId="14411"/>
    <tableColumn id="2008" xr3:uid="{A421B9B8-7C2B-4160-93C7-BAC42FD9D5E1}" name="Columna2002" dataDxfId="14410"/>
    <tableColumn id="2009" xr3:uid="{9FE5EFBD-7468-4246-9D07-4E75AE6AC892}" name="Columna2003" dataDxfId="14409"/>
    <tableColumn id="2010" xr3:uid="{F538B791-FA8E-4541-B94E-9AE18DD7131F}" name="Columna2004" dataDxfId="14408"/>
    <tableColumn id="2011" xr3:uid="{DB142134-3C3A-45D7-BC72-90035A118442}" name="Columna2005" dataDxfId="14407"/>
    <tableColumn id="2012" xr3:uid="{DE86F752-3688-4B17-950A-453538CEDC51}" name="Columna2006" dataDxfId="14406"/>
    <tableColumn id="2013" xr3:uid="{60E105C2-A763-4235-94F6-2CAC249B39F8}" name="Columna2007" dataDxfId="14405"/>
    <tableColumn id="2014" xr3:uid="{B6D8A386-29A4-4C37-9FD5-A9CA0C1567E6}" name="Columna2008" dataDxfId="14404"/>
    <tableColumn id="2015" xr3:uid="{A8A5BF17-D3C9-457F-BEDD-EEA0A1CEBFE7}" name="Columna2009" dataDxfId="14403"/>
    <tableColumn id="2016" xr3:uid="{F95B521D-EC3A-4EB7-BE9C-D4EF5B366F30}" name="Columna2010" dataDxfId="14402"/>
    <tableColumn id="2017" xr3:uid="{56DEA3C6-A944-41E1-9CA2-E0C09427A8D4}" name="Columna2011" dataDxfId="14401"/>
    <tableColumn id="2018" xr3:uid="{44EEFB5C-D47C-438C-BA29-A60E61EE50A4}" name="Columna2012" dataDxfId="14400"/>
    <tableColumn id="2019" xr3:uid="{05EB9FEC-6C5E-4DCF-8E4A-D976CDD61679}" name="Columna2013" dataDxfId="14399"/>
    <tableColumn id="2020" xr3:uid="{83BEF120-73B1-452C-861E-5550798CB46D}" name="Columna2014" dataDxfId="14398"/>
    <tableColumn id="2021" xr3:uid="{81895316-8A5B-47BB-8556-F165EEEB7B8D}" name="Columna2015" dataDxfId="14397"/>
    <tableColumn id="2022" xr3:uid="{5BFFD79B-2863-4FB9-89C4-03733C023CAB}" name="Columna2016" dataDxfId="14396"/>
    <tableColumn id="2023" xr3:uid="{C1EE54D0-D945-454D-AD4E-4B114114A3B4}" name="Columna2017" dataDxfId="14395"/>
    <tableColumn id="2024" xr3:uid="{A700C759-39F4-427B-95FF-1BD431A305CA}" name="Columna2018" dataDxfId="14394"/>
    <tableColumn id="2025" xr3:uid="{F41FDBE6-ED91-40C9-8274-C4E84D8DBD7A}" name="Columna2019" dataDxfId="14393"/>
    <tableColumn id="2026" xr3:uid="{AEB182DD-C669-4C02-BA42-E46C9100C35C}" name="Columna2020" dataDxfId="14392"/>
    <tableColumn id="2027" xr3:uid="{5A9746CF-046C-40EF-BE09-CBEAC4B77F44}" name="Columna2021" dataDxfId="14391"/>
    <tableColumn id="2028" xr3:uid="{F05A4DD9-3EC8-4A4E-9244-CEAD888C55B9}" name="Columna2022" dataDxfId="14390"/>
    <tableColumn id="2029" xr3:uid="{53A30A21-602B-4B85-AD9A-02FD8A0AA92A}" name="Columna2023" dataDxfId="14389"/>
    <tableColumn id="2030" xr3:uid="{E1DF858B-7F54-4999-839F-2ECEEB3158D5}" name="Columna2024" dataDxfId="14388"/>
    <tableColumn id="2031" xr3:uid="{791F074A-7C72-4937-9BEA-C60DD07CAD89}" name="Columna2025" dataDxfId="14387"/>
    <tableColumn id="2032" xr3:uid="{4F19FE0A-D060-4E2E-BEF0-EF80F5B81975}" name="Columna2026" dataDxfId="14386"/>
    <tableColumn id="2033" xr3:uid="{31DBE279-1A7E-46D4-87B8-B36446E75FE0}" name="Columna2027" dataDxfId="14385"/>
    <tableColumn id="2034" xr3:uid="{A362D41A-6C78-473A-B7AE-1B667BBAF536}" name="Columna2028" dataDxfId="14384"/>
    <tableColumn id="2035" xr3:uid="{C1FEE9DD-B0D9-4E26-8681-7DC7F677C344}" name="Columna2029" dataDxfId="14383"/>
    <tableColumn id="2036" xr3:uid="{2AA2FD33-BD42-4C2B-9DCA-D260D6BCF2F7}" name="Columna2030" dataDxfId="14382"/>
    <tableColumn id="2037" xr3:uid="{AF4E723D-AED1-4F9F-A4BD-E4804CBC5D0F}" name="Columna2031" dataDxfId="14381"/>
    <tableColumn id="2038" xr3:uid="{9B336EA9-4086-46FC-A2EC-E9B10EBC9C0F}" name="Columna2032" dataDxfId="14380"/>
    <tableColumn id="2039" xr3:uid="{2DAEE777-F2B5-42DA-AFA5-A47DAC2F2E18}" name="Columna2033" dataDxfId="14379"/>
    <tableColumn id="2040" xr3:uid="{AC55BCD9-8364-4D05-A1F1-AA174294D469}" name="Columna2034" dataDxfId="14378"/>
    <tableColumn id="2041" xr3:uid="{B80CB1B3-283F-4F2D-B0DE-C1E9CB0DE0E1}" name="Columna2035" dataDxfId="14377"/>
    <tableColumn id="2042" xr3:uid="{E89715E9-E65D-4A7B-962E-37C19E036365}" name="Columna2036" dataDxfId="14376"/>
    <tableColumn id="2043" xr3:uid="{A0C11BCC-40B8-40C1-86F7-BF44A5A04C7B}" name="Columna2037" dataDxfId="14375"/>
    <tableColumn id="2044" xr3:uid="{597296AD-C685-4088-9B75-1E795EA628D0}" name="Columna2038" dataDxfId="14374"/>
    <tableColumn id="2045" xr3:uid="{6AC6CAE8-D07A-43C4-9171-809A0E75C1A7}" name="Columna2039" dataDxfId="14373"/>
    <tableColumn id="2046" xr3:uid="{E2BCA671-2EE5-4E7A-AD9E-631FDC5A9D86}" name="Columna2040" dataDxfId="14372"/>
    <tableColumn id="2047" xr3:uid="{769791C4-2552-4431-9F8A-F2EEC0BC2C32}" name="Columna2041" dataDxfId="14371"/>
    <tableColumn id="2048" xr3:uid="{5C4278FF-7210-483C-BDDA-5D2821CD2064}" name="Columna2042" dataDxfId="14370"/>
    <tableColumn id="2049" xr3:uid="{1E9467F0-32B5-40C3-8E3A-182116FBAE76}" name="Columna2043" dataDxfId="14369"/>
    <tableColumn id="2050" xr3:uid="{AD38B2A6-F519-4324-8563-CC884E761626}" name="Columna2044" dataDxfId="14368"/>
    <tableColumn id="2051" xr3:uid="{1D36FFB7-1993-48B4-920E-0793C84E8C34}" name="Columna2045" dataDxfId="14367"/>
    <tableColumn id="2052" xr3:uid="{8E4883DF-6F34-4226-9FB9-F46536C4B735}" name="Columna2046" dataDxfId="14366"/>
    <tableColumn id="2053" xr3:uid="{0D1A9F57-2BBC-4003-90D0-4470D1966E3A}" name="Columna2047" dataDxfId="14365"/>
    <tableColumn id="2054" xr3:uid="{C344C0BC-6D70-496D-AE59-5C648766AE3E}" name="Columna2048" dataDxfId="14364"/>
    <tableColumn id="2055" xr3:uid="{88E24E9A-E015-4C8E-9864-E2C33F1688D6}" name="Columna2049" dataDxfId="14363"/>
    <tableColumn id="2056" xr3:uid="{3ABF4D0F-4D7A-4C57-A609-8260F0B2B4EC}" name="Columna2050" dataDxfId="14362"/>
    <tableColumn id="2057" xr3:uid="{1F95C987-F63C-4767-B238-6202E55F3844}" name="Columna2051" dataDxfId="14361"/>
    <tableColumn id="2058" xr3:uid="{DBDF8272-1EB7-4D28-B267-8F2D3A43EAC7}" name="Columna2052" dataDxfId="14360"/>
    <tableColumn id="2059" xr3:uid="{EC04F3BB-3628-463B-8BC3-3619BDF2CA2D}" name="Columna2053" dataDxfId="14359"/>
    <tableColumn id="2060" xr3:uid="{F0388EA4-097E-40C4-9026-CB268F06C2D3}" name="Columna2054" dataDxfId="14358"/>
    <tableColumn id="2061" xr3:uid="{3E990E67-0D30-41AB-BF15-8379065C0130}" name="Columna2055" dataDxfId="14357"/>
    <tableColumn id="2062" xr3:uid="{DE12E0FD-5CD8-4B4A-9F13-128698824371}" name="Columna2056" dataDxfId="14356"/>
    <tableColumn id="2063" xr3:uid="{65E9F696-696D-44A6-9EE9-3DD98ADAE971}" name="Columna2057" dataDxfId="14355"/>
    <tableColumn id="2064" xr3:uid="{336E683A-BCFE-4D42-B946-A3224A6C4508}" name="Columna2058" dataDxfId="14354"/>
    <tableColumn id="2065" xr3:uid="{4B08794C-2DA3-487A-8F32-628408F2A08F}" name="Columna2059" dataDxfId="14353"/>
    <tableColumn id="2066" xr3:uid="{993421BD-7C8E-4988-BEFC-8F60BA91F925}" name="Columna2060" dataDxfId="14352"/>
    <tableColumn id="2067" xr3:uid="{07862610-ABEF-4C9A-87BB-81DE91C01E05}" name="Columna2061" dataDxfId="14351"/>
    <tableColumn id="2068" xr3:uid="{7B91AB9F-B671-4035-B716-533778754E5A}" name="Columna2062" dataDxfId="14350"/>
    <tableColumn id="2069" xr3:uid="{82BBC854-4480-47BE-90B4-6C2E843CC1FA}" name="Columna2063" dataDxfId="14349"/>
    <tableColumn id="2070" xr3:uid="{B38BC3DE-E191-4635-8499-66BF87E143A1}" name="Columna2064" dataDxfId="14348"/>
    <tableColumn id="2071" xr3:uid="{4C885FC6-0957-458D-ACFB-47B4318C20DD}" name="Columna2065" dataDxfId="14347"/>
    <tableColumn id="2072" xr3:uid="{CEC4C3FA-E4D1-4EE0-A1CE-FF2F5E4F8AAE}" name="Columna2066" dataDxfId="14346"/>
    <tableColumn id="2073" xr3:uid="{56673CCE-A960-4E05-8B57-DD45BB5D2C5B}" name="Columna2067" dataDxfId="14345"/>
    <tableColumn id="2074" xr3:uid="{6B871E26-3F87-4A42-8B1F-FC2899B47A3C}" name="Columna2068" dataDxfId="14344"/>
    <tableColumn id="2075" xr3:uid="{01E805EB-62F7-4F24-80CD-36A12C31B119}" name="Columna2069" dataDxfId="14343"/>
    <tableColumn id="2076" xr3:uid="{1485803C-C82A-4F44-8513-C31C4B70D011}" name="Columna2070" dataDxfId="14342"/>
    <tableColumn id="2077" xr3:uid="{74CDD7C6-C509-4747-A7FD-EED073C56EA7}" name="Columna2071" dataDxfId="14341"/>
    <tableColumn id="2078" xr3:uid="{DBAD0539-C6E4-4F08-8E4E-AACF70DC32D1}" name="Columna2072" dataDxfId="14340"/>
    <tableColumn id="2079" xr3:uid="{C67E81AC-DD52-43C6-9E54-A37EFD991AB7}" name="Columna2073" dataDxfId="14339"/>
    <tableColumn id="2080" xr3:uid="{38A7BA13-F738-454E-805F-1457E2E947BB}" name="Columna2074" dataDxfId="14338"/>
    <tableColumn id="2081" xr3:uid="{DC05500C-1666-4FB1-B732-FE3D23423231}" name="Columna2075" dataDxfId="14337"/>
    <tableColumn id="2082" xr3:uid="{99C760A8-61BD-4E4A-8B95-352FE4D341A0}" name="Columna2076" dataDxfId="14336"/>
    <tableColumn id="2083" xr3:uid="{2A7DF0D7-140D-48E2-878D-7B88CE9EFCDD}" name="Columna2077" dataDxfId="14335"/>
    <tableColumn id="2084" xr3:uid="{F8656BB5-195B-4749-8ED9-1E7BED7306B3}" name="Columna2078" dataDxfId="14334"/>
    <tableColumn id="2085" xr3:uid="{F45D8976-5119-4C80-971B-620B90A63A58}" name="Columna2079" dataDxfId="14333"/>
    <tableColumn id="2086" xr3:uid="{E2084452-37AC-4B10-B2BA-A12AACEE8208}" name="Columna2080" dataDxfId="14332"/>
    <tableColumn id="2087" xr3:uid="{52EA3BD9-03AE-4D43-A048-036A9268B1C3}" name="Columna2081" dataDxfId="14331"/>
    <tableColumn id="2088" xr3:uid="{E23B0D92-6814-4D3A-B722-7B4A99D4FB1D}" name="Columna2082" dataDxfId="14330"/>
    <tableColumn id="2089" xr3:uid="{7565F9D9-A3D0-456B-8DE6-497C69A74720}" name="Columna2083" dataDxfId="14329"/>
    <tableColumn id="2090" xr3:uid="{44AC3BB9-9793-4DB4-BA7D-13C8FAABFC3F}" name="Columna2084" dataDxfId="14328"/>
    <tableColumn id="2091" xr3:uid="{D64EE82E-24C7-402B-865B-9E792543041A}" name="Columna2085" dataDxfId="14327"/>
    <tableColumn id="2092" xr3:uid="{05796E20-E295-4D30-B928-A3490B5719D5}" name="Columna2086" dataDxfId="14326"/>
    <tableColumn id="2093" xr3:uid="{5D64142D-60DF-4E7E-996C-647716C705D3}" name="Columna2087" dataDxfId="14325"/>
    <tableColumn id="2094" xr3:uid="{29D1A1EC-5CFC-4577-A36D-294DE4DF82B8}" name="Columna2088" dataDxfId="14324"/>
    <tableColumn id="2095" xr3:uid="{30FFE383-0387-4DD6-94C4-4A4DA11ACFE2}" name="Columna2089" dataDxfId="14323"/>
    <tableColumn id="2096" xr3:uid="{4CA64B64-2BAA-4203-BD49-1FE7DC11A07C}" name="Columna2090" dataDxfId="14322"/>
    <tableColumn id="2097" xr3:uid="{86A272B3-14BE-4411-8760-43EC45C13811}" name="Columna2091" dataDxfId="14321"/>
    <tableColumn id="2098" xr3:uid="{37D4BD37-5DE1-4332-A038-71C3C8D0B538}" name="Columna2092" dataDxfId="14320"/>
    <tableColumn id="2099" xr3:uid="{E5C3D156-767A-4FDB-9A4F-1DFC6C90B636}" name="Columna2093" dataDxfId="14319"/>
    <tableColumn id="2100" xr3:uid="{FAA4254D-0D4F-42E5-AD9B-717242760893}" name="Columna2094" dataDxfId="14318"/>
    <tableColumn id="2101" xr3:uid="{0A5B8D1F-DDAA-4E7F-99CC-2974774E9CC7}" name="Columna2095" dataDxfId="14317"/>
    <tableColumn id="2102" xr3:uid="{D521F945-930D-4C83-B18F-E6CD5D171255}" name="Columna2096" dataDxfId="14316"/>
    <tableColumn id="2103" xr3:uid="{FC556A2E-EC49-40FE-801A-C5E29A192EB8}" name="Columna2097" dataDxfId="14315"/>
    <tableColumn id="2104" xr3:uid="{C4F19F12-A5FA-44EC-B56A-38A85FD59B11}" name="Columna2098" dataDxfId="14314"/>
    <tableColumn id="2105" xr3:uid="{5468CE64-B992-457F-943E-9BF7224B2B42}" name="Columna2099" dataDxfId="14313"/>
    <tableColumn id="2106" xr3:uid="{7A199404-A3AF-4EA3-A497-7FBCF078D787}" name="Columna2100" dataDxfId="14312"/>
    <tableColumn id="2107" xr3:uid="{04944A91-DD4D-47E3-8E72-1F49E6D851B3}" name="Columna2101" dataDxfId="14311"/>
    <tableColumn id="2108" xr3:uid="{4DA1BB7D-0F5D-4901-AD68-271CBFFE2EE1}" name="Columna2102" dataDxfId="14310"/>
    <tableColumn id="2109" xr3:uid="{6DF29AEA-8363-48BF-8D5A-904176EDAD24}" name="Columna2103" dataDxfId="14309"/>
    <tableColumn id="2110" xr3:uid="{A31BB635-3AB4-49C2-AB4B-8E6079725B0C}" name="Columna2104" dataDxfId="14308"/>
    <tableColumn id="2111" xr3:uid="{7F718C6A-41FD-4407-AC2D-5C2609F45F38}" name="Columna2105" dataDxfId="14307"/>
    <tableColumn id="2112" xr3:uid="{5BBE3ADB-0224-4D6D-A881-BCD0D55AE1AA}" name="Columna2106" dataDxfId="14306"/>
    <tableColumn id="2113" xr3:uid="{BD9394F9-FE0F-4A9D-BFDA-F50578433AEF}" name="Columna2107" dataDxfId="14305"/>
    <tableColumn id="2114" xr3:uid="{D1163364-A0F3-4FF6-8B0A-82CD468E727A}" name="Columna2108" dataDxfId="14304"/>
    <tableColumn id="2115" xr3:uid="{BD8811DB-C716-4F80-A0DC-53A2DC2BD56D}" name="Columna2109" dataDxfId="14303"/>
    <tableColumn id="2116" xr3:uid="{37229C58-C72B-4677-BACA-4D15F7A4E9BC}" name="Columna2110" dataDxfId="14302"/>
    <tableColumn id="2117" xr3:uid="{41944542-701E-4BD7-9AEE-4D2908520518}" name="Columna2111" dataDxfId="14301"/>
    <tableColumn id="2118" xr3:uid="{F3B70C35-C87C-4788-BB55-4F6CEDC38456}" name="Columna2112" dataDxfId="14300"/>
    <tableColumn id="2119" xr3:uid="{E9201036-8146-4066-B3DB-BE4FDCEFB789}" name="Columna2113" dataDxfId="14299"/>
    <tableColumn id="2120" xr3:uid="{06F64CC0-A303-4329-AA62-5F372B39D1B5}" name="Columna2114" dataDxfId="14298"/>
    <tableColumn id="2121" xr3:uid="{78C40DB7-D8E7-4B9F-B554-CDD8683978F4}" name="Columna2115" dataDxfId="14297"/>
    <tableColumn id="2122" xr3:uid="{8DBBBBF1-9CFA-40DE-BADF-C9821D2BD1C5}" name="Columna2116" dataDxfId="14296"/>
    <tableColumn id="2123" xr3:uid="{6D51FF7D-473A-438C-A84E-51FDA0B26618}" name="Columna2117" dataDxfId="14295"/>
    <tableColumn id="2124" xr3:uid="{62237D76-679A-439A-A3BB-DF1E6F5FBF96}" name="Columna2118" dataDxfId="14294"/>
    <tableColumn id="2125" xr3:uid="{E3017CA8-A529-43B2-B0D5-0AF47276EF9F}" name="Columna2119" dataDxfId="14293"/>
    <tableColumn id="2126" xr3:uid="{2D984BF7-0EDF-4CDB-B6EE-9D350567DE08}" name="Columna2120" dataDxfId="14292"/>
    <tableColumn id="2127" xr3:uid="{2807AA38-5784-44CE-914D-0E4957685401}" name="Columna2121" dataDxfId="14291"/>
    <tableColumn id="2128" xr3:uid="{C28F1C2C-343D-4542-B871-AAABF7B1C8E4}" name="Columna2122" dataDxfId="14290"/>
    <tableColumn id="2129" xr3:uid="{F0271D24-5D73-49E1-B7AB-13FDB09160C1}" name="Columna2123" dataDxfId="14289"/>
    <tableColumn id="2130" xr3:uid="{F6202E97-6815-4192-B2D1-DE66EE37DD0E}" name="Columna2124" dataDxfId="14288"/>
    <tableColumn id="2131" xr3:uid="{0F7C89E3-24C6-4EA6-B31D-47CC271B0E04}" name="Columna2125" dataDxfId="14287"/>
    <tableColumn id="2132" xr3:uid="{26D5D838-435A-486B-B16C-29C0DAFCC4D9}" name="Columna2126" dataDxfId="14286"/>
    <tableColumn id="2133" xr3:uid="{68E942CD-2AFC-46BB-995D-A6601F54FF0F}" name="Columna2127" dataDxfId="14285"/>
    <tableColumn id="2134" xr3:uid="{81729FA5-842F-48B3-80EF-5D582831B2D0}" name="Columna2128" dataDxfId="14284"/>
    <tableColumn id="2135" xr3:uid="{8BDF2CE6-B9BA-4DC9-89AA-45DAD669C530}" name="Columna2129" dataDxfId="14283"/>
    <tableColumn id="2136" xr3:uid="{2670894C-9DEE-4DCA-8A05-509391883093}" name="Columna2130" dataDxfId="14282"/>
    <tableColumn id="2137" xr3:uid="{5E1E090F-94C9-429A-B976-E46006226E5F}" name="Columna2131" dataDxfId="14281"/>
    <tableColumn id="2138" xr3:uid="{3FAA1F84-6D94-4CFC-BF8D-E72892FD9D2B}" name="Columna2132" dataDxfId="14280"/>
    <tableColumn id="2139" xr3:uid="{FDFFFEF3-56EC-46B1-AC71-ACC143D2F667}" name="Columna2133" dataDxfId="14279"/>
    <tableColumn id="2140" xr3:uid="{FAA95AC4-0B7D-4291-AF11-69CE58A019A2}" name="Columna2134" dataDxfId="14278"/>
    <tableColumn id="2141" xr3:uid="{721AD4BD-E10E-4583-AF4E-D4E4B8090A00}" name="Columna2135" dataDxfId="14277"/>
    <tableColumn id="2142" xr3:uid="{0B8153EA-73E6-4425-9644-5236513EE50F}" name="Columna2136" dataDxfId="14276"/>
    <tableColumn id="2143" xr3:uid="{4DABEB71-6D13-4D34-8ED4-871055012DD1}" name="Columna2137" dataDxfId="14275"/>
    <tableColumn id="2144" xr3:uid="{158D559F-B635-4F40-AE21-BE54DFEC371D}" name="Columna2138" dataDxfId="14274"/>
    <tableColumn id="2145" xr3:uid="{5622EF59-F808-4DF7-999A-19525B5BED00}" name="Columna2139" dataDxfId="14273"/>
    <tableColumn id="2146" xr3:uid="{DEB84ED5-EF15-4701-9274-9FD0055C2BC1}" name="Columna2140" dataDxfId="14272"/>
    <tableColumn id="2147" xr3:uid="{75131803-908B-430D-A1C7-B7AC7AD4333E}" name="Columna2141" dataDxfId="14271"/>
    <tableColumn id="2148" xr3:uid="{805888FA-136C-4155-B985-6AB18D2C88E2}" name="Columna2142" dataDxfId="14270"/>
    <tableColumn id="2149" xr3:uid="{17E1835F-F16B-4C5E-8658-196E400DA176}" name="Columna2143" dataDxfId="14269"/>
    <tableColumn id="2150" xr3:uid="{DF2A8C35-3E29-4453-BEAE-6146C7C0E598}" name="Columna2144" dataDxfId="14268"/>
    <tableColumn id="2151" xr3:uid="{5A6247E8-50BB-47FF-A270-D6B5966B27FD}" name="Columna2145" dataDxfId="14267"/>
    <tableColumn id="2152" xr3:uid="{F4494941-81E9-496D-B136-FA77AAE9E14D}" name="Columna2146" dataDxfId="14266"/>
    <tableColumn id="2153" xr3:uid="{EA6C58F7-C6FD-41C0-A20A-D6C6DE166EF0}" name="Columna2147" dataDxfId="14265"/>
    <tableColumn id="2154" xr3:uid="{2DD07D70-871C-457F-9419-254035637DD0}" name="Columna2148" dataDxfId="14264"/>
    <tableColumn id="2155" xr3:uid="{308CF6A0-BAD7-4555-9512-368C262E1E51}" name="Columna2149" dataDxfId="14263"/>
    <tableColumn id="2156" xr3:uid="{80370237-6D3D-4340-9A7F-122396A4AB10}" name="Columna2150" dataDxfId="14262"/>
    <tableColumn id="2157" xr3:uid="{D0B1AAFB-5257-4E0F-A952-C1EAB09C5824}" name="Columna2151" dataDxfId="14261"/>
    <tableColumn id="2158" xr3:uid="{615261E5-40E7-41A2-BDEE-3D35D02BE2FA}" name="Columna2152" dataDxfId="14260"/>
    <tableColumn id="2159" xr3:uid="{63815FF7-4E78-4E44-876F-E619FE390F33}" name="Columna2153" dataDxfId="14259"/>
    <tableColumn id="2160" xr3:uid="{89B95176-6D5C-4FDF-893C-E6EBB2712923}" name="Columna2154" dataDxfId="14258"/>
    <tableColumn id="2161" xr3:uid="{AAD932A2-AF03-4142-A68C-6B31200F9A64}" name="Columna2155" dataDxfId="14257"/>
    <tableColumn id="2162" xr3:uid="{ACBBF8E1-88B1-4E8B-9396-5BDB09B62F38}" name="Columna2156" dataDxfId="14256"/>
    <tableColumn id="2163" xr3:uid="{5A4F73FF-33F9-4843-BE47-963AA3418198}" name="Columna2157" dataDxfId="14255"/>
    <tableColumn id="2164" xr3:uid="{7C7CA747-B67B-4A9C-8BA5-8BB57386DCED}" name="Columna2158" dataDxfId="14254"/>
    <tableColumn id="2165" xr3:uid="{9E35D04D-48B8-43E5-A5C8-86E697E77065}" name="Columna2159" dataDxfId="14253"/>
    <tableColumn id="2166" xr3:uid="{6C61BE92-120E-4003-8B04-4324649D1D20}" name="Columna2160" dataDxfId="14252"/>
    <tableColumn id="2167" xr3:uid="{ED3F2C23-084C-4EFE-899A-91B34E296C22}" name="Columna2161" dataDxfId="14251"/>
    <tableColumn id="2168" xr3:uid="{29B182A9-4748-4F64-B013-B78933726FFC}" name="Columna2162" dataDxfId="14250"/>
    <tableColumn id="2169" xr3:uid="{062C0EA8-1C65-4CD5-8571-AA6B451539F7}" name="Columna2163" dataDxfId="14249"/>
    <tableColumn id="2170" xr3:uid="{595F3396-1ADD-4EF7-AAAD-FB4EAA0C365A}" name="Columna2164" dataDxfId="14248"/>
    <tableColumn id="2171" xr3:uid="{C0023CED-E518-4A2E-981A-43D1244ABCD8}" name="Columna2165" dataDxfId="14247"/>
    <tableColumn id="2172" xr3:uid="{15B089C9-E536-4492-B0F6-59725D33D8A0}" name="Columna2166" dataDxfId="14246"/>
    <tableColumn id="2173" xr3:uid="{327AF807-A53B-4A3C-8CA2-5B2112D2F386}" name="Columna2167" dataDxfId="14245"/>
    <tableColumn id="2174" xr3:uid="{B789DBC1-629D-4BF6-9319-EC42A242537E}" name="Columna2168" dataDxfId="14244"/>
    <tableColumn id="2175" xr3:uid="{7326D6D3-87EF-48EC-BCAD-CC5E3A970E13}" name="Columna2169" dataDxfId="14243"/>
    <tableColumn id="2176" xr3:uid="{FD29FB10-9168-4895-B5B8-CA55917CDC7C}" name="Columna2170" dataDxfId="14242"/>
    <tableColumn id="2177" xr3:uid="{2CBD5E3C-AEB6-4C15-A5B9-A82886BB93FB}" name="Columna2171" dataDxfId="14241"/>
    <tableColumn id="2178" xr3:uid="{39BDB7EF-B979-4D00-AD8B-74059251DCFB}" name="Columna2172" dataDxfId="14240"/>
    <tableColumn id="2179" xr3:uid="{541F970F-78F9-4860-B200-6AA28CD0C836}" name="Columna2173" dataDxfId="14239"/>
    <tableColumn id="2180" xr3:uid="{4D9A6982-52A6-41D7-8706-55321CF0DC08}" name="Columna2174" dataDxfId="14238"/>
    <tableColumn id="2181" xr3:uid="{FAA40D42-7D80-4EE9-8461-B92F995B6B5F}" name="Columna2175" dataDxfId="14237"/>
    <tableColumn id="2182" xr3:uid="{F4C4C91D-AD69-42DE-8D23-729E96519FF6}" name="Columna2176" dataDxfId="14236"/>
    <tableColumn id="2183" xr3:uid="{E24A8300-B2EF-42A5-ACFD-FD121707CBC2}" name="Columna2177" dataDxfId="14235"/>
    <tableColumn id="2184" xr3:uid="{202BC3C7-7888-4A04-A432-5B49FD4D34FF}" name="Columna2178" dataDxfId="14234"/>
    <tableColumn id="2185" xr3:uid="{AA77C337-4687-426E-9B7D-3838551355F7}" name="Columna2179" dataDxfId="14233"/>
    <tableColumn id="2186" xr3:uid="{F648DB6D-6D5F-4FE8-B298-ADC1291E4EBD}" name="Columna2180" dataDxfId="14232"/>
    <tableColumn id="2187" xr3:uid="{DC79F3EC-73F7-40C5-8B8E-7E5A463172E2}" name="Columna2181" dataDxfId="14231"/>
    <tableColumn id="2188" xr3:uid="{D37DA90D-7CB7-43A5-8A85-3FD189881562}" name="Columna2182" dataDxfId="14230"/>
    <tableColumn id="2189" xr3:uid="{CD021CAC-23E5-47F3-8EB0-BC505EF012A8}" name="Columna2183" dataDxfId="14229"/>
    <tableColumn id="2190" xr3:uid="{73F9F18A-C57F-4656-8611-89F8E10EC5EA}" name="Columna2184" dataDxfId="14228"/>
    <tableColumn id="2191" xr3:uid="{D35F9A26-BBA1-4D25-91C2-F452417954F3}" name="Columna2185" dataDxfId="14227"/>
    <tableColumn id="2192" xr3:uid="{FC6E7A2A-80C1-4DB4-A718-91D5037A436F}" name="Columna2186" dataDxfId="14226"/>
    <tableColumn id="2193" xr3:uid="{51E7CCF5-7E7D-4596-A237-2BFF57115578}" name="Columna2187" dataDxfId="14225"/>
    <tableColumn id="2194" xr3:uid="{DCF1574F-34E3-4D28-B4DB-B46BF8FA055A}" name="Columna2188" dataDxfId="14224"/>
    <tableColumn id="2195" xr3:uid="{47538DBE-3672-4CB7-98B1-FA6B585FD1F7}" name="Columna2189" dataDxfId="14223"/>
    <tableColumn id="2196" xr3:uid="{3AEEBCD2-49DA-42DF-8468-9CCD8AD2BAE0}" name="Columna2190" dataDxfId="14222"/>
    <tableColumn id="2197" xr3:uid="{EF09F2D9-B2F7-4270-8E65-94B4F0FF2C7F}" name="Columna2191" dataDxfId="14221"/>
    <tableColumn id="2198" xr3:uid="{BFE4E707-4938-4780-9734-3C8B87288DD1}" name="Columna2192" dataDxfId="14220"/>
    <tableColumn id="2199" xr3:uid="{0F320F82-0CEE-4167-92A3-097E06EC5FA2}" name="Columna2193" dataDxfId="14219"/>
    <tableColumn id="2200" xr3:uid="{25A34BC4-B5B4-44EA-AA2C-7E12663DD2B5}" name="Columna2194" dataDxfId="14218"/>
    <tableColumn id="2201" xr3:uid="{2AF0BA8C-A94B-4D12-A8D6-D02C77A327B8}" name="Columna2195" dataDxfId="14217"/>
    <tableColumn id="2202" xr3:uid="{58304CBA-FD5D-4FF3-9D5D-3047DC255B40}" name="Columna2196" dataDxfId="14216"/>
    <tableColumn id="2203" xr3:uid="{A3935F61-C565-4BEA-80BB-90C74B821DD6}" name="Columna2197" dataDxfId="14215"/>
    <tableColumn id="2204" xr3:uid="{8991BCB7-2146-44A3-866D-DC4139A50002}" name="Columna2198" dataDxfId="14214"/>
    <tableColumn id="2205" xr3:uid="{E4DC49AA-EEFA-4256-824C-4541B28E49BF}" name="Columna2199" dataDxfId="14213"/>
    <tableColumn id="2206" xr3:uid="{47083BD7-8601-43FD-9F2B-D4A8270F2447}" name="Columna2200" dataDxfId="14212"/>
    <tableColumn id="2207" xr3:uid="{78F69735-A71C-488F-8B65-0912DA6EEAE5}" name="Columna2201" dataDxfId="14211"/>
    <tableColumn id="2208" xr3:uid="{87C144D0-4345-4E16-B7FE-884026B635AA}" name="Columna2202" dataDxfId="14210"/>
    <tableColumn id="2209" xr3:uid="{8731500F-076C-4AE0-A9A7-50AF7A5BF333}" name="Columna2203" dataDxfId="14209"/>
    <tableColumn id="2210" xr3:uid="{386EB4ED-B04C-4EAE-8A23-7D7658C11BCA}" name="Columna2204" dataDxfId="14208"/>
    <tableColumn id="2211" xr3:uid="{667F46CD-1906-4932-81C9-6C7A24837243}" name="Columna2205" dataDxfId="14207"/>
    <tableColumn id="2212" xr3:uid="{1CA47641-CEC5-448F-A675-A60FF3BBD405}" name="Columna2206" dataDxfId="14206"/>
    <tableColumn id="2213" xr3:uid="{6AE007A6-85AB-4A64-8CBF-1C11C69AA631}" name="Columna2207" dataDxfId="14205"/>
    <tableColumn id="2214" xr3:uid="{051819BA-B14A-48CA-B654-9244EF591837}" name="Columna2208" dataDxfId="14204"/>
    <tableColumn id="2215" xr3:uid="{A3D98D39-BF3E-402B-96EC-CC795AA468E5}" name="Columna2209" dataDxfId="14203"/>
    <tableColumn id="2216" xr3:uid="{B7ABDB02-474C-45EB-9B33-735108FA8A50}" name="Columna2210" dataDxfId="14202"/>
    <tableColumn id="2217" xr3:uid="{4743E606-375B-47DD-A2D9-D79FE75947ED}" name="Columna2211" dataDxfId="14201"/>
    <tableColumn id="2218" xr3:uid="{27DFF892-88B7-42CA-AF41-6755CF2391E7}" name="Columna2212" dataDxfId="14200"/>
    <tableColumn id="2219" xr3:uid="{A145D98B-0894-44A7-9604-15D47FC41676}" name="Columna2213" dataDxfId="14199"/>
    <tableColumn id="2220" xr3:uid="{14BFF3A9-E8EE-4B0D-8097-17C79441E063}" name="Columna2214" dataDxfId="14198"/>
    <tableColumn id="2221" xr3:uid="{4AD00B4A-CC23-450B-B5EF-9CB8913CC13A}" name="Columna2215" dataDxfId="14197"/>
    <tableColumn id="2222" xr3:uid="{62D858D5-A1D7-4305-BFF1-2B7F5C5DE7D8}" name="Columna2216" dataDxfId="14196"/>
    <tableColumn id="2223" xr3:uid="{34838F30-B4A8-42BB-A366-182066F135C5}" name="Columna2217" dataDxfId="14195"/>
    <tableColumn id="2224" xr3:uid="{E412EBC3-FD79-4B9B-8FFA-27349B427F26}" name="Columna2218" dataDxfId="14194"/>
    <tableColumn id="2225" xr3:uid="{198BE7A3-9781-4934-98E2-96284B99B6B2}" name="Columna2219" dataDxfId="14193"/>
    <tableColumn id="2226" xr3:uid="{5AEC4C18-5091-4E1D-B705-1F17EC76E6B9}" name="Columna2220" dataDxfId="14192"/>
    <tableColumn id="2227" xr3:uid="{BBC3E5E2-9B9D-45DE-BEF3-69A1E84B4D4B}" name="Columna2221" dataDxfId="14191"/>
    <tableColumn id="2228" xr3:uid="{AA4AE673-4B2F-4CBD-B228-485373E2D8E4}" name="Columna2222" dataDxfId="14190"/>
    <tableColumn id="2229" xr3:uid="{32B20FBB-6B51-4F84-92CA-992AE8E05B01}" name="Columna2223" dataDxfId="14189"/>
    <tableColumn id="2230" xr3:uid="{6A88CD2C-032E-45FB-8E93-FFE927055388}" name="Columna2224" dataDxfId="14188"/>
    <tableColumn id="2231" xr3:uid="{9949641E-D9AD-407A-A678-92170618F9ED}" name="Columna2225" dataDxfId="14187"/>
    <tableColumn id="2232" xr3:uid="{A808165E-9752-44D0-A37A-E37460061594}" name="Columna2226" dataDxfId="14186"/>
    <tableColumn id="2233" xr3:uid="{88C95B4C-9606-478B-827F-E19CBDA5B46F}" name="Columna2227" dataDxfId="14185"/>
    <tableColumn id="2234" xr3:uid="{535E2A52-574D-4947-8731-A7971D4C512F}" name="Columna2228" dataDxfId="14184"/>
    <tableColumn id="2235" xr3:uid="{169686EA-F18A-47B3-91C8-1357A86F5F5B}" name="Columna2229" dataDxfId="14183"/>
    <tableColumn id="2236" xr3:uid="{80D3BAC3-2850-4EA9-8F3E-65C05007FAD7}" name="Columna2230" dataDxfId="14182"/>
    <tableColumn id="2237" xr3:uid="{F23B795F-8799-4394-91C2-D96A8C445258}" name="Columna2231" dataDxfId="14181"/>
    <tableColumn id="2238" xr3:uid="{BC69A59E-C7F6-4517-9658-5FF9EFAE72F0}" name="Columna2232" dataDxfId="14180"/>
    <tableColumn id="2239" xr3:uid="{C0016C79-5A06-42DF-8E1C-B51386BD7FEF}" name="Columna2233" dataDxfId="14179"/>
    <tableColumn id="2240" xr3:uid="{634052F8-1402-4129-92C0-A1F37758FDCD}" name="Columna2234" dataDxfId="14178"/>
    <tableColumn id="2241" xr3:uid="{C9AD0BBD-AD13-4F21-9CB2-EB79766AB47D}" name="Columna2235" dataDxfId="14177"/>
    <tableColumn id="2242" xr3:uid="{99C8A1B5-12B1-4FD0-AB9B-AB371E7D075D}" name="Columna2236" dataDxfId="14176"/>
    <tableColumn id="2243" xr3:uid="{D747DF4D-748A-4088-B62E-914F40E1A938}" name="Columna2237" dataDxfId="14175"/>
    <tableColumn id="2244" xr3:uid="{5906800E-5DFE-4CCC-84D6-615F8C368D83}" name="Columna2238" dataDxfId="14174"/>
    <tableColumn id="2245" xr3:uid="{F4E861BF-B566-4A88-B853-5DAD1655F723}" name="Columna2239" dataDxfId="14173"/>
    <tableColumn id="2246" xr3:uid="{C8CF2B51-FA76-4D57-8413-DCE93D64CC45}" name="Columna2240" dataDxfId="14172"/>
    <tableColumn id="2247" xr3:uid="{3C0469C8-511C-4164-813F-1B756B1E9BC5}" name="Columna2241" dataDxfId="14171"/>
    <tableColumn id="2248" xr3:uid="{79DFC38D-BAB9-4A21-A1E9-5F43A45EB4FA}" name="Columna2242" dataDxfId="14170"/>
    <tableColumn id="2249" xr3:uid="{EF39E6C4-8F73-41B9-9212-9140AF2644F7}" name="Columna2243" dataDxfId="14169"/>
    <tableColumn id="2250" xr3:uid="{F55ABC57-E41A-4A96-9DA0-81739E67FBAA}" name="Columna2244" dataDxfId="14168"/>
    <tableColumn id="2251" xr3:uid="{70FEFE76-537D-4984-A575-CF7F835F0517}" name="Columna2245" dataDxfId="14167"/>
    <tableColumn id="2252" xr3:uid="{ABBDBCA5-2DF3-4F2E-9D62-786DD24132D1}" name="Columna2246" dataDxfId="14166"/>
    <tableColumn id="2253" xr3:uid="{266C7A86-8408-48C9-8FB6-0F21D08071C5}" name="Columna2247" dataDxfId="14165"/>
    <tableColumn id="2254" xr3:uid="{D5D08CDA-5BDD-4FDF-82D3-3E1C68BC1BF3}" name="Columna2248" dataDxfId="14164"/>
    <tableColumn id="2255" xr3:uid="{42E9D66F-7EC1-4D02-8539-8112247526D1}" name="Columna2249" dataDxfId="14163"/>
    <tableColumn id="2256" xr3:uid="{4ECD8DBD-6EC5-4992-831B-27CB454D24BC}" name="Columna2250" dataDxfId="14162"/>
    <tableColumn id="2257" xr3:uid="{8D120F69-8A75-482C-8DEA-DBFFE7CE728A}" name="Columna2251" dataDxfId="14161"/>
    <tableColumn id="2258" xr3:uid="{45762F86-F742-4889-8D5D-90251751F98D}" name="Columna2252" dataDxfId="14160"/>
    <tableColumn id="2259" xr3:uid="{33C0D534-C55A-46E5-9AB9-6172A93625CD}" name="Columna2253" dataDxfId="14159"/>
    <tableColumn id="2260" xr3:uid="{82486B1F-C996-4DA0-B432-262CB3E234C0}" name="Columna2254" dataDxfId="14158"/>
    <tableColumn id="2261" xr3:uid="{FBA4FC8A-AF0C-4480-8438-5496E9445BEB}" name="Columna2255" dataDxfId="14157"/>
    <tableColumn id="2262" xr3:uid="{F488E2C9-31FF-4E9B-BC54-F43E49265B18}" name="Columna2256" dataDxfId="14156"/>
    <tableColumn id="2263" xr3:uid="{DA1D7A81-2567-4F81-985F-D3D2E304BAA2}" name="Columna2257" dataDxfId="14155"/>
    <tableColumn id="2264" xr3:uid="{66FE404B-243C-4112-A07F-C6CA8006B00A}" name="Columna2258" dataDxfId="14154"/>
    <tableColumn id="2265" xr3:uid="{5E50A70D-52A6-4309-A6EF-7CEABDAC618F}" name="Columna2259" dataDxfId="14153"/>
    <tableColumn id="2266" xr3:uid="{01D8B43C-9873-4C38-AE1A-03584E5C684A}" name="Columna2260" dataDxfId="14152"/>
    <tableColumn id="2267" xr3:uid="{142192C2-C947-460C-AFD3-75F06ADD0DB3}" name="Columna2261" dataDxfId="14151"/>
    <tableColumn id="2268" xr3:uid="{7816C18C-9E65-47E3-BBF9-CA988356D4B8}" name="Columna2262" dataDxfId="14150"/>
    <tableColumn id="2269" xr3:uid="{39CE64C3-253D-414B-AF99-04EB6FE749D2}" name="Columna2263" dataDxfId="14149"/>
    <tableColumn id="2270" xr3:uid="{40602566-9ACC-4849-A30B-06E184674A73}" name="Columna2264" dataDxfId="14148"/>
    <tableColumn id="2271" xr3:uid="{FB8C1B04-197A-4B4D-8CEC-A61F4EC9857E}" name="Columna2265" dataDxfId="14147"/>
    <tableColumn id="2272" xr3:uid="{956026BE-AF87-4844-B7DD-666A6B8EC617}" name="Columna2266" dataDxfId="14146"/>
    <tableColumn id="2273" xr3:uid="{892E9F61-839F-43CE-80CB-FCBFC7288CCE}" name="Columna2267" dataDxfId="14145"/>
    <tableColumn id="2274" xr3:uid="{8CA36864-A710-4ECA-9ECD-A8C0325EBC18}" name="Columna2268" dataDxfId="14144"/>
    <tableColumn id="2275" xr3:uid="{2435ED92-F2E4-49C0-B182-53D75A8F8505}" name="Columna2269" dataDxfId="14143"/>
    <tableColumn id="2276" xr3:uid="{8B0BEDEB-821C-4F2A-B990-A9A092444BD9}" name="Columna2270" dataDxfId="14142"/>
    <tableColumn id="2277" xr3:uid="{88763DD2-AE4A-4274-92B7-CB0D10677BEC}" name="Columna2271" dataDxfId="14141"/>
    <tableColumn id="2278" xr3:uid="{88D84C89-4DF0-48A6-9C27-8966EDB22C4A}" name="Columna2272" dataDxfId="14140"/>
    <tableColumn id="2279" xr3:uid="{923B3334-0890-4AF8-B1D1-01F613C40A2A}" name="Columna2273" dataDxfId="14139"/>
    <tableColumn id="2280" xr3:uid="{267E1CEC-52B5-42FA-BF9D-0C8EC7EFFC20}" name="Columna2274" dataDxfId="14138"/>
    <tableColumn id="2281" xr3:uid="{5647C1DE-056A-40E2-95B2-95058D799489}" name="Columna2275" dataDxfId="14137"/>
    <tableColumn id="2282" xr3:uid="{BEC9BA8F-EC4D-41CE-98CC-CC18D4E6E524}" name="Columna2276" dataDxfId="14136"/>
    <tableColumn id="2283" xr3:uid="{DC514869-B530-4706-9CEA-3CA8DF31A889}" name="Columna2277" dataDxfId="14135"/>
    <tableColumn id="2284" xr3:uid="{B8ED3448-8159-4820-8C48-83A846DEABE4}" name="Columna2278" dataDxfId="14134"/>
    <tableColumn id="2285" xr3:uid="{27B57B47-FFB2-47C6-9F1F-ED77946F73DF}" name="Columna2279" dataDxfId="14133"/>
    <tableColumn id="2286" xr3:uid="{4BFB6CD6-A3C6-4415-866C-CFB66078EB3A}" name="Columna2280" dataDxfId="14132"/>
    <tableColumn id="2287" xr3:uid="{836319BD-E9FB-4B76-9630-AA7897DB0B36}" name="Columna2281" dataDxfId="14131"/>
    <tableColumn id="2288" xr3:uid="{2A74E44E-9912-4463-A692-03AE3DB8A0A3}" name="Columna2282" dataDxfId="14130"/>
    <tableColumn id="2289" xr3:uid="{8DA49B0E-CF2F-4955-B922-C59ABA83D127}" name="Columna2283" dataDxfId="14129"/>
    <tableColumn id="2290" xr3:uid="{DE70702F-FA4E-4BB6-8906-D5562EC4E407}" name="Columna2284" dataDxfId="14128"/>
    <tableColumn id="2291" xr3:uid="{60737CD1-A0D1-4F00-BDA7-DF3DD02EFA2A}" name="Columna2285" dataDxfId="14127"/>
    <tableColumn id="2292" xr3:uid="{14CC0020-5A4D-4098-8E34-515286D9A8D7}" name="Columna2286" dataDxfId="14126"/>
    <tableColumn id="2293" xr3:uid="{19B798F6-0983-47DC-915B-76F099BE5641}" name="Columna2287" dataDxfId="14125"/>
    <tableColumn id="2294" xr3:uid="{7B818159-73B3-4CB5-9051-AB8BDB172149}" name="Columna2288" dataDxfId="14124"/>
    <tableColumn id="2295" xr3:uid="{501B34C1-9264-456F-9B66-4E316CAC4F2B}" name="Columna2289" dataDxfId="14123"/>
    <tableColumn id="2296" xr3:uid="{AFD9B342-FA8D-4155-A187-B9A21E38BBB0}" name="Columna2290" dataDxfId="14122"/>
    <tableColumn id="2297" xr3:uid="{EB415A6B-8B73-481A-911B-81B7DF3CFEE4}" name="Columna2291" dataDxfId="14121"/>
    <tableColumn id="2298" xr3:uid="{FCA9A861-0402-4BDE-A398-87F027311985}" name="Columna2292" dataDxfId="14120"/>
    <tableColumn id="2299" xr3:uid="{3F7E45E5-8A82-41FB-BC2F-6F5A71B2D93E}" name="Columna2293" dataDxfId="14119"/>
    <tableColumn id="2300" xr3:uid="{FEEBAB26-F588-4E85-B57A-91BD84630F0A}" name="Columna2294" dataDxfId="14118"/>
    <tableColumn id="2301" xr3:uid="{6AF80171-DB9E-44E8-8659-1C9A31C79856}" name="Columna2295" dataDxfId="14117"/>
    <tableColumn id="2302" xr3:uid="{CF4971AB-9E4B-40A6-84BF-E4D50BAEB104}" name="Columna2296" dataDxfId="14116"/>
    <tableColumn id="2303" xr3:uid="{6749F096-DA38-4609-9762-9052A526C7A2}" name="Columna2297" dataDxfId="14115"/>
    <tableColumn id="2304" xr3:uid="{647CBD74-C0E1-4C4B-A84E-715175622402}" name="Columna2298" dataDxfId="14114"/>
    <tableColumn id="2305" xr3:uid="{2AF05CAD-2DB8-47D4-B144-A36A56287864}" name="Columna2299" dataDxfId="14113"/>
    <tableColumn id="2306" xr3:uid="{0770EA1D-C935-4208-906E-204C9D019727}" name="Columna2300" dataDxfId="14112"/>
    <tableColumn id="2307" xr3:uid="{83A2B9D7-E5C2-4AAA-85A9-D4037A83E191}" name="Columna2301" dataDxfId="14111"/>
    <tableColumn id="2308" xr3:uid="{F027DFD4-01A9-4949-BD98-C7AFFE0CBDFF}" name="Columna2302" dataDxfId="14110"/>
    <tableColumn id="2309" xr3:uid="{397B166B-020A-4052-88A2-146DF3833E95}" name="Columna2303" dataDxfId="14109"/>
    <tableColumn id="2310" xr3:uid="{47DF3AC5-7003-4EFF-83C8-C3DB41A40970}" name="Columna2304" dataDxfId="14108"/>
    <tableColumn id="2311" xr3:uid="{50F4E023-0B36-407B-ADF1-8265CA97891F}" name="Columna2305" dataDxfId="14107"/>
    <tableColumn id="2312" xr3:uid="{8E1F25D7-B979-4DF9-9C47-638555A5CA30}" name="Columna2306" dataDxfId="14106"/>
    <tableColumn id="2313" xr3:uid="{300ECB1B-0B09-47E0-A52A-F46EB3F3D48B}" name="Columna2307" dataDxfId="14105"/>
    <tableColumn id="2314" xr3:uid="{512AEE36-3321-40DF-8B60-71D5428C378F}" name="Columna2308" dataDxfId="14104"/>
    <tableColumn id="2315" xr3:uid="{4D3133C1-A828-407A-81F1-AEBFDAE2C8E6}" name="Columna2309" dataDxfId="14103"/>
    <tableColumn id="2316" xr3:uid="{4A7D105C-9F41-48B5-80FE-CCD688FEA853}" name="Columna2310" dataDxfId="14102"/>
    <tableColumn id="2317" xr3:uid="{174CED77-11CB-4DD3-A1BC-6A4EA7B007C4}" name="Columna2311" dataDxfId="14101"/>
    <tableColumn id="2318" xr3:uid="{6308B6A0-5176-43F6-A96D-9E826929A385}" name="Columna2312" dataDxfId="14100"/>
    <tableColumn id="2319" xr3:uid="{8F265497-8128-441A-A03C-4E58BDA34079}" name="Columna2313" dataDxfId="14099"/>
    <tableColumn id="2320" xr3:uid="{CF5BACA5-74BA-4B3A-941C-A0BA9171075F}" name="Columna2314" dataDxfId="14098"/>
    <tableColumn id="2321" xr3:uid="{C6330435-20D4-4D29-B657-18B372299A5F}" name="Columna2315" dataDxfId="14097"/>
    <tableColumn id="2322" xr3:uid="{B1250B5C-B008-4BA5-9E47-4CB613AAE6BB}" name="Columna2316" dataDxfId="14096"/>
    <tableColumn id="2323" xr3:uid="{4286FB32-C36F-4435-9563-1AC68DC31807}" name="Columna2317" dataDxfId="14095"/>
    <tableColumn id="2324" xr3:uid="{235C6676-D6B3-4B4F-889B-E1C45FEF287B}" name="Columna2318" dataDxfId="14094"/>
    <tableColumn id="2325" xr3:uid="{6C1461AE-85FB-47BE-BFD0-B685F81B340E}" name="Columna2319" dataDxfId="14093"/>
    <tableColumn id="2326" xr3:uid="{90010038-125C-4B66-BEBD-2C6EBC09C409}" name="Columna2320" dataDxfId="14092"/>
    <tableColumn id="2327" xr3:uid="{61FBF691-1C8C-4E3E-8A40-67FC6D6197B8}" name="Columna2321" dataDxfId="14091"/>
    <tableColumn id="2328" xr3:uid="{0C704164-A856-4471-9C1B-FC02FC509062}" name="Columna2322" dataDxfId="14090"/>
    <tableColumn id="2329" xr3:uid="{B6D9F2A1-C6FB-45EB-8A99-6C3D6877188F}" name="Columna2323" dataDxfId="14089"/>
    <tableColumn id="2330" xr3:uid="{9E552FA3-8957-4A7A-905A-27843317D0DD}" name="Columna2324" dataDxfId="14088"/>
    <tableColumn id="2331" xr3:uid="{B96B5B9D-E05F-4802-8D0B-51A112CA796F}" name="Columna2325" dataDxfId="14087"/>
    <tableColumn id="2332" xr3:uid="{DD0671D6-D318-43F4-8486-E48C6A8E3F8D}" name="Columna2326" dataDxfId="14086"/>
    <tableColumn id="2333" xr3:uid="{F2EE4957-1721-4D85-BEAA-C1EDC5B96FAC}" name="Columna2327" dataDxfId="14085"/>
    <tableColumn id="2334" xr3:uid="{6BECA3D2-7AED-46AB-A54C-45369A2955CB}" name="Columna2328" dataDxfId="14084"/>
    <tableColumn id="2335" xr3:uid="{8F39B100-CE18-4DA8-B7B2-F88DB244FE45}" name="Columna2329" dataDxfId="14083"/>
    <tableColumn id="2336" xr3:uid="{4AB7421E-7BF0-4C9B-B166-7D691F77C0B0}" name="Columna2330" dataDxfId="14082"/>
    <tableColumn id="2337" xr3:uid="{C1D0BA65-323B-4BBE-878B-55BDB6DCF1D3}" name="Columna2331" dataDxfId="14081"/>
    <tableColumn id="2338" xr3:uid="{1DDD056C-44F4-4662-89B7-26890480B4E4}" name="Columna2332" dataDxfId="14080"/>
    <tableColumn id="2339" xr3:uid="{2F39349E-3F64-429E-9DB0-164F3CA80676}" name="Columna2333" dataDxfId="14079"/>
    <tableColumn id="2340" xr3:uid="{21769C23-7A93-403D-9D6D-EEAD46B443B0}" name="Columna2334" dataDxfId="14078"/>
    <tableColumn id="2341" xr3:uid="{DCF1BE9E-75B2-474B-A842-703E36270BD9}" name="Columna2335" dataDxfId="14077"/>
    <tableColumn id="2342" xr3:uid="{DFE5C0A3-6F35-49F4-BE01-6F0B0F48E857}" name="Columna2336" dataDxfId="14076"/>
    <tableColumn id="2343" xr3:uid="{8024736A-296F-43FF-8421-562EA0FB401A}" name="Columna2337" dataDxfId="14075"/>
    <tableColumn id="2344" xr3:uid="{8E05B546-9308-4DA9-9A05-C7430C435C95}" name="Columna2338" dataDxfId="14074"/>
    <tableColumn id="2345" xr3:uid="{8F839186-F562-42C7-A379-8BA7439E54B7}" name="Columna2339" dataDxfId="14073"/>
    <tableColumn id="2346" xr3:uid="{441F61C2-DF30-4E00-9BD7-2CC8E6D73D2E}" name="Columna2340" dataDxfId="14072"/>
    <tableColumn id="2347" xr3:uid="{9CCA4A27-5B6D-43C3-97D3-B109A2FAC754}" name="Columna2341" dataDxfId="14071"/>
    <tableColumn id="2348" xr3:uid="{B6896D55-A39B-4D29-BC52-1A7275E4DD28}" name="Columna2342" dataDxfId="14070"/>
    <tableColumn id="2349" xr3:uid="{7AB30E90-C965-4298-8E4E-7F4840B8EC96}" name="Columna2343" dataDxfId="14069"/>
    <tableColumn id="2350" xr3:uid="{89F017C2-D41D-4F8E-978D-FFCA7E3CBACE}" name="Columna2344" dataDxfId="14068"/>
    <tableColumn id="2351" xr3:uid="{F9DB205B-E1AC-4670-8BED-EEF4FE0D8B2D}" name="Columna2345" dataDxfId="14067"/>
    <tableColumn id="2352" xr3:uid="{87479AAE-6968-4CDB-BF5B-C5E989317FF1}" name="Columna2346" dataDxfId="14066"/>
    <tableColumn id="2353" xr3:uid="{4AE323C2-037D-4E5E-8D5A-0182F22DF374}" name="Columna2347" dataDxfId="14065"/>
    <tableColumn id="2354" xr3:uid="{F030F8B9-7F3D-434B-8507-2C6B09A3D5E0}" name="Columna2348" dataDxfId="14064"/>
    <tableColumn id="2355" xr3:uid="{1EA3D40D-56BF-44EE-A2A6-D0CA8F0F4D0E}" name="Columna2349" dataDxfId="14063"/>
    <tableColumn id="2356" xr3:uid="{73E21C99-45CB-4210-9324-85C2106A8F3F}" name="Columna2350" dataDxfId="14062"/>
    <tableColumn id="2357" xr3:uid="{F59388EB-27DF-4C4E-BD87-CB91111F2FCA}" name="Columna2351" dataDxfId="14061"/>
    <tableColumn id="2358" xr3:uid="{B36CFA3F-D104-46AE-AC1F-717E4C3B29CA}" name="Columna2352" dataDxfId="14060"/>
    <tableColumn id="2359" xr3:uid="{177839F5-8BE3-4A9A-9949-AF7604023477}" name="Columna2353" dataDxfId="14059"/>
    <tableColumn id="2360" xr3:uid="{977F1CE3-6AE1-440B-B76F-B7CB7B58E699}" name="Columna2354" dataDxfId="14058"/>
    <tableColumn id="2361" xr3:uid="{63496933-3DCF-4D19-BB2F-0DF4A65786D7}" name="Columna2355" dataDxfId="14057"/>
    <tableColumn id="2362" xr3:uid="{F009BBFD-262A-4F7E-A575-B915EC305F41}" name="Columna2356" dataDxfId="14056"/>
    <tableColumn id="2363" xr3:uid="{6DEC5F56-FAAB-4658-80E8-16B965371601}" name="Columna2357" dataDxfId="14055"/>
    <tableColumn id="2364" xr3:uid="{7E2416CA-8060-4BCF-B8B4-068889843E22}" name="Columna2358" dataDxfId="14054"/>
    <tableColumn id="2365" xr3:uid="{8B5589EC-9D71-4CB0-9931-181BD72D3210}" name="Columna2359" dataDxfId="14053"/>
    <tableColumn id="2366" xr3:uid="{CE35F3D6-41AC-4D89-9F66-2DF7A10E0622}" name="Columna2360" dataDxfId="14052"/>
    <tableColumn id="2367" xr3:uid="{9AC36AD0-8555-4254-B223-EE0BEF426596}" name="Columna2361" dataDxfId="14051"/>
    <tableColumn id="2368" xr3:uid="{7F6F16CE-9FD7-4771-88D4-9510FE35D4E5}" name="Columna2362" dataDxfId="14050"/>
    <tableColumn id="2369" xr3:uid="{FE0AA0C6-6E97-4C68-AA5E-45BD9A1E51B1}" name="Columna2363" dataDxfId="14049"/>
    <tableColumn id="2370" xr3:uid="{A8B1403A-0CAF-4198-BE98-7705D2F82CE2}" name="Columna2364" dataDxfId="14048"/>
    <tableColumn id="2371" xr3:uid="{008ABD9E-12EA-45AC-AC15-ECD65862F127}" name="Columna2365" dataDxfId="14047"/>
    <tableColumn id="2372" xr3:uid="{E0FCA18B-BB55-4E91-BDDA-8453C7D25F09}" name="Columna2366" dataDxfId="14046"/>
    <tableColumn id="2373" xr3:uid="{16003662-993F-49FE-A50E-039F269497C6}" name="Columna2367" dataDxfId="14045"/>
    <tableColumn id="2374" xr3:uid="{F7DC2D23-1252-4F39-8EB4-64157A604FC3}" name="Columna2368" dataDxfId="14044"/>
    <tableColumn id="2375" xr3:uid="{F2731E2F-C3BC-42FA-B1F2-D0E8F7EBA0B2}" name="Columna2369" dataDxfId="14043"/>
    <tableColumn id="2376" xr3:uid="{80362536-728C-4825-916B-7934306D8506}" name="Columna2370" dataDxfId="14042"/>
    <tableColumn id="2377" xr3:uid="{1A4A5BD0-8E6B-4948-B137-7510CFEA49B4}" name="Columna2371" dataDxfId="14041"/>
    <tableColumn id="2378" xr3:uid="{630638A0-2A46-4287-B006-79E49C7E7E80}" name="Columna2372" dataDxfId="14040"/>
    <tableColumn id="2379" xr3:uid="{9891F55B-0823-43E6-A91C-6A16F796DDE9}" name="Columna2373" dataDxfId="14039"/>
    <tableColumn id="2380" xr3:uid="{75DEA722-4A61-47E5-BF1B-30B562813970}" name="Columna2374" dataDxfId="14038"/>
    <tableColumn id="2381" xr3:uid="{CB0424DE-BFFA-4B8C-AA30-02D3149E3F5A}" name="Columna2375" dataDxfId="14037"/>
    <tableColumn id="2382" xr3:uid="{A53B3FD7-C5F3-407B-A09D-033FBC75E0A0}" name="Columna2376" dataDxfId="14036"/>
    <tableColumn id="2383" xr3:uid="{2F6ACD89-9A40-4F13-A936-C85871780F02}" name="Columna2377" dataDxfId="14035"/>
    <tableColumn id="2384" xr3:uid="{875E98C8-3B65-4F26-873F-D6948B9786DA}" name="Columna2378" dataDxfId="14034"/>
    <tableColumn id="2385" xr3:uid="{0A61B789-FEE2-417D-8F70-4FAACB301A46}" name="Columna2379" dataDxfId="14033"/>
    <tableColumn id="2386" xr3:uid="{53A61B3E-4AA5-44CE-8899-10A457F621C4}" name="Columna2380" dataDxfId="14032"/>
    <tableColumn id="2387" xr3:uid="{6198325E-DD35-4243-8384-00E74983139C}" name="Columna2381" dataDxfId="14031"/>
    <tableColumn id="2388" xr3:uid="{A316C09B-7A32-4CB4-9F84-74B36A4F71B1}" name="Columna2382" dataDxfId="14030"/>
    <tableColumn id="2389" xr3:uid="{9B37E1EF-4772-44D4-838F-098D49E5D9BD}" name="Columna2383" dataDxfId="14029"/>
    <tableColumn id="2390" xr3:uid="{9BEE5F03-49FB-474A-8D06-62B628BB248E}" name="Columna2384" dataDxfId="14028"/>
    <tableColumn id="2391" xr3:uid="{A3BD4F66-0767-4623-AE20-F92530EFE310}" name="Columna2385" dataDxfId="14027"/>
    <tableColumn id="2392" xr3:uid="{6FDAF711-E5F8-4F46-9D1A-C3CDB3264F5B}" name="Columna2386" dataDxfId="14026"/>
    <tableColumn id="2393" xr3:uid="{8C5F9403-6740-4FE3-B72E-43E39B350F81}" name="Columna2387" dataDxfId="14025"/>
    <tableColumn id="2394" xr3:uid="{D442A6A2-7EF4-49F3-BED9-8205EDBD5005}" name="Columna2388" dataDxfId="14024"/>
    <tableColumn id="2395" xr3:uid="{69FB9C99-ADD0-45A3-ADB2-24BF9A803194}" name="Columna2389" dataDxfId="14023"/>
    <tableColumn id="2396" xr3:uid="{0FD8AA84-B617-49BE-9BD2-01940F07E881}" name="Columna2390" dataDxfId="14022"/>
    <tableColumn id="2397" xr3:uid="{D2946EBA-F41D-4B7B-AAA9-141E0874DE6D}" name="Columna2391" dataDxfId="14021"/>
    <tableColumn id="2398" xr3:uid="{4A098FE2-C46A-4988-BA25-AC928B511460}" name="Columna2392" dataDxfId="14020"/>
    <tableColumn id="2399" xr3:uid="{BB69946A-376C-4FFC-8088-E9BD29C30710}" name="Columna2393" dataDxfId="14019"/>
    <tableColumn id="2400" xr3:uid="{DE27BE73-E201-47BA-875F-0B0B99A15867}" name="Columna2394" dataDxfId="14018"/>
    <tableColumn id="2401" xr3:uid="{5915E4E0-BA00-4152-9EAA-8534EB6B3580}" name="Columna2395" dataDxfId="14017"/>
    <tableColumn id="2402" xr3:uid="{A79E5102-53EE-40DA-9601-DA74BD39B4BA}" name="Columna2396" dataDxfId="14016"/>
    <tableColumn id="2403" xr3:uid="{0EE3BDF0-EBD6-4855-AE93-29AAD395B42F}" name="Columna2397" dataDxfId="14015"/>
    <tableColumn id="2404" xr3:uid="{77A68658-F2C4-4114-BE3E-FDED84749F1B}" name="Columna2398" dataDxfId="14014"/>
    <tableColumn id="2405" xr3:uid="{A0383628-CC63-4799-9822-82D0B826987C}" name="Columna2399" dataDxfId="14013"/>
    <tableColumn id="2406" xr3:uid="{1076DC5F-5E4A-4A96-93C8-360B5AC94E56}" name="Columna2400" dataDxfId="14012"/>
    <tableColumn id="2407" xr3:uid="{5B117132-3864-4D8A-90D6-BF96371C3A59}" name="Columna2401" dataDxfId="14011"/>
    <tableColumn id="2408" xr3:uid="{D845DFD0-6E5E-4F1A-A4C3-78B09967E26C}" name="Columna2402" dataDxfId="14010"/>
    <tableColumn id="2409" xr3:uid="{AED39ABA-D721-40AC-B464-6C1C19CC8ADF}" name="Columna2403" dataDxfId="14009"/>
    <tableColumn id="2410" xr3:uid="{5E6EC759-0F25-42DB-B0A7-13B7E10430B4}" name="Columna2404" dataDxfId="14008"/>
    <tableColumn id="2411" xr3:uid="{C09B89D5-7AF5-4409-9050-019925653333}" name="Columna2405" dataDxfId="14007"/>
    <tableColumn id="2412" xr3:uid="{29518636-7317-4B1D-92B6-32166911FB41}" name="Columna2406" dataDxfId="14006"/>
    <tableColumn id="2413" xr3:uid="{56A66269-7D19-4EA4-A544-F5807F66F79E}" name="Columna2407" dataDxfId="14005"/>
    <tableColumn id="2414" xr3:uid="{58B680B7-686C-4F3F-B552-4F8B39AA4EB6}" name="Columna2408" dataDxfId="14004"/>
    <tableColumn id="2415" xr3:uid="{9BE5C70F-8E8D-4982-8CEE-2F535EB0FB9E}" name="Columna2409" dataDxfId="14003"/>
    <tableColumn id="2416" xr3:uid="{58EE8702-FB86-446A-A642-090B74918570}" name="Columna2410" dataDxfId="14002"/>
    <tableColumn id="2417" xr3:uid="{980C37A1-47CC-4A40-85D3-37CC9CA4DA19}" name="Columna2411" dataDxfId="14001"/>
    <tableColumn id="2418" xr3:uid="{EEFE7EA7-D089-4C36-8854-38AD9AF0FDEF}" name="Columna2412" dataDxfId="14000"/>
    <tableColumn id="2419" xr3:uid="{0D24825D-9E42-4C82-9EA9-83F90407CD5C}" name="Columna2413" dataDxfId="13999"/>
    <tableColumn id="2420" xr3:uid="{95061BD7-1801-4F5A-BD94-A495FCE18558}" name="Columna2414" dataDxfId="13998"/>
    <tableColumn id="2421" xr3:uid="{EB63CDD0-C1E0-4D0E-B441-6346B213D398}" name="Columna2415" dataDxfId="13997"/>
    <tableColumn id="2422" xr3:uid="{B9C8535C-ECB9-4D21-9FE1-ABFAB2C2701D}" name="Columna2416" dataDxfId="13996"/>
    <tableColumn id="2423" xr3:uid="{FA20494C-B3E9-41DA-8DC8-3974D5C3337A}" name="Columna2417" dataDxfId="13995"/>
    <tableColumn id="2424" xr3:uid="{DCDC2488-004F-4155-995A-A23CA85B807C}" name="Columna2418" dataDxfId="13994"/>
    <tableColumn id="2425" xr3:uid="{CB5F7FDA-F75C-47D5-A960-C54C864FBEFD}" name="Columna2419" dataDxfId="13993"/>
    <tableColumn id="2426" xr3:uid="{E8B07F4F-BD27-4919-9C8F-7F87018A1FC6}" name="Columna2420" dataDxfId="13992"/>
    <tableColumn id="2427" xr3:uid="{2A5DC867-10C2-4272-918F-4F0A165623F5}" name="Columna2421" dataDxfId="13991"/>
    <tableColumn id="2428" xr3:uid="{5711F9C9-50E4-4811-8790-A32DFD14231C}" name="Columna2422" dataDxfId="13990"/>
    <tableColumn id="2429" xr3:uid="{20329525-E1E7-42E7-9D72-C87B585CD8BE}" name="Columna2423" dataDxfId="13989"/>
    <tableColumn id="2430" xr3:uid="{EBE75C78-C056-4C44-BCED-9D7BCBD5834D}" name="Columna2424" dataDxfId="13988"/>
    <tableColumn id="2431" xr3:uid="{94C607A1-6844-47FE-954F-4177975D5F8E}" name="Columna2425" dataDxfId="13987"/>
    <tableColumn id="2432" xr3:uid="{3634222F-0668-4013-A2ED-8A2B467C647A}" name="Columna2426" dataDxfId="13986"/>
    <tableColumn id="2433" xr3:uid="{0FCA8D75-F702-4B7C-8115-2D3CCD97A5B4}" name="Columna2427" dataDxfId="13985"/>
    <tableColumn id="2434" xr3:uid="{702DF52C-9865-4E38-B962-2BC1FFC3B2D8}" name="Columna2428" dataDxfId="13984"/>
    <tableColumn id="2435" xr3:uid="{6BFC8A34-27F6-4C92-B2C0-A4CDD331EB04}" name="Columna2429" dataDxfId="13983"/>
    <tableColumn id="2436" xr3:uid="{749C0C5A-95D4-49BD-80C2-2B0DE79EEF08}" name="Columna2430" dataDxfId="13982"/>
    <tableColumn id="2437" xr3:uid="{B95FE501-4818-433E-A040-AA39A8D23850}" name="Columna2431" dataDxfId="13981"/>
    <tableColumn id="2438" xr3:uid="{26335632-23D1-49B2-9358-52465451C226}" name="Columna2432" dataDxfId="13980"/>
    <tableColumn id="2439" xr3:uid="{4E2FF2F6-92BA-4093-852F-320FE25269D5}" name="Columna2433" dataDxfId="13979"/>
    <tableColumn id="2440" xr3:uid="{6869BE02-F320-44B2-BB3C-2A4815F8960D}" name="Columna2434" dataDxfId="13978"/>
    <tableColumn id="2441" xr3:uid="{7EF803BF-168A-4585-9126-4E165E8FB28A}" name="Columna2435" dataDxfId="13977"/>
    <tableColumn id="2442" xr3:uid="{355C78D1-10DD-4963-813A-C8BC11F58BAF}" name="Columna2436" dataDxfId="13976"/>
    <tableColumn id="2443" xr3:uid="{59C90697-7D16-491A-999E-EAA9255014D9}" name="Columna2437" dataDxfId="13975"/>
    <tableColumn id="2444" xr3:uid="{768069BC-1BDF-4404-923A-D8C620854E6B}" name="Columna2438" dataDxfId="13974"/>
    <tableColumn id="2445" xr3:uid="{CF40AFF6-3146-4DB4-B493-224F9474A278}" name="Columna2439" dataDxfId="13973"/>
    <tableColumn id="2446" xr3:uid="{38AB04DC-182A-467A-80B3-D47A5E33078C}" name="Columna2440" dataDxfId="13972"/>
    <tableColumn id="2447" xr3:uid="{6B04326C-CB2E-4026-8016-9FE55B2C33B2}" name="Columna2441" dataDxfId="13971"/>
    <tableColumn id="2448" xr3:uid="{ED89DD37-D06B-4899-A7D0-04F9A2B276F0}" name="Columna2442" dataDxfId="13970"/>
    <tableColumn id="2449" xr3:uid="{A7CBA137-6402-4778-8E47-C377EF3803F9}" name="Columna2443" dataDxfId="13969"/>
    <tableColumn id="2450" xr3:uid="{D1CE1CB2-7D34-44B7-953A-98A3FFE4EF74}" name="Columna2444" dataDxfId="13968"/>
    <tableColumn id="2451" xr3:uid="{3751D056-8473-4E00-89B5-0F56493DCD8D}" name="Columna2445" dataDxfId="13967"/>
    <tableColumn id="2452" xr3:uid="{05C2D4D7-F05F-4C99-8E2A-53C736609E49}" name="Columna2446" dataDxfId="13966"/>
    <tableColumn id="2453" xr3:uid="{9FC1721D-06D5-4572-B90A-BD2D8D2DA673}" name="Columna2447" dataDxfId="13965"/>
    <tableColumn id="2454" xr3:uid="{B7009ED0-4D22-4E4E-9C0D-38DC54A4EA15}" name="Columna2448" dataDxfId="13964"/>
    <tableColumn id="2455" xr3:uid="{9C9482E5-8436-416A-8E4D-D5383AD38D81}" name="Columna2449" dataDxfId="13963"/>
    <tableColumn id="2456" xr3:uid="{07AB67B7-D894-44E2-948A-4CD660B5FFBE}" name="Columna2450" dataDxfId="13962"/>
    <tableColumn id="2457" xr3:uid="{75935C5B-ABA1-4824-80F1-168BC61297BC}" name="Columna2451" dataDxfId="13961"/>
    <tableColumn id="2458" xr3:uid="{5D2B20A9-B92B-4E73-86D1-38EDF073D7BE}" name="Columna2452" dataDxfId="13960"/>
    <tableColumn id="2459" xr3:uid="{CB23B671-B4EB-403F-B82F-4B064669052D}" name="Columna2453" dataDxfId="13959"/>
    <tableColumn id="2460" xr3:uid="{16D972EE-95C4-4D6A-B94A-04B398C90FC1}" name="Columna2454" dataDxfId="13958"/>
    <tableColumn id="2461" xr3:uid="{4C0A7647-A497-4090-A633-5B9794A6F6F2}" name="Columna2455" dataDxfId="13957"/>
    <tableColumn id="2462" xr3:uid="{40A31406-4963-44B8-B01B-0895B8880820}" name="Columna2456" dataDxfId="13956"/>
    <tableColumn id="2463" xr3:uid="{A5BB26F6-55A9-4804-B515-F6175E80C3FF}" name="Columna2457" dataDxfId="13955"/>
    <tableColumn id="2464" xr3:uid="{972809C1-87B2-423D-B87D-80ABC44C3322}" name="Columna2458" dataDxfId="13954"/>
    <tableColumn id="2465" xr3:uid="{19B38B3D-480D-45CD-AB2C-F137B68D38E9}" name="Columna2459" dataDxfId="13953"/>
    <tableColumn id="2466" xr3:uid="{591056C3-76D7-46FD-AB68-0FAA792EDC2B}" name="Columna2460" dataDxfId="13952"/>
    <tableColumn id="2467" xr3:uid="{93382D9C-D9A3-45B8-BBAA-24DCB5DD8D04}" name="Columna2461" dataDxfId="13951"/>
    <tableColumn id="2468" xr3:uid="{E0264A32-982D-4243-B23F-063CEEECCBC4}" name="Columna2462" dataDxfId="13950"/>
    <tableColumn id="2469" xr3:uid="{0FCE3A71-5997-4EB0-838A-66ACB04964C9}" name="Columna2463" dataDxfId="13949"/>
    <tableColumn id="2470" xr3:uid="{96C2BE36-0039-417A-8139-D369E77D75CF}" name="Columna2464" dataDxfId="13948"/>
    <tableColumn id="2471" xr3:uid="{392E9251-3E7D-475C-A83D-FC17C3005A37}" name="Columna2465" dataDxfId="13947"/>
    <tableColumn id="2472" xr3:uid="{33C9B67D-E7EB-4D14-A7C8-05BA283BA8F5}" name="Columna2466" dataDxfId="13946"/>
    <tableColumn id="2473" xr3:uid="{72FB7481-9189-447C-91CD-3150E94B9186}" name="Columna2467" dataDxfId="13945"/>
    <tableColumn id="2474" xr3:uid="{3176FC82-9A71-4288-B76A-481193B4793E}" name="Columna2468" dataDxfId="13944"/>
    <tableColumn id="2475" xr3:uid="{8409AB3B-82BF-4754-9CCD-66FB5F864611}" name="Columna2469" dataDxfId="13943"/>
    <tableColumn id="2476" xr3:uid="{0C5D7348-BD74-491B-B464-19952594C7A6}" name="Columna2470" dataDxfId="13942"/>
    <tableColumn id="2477" xr3:uid="{62718986-E50A-4D5A-8A89-3BD159512CC0}" name="Columna2471" dataDxfId="13941"/>
    <tableColumn id="2478" xr3:uid="{5E201C8E-5039-47D7-BDB8-AD9CB3C93F5F}" name="Columna2472" dataDxfId="13940"/>
    <tableColumn id="2479" xr3:uid="{33A9FFCF-0F8B-4787-853B-59FB870CA496}" name="Columna2473" dataDxfId="13939"/>
    <tableColumn id="2480" xr3:uid="{59BC0797-28CF-43FA-AF68-77FB4B1674F6}" name="Columna2474" dataDxfId="13938"/>
    <tableColumn id="2481" xr3:uid="{D2D64CAD-FFC8-4E47-981F-8621B8C3FC4E}" name="Columna2475" dataDxfId="13937"/>
    <tableColumn id="2482" xr3:uid="{A626A45C-E247-482A-BDE3-110B3661BFF1}" name="Columna2476" dataDxfId="13936"/>
    <tableColumn id="2483" xr3:uid="{7136828D-C2FD-4747-AAD6-F61EBE81B402}" name="Columna2477" dataDxfId="13935"/>
    <tableColumn id="2484" xr3:uid="{5254E49E-87FA-43D3-9CA1-B69C7FFAFDC3}" name="Columna2478" dataDxfId="13934"/>
    <tableColumn id="2485" xr3:uid="{F7C330A8-C1AC-440D-8396-397D9F0ADDC9}" name="Columna2479" dataDxfId="13933"/>
    <tableColumn id="2486" xr3:uid="{A5E85C51-1117-4C55-ABA6-47F02A3F6FBD}" name="Columna2480" dataDxfId="13932"/>
    <tableColumn id="2487" xr3:uid="{97BC1EC8-6BD1-4F66-A8A9-FFE435BC8A39}" name="Columna2481" dataDxfId="13931"/>
    <tableColumn id="2488" xr3:uid="{B7A2650C-1DE9-4491-BAAF-31BB039A4735}" name="Columna2482" dataDxfId="13930"/>
    <tableColumn id="2489" xr3:uid="{0B831A6F-4F38-4149-9A31-C451FD010CA1}" name="Columna2483" dataDxfId="13929"/>
    <tableColumn id="2490" xr3:uid="{1F6C627C-4408-4886-AA97-4F410D24A288}" name="Columna2484" dataDxfId="13928"/>
    <tableColumn id="2491" xr3:uid="{D3AB25C4-B0EA-4DDA-A313-27F119191FDB}" name="Columna2485" dataDxfId="13927"/>
    <tableColumn id="2492" xr3:uid="{46C8BB3A-788D-4E6E-B57C-A2627D7FC78B}" name="Columna2486" dataDxfId="13926"/>
    <tableColumn id="2493" xr3:uid="{71DD242B-B3AC-49B7-9CF2-F37ADEFBA92F}" name="Columna2487" dataDxfId="13925"/>
    <tableColumn id="2494" xr3:uid="{C4619F73-D6FB-409E-B16F-D9E1CF213750}" name="Columna2488" dataDxfId="13924"/>
    <tableColumn id="2495" xr3:uid="{2126E3A3-AFF3-4D9D-A913-12368E4ED965}" name="Columna2489" dataDxfId="13923"/>
    <tableColumn id="2496" xr3:uid="{7AC36604-74A4-4240-9903-FA7A18745567}" name="Columna2490" dataDxfId="13922"/>
    <tableColumn id="2497" xr3:uid="{36B8E4C9-8153-4522-9511-453920A0FEDD}" name="Columna2491" dataDxfId="13921"/>
    <tableColumn id="2498" xr3:uid="{6AD243A2-D0DF-43A2-8617-9AC0B948EAA0}" name="Columna2492" dataDxfId="13920"/>
    <tableColumn id="2499" xr3:uid="{BBC4AB77-5BE3-43AC-86E2-7091319EF4CC}" name="Columna2493" dataDxfId="13919"/>
    <tableColumn id="2500" xr3:uid="{FE97149D-7082-44D6-8483-42977858A90B}" name="Columna2494" dataDxfId="13918"/>
    <tableColumn id="2501" xr3:uid="{3CECE221-21BC-4B36-967E-0B55F96CE2D4}" name="Columna2495" dataDxfId="13917"/>
    <tableColumn id="2502" xr3:uid="{CD73E566-FF41-48C6-A136-F158B9CD9F4E}" name="Columna2496" dataDxfId="13916"/>
    <tableColumn id="2503" xr3:uid="{6099B8BE-D706-4936-97CB-39A4AE16CDCA}" name="Columna2497" dataDxfId="13915"/>
    <tableColumn id="2504" xr3:uid="{4DC32586-C80C-4369-8432-561197728ADC}" name="Columna2498" dataDxfId="13914"/>
    <tableColumn id="2505" xr3:uid="{90C1D45F-3BD9-45F6-8D1E-644AD71A96B4}" name="Columna2499" dataDxfId="13913"/>
    <tableColumn id="2506" xr3:uid="{730E4FB3-6BCB-4CD8-87FA-58DCEB2C630E}" name="Columna2500" dataDxfId="13912"/>
    <tableColumn id="2507" xr3:uid="{F7CDEFB6-C2F6-42F6-95A5-850F9D76A5A7}" name="Columna2501" dataDxfId="13911"/>
    <tableColumn id="2508" xr3:uid="{161C7CAB-6DEA-4D70-860E-6835D692B8CE}" name="Columna2502" dataDxfId="13910"/>
    <tableColumn id="2509" xr3:uid="{45D3F087-2DF2-4FF6-AA70-111DC2314539}" name="Columna2503" dataDxfId="13909"/>
    <tableColumn id="2510" xr3:uid="{4AD5E8F7-3CE9-44A0-9BEA-D2ACC2C247EB}" name="Columna2504" dataDxfId="13908"/>
    <tableColumn id="2511" xr3:uid="{A7A9EA16-F583-4ADF-8E29-0F158E8B99E1}" name="Columna2505" dataDxfId="13907"/>
    <tableColumn id="2512" xr3:uid="{8D7C3797-A454-4F19-8DDC-284A73D56B45}" name="Columna2506" dataDxfId="13906"/>
    <tableColumn id="2513" xr3:uid="{D11E07CB-5E91-4C55-A76F-16426FC4FB81}" name="Columna2507" dataDxfId="13905"/>
    <tableColumn id="2514" xr3:uid="{ED161794-AD59-4AAE-9B57-4ED1F09EBDB1}" name="Columna2508" dataDxfId="13904"/>
    <tableColumn id="2515" xr3:uid="{6BE45AA7-E141-49BF-A4F1-0FB582D6E3E7}" name="Columna2509" dataDxfId="13903"/>
    <tableColumn id="2516" xr3:uid="{F0AFF7D2-3E6D-4E4A-BB62-E6407CC7C4D2}" name="Columna2510" dataDxfId="13902"/>
    <tableColumn id="2517" xr3:uid="{3F55618A-B662-4565-A2B4-1A636C5E9045}" name="Columna2511" dataDxfId="13901"/>
    <tableColumn id="2518" xr3:uid="{0878A5E2-6785-464D-8309-6CB83CAA6641}" name="Columna2512" dataDxfId="13900"/>
    <tableColumn id="2519" xr3:uid="{6E0A587E-9365-49ED-9EF6-D901C4773553}" name="Columna2513" dataDxfId="13899"/>
    <tableColumn id="2520" xr3:uid="{DD8996FD-5DC5-4294-8B79-33A15CB453C5}" name="Columna2514" dataDxfId="13898"/>
    <tableColumn id="2521" xr3:uid="{093EC865-9D94-4809-9615-167E9097EF5F}" name="Columna2515" dataDxfId="13897"/>
    <tableColumn id="2522" xr3:uid="{35C71E09-EBC9-453A-82C3-248CC8513519}" name="Columna2516" dataDxfId="13896"/>
    <tableColumn id="2523" xr3:uid="{C4793D98-8FC9-42A0-9ABE-CFD103EE0CD6}" name="Columna2517" dataDxfId="13895"/>
    <tableColumn id="2524" xr3:uid="{7AA1598C-FD45-4CA8-B843-58E9FE6F5AB2}" name="Columna2518" dataDxfId="13894"/>
    <tableColumn id="2525" xr3:uid="{99FFF6A6-CAB7-4659-8EED-FA2EFF1F8766}" name="Columna2519" dataDxfId="13893"/>
    <tableColumn id="2526" xr3:uid="{C61D860B-7984-48E1-B757-833AAA4F617E}" name="Columna2520" dataDxfId="13892"/>
    <tableColumn id="2527" xr3:uid="{DD769796-B172-4CE6-91BD-45DDD5DF1FFE}" name="Columna2521" dataDxfId="13891"/>
    <tableColumn id="2528" xr3:uid="{6B2A458B-C045-4FBF-9E76-2E4CE9484CE5}" name="Columna2522" dataDxfId="13890"/>
    <tableColumn id="2529" xr3:uid="{621EA563-E8AD-4FCC-9F00-C746A4A12C78}" name="Columna2523" dataDxfId="13889"/>
    <tableColumn id="2530" xr3:uid="{18D8C77C-0996-4388-80B9-B6CCCC2EA530}" name="Columna2524" dataDxfId="13888"/>
    <tableColumn id="2531" xr3:uid="{470420E6-6706-48E2-9809-8D3B040308DA}" name="Columna2525" dataDxfId="13887"/>
    <tableColumn id="2532" xr3:uid="{589944B2-66FE-404E-BBB7-0CA878C82ED7}" name="Columna2526" dataDxfId="13886"/>
    <tableColumn id="2533" xr3:uid="{F791E5B2-F4C6-43B9-8255-B472B39F4E9F}" name="Columna2527" dataDxfId="13885"/>
    <tableColumn id="2534" xr3:uid="{9573DE4F-44DB-4E2E-A8BE-ECBAB4026C4E}" name="Columna2528" dataDxfId="13884"/>
    <tableColumn id="2535" xr3:uid="{52551F10-455F-46F3-8862-4247DB3DF67A}" name="Columna2529" dataDxfId="13883"/>
    <tableColumn id="2536" xr3:uid="{BEE02C72-4290-4AB3-8A0E-CFB370F09EFD}" name="Columna2530" dataDxfId="13882"/>
    <tableColumn id="2537" xr3:uid="{BE6A862B-5FC0-45D3-8D9D-36271141246A}" name="Columna2531" dataDxfId="13881"/>
    <tableColumn id="2538" xr3:uid="{7BDB05B5-AEFF-44C6-9443-8AEF437390D4}" name="Columna2532" dataDxfId="13880"/>
    <tableColumn id="2539" xr3:uid="{282D8045-4B12-49F9-AEBC-EE09534E51EC}" name="Columna2533" dataDxfId="13879"/>
    <tableColumn id="2540" xr3:uid="{664F59FF-9C7D-4421-9FEB-E6DF0C8DC6CE}" name="Columna2534" dataDxfId="13878"/>
    <tableColumn id="2541" xr3:uid="{8A24D0A3-CC69-4B9E-88CD-67142E9AB8A9}" name="Columna2535" dataDxfId="13877"/>
    <tableColumn id="2542" xr3:uid="{C220EFD6-A396-4D4B-9D93-AC54BDC1FDD8}" name="Columna2536" dataDxfId="13876"/>
    <tableColumn id="2543" xr3:uid="{0B2E3D87-9D5E-4930-BB68-26C4697EC688}" name="Columna2537" dataDxfId="13875"/>
    <tableColumn id="2544" xr3:uid="{1A74DE9C-A520-408D-B219-D1A097629330}" name="Columna2538" dataDxfId="13874"/>
    <tableColumn id="2545" xr3:uid="{C38A4787-5E00-4BEC-9289-7CDCE950B6C2}" name="Columna2539" dataDxfId="13873"/>
    <tableColumn id="2546" xr3:uid="{A483C802-01A5-4D20-87DB-487E08909870}" name="Columna2540" dataDxfId="13872"/>
    <tableColumn id="2547" xr3:uid="{60A59DA2-9604-497B-A4C5-45C799C5942E}" name="Columna2541" dataDxfId="13871"/>
    <tableColumn id="2548" xr3:uid="{AB6A99F7-4FF0-4535-B917-064EE5F16B63}" name="Columna2542" dataDxfId="13870"/>
    <tableColumn id="2549" xr3:uid="{8D355F57-280F-4BFD-BAF2-AAE8346DB847}" name="Columna2543" dataDxfId="13869"/>
    <tableColumn id="2550" xr3:uid="{BB43DCFF-5A31-48D6-A303-5AE7639CE7E1}" name="Columna2544" dataDxfId="13868"/>
    <tableColumn id="2551" xr3:uid="{05416E88-B828-48E4-B425-532A6EE67625}" name="Columna2545" dataDxfId="13867"/>
    <tableColumn id="2552" xr3:uid="{F3E8B8B3-E590-4198-BCBD-BF14B46D814B}" name="Columna2546" dataDxfId="13866"/>
    <tableColumn id="2553" xr3:uid="{B9FE9FC0-FDB7-4E3F-8FA6-CF56DF48D50C}" name="Columna2547" dataDxfId="13865"/>
    <tableColumn id="2554" xr3:uid="{57728E23-F968-4674-AC5F-D76766B99FB4}" name="Columna2548" dataDxfId="13864"/>
    <tableColumn id="2555" xr3:uid="{5E8E22BC-CA11-4336-BFD2-BB6490C92D29}" name="Columna2549" dataDxfId="13863"/>
    <tableColumn id="2556" xr3:uid="{ABD5E371-0C33-4722-A0DE-96F66082D374}" name="Columna2550" dataDxfId="13862"/>
    <tableColumn id="2557" xr3:uid="{0A68BD46-8F0E-4815-BB4B-CC5356A6641A}" name="Columna2551" dataDxfId="13861"/>
    <tableColumn id="2558" xr3:uid="{11796504-407E-4808-99B0-D96A32FA82C0}" name="Columna2552" dataDxfId="13860"/>
    <tableColumn id="2559" xr3:uid="{AF1BB642-10CF-4B8D-85FA-538593F1EA7D}" name="Columna2553" dataDxfId="13859"/>
    <tableColumn id="2560" xr3:uid="{615514DD-6CD4-4DAC-87BE-0F6B826E001E}" name="Columna2554" dataDxfId="13858"/>
    <tableColumn id="2561" xr3:uid="{24C0B462-0EF1-46F5-AF30-FFB76729AF3C}" name="Columna2555" dataDxfId="13857"/>
    <tableColumn id="2562" xr3:uid="{9FEFDBEF-6393-4486-9E56-9E1A1CDECE4E}" name="Columna2556" dataDxfId="13856"/>
    <tableColumn id="2563" xr3:uid="{CFCF5D75-CB57-4998-8BE8-B30D6EEEEB28}" name="Columna2557" dataDxfId="13855"/>
    <tableColumn id="2564" xr3:uid="{9D974DF1-7B17-4311-A197-8F876F18FE82}" name="Columna2558" dataDxfId="13854"/>
    <tableColumn id="2565" xr3:uid="{EED2F935-1BB1-4733-907F-68D5A7FD5A5C}" name="Columna2559" dataDxfId="13853"/>
    <tableColumn id="2566" xr3:uid="{AA7E8CFB-FB71-4F36-AA73-190DEC3965D9}" name="Columna2560" dataDxfId="13852"/>
    <tableColumn id="2567" xr3:uid="{16D7BF8A-7A82-4548-A537-EFFCFF9D9EA3}" name="Columna2561" dataDxfId="13851"/>
    <tableColumn id="2568" xr3:uid="{2531B4A3-2E25-4EF3-AD7C-6B7121057E11}" name="Columna2562" dataDxfId="13850"/>
    <tableColumn id="2569" xr3:uid="{41F3BBC4-1D71-462F-A85B-6BE5E8D7223A}" name="Columna2563" dataDxfId="13849"/>
    <tableColumn id="2570" xr3:uid="{893437BB-56C8-4F9C-9D27-44893CA8550F}" name="Columna2564" dataDxfId="13848"/>
    <tableColumn id="2571" xr3:uid="{F1D83B7F-0C04-4C12-9E7C-DD4831146B99}" name="Columna2565" dataDxfId="13847"/>
    <tableColumn id="2572" xr3:uid="{89A410D0-88DA-4B03-BBFC-6AB883AA7090}" name="Columna2566" dataDxfId="13846"/>
    <tableColumn id="2573" xr3:uid="{0090E42B-30B1-44AE-A3B1-798FF4000A4D}" name="Columna2567" dataDxfId="13845"/>
    <tableColumn id="2574" xr3:uid="{FB9C1E7B-36C6-47C1-B90F-1C49D7D91313}" name="Columna2568" dataDxfId="13844"/>
    <tableColumn id="2575" xr3:uid="{2B50E380-081B-4EBB-8E09-E92AB285B423}" name="Columna2569" dataDxfId="13843"/>
    <tableColumn id="2576" xr3:uid="{AF712A61-8A4D-4942-A281-A425EBA67CD8}" name="Columna2570" dataDxfId="13842"/>
    <tableColumn id="2577" xr3:uid="{409F03F7-51A6-4D60-9379-20AC86B73936}" name="Columna2571" dataDxfId="13841"/>
    <tableColumn id="2578" xr3:uid="{79671F74-9EDB-428C-96A5-8C7B2EC09BCE}" name="Columna2572" dataDxfId="13840"/>
    <tableColumn id="2579" xr3:uid="{3E24E72B-91E8-47F7-BC1C-A56AAEF8D874}" name="Columna2573" dataDxfId="13839"/>
    <tableColumn id="2580" xr3:uid="{D76DFD95-0FBD-4EFB-BEA1-59FDE675B8E0}" name="Columna2574" dataDxfId="13838"/>
    <tableColumn id="2581" xr3:uid="{3040F47E-7466-49DE-B6CA-A154A05B9D54}" name="Columna2575" dataDxfId="13837"/>
    <tableColumn id="2582" xr3:uid="{73F1D2BC-0896-4420-82C0-06E1ECBE94FD}" name="Columna2576" dataDxfId="13836"/>
    <tableColumn id="2583" xr3:uid="{6B600406-12BD-4563-95D6-E66CC9607A08}" name="Columna2577" dataDxfId="13835"/>
    <tableColumn id="2584" xr3:uid="{F3CB8B11-6406-45C3-9A2A-C085E5978FB6}" name="Columna2578" dataDxfId="13834"/>
    <tableColumn id="2585" xr3:uid="{C4084413-8BBA-4630-992D-5AD9F4FE9DB5}" name="Columna2579" dataDxfId="13833"/>
    <tableColumn id="2586" xr3:uid="{6E5DB3A4-C995-49B3-8BCB-624626CB1261}" name="Columna2580" dataDxfId="13832"/>
    <tableColumn id="2587" xr3:uid="{817F0C41-9F85-4587-8B8E-C561122EBAE7}" name="Columna2581" dataDxfId="13831"/>
    <tableColumn id="2588" xr3:uid="{7102426F-F967-4963-B664-43DAF7F99FD6}" name="Columna2582" dataDxfId="13830"/>
    <tableColumn id="2589" xr3:uid="{00EBB80B-C491-4AF1-942B-FDC18CBA3558}" name="Columna2583" dataDxfId="13829"/>
    <tableColumn id="2590" xr3:uid="{98BFA017-F8CB-4C8C-94AE-3A7ED409D670}" name="Columna2584" dataDxfId="13828"/>
    <tableColumn id="2591" xr3:uid="{8430AEF3-8056-4CE6-A124-2C060121E36A}" name="Columna2585" dataDxfId="13827"/>
    <tableColumn id="2592" xr3:uid="{ED23580B-6853-4DFF-AC0F-4F9DD3AE43C9}" name="Columna2586" dataDxfId="13826"/>
    <tableColumn id="2593" xr3:uid="{35030A46-74FE-40D0-9FE3-FAFBE596AAAB}" name="Columna2587" dataDxfId="13825"/>
    <tableColumn id="2594" xr3:uid="{0B89EE80-7CE1-47FD-AC7D-A711C73A4D76}" name="Columna2588" dataDxfId="13824"/>
    <tableColumn id="2595" xr3:uid="{B67A060E-9E6A-4505-AA2F-7B9E87706588}" name="Columna2589" dataDxfId="13823"/>
    <tableColumn id="2596" xr3:uid="{E80867BD-79BF-419A-8D27-0DF7654303FA}" name="Columna2590" dataDxfId="13822"/>
    <tableColumn id="2597" xr3:uid="{EAD0EA2D-CDD6-49C8-A0B2-7FADDADDAC03}" name="Columna2591" dataDxfId="13821"/>
    <tableColumn id="2598" xr3:uid="{F95EE531-AC5D-4C98-BB09-D10B4C819FD1}" name="Columna2592" dataDxfId="13820"/>
    <tableColumn id="2599" xr3:uid="{3B066200-2CF2-44BC-AA17-2104561872C8}" name="Columna2593" dataDxfId="13819"/>
    <tableColumn id="2600" xr3:uid="{F55E4ACF-B7BD-49AB-9586-2653E0C867B0}" name="Columna2594" dataDxfId="13818"/>
    <tableColumn id="2601" xr3:uid="{1572B0CE-0130-42D0-927C-D6B15035F070}" name="Columna2595" dataDxfId="13817"/>
    <tableColumn id="2602" xr3:uid="{7D53DC9E-860C-40AA-A6BF-3F8B246441E1}" name="Columna2596" dataDxfId="13816"/>
    <tableColumn id="2603" xr3:uid="{FDC5C465-DE0C-46A9-B790-2A9A172F162E}" name="Columna2597" dataDxfId="13815"/>
    <tableColumn id="2604" xr3:uid="{ADB4D135-78A7-4726-A3BD-3FC542691175}" name="Columna2598" dataDxfId="13814"/>
    <tableColumn id="2605" xr3:uid="{D11BFF9F-772E-4C95-95D6-87E6A88994CA}" name="Columna2599" dataDxfId="13813"/>
    <tableColumn id="2606" xr3:uid="{928EBF4D-9562-40FC-9E16-1E5F04039C91}" name="Columna2600" dataDxfId="13812"/>
    <tableColumn id="2607" xr3:uid="{BF2DFF22-8CA0-4DDA-843A-E630374BC971}" name="Columna2601" dataDxfId="13811"/>
    <tableColumn id="2608" xr3:uid="{5BED20DC-9884-4796-B456-09921C05A324}" name="Columna2602" dataDxfId="13810"/>
    <tableColumn id="2609" xr3:uid="{33C49530-B1E2-4C28-A7B4-832491BF3E65}" name="Columna2603" dataDxfId="13809"/>
    <tableColumn id="2610" xr3:uid="{B7787D09-D60E-44B1-AC54-8B09B3141873}" name="Columna2604" dataDxfId="13808"/>
    <tableColumn id="2611" xr3:uid="{F3E2675D-A3B8-4109-B905-7FD80AA6433B}" name="Columna2605" dataDxfId="13807"/>
    <tableColumn id="2612" xr3:uid="{404BD265-24B1-471D-A61D-4CEC7482CEB1}" name="Columna2606" dataDxfId="13806"/>
    <tableColumn id="2613" xr3:uid="{A089B2FE-95D3-4C81-83EF-EEDAF5B86BEB}" name="Columna2607" dataDxfId="13805"/>
    <tableColumn id="2614" xr3:uid="{EB037C88-FEC1-416B-BC59-F3691351E812}" name="Columna2608" dataDxfId="13804"/>
    <tableColumn id="2615" xr3:uid="{BE8ADFF4-55EF-4555-A789-A8B0A1A6574E}" name="Columna2609" dataDxfId="13803"/>
    <tableColumn id="2616" xr3:uid="{EE23D511-515F-4CDF-BACC-C922765EF6C2}" name="Columna2610" dataDxfId="13802"/>
    <tableColumn id="2617" xr3:uid="{FB51D580-E361-4D29-B5C1-3215F902D1EC}" name="Columna2611" dataDxfId="13801"/>
    <tableColumn id="2618" xr3:uid="{03E0D1D4-BFE6-4DCD-87B4-006FFCFFFE20}" name="Columna2612" dataDxfId="13800"/>
    <tableColumn id="2619" xr3:uid="{EC97824D-DDF1-48DC-BD55-361207B11675}" name="Columna2613" dataDxfId="13799"/>
    <tableColumn id="2620" xr3:uid="{49C77F2D-7334-465D-ADD9-4C31BF4A8E64}" name="Columna2614" dataDxfId="13798"/>
    <tableColumn id="2621" xr3:uid="{5D2F49C9-4F36-49F7-8C13-1CEB9D04202B}" name="Columna2615" dataDxfId="13797"/>
    <tableColumn id="2622" xr3:uid="{F1539233-CA71-4D98-9584-4442B99A2267}" name="Columna2616" dataDxfId="13796"/>
    <tableColumn id="2623" xr3:uid="{246F7F3F-65A9-4FA1-88D9-56CAB1A85AFF}" name="Columna2617" dataDxfId="13795"/>
    <tableColumn id="2624" xr3:uid="{0C808B35-8030-4693-9BAB-7B4FA2608C92}" name="Columna2618" dataDxfId="13794"/>
    <tableColumn id="2625" xr3:uid="{BC4A7C09-1EDF-4040-8984-BD93D6E88788}" name="Columna2619" dataDxfId="13793"/>
    <tableColumn id="2626" xr3:uid="{7DAE02F3-E034-4474-8790-CBB74427CE17}" name="Columna2620" dataDxfId="13792"/>
    <tableColumn id="2627" xr3:uid="{997EDFE5-EE2C-4BF8-AB3B-286515018601}" name="Columna2621" dataDxfId="13791"/>
    <tableColumn id="2628" xr3:uid="{99D9FA9A-1C12-4D29-8A6D-7C8C743845B9}" name="Columna2622" dataDxfId="13790"/>
    <tableColumn id="2629" xr3:uid="{F9DF8FC5-A5C9-48C1-8947-CEA17F624134}" name="Columna2623" dataDxfId="13789"/>
    <tableColumn id="2630" xr3:uid="{09E97924-869E-4B5E-9A55-A4AA323E3E15}" name="Columna2624" dataDxfId="13788"/>
    <tableColumn id="2631" xr3:uid="{1C172929-CAD5-4BDB-A31A-E64E7B97192F}" name="Columna2625" dataDxfId="13787"/>
    <tableColumn id="2632" xr3:uid="{4ACEEA84-D36D-4919-BD6A-BA13F59742A4}" name="Columna2626" dataDxfId="13786"/>
    <tableColumn id="2633" xr3:uid="{0BF741AA-76C0-4A94-AEE6-56AACD0F8876}" name="Columna2627" dataDxfId="13785"/>
    <tableColumn id="2634" xr3:uid="{1CDD10A4-8F5F-4F36-8E4A-2B2A2986C7D9}" name="Columna2628" dataDxfId="13784"/>
    <tableColumn id="2635" xr3:uid="{59FB5AA3-E307-411B-9931-D24EE4B08878}" name="Columna2629" dataDxfId="13783"/>
    <tableColumn id="2636" xr3:uid="{A616FD64-88D2-4D48-B3F1-08728F590044}" name="Columna2630" dataDxfId="13782"/>
    <tableColumn id="2637" xr3:uid="{AD2F5310-F20F-4D7E-9FE3-39C84463DE9B}" name="Columna2631" dataDxfId="13781"/>
    <tableColumn id="2638" xr3:uid="{956EDE05-E9D2-4F7A-B885-47174A9A25B7}" name="Columna2632" dataDxfId="13780"/>
    <tableColumn id="2639" xr3:uid="{1921DB8B-BEF5-467A-B849-8B7DC1DFF69F}" name="Columna2633" dataDxfId="13779"/>
    <tableColumn id="2640" xr3:uid="{E75E3C43-116F-4B18-86E0-00AE3037F5E5}" name="Columna2634" dataDxfId="13778"/>
    <tableColumn id="2641" xr3:uid="{882CE858-ABD1-4C93-BDE0-0CF21CD8CD8C}" name="Columna2635" dataDxfId="13777"/>
    <tableColumn id="2642" xr3:uid="{E869A17E-B431-496A-8E42-682F9FD946DF}" name="Columna2636" dataDxfId="13776"/>
    <tableColumn id="2643" xr3:uid="{27A693E8-8132-46B8-A888-82F4883A00CE}" name="Columna2637" dataDxfId="13775"/>
    <tableColumn id="2644" xr3:uid="{BBBF7295-D8E2-44B0-9F1A-3A7C902DCD38}" name="Columna2638" dataDxfId="13774"/>
    <tableColumn id="2645" xr3:uid="{E6EF5915-1D69-405B-9635-75D18A35EB97}" name="Columna2639" dataDxfId="13773"/>
    <tableColumn id="2646" xr3:uid="{670ECAD2-F147-4E4A-A076-E905C3A0F8FF}" name="Columna2640" dataDxfId="13772"/>
    <tableColumn id="2647" xr3:uid="{31722226-208A-4DEC-9D81-9D6CFE991E76}" name="Columna2641" dataDxfId="13771"/>
    <tableColumn id="2648" xr3:uid="{C75EF862-F2D9-46FD-B488-D6F65B1252D2}" name="Columna2642" dataDxfId="13770"/>
    <tableColumn id="2649" xr3:uid="{DAEB813C-A027-48DE-A246-CC67927B4B9A}" name="Columna2643" dataDxfId="13769"/>
    <tableColumn id="2650" xr3:uid="{6321346D-296A-431A-93B7-641D4ECA8F59}" name="Columna2644" dataDxfId="13768"/>
    <tableColumn id="2651" xr3:uid="{E6C57EDE-1F93-414C-BEE6-B42E34A4886D}" name="Columna2645" dataDxfId="13767"/>
    <tableColumn id="2652" xr3:uid="{677D7029-93E7-4511-8513-026933AA7D62}" name="Columna2646" dataDxfId="13766"/>
    <tableColumn id="2653" xr3:uid="{75534378-43FA-4896-AB2B-DA629B191FA0}" name="Columna2647" dataDxfId="13765"/>
    <tableColumn id="2654" xr3:uid="{A58FF4E6-EACE-45FE-B4FA-0D409E0202FF}" name="Columna2648" dataDxfId="13764"/>
    <tableColumn id="2655" xr3:uid="{D9E3B37A-E919-4286-AEAC-3F1F7136A585}" name="Columna2649" dataDxfId="13763"/>
    <tableColumn id="2656" xr3:uid="{AC2E381C-42E1-46BA-8930-F8E0029769B4}" name="Columna2650" dataDxfId="13762"/>
    <tableColumn id="2657" xr3:uid="{5D885705-2AB3-4D78-A0EB-3E3878EDC02B}" name="Columna2651" dataDxfId="13761"/>
    <tableColumn id="2658" xr3:uid="{08D65CB8-644E-4427-A51D-2E0DE16D52D8}" name="Columna2652" dataDxfId="13760"/>
    <tableColumn id="2659" xr3:uid="{D55FCA1C-79E1-43C2-A048-B9783B54A2DE}" name="Columna2653" dataDxfId="13759"/>
    <tableColumn id="2660" xr3:uid="{DCC9616A-DF5C-489B-940D-F4D94A165E90}" name="Columna2654" dataDxfId="13758"/>
    <tableColumn id="2661" xr3:uid="{51973672-8036-4BB7-89D3-7415B126702A}" name="Columna2655" dataDxfId="13757"/>
    <tableColumn id="2662" xr3:uid="{057145FD-9C0B-42AB-8246-0041BC4437EF}" name="Columna2656" dataDxfId="13756"/>
    <tableColumn id="2663" xr3:uid="{F4B2A7BD-0C4C-455A-A43C-0E8B8EC61B73}" name="Columna2657" dataDxfId="13755"/>
    <tableColumn id="2664" xr3:uid="{DD283EEE-2DEC-42F3-AF09-EAF10DE5A0F4}" name="Columna2658" dataDxfId="13754"/>
    <tableColumn id="2665" xr3:uid="{C5FF6998-EE55-4642-BE4C-858C32D265B3}" name="Columna2659" dataDxfId="13753"/>
    <tableColumn id="2666" xr3:uid="{10C69F1B-8656-4ADE-AC9C-49F7ECA2E4FA}" name="Columna2660" dataDxfId="13752"/>
    <tableColumn id="2667" xr3:uid="{7C493CAD-E6A8-4564-B5F2-F8B9EA68FF48}" name="Columna2661" dataDxfId="13751"/>
    <tableColumn id="2668" xr3:uid="{72466303-76D7-4456-A00A-6A71BDC1EF29}" name="Columna2662" dataDxfId="13750"/>
    <tableColumn id="2669" xr3:uid="{AD83C01B-6317-4EB4-B857-6C955018178A}" name="Columna2663" dataDxfId="13749"/>
    <tableColumn id="2670" xr3:uid="{80CCC04C-105E-4E76-97CF-3E929CFF15B5}" name="Columna2664" dataDxfId="13748"/>
    <tableColumn id="2671" xr3:uid="{BAF97027-C7EB-415D-9D4F-63F7AA562966}" name="Columna2665" dataDxfId="13747"/>
    <tableColumn id="2672" xr3:uid="{44D1D693-A6E8-4B6E-A4F1-25372882E9E8}" name="Columna2666" dataDxfId="13746"/>
    <tableColumn id="2673" xr3:uid="{A22CFDA6-9981-4B9F-816D-0EF74F860B77}" name="Columna2667" dataDxfId="13745"/>
    <tableColumn id="2674" xr3:uid="{A163395C-9AFA-4483-AD9B-A7567B465389}" name="Columna2668" dataDxfId="13744"/>
    <tableColumn id="2675" xr3:uid="{41FC405C-D415-481E-ADAF-80ADE239C4D7}" name="Columna2669" dataDxfId="13743"/>
    <tableColumn id="2676" xr3:uid="{AEC98C4A-CDEE-44ED-9CCC-4E49C5D3DA10}" name="Columna2670" dataDxfId="13742"/>
    <tableColumn id="2677" xr3:uid="{CAAEB12D-0548-4E62-9A36-F72D1ECD5A1A}" name="Columna2671" dataDxfId="13741"/>
    <tableColumn id="2678" xr3:uid="{26F08DBB-BCEC-4FD1-B692-AEE588098A40}" name="Columna2672" dataDxfId="13740"/>
    <tableColumn id="2679" xr3:uid="{6B11A8BB-C69C-4538-8D32-9CA2572BA3B2}" name="Columna2673" dataDxfId="13739"/>
    <tableColumn id="2680" xr3:uid="{22AAA2A6-6A64-4A2B-B157-1344CF51DF8A}" name="Columna2674" dataDxfId="13738"/>
    <tableColumn id="2681" xr3:uid="{CF26E94C-F12A-4C77-B6ED-00C70A876981}" name="Columna2675" dataDxfId="13737"/>
    <tableColumn id="2682" xr3:uid="{EF4D4284-F3A6-497F-8532-D487A314BC72}" name="Columna2676" dataDxfId="13736"/>
    <tableColumn id="2683" xr3:uid="{C0587A23-BE82-44ED-A415-0FB4AF0A3918}" name="Columna2677" dataDxfId="13735"/>
    <tableColumn id="2684" xr3:uid="{0AC0C6D3-1E08-473E-A136-9B1B46755F9B}" name="Columna2678" dataDxfId="13734"/>
    <tableColumn id="2685" xr3:uid="{E2CD5D7B-4624-4154-A3FD-934362D105CD}" name="Columna2679" dataDxfId="13733"/>
    <tableColumn id="2686" xr3:uid="{71D13588-C419-4DB9-A7E9-57E68AEB0B25}" name="Columna2680" dataDxfId="13732"/>
    <tableColumn id="2687" xr3:uid="{494B3B6A-861F-41C8-9B77-8AD63364CC67}" name="Columna2681" dataDxfId="13731"/>
    <tableColumn id="2688" xr3:uid="{DDC23E97-4A12-4E44-8550-C9789DA7FC86}" name="Columna2682" dataDxfId="13730"/>
    <tableColumn id="2689" xr3:uid="{87A60402-5DAE-4CA9-9BF8-AEC6731ECA66}" name="Columna2683" dataDxfId="13729"/>
    <tableColumn id="2690" xr3:uid="{31F51758-EEC9-4B19-AD87-D6A7EB0A07D7}" name="Columna2684" dataDxfId="13728"/>
    <tableColumn id="2691" xr3:uid="{B18E0D21-FEFA-4F6F-B3F8-0D4D211B91C7}" name="Columna2685" dataDxfId="13727"/>
    <tableColumn id="2692" xr3:uid="{60B88239-BCBC-457B-ACC8-6D2132CD541D}" name="Columna2686" dataDxfId="13726"/>
    <tableColumn id="2693" xr3:uid="{3EE8A39D-68FD-4FB2-91D5-DD53ED0DCC24}" name="Columna2687" dataDxfId="13725"/>
    <tableColumn id="2694" xr3:uid="{261E8491-3FE9-4398-83B6-2A12620E49B2}" name="Columna2688" dataDxfId="13724"/>
    <tableColumn id="2695" xr3:uid="{8D13D04A-984E-4CFE-8F3A-8DB5ADA156DB}" name="Columna2689" dataDxfId="13723"/>
    <tableColumn id="2696" xr3:uid="{F01B27CE-1C00-4449-A493-DFB5266A53AA}" name="Columna2690" dataDxfId="13722"/>
    <tableColumn id="2697" xr3:uid="{1C9C2896-FBFE-49A8-BB80-89E5C8A761A1}" name="Columna2691" dataDxfId="13721"/>
    <tableColumn id="2698" xr3:uid="{5E429A91-53C4-4977-BCCC-8166B8D263A8}" name="Columna2692" dataDxfId="13720"/>
    <tableColumn id="2699" xr3:uid="{6C942D9D-9020-4C60-AB25-3FC1C0200F6D}" name="Columna2693" dataDxfId="13719"/>
    <tableColumn id="2700" xr3:uid="{BFD8A606-0335-4A4C-8F2E-6F7D04E6D352}" name="Columna2694" dataDxfId="13718"/>
    <tableColumn id="2701" xr3:uid="{268893FF-431D-4926-BD67-358326879B54}" name="Columna2695" dataDxfId="13717"/>
    <tableColumn id="2702" xr3:uid="{5F815A64-4E7A-4868-98A7-325094569898}" name="Columna2696" dataDxfId="13716"/>
    <tableColumn id="2703" xr3:uid="{5E409054-52C5-49B5-A244-16C4B1324919}" name="Columna2697" dataDxfId="13715"/>
    <tableColumn id="2704" xr3:uid="{5FD8CB5A-D1E0-4ABE-AC73-C790B50080DC}" name="Columna2698" dataDxfId="13714"/>
    <tableColumn id="2705" xr3:uid="{A5647C49-6697-4372-9F7D-FFE95F337E7A}" name="Columna2699" dataDxfId="13713"/>
    <tableColumn id="2706" xr3:uid="{8379B764-A0AD-4FBB-AD03-3474FAD2A7FF}" name="Columna2700" dataDxfId="13712"/>
    <tableColumn id="2707" xr3:uid="{BC48C504-37FE-4CC2-BC1C-DA644A9C61A1}" name="Columna2701" dataDxfId="13711"/>
    <tableColumn id="2708" xr3:uid="{07095EC2-2F64-460D-B2AF-82747B682251}" name="Columna2702" dataDxfId="13710"/>
    <tableColumn id="2709" xr3:uid="{FA79CA9D-642A-4FDF-8825-DCD1EBFC1B73}" name="Columna2703" dataDxfId="13709"/>
    <tableColumn id="2710" xr3:uid="{F960D354-EFFD-4249-AF7E-7E0631800D1D}" name="Columna2704" dataDxfId="13708"/>
    <tableColumn id="2711" xr3:uid="{6E3E95EA-2747-4623-B1E4-561F30AF5440}" name="Columna2705" dataDxfId="13707"/>
    <tableColumn id="2712" xr3:uid="{A949A1F3-5E02-41E3-9C46-737C7D14D374}" name="Columna2706" dataDxfId="13706"/>
    <tableColumn id="2713" xr3:uid="{90875004-E6EF-4B77-A071-F37895A341D2}" name="Columna2707" dataDxfId="13705"/>
    <tableColumn id="2714" xr3:uid="{DB048E1E-C34C-4317-9E0F-F577D79A4E11}" name="Columna2708" dataDxfId="13704"/>
    <tableColumn id="2715" xr3:uid="{4F3AAD3A-9AC8-4282-8686-1DD45329ADBF}" name="Columna2709" dataDxfId="13703"/>
    <tableColumn id="2716" xr3:uid="{EAD9D42C-FF77-4B96-986F-82759036E2A3}" name="Columna2710" dataDxfId="13702"/>
    <tableColumn id="2717" xr3:uid="{6268E7B2-6632-42C9-88EF-542ED60E5B76}" name="Columna2711" dataDxfId="13701"/>
    <tableColumn id="2718" xr3:uid="{93C77BCC-D9CD-4E67-8332-54CBA7ABA240}" name="Columna2712" dataDxfId="13700"/>
    <tableColumn id="2719" xr3:uid="{BEC66832-9456-4B3B-9383-E9325E5A4199}" name="Columna2713" dataDxfId="13699"/>
    <tableColumn id="2720" xr3:uid="{F9CAFE96-744E-4905-8C7D-579E511300EC}" name="Columna2714" dataDxfId="13698"/>
    <tableColumn id="2721" xr3:uid="{8814EF5A-6DAF-4EB7-A8D9-7F4F87E6B2C4}" name="Columna2715" dataDxfId="13697"/>
    <tableColumn id="2722" xr3:uid="{A7D3AA77-7223-47C5-8596-800CA54427F7}" name="Columna2716" dataDxfId="13696"/>
    <tableColumn id="2723" xr3:uid="{72747081-188E-4D6C-82AD-D0957474A1C3}" name="Columna2717" dataDxfId="13695"/>
    <tableColumn id="2724" xr3:uid="{2EB18B0F-6C0F-46B7-8F40-6F5804AA8345}" name="Columna2718" dataDxfId="13694"/>
    <tableColumn id="2725" xr3:uid="{19590318-3173-418C-BF97-405107ED5403}" name="Columna2719" dataDxfId="13693"/>
    <tableColumn id="2726" xr3:uid="{45F85840-4623-43BC-A792-BE7C0ACCB57F}" name="Columna2720" dataDxfId="13692"/>
    <tableColumn id="2727" xr3:uid="{E52934DB-495E-4BEE-861A-C9778F310B1E}" name="Columna2721" dataDxfId="13691"/>
    <tableColumn id="2728" xr3:uid="{B4CFF4A5-F060-4A79-853E-E629025A52F7}" name="Columna2722" dataDxfId="13690"/>
    <tableColumn id="2729" xr3:uid="{C9CAB839-7D4E-46D8-A04D-C306731A99C6}" name="Columna2723" dataDxfId="13689"/>
    <tableColumn id="2730" xr3:uid="{94694C92-499C-43F8-A600-C11C83E4B867}" name="Columna2724" dataDxfId="13688"/>
    <tableColumn id="2731" xr3:uid="{8BD41074-03B4-4D2A-9DA9-5250AC4D905D}" name="Columna2725" dataDxfId="13687"/>
    <tableColumn id="2732" xr3:uid="{DD874435-8D5A-4C7C-9917-7F3723B09EA0}" name="Columna2726" dataDxfId="13686"/>
    <tableColumn id="2733" xr3:uid="{8B06B3F2-8EBA-4A16-B245-2B461FDF1195}" name="Columna2727" dataDxfId="13685"/>
    <tableColumn id="2734" xr3:uid="{ED57B1AF-3D45-48B5-AA74-63E255FC004D}" name="Columna2728" dataDxfId="13684"/>
    <tableColumn id="2735" xr3:uid="{16C9954F-20C5-4ED8-BAEA-FA08D925E8B6}" name="Columna2729" dataDxfId="13683"/>
    <tableColumn id="2736" xr3:uid="{6135B7A9-3248-4204-84CF-B77CBFDA6676}" name="Columna2730" dataDxfId="13682"/>
    <tableColumn id="2737" xr3:uid="{6FA90369-EE53-4687-A915-56315A40B918}" name="Columna2731" dataDxfId="13681"/>
    <tableColumn id="2738" xr3:uid="{46D37B48-FC31-49C5-AA3B-6FA1143012C5}" name="Columna2732" dataDxfId="13680"/>
    <tableColumn id="2739" xr3:uid="{8C94E2CF-CF42-41D1-9A6B-A367EBFAD8F4}" name="Columna2733" dataDxfId="13679"/>
    <tableColumn id="2740" xr3:uid="{407653B1-86E8-40F6-93E0-8690E7B19705}" name="Columna2734" dataDxfId="13678"/>
    <tableColumn id="2741" xr3:uid="{329D8AE1-0169-4EE9-AD73-7858C82B91FD}" name="Columna2735" dataDxfId="13677"/>
    <tableColumn id="2742" xr3:uid="{03D2C20B-1655-4E79-94CD-502C23B2D1F6}" name="Columna2736" dataDxfId="13676"/>
    <tableColumn id="2743" xr3:uid="{59E13612-7F15-458A-A01B-F2023056A5F2}" name="Columna2737" dataDxfId="13675"/>
    <tableColumn id="2744" xr3:uid="{409FB57D-A2FC-4199-B745-9C8308D868DA}" name="Columna2738" dataDxfId="13674"/>
    <tableColumn id="2745" xr3:uid="{95B3010B-BA87-434C-A1FE-F84B6B110816}" name="Columna2739" dataDxfId="13673"/>
    <tableColumn id="2746" xr3:uid="{3069FD19-A98A-4188-B416-C0181E584395}" name="Columna2740" dataDxfId="13672"/>
    <tableColumn id="2747" xr3:uid="{DF0E09EC-FAF8-4590-9874-C348ED5C6172}" name="Columna2741" dataDxfId="13671"/>
    <tableColumn id="2748" xr3:uid="{401AFFE1-047D-496E-A55E-479D2F01C3F9}" name="Columna2742" dataDxfId="13670"/>
    <tableColumn id="2749" xr3:uid="{1BC7176B-7AB9-4CD3-886F-E84A93B4BC4A}" name="Columna2743" dataDxfId="13669"/>
    <tableColumn id="2750" xr3:uid="{B6CC0252-B988-4C79-BC10-391CEE59668C}" name="Columna2744" dataDxfId="13668"/>
    <tableColumn id="2751" xr3:uid="{C21A6097-B70D-463E-9707-6AC05DFCA160}" name="Columna2745" dataDxfId="13667"/>
    <tableColumn id="2752" xr3:uid="{E86C125C-8D5B-47FE-BF3A-A6101EC176F3}" name="Columna2746" dataDxfId="13666"/>
    <tableColumn id="2753" xr3:uid="{FE39E318-536C-409E-8207-4D0CBABEE98D}" name="Columna2747" dataDxfId="13665"/>
    <tableColumn id="2754" xr3:uid="{39DD71DB-D66C-4CB0-9B8D-9D7BF71D4B2C}" name="Columna2748" dataDxfId="13664"/>
    <tableColumn id="2755" xr3:uid="{68A2B34E-1F3A-4863-ADAA-64D4E186EAA3}" name="Columna2749" dataDxfId="13663"/>
    <tableColumn id="2756" xr3:uid="{C15BA981-FC0D-41E9-B7CF-1F0AA03D1626}" name="Columna2750" dataDxfId="13662"/>
    <tableColumn id="2757" xr3:uid="{0643E15F-AF39-4F28-A603-7636A742AC05}" name="Columna2751" dataDxfId="13661"/>
    <tableColumn id="2758" xr3:uid="{E1988652-9E72-4CF1-9FB1-FC56DC05E2E6}" name="Columna2752" dataDxfId="13660"/>
    <tableColumn id="2759" xr3:uid="{5FF34B35-8DCB-4584-AA24-6EF52644BF15}" name="Columna2753" dataDxfId="13659"/>
    <tableColumn id="2760" xr3:uid="{F763DDD7-A14E-445F-8CB0-1DD0CD8B74C8}" name="Columna2754" dataDxfId="13658"/>
    <tableColumn id="2761" xr3:uid="{5D8FC135-D547-4D2A-A86E-6383B5BEC3ED}" name="Columna2755" dataDxfId="13657"/>
    <tableColumn id="2762" xr3:uid="{AE9DFCAF-F3F5-493A-8078-A16774CF6BD8}" name="Columna2756" dataDxfId="13656"/>
    <tableColumn id="2763" xr3:uid="{C09A37BA-B1BC-4C93-B598-FD08AAE59F95}" name="Columna2757" dataDxfId="13655"/>
    <tableColumn id="2764" xr3:uid="{43B7CC9B-60CC-464A-9B19-28FEACD3D315}" name="Columna2758" dataDxfId="13654"/>
    <tableColumn id="2765" xr3:uid="{B7D7AA8A-F4FB-4FB7-BD71-51FD8542A214}" name="Columna2759" dataDxfId="13653"/>
    <tableColumn id="2766" xr3:uid="{DDA61CB6-6C47-4865-83CC-4B7C0AFD068B}" name="Columna2760" dataDxfId="13652"/>
    <tableColumn id="2767" xr3:uid="{6B2CB320-4BD2-468F-92C3-3025D9FBE895}" name="Columna2761" dataDxfId="13651"/>
    <tableColumn id="2768" xr3:uid="{A7B8F709-801F-4ADE-B754-48225FBBABFB}" name="Columna2762" dataDxfId="13650"/>
    <tableColumn id="2769" xr3:uid="{988148FF-A3F6-4A6B-9BF7-5F1D681C0640}" name="Columna2763" dataDxfId="13649"/>
    <tableColumn id="2770" xr3:uid="{2F33FB99-E4F1-4FA0-96E6-B8AA1E8E6602}" name="Columna2764" dataDxfId="13648"/>
    <tableColumn id="2771" xr3:uid="{446F921A-E04D-4E0D-B8F2-3688A3FA6F62}" name="Columna2765" dataDxfId="13647"/>
    <tableColumn id="2772" xr3:uid="{143DE69A-8951-45FE-84A0-A957A7A69D98}" name="Columna2766" dataDxfId="13646"/>
    <tableColumn id="2773" xr3:uid="{49694865-DF13-43BD-AD8C-AE41E6C668B3}" name="Columna2767" dataDxfId="13645"/>
    <tableColumn id="2774" xr3:uid="{547FED04-1AD3-411C-BE0B-BB5946C3DD33}" name="Columna2768" dataDxfId="13644"/>
    <tableColumn id="2775" xr3:uid="{1EAFD7AC-5994-4F3D-8E93-059FC1959AD1}" name="Columna2769" dataDxfId="13643"/>
    <tableColumn id="2776" xr3:uid="{067794F0-A467-4209-861C-7E2F4589B7DC}" name="Columna2770" dataDxfId="13642"/>
    <tableColumn id="2777" xr3:uid="{79A01201-1F4F-47CC-BB55-A50A586B591B}" name="Columna2771" dataDxfId="13641"/>
    <tableColumn id="2778" xr3:uid="{ADD091C0-6660-47B8-AEFB-C91C657CB3E5}" name="Columna2772" dataDxfId="13640"/>
    <tableColumn id="2779" xr3:uid="{FA59A26C-D070-4488-8FE6-57787B77D98A}" name="Columna2773" dataDxfId="13639"/>
    <tableColumn id="2780" xr3:uid="{8D2602A9-152D-4086-A0E7-E592A9F3703D}" name="Columna2774" dataDxfId="13638"/>
    <tableColumn id="2781" xr3:uid="{D09DE9A0-725F-4DF8-8601-08C367E395F5}" name="Columna2775" dataDxfId="13637"/>
    <tableColumn id="2782" xr3:uid="{44D6100C-0DEB-4716-9566-E8E6735F2ED7}" name="Columna2776" dataDxfId="13636"/>
    <tableColumn id="2783" xr3:uid="{F84C5A74-AC47-49EB-B80D-386AC53FE8AD}" name="Columna2777" dataDxfId="13635"/>
    <tableColumn id="2784" xr3:uid="{95B67C6F-2EED-4A65-AAEF-226C34687400}" name="Columna2778" dataDxfId="13634"/>
    <tableColumn id="2785" xr3:uid="{CF566ABD-EEBD-4871-BF67-A118301404EC}" name="Columna2779" dataDxfId="13633"/>
    <tableColumn id="2786" xr3:uid="{9A396342-5F88-404C-A5E2-A61ECD91BA1E}" name="Columna2780" dataDxfId="13632"/>
    <tableColumn id="2787" xr3:uid="{85AC2737-875F-4C0D-988A-A92387941BCF}" name="Columna2781" dataDxfId="13631"/>
    <tableColumn id="2788" xr3:uid="{1386F20F-A220-4DD0-92FF-36A2F703C998}" name="Columna2782" dataDxfId="13630"/>
    <tableColumn id="2789" xr3:uid="{59932F68-4A09-472B-B79D-55EF81206471}" name="Columna2783" dataDxfId="13629"/>
    <tableColumn id="2790" xr3:uid="{072E4881-EE25-49D0-84BF-D694DED4263A}" name="Columna2784" dataDxfId="13628"/>
    <tableColumn id="2791" xr3:uid="{F097A252-FA3C-4CB1-803D-0D5B5FAC907A}" name="Columna2785" dataDxfId="13627"/>
    <tableColumn id="2792" xr3:uid="{AEFB6B3C-F3E9-4938-AE99-9B92741ADA03}" name="Columna2786" dataDxfId="13626"/>
    <tableColumn id="2793" xr3:uid="{BEA37642-EB45-476A-A9C9-38442D3F9D1F}" name="Columna2787" dataDxfId="13625"/>
    <tableColumn id="2794" xr3:uid="{162437EF-782A-4A76-997F-5B75B2CD081E}" name="Columna2788" dataDxfId="13624"/>
    <tableColumn id="2795" xr3:uid="{68EEE166-23A0-46CF-881C-092D83EC233A}" name="Columna2789" dataDxfId="13623"/>
    <tableColumn id="2796" xr3:uid="{3CC6888E-B30A-4E9C-93F0-A5B78E212929}" name="Columna2790" dataDxfId="13622"/>
    <tableColumn id="2797" xr3:uid="{717FCDC9-78C5-437B-8C6C-A04F73530E90}" name="Columna2791" dataDxfId="13621"/>
    <tableColumn id="2798" xr3:uid="{68E5D195-7806-4875-808D-BA7B38EBFDA3}" name="Columna2792" dataDxfId="13620"/>
    <tableColumn id="2799" xr3:uid="{D2545321-2944-4673-A8C0-A7C5EEAABB3B}" name="Columna2793" dataDxfId="13619"/>
    <tableColumn id="2800" xr3:uid="{74CC578A-B2B7-4AC5-8FF1-3B89ED70D1C6}" name="Columna2794" dataDxfId="13618"/>
    <tableColumn id="2801" xr3:uid="{6112DC38-769C-4777-A75E-FA128DB8C761}" name="Columna2795" dataDxfId="13617"/>
    <tableColumn id="2802" xr3:uid="{8254A0D7-5DCF-4719-BBBD-2072179D9F34}" name="Columna2796" dataDxfId="13616"/>
    <tableColumn id="2803" xr3:uid="{D9DC6C3C-37A7-423D-BA31-1014A1012A1B}" name="Columna2797" dataDxfId="13615"/>
    <tableColumn id="2804" xr3:uid="{4AFE9EEF-FD90-4BB7-92D5-A9B395571CCA}" name="Columna2798" dataDxfId="13614"/>
    <tableColumn id="2805" xr3:uid="{59DD7341-0426-4A4C-B100-9522EF44AF76}" name="Columna2799" dataDxfId="13613"/>
    <tableColumn id="2806" xr3:uid="{5FC92B58-D45F-464C-8BFE-66FA05D99892}" name="Columna2800" dataDxfId="13612"/>
    <tableColumn id="2807" xr3:uid="{5DC52FF5-3136-4774-B9B1-9F78CBE51B59}" name="Columna2801" dataDxfId="13611"/>
    <tableColumn id="2808" xr3:uid="{EA8CD101-32B5-4528-BF5B-7BD39A534489}" name="Columna2802" dataDxfId="13610"/>
    <tableColumn id="2809" xr3:uid="{136575C6-FDD6-4E5A-9D1F-97C5593ADC2C}" name="Columna2803" dataDxfId="13609"/>
    <tableColumn id="2810" xr3:uid="{3872DEB6-640A-44CC-8D9C-F6DD5E42F376}" name="Columna2804" dataDxfId="13608"/>
    <tableColumn id="2811" xr3:uid="{C2922702-1EB9-4B0B-B4C9-5A06BFCA35C5}" name="Columna2805" dataDxfId="13607"/>
    <tableColumn id="2812" xr3:uid="{7F470C84-2FFA-4C14-A82B-78364C3E089C}" name="Columna2806" dataDxfId="13606"/>
    <tableColumn id="2813" xr3:uid="{E2BC3AFD-1499-4C45-9995-7B933D83CAD2}" name="Columna2807" dataDxfId="13605"/>
    <tableColumn id="2814" xr3:uid="{2E46F398-A183-42B2-BCCD-BFCED4F09C64}" name="Columna2808" dataDxfId="13604"/>
    <tableColumn id="2815" xr3:uid="{9251B0CE-B3DB-4B35-9D9C-ADE99BD58BFB}" name="Columna2809" dataDxfId="13603"/>
    <tableColumn id="2816" xr3:uid="{B14326C5-C94E-4467-98EB-92B11BBF1DD5}" name="Columna2810" dataDxfId="13602"/>
    <tableColumn id="2817" xr3:uid="{BE429BAD-14D7-4A98-8E03-77A8F6D4B7D2}" name="Columna2811" dataDxfId="13601"/>
    <tableColumn id="2818" xr3:uid="{57FAE084-73EA-4949-859E-D4722C1AACB2}" name="Columna2812" dataDxfId="13600"/>
    <tableColumn id="2819" xr3:uid="{E1E149E1-DAA9-4CB2-9A1A-11002465536E}" name="Columna2813" dataDxfId="13599"/>
    <tableColumn id="2820" xr3:uid="{8B47B656-46A2-4866-A3BA-F164C861830B}" name="Columna2814" dataDxfId="13598"/>
    <tableColumn id="2821" xr3:uid="{E80312E1-7A45-4781-A4BE-A5A5696A41E2}" name="Columna2815" dataDxfId="13597"/>
    <tableColumn id="2822" xr3:uid="{70BA2A01-7FDA-4FC6-B825-F0EB4DBFCAD2}" name="Columna2816" dataDxfId="13596"/>
    <tableColumn id="2823" xr3:uid="{ACD702F3-2C09-4503-820A-C453FB93A918}" name="Columna2817" dataDxfId="13595"/>
    <tableColumn id="2824" xr3:uid="{7254A867-E80B-47AD-8C7C-41EC0FCFE9FD}" name="Columna2818" dataDxfId="13594"/>
    <tableColumn id="2825" xr3:uid="{029563BC-895F-4445-A996-DAD3DA81AB0B}" name="Columna2819" dataDxfId="13593"/>
    <tableColumn id="2826" xr3:uid="{E937F9AB-5CEE-4A61-9BBF-F5676BB9A2D9}" name="Columna2820" dataDxfId="13592"/>
    <tableColumn id="2827" xr3:uid="{9997C120-F751-4554-88C9-D3A55611F45E}" name="Columna2821" dataDxfId="13591"/>
    <tableColumn id="2828" xr3:uid="{3DB8AEE9-C84D-487B-9B08-DDD954A821BC}" name="Columna2822" dataDxfId="13590"/>
    <tableColumn id="2829" xr3:uid="{481635FD-044C-4B7B-BABC-F7F6A4EC41F0}" name="Columna2823" dataDxfId="13589"/>
    <tableColumn id="2830" xr3:uid="{0280D7C2-995B-4706-9A54-A69ED8C47B4B}" name="Columna2824" dataDxfId="13588"/>
    <tableColumn id="2831" xr3:uid="{813E7C56-D249-49DA-8762-B06B080236B5}" name="Columna2825" dataDxfId="13587"/>
    <tableColumn id="2832" xr3:uid="{ACC9AB74-9CFE-4C22-B505-87C6E60142B1}" name="Columna2826" dataDxfId="13586"/>
    <tableColumn id="2833" xr3:uid="{CD22381E-6705-47FA-B653-3581524F1D3B}" name="Columna2827" dataDxfId="13585"/>
    <tableColumn id="2834" xr3:uid="{856A19B3-0B6D-4898-A97B-C65E4DA376A3}" name="Columna2828" dataDxfId="13584"/>
    <tableColumn id="2835" xr3:uid="{0DB66637-7663-484F-A119-FA990995EBA6}" name="Columna2829" dataDxfId="13583"/>
    <tableColumn id="2836" xr3:uid="{EE6EB25D-0C9C-4428-BF02-C7D6108B2313}" name="Columna2830" dataDxfId="13582"/>
    <tableColumn id="2837" xr3:uid="{A798A03A-4E3B-47A4-86AF-F942292D1807}" name="Columna2831" dataDxfId="13581"/>
    <tableColumn id="2838" xr3:uid="{2565450B-9125-4E75-B348-74334CF06312}" name="Columna2832" dataDxfId="13580"/>
    <tableColumn id="2839" xr3:uid="{09E22192-CCCC-4EC5-B5FB-0B38B199DCCA}" name="Columna2833" dataDxfId="13579"/>
    <tableColumn id="2840" xr3:uid="{3274B9C1-35CC-4603-A278-2F0CC04FB8B6}" name="Columna2834" dataDxfId="13578"/>
    <tableColumn id="2841" xr3:uid="{06E34798-C787-472B-B0F7-ABE33B82A6C0}" name="Columna2835" dataDxfId="13577"/>
    <tableColumn id="2842" xr3:uid="{B906FAF0-A956-432B-A407-16B84534F1EB}" name="Columna2836" dataDxfId="13576"/>
    <tableColumn id="2843" xr3:uid="{50E3964D-170A-45BD-BAB1-09C2016FAA78}" name="Columna2837" dataDxfId="13575"/>
    <tableColumn id="2844" xr3:uid="{1CA36615-E19B-43BA-9054-BDC57B292413}" name="Columna2838" dataDxfId="13574"/>
    <tableColumn id="2845" xr3:uid="{D92B7BE1-9B02-40DE-AE71-4D0FCB1A54DC}" name="Columna2839" dataDxfId="13573"/>
    <tableColumn id="2846" xr3:uid="{9D59F01D-74A0-4BB2-B6B9-DECE60CF77F8}" name="Columna2840" dataDxfId="13572"/>
    <tableColumn id="2847" xr3:uid="{8A72F162-FA27-43B8-826C-47FEA630B3EF}" name="Columna2841" dataDxfId="13571"/>
    <tableColumn id="2848" xr3:uid="{2BEA6403-68A9-4114-A210-8D90A51EDE4A}" name="Columna2842" dataDxfId="13570"/>
    <tableColumn id="2849" xr3:uid="{4EA925B6-6878-4D89-806E-59554D7FD17F}" name="Columna2843" dataDxfId="13569"/>
    <tableColumn id="2850" xr3:uid="{710DEA84-EBCD-4DB3-912A-77164C573BE7}" name="Columna2844" dataDxfId="13568"/>
    <tableColumn id="2851" xr3:uid="{6B6458D5-3793-4FBB-B4BA-47BFE73027D2}" name="Columna2845" dataDxfId="13567"/>
    <tableColumn id="2852" xr3:uid="{ECE82999-6D37-4463-B39D-FACA7615E982}" name="Columna2846" dataDxfId="13566"/>
    <tableColumn id="2853" xr3:uid="{5EE69AE6-62F0-434E-A8CA-F34D73A78532}" name="Columna2847" dataDxfId="13565"/>
    <tableColumn id="2854" xr3:uid="{EB2DC66D-4E8E-4322-B35C-694984EBD6E6}" name="Columna2848" dataDxfId="13564"/>
    <tableColumn id="2855" xr3:uid="{8381B099-6703-4923-B613-A4C30B66798E}" name="Columna2849" dataDxfId="13563"/>
    <tableColumn id="2856" xr3:uid="{87644EEA-3F81-4466-9783-B40F63E2711E}" name="Columna2850" dataDxfId="13562"/>
    <tableColumn id="2857" xr3:uid="{DAB02004-F9FF-48FA-95E7-A1A512520AEE}" name="Columna2851" dataDxfId="13561"/>
    <tableColumn id="2858" xr3:uid="{C8FA215B-C2D3-44CA-9011-894A8D58746B}" name="Columna2852" dataDxfId="13560"/>
    <tableColumn id="2859" xr3:uid="{270255E9-B106-4641-B459-29E8641B10C7}" name="Columna2853" dataDxfId="13559"/>
    <tableColumn id="2860" xr3:uid="{93ED7F8D-8CAE-427A-8082-C197FDDC091A}" name="Columna2854" dataDxfId="13558"/>
    <tableColumn id="2861" xr3:uid="{70F1F593-6D0A-4485-BDF8-0741F9553EA3}" name="Columna2855" dataDxfId="13557"/>
    <tableColumn id="2862" xr3:uid="{BB912F06-50A8-443B-BF33-4C045904C46B}" name="Columna2856" dataDxfId="13556"/>
    <tableColumn id="2863" xr3:uid="{D1FE6B76-A670-4F31-90C7-EFB6CE9C7AB2}" name="Columna2857" dataDxfId="13555"/>
    <tableColumn id="2864" xr3:uid="{A08C55A7-3A4C-44D4-AAE3-E3567892C819}" name="Columna2858" dataDxfId="13554"/>
    <tableColumn id="2865" xr3:uid="{F60C0249-CDFD-4AF5-98F1-B2E7809750B9}" name="Columna2859" dataDxfId="13553"/>
    <tableColumn id="2866" xr3:uid="{72407BF6-6CA9-4F1C-AEB4-C43EEC3A217D}" name="Columna2860" dataDxfId="13552"/>
    <tableColumn id="2867" xr3:uid="{25B7B112-313E-4EDF-9F37-A630BE929D95}" name="Columna2861" dataDxfId="13551"/>
    <tableColumn id="2868" xr3:uid="{C2292228-DAD9-4AFF-A332-433288BA8E71}" name="Columna2862" dataDxfId="13550"/>
    <tableColumn id="2869" xr3:uid="{CDD29887-0BFF-4B37-B65E-2A5052CBA608}" name="Columna2863" dataDxfId="13549"/>
    <tableColumn id="2870" xr3:uid="{866698DE-A700-498A-8C6D-F1C3D75940DD}" name="Columna2864" dataDxfId="13548"/>
    <tableColumn id="2871" xr3:uid="{2C3A9A4E-6C60-4BDE-B534-6894F4E57AEE}" name="Columna2865" dataDxfId="13547"/>
    <tableColumn id="2872" xr3:uid="{1CDB460F-2E1E-4A9D-B8E0-874898A7D27B}" name="Columna2866" dataDxfId="13546"/>
    <tableColumn id="2873" xr3:uid="{56581FA8-BC2F-436D-9D04-993902663474}" name="Columna2867" dataDxfId="13545"/>
    <tableColumn id="2874" xr3:uid="{984EEC49-70E9-4E96-B144-719F91672385}" name="Columna2868" dataDxfId="13544"/>
    <tableColumn id="2875" xr3:uid="{D1455503-7D2A-4A6F-855C-50DB4D25EC05}" name="Columna2869" dataDxfId="13543"/>
    <tableColumn id="2876" xr3:uid="{F1EA4E09-35A9-45A8-86C8-AD48D70B2DB2}" name="Columna2870" dataDxfId="13542"/>
    <tableColumn id="2877" xr3:uid="{DAE627B6-8C86-4C75-9DDF-7EE41954AB2B}" name="Columna2871" dataDxfId="13541"/>
    <tableColumn id="2878" xr3:uid="{FB6BEFE5-E291-46BA-8C0D-3F7495C1B919}" name="Columna2872" dataDxfId="13540"/>
    <tableColumn id="2879" xr3:uid="{353F58A0-C5E3-4075-9B82-7ADEC0080AC6}" name="Columna2873" dataDxfId="13539"/>
    <tableColumn id="2880" xr3:uid="{5190E3F4-698F-4330-A161-38D7E6511A54}" name="Columna2874" dataDxfId="13538"/>
    <tableColumn id="2881" xr3:uid="{884ABDFE-CF57-452E-A67B-5F06B71F49AD}" name="Columna2875" dataDxfId="13537"/>
    <tableColumn id="2882" xr3:uid="{B4F2D9D9-9428-4878-9CCC-059AA56E63C0}" name="Columna2876" dataDxfId="13536"/>
    <tableColumn id="2883" xr3:uid="{2B8EF324-AE22-43B9-BD8C-9B124F1650C2}" name="Columna2877" dataDxfId="13535"/>
    <tableColumn id="2884" xr3:uid="{1344DC68-3CE5-4157-97E9-B58FC8572A8A}" name="Columna2878" dataDxfId="13534"/>
    <tableColumn id="2885" xr3:uid="{99DD1353-F3FC-4859-BF8C-1BE1D6E735C9}" name="Columna2879" dataDxfId="13533"/>
    <tableColumn id="2886" xr3:uid="{4CDEBBED-65B5-4F5B-B361-B0EA2947DE66}" name="Columna2880" dataDxfId="13532"/>
    <tableColumn id="2887" xr3:uid="{A2273659-C29D-40F6-8BF0-20DB954E2345}" name="Columna2881" dataDxfId="13531"/>
    <tableColumn id="2888" xr3:uid="{7394ED45-2A11-4DFE-AF88-2B99E6FFAD35}" name="Columna2882" dataDxfId="13530"/>
    <tableColumn id="2889" xr3:uid="{7C3001CA-D0BA-4C9E-B778-4F12829689D5}" name="Columna2883" dataDxfId="13529"/>
    <tableColumn id="2890" xr3:uid="{79571F33-CB3F-4CE7-B36E-406106A0F223}" name="Columna2884" dataDxfId="13528"/>
    <tableColumn id="2891" xr3:uid="{B63D3574-7067-453D-95B5-4BD0FB8B0731}" name="Columna2885" dataDxfId="13527"/>
    <tableColumn id="2892" xr3:uid="{E40AF987-A923-4C75-A842-04B4BB77E96F}" name="Columna2886" dataDxfId="13526"/>
    <tableColumn id="2893" xr3:uid="{C18677F6-E215-443B-9138-412EA8A468A1}" name="Columna2887" dataDxfId="13525"/>
    <tableColumn id="2894" xr3:uid="{3128C2A9-C0FB-475F-AD81-AC907D669E31}" name="Columna2888" dataDxfId="13524"/>
    <tableColumn id="2895" xr3:uid="{9D3E4E03-FFA1-4789-8282-FDCE26C6EF93}" name="Columna2889" dataDxfId="13523"/>
    <tableColumn id="2896" xr3:uid="{E742BFC2-12B2-41F2-9794-23C4BCCE5112}" name="Columna2890" dataDxfId="13522"/>
    <tableColumn id="2897" xr3:uid="{88A81F44-8C8A-4CEC-B016-915199142FFE}" name="Columna2891" dataDxfId="13521"/>
    <tableColumn id="2898" xr3:uid="{219441F0-5BCC-45E6-A3CE-963EACC4CB67}" name="Columna2892" dataDxfId="13520"/>
    <tableColumn id="2899" xr3:uid="{86BCD860-6B86-41A9-8798-006FAA0E0E95}" name="Columna2893" dataDxfId="13519"/>
    <tableColumn id="2900" xr3:uid="{AD0FF8FD-5B4A-46B7-B297-0A7D28FC9D6A}" name="Columna2894" dataDxfId="13518"/>
    <tableColumn id="2901" xr3:uid="{DA05E695-CD37-4512-9B3F-8FE7F09FADA0}" name="Columna2895" dataDxfId="13517"/>
    <tableColumn id="2902" xr3:uid="{5977DDFF-1F75-40A4-93EA-85753A4BE794}" name="Columna2896" dataDxfId="13516"/>
    <tableColumn id="2903" xr3:uid="{1124BC19-B397-453E-A874-9510CBC8C9A4}" name="Columna2897" dataDxfId="13515"/>
    <tableColumn id="2904" xr3:uid="{EF5EC2CF-EF73-4A8B-8568-F49FD95B6DF8}" name="Columna2898" dataDxfId="13514"/>
    <tableColumn id="2905" xr3:uid="{70FE5F8D-E3EE-46FC-A016-D120E184DAD2}" name="Columna2899" dataDxfId="13513"/>
    <tableColumn id="2906" xr3:uid="{3D6EFA2C-C30E-4052-93C9-3EE4CE7CC256}" name="Columna2900" dataDxfId="13512"/>
    <tableColumn id="2907" xr3:uid="{DC353B42-B743-420B-A743-9D1E25A12DBA}" name="Columna2901" dataDxfId="13511"/>
    <tableColumn id="2908" xr3:uid="{3CD1B3B8-62C7-413E-8404-94E73168CC1D}" name="Columna2902" dataDxfId="13510"/>
    <tableColumn id="2909" xr3:uid="{D2284C85-EE30-482C-BA98-396C5B606302}" name="Columna2903" dataDxfId="13509"/>
    <tableColumn id="2910" xr3:uid="{7C3AA5E2-7F4F-4B58-BED1-B989DDA17BA0}" name="Columna2904" dataDxfId="13508"/>
    <tableColumn id="2911" xr3:uid="{07135E9A-73EB-46D0-B857-2F1842A80240}" name="Columna2905" dataDxfId="13507"/>
    <tableColumn id="2912" xr3:uid="{2928D089-FBF4-47E3-A87C-30A44D65F6F2}" name="Columna2906" dataDxfId="13506"/>
    <tableColumn id="2913" xr3:uid="{D56EC33E-F15D-4166-8FA9-AC8A3DF52B0E}" name="Columna2907" dataDxfId="13505"/>
    <tableColumn id="2914" xr3:uid="{08BA19C7-4AF0-4073-8892-5BF8B52DCC53}" name="Columna2908" dataDxfId="13504"/>
    <tableColumn id="2915" xr3:uid="{F0EC6419-12DD-4998-88A8-C809BA9CE514}" name="Columna2909" dataDxfId="13503"/>
    <tableColumn id="2916" xr3:uid="{06C35F1D-ADF3-4294-9B14-7705AB41049D}" name="Columna2910" dataDxfId="13502"/>
    <tableColumn id="2917" xr3:uid="{C166F42E-704E-4E8C-9C8C-B4D0D54F55DF}" name="Columna2911" dataDxfId="13501"/>
    <tableColumn id="2918" xr3:uid="{1C07356B-97B8-47F5-97EF-8FF5FF926593}" name="Columna2912" dataDxfId="13500"/>
    <tableColumn id="2919" xr3:uid="{4737487F-DA5E-45C9-9479-7F21BD44136D}" name="Columna2913" dataDxfId="13499"/>
    <tableColumn id="2920" xr3:uid="{78A77D64-BE85-485A-B08E-A6969526E155}" name="Columna2914" dataDxfId="13498"/>
    <tableColumn id="2921" xr3:uid="{631660F3-7654-42D0-83C3-1DE0DAAA38B2}" name="Columna2915" dataDxfId="13497"/>
    <tableColumn id="2922" xr3:uid="{A1FC19EA-2A8E-496A-A0DC-AC4900970716}" name="Columna2916" dataDxfId="13496"/>
    <tableColumn id="2923" xr3:uid="{0A43B737-4985-44F2-80D0-1D3D4C488C7A}" name="Columna2917" dataDxfId="13495"/>
    <tableColumn id="2924" xr3:uid="{671C8B4A-047B-47AA-9EB1-EBE3C166090F}" name="Columna2918" dataDxfId="13494"/>
    <tableColumn id="2925" xr3:uid="{5A3F93E1-D1F9-4EBB-BE8D-C714DCF59444}" name="Columna2919" dataDxfId="13493"/>
    <tableColumn id="2926" xr3:uid="{75FE1879-6B17-401A-9970-DD19B5C067FD}" name="Columna2920" dataDxfId="13492"/>
    <tableColumn id="2927" xr3:uid="{B5F73BA9-8915-4126-99C4-BA55B9AFD17D}" name="Columna2921" dataDxfId="13491"/>
    <tableColumn id="2928" xr3:uid="{17FF412A-2B87-4908-AD51-729B44D3E65A}" name="Columna2922" dataDxfId="13490"/>
    <tableColumn id="2929" xr3:uid="{ECB9A925-1A5F-40F7-A76F-DBA2C9006016}" name="Columna2923" dataDxfId="13489"/>
    <tableColumn id="2930" xr3:uid="{EE951A2E-0171-4495-A7E2-F16F95E37558}" name="Columna2924" dataDxfId="13488"/>
    <tableColumn id="2931" xr3:uid="{9B39FB62-F352-4F32-A2C5-C3C80F1B5175}" name="Columna2925" dataDxfId="13487"/>
    <tableColumn id="2932" xr3:uid="{91BEFCF8-4F0A-4DBB-9034-21EB465B514D}" name="Columna2926" dataDxfId="13486"/>
    <tableColumn id="2933" xr3:uid="{846A69A6-BD97-462D-9136-447F386C538B}" name="Columna2927" dataDxfId="13485"/>
    <tableColumn id="2934" xr3:uid="{B146FAFB-B2B5-4DBD-BCC5-A5717B79206F}" name="Columna2928" dataDxfId="13484"/>
    <tableColumn id="2935" xr3:uid="{AEDDA2B5-72C6-4AB8-AE31-EC16CC5E3A93}" name="Columna2929" dataDxfId="13483"/>
    <tableColumn id="2936" xr3:uid="{B34FCEA9-6E21-451D-85D7-C37DBAFFF321}" name="Columna2930" dataDxfId="13482"/>
    <tableColumn id="2937" xr3:uid="{EEE069E8-41E5-4E1A-8396-C7B9AF6CEBD1}" name="Columna2931" dataDxfId="13481"/>
    <tableColumn id="2938" xr3:uid="{AF8B58EF-E392-4E98-BBAB-4DACB989DA0D}" name="Columna2932" dataDxfId="13480"/>
    <tableColumn id="2939" xr3:uid="{3A60D48C-D31F-437B-BDDD-E8ECB6F1755B}" name="Columna2933" dataDxfId="13479"/>
    <tableColumn id="2940" xr3:uid="{3F930C08-0CA2-4BE2-A2FD-DE54702398D8}" name="Columna2934" dataDxfId="13478"/>
    <tableColumn id="2941" xr3:uid="{66D02E1C-CC0B-499C-BCE2-8CF2AA7F1F13}" name="Columna2935" dataDxfId="13477"/>
    <tableColumn id="2942" xr3:uid="{04AA73B8-8A60-4125-BF3E-C323B53B6836}" name="Columna2936" dataDxfId="13476"/>
    <tableColumn id="2943" xr3:uid="{01C11AC1-66A9-4CF8-9B3D-29384C5F5996}" name="Columna2937" dataDxfId="13475"/>
    <tableColumn id="2944" xr3:uid="{E10A1A1E-FDFA-4162-8D0C-AE9A0A1CF22E}" name="Columna2938" dataDxfId="13474"/>
    <tableColumn id="2945" xr3:uid="{72C9AB50-0CD1-4170-B1A7-0A86468500DB}" name="Columna2939" dataDxfId="13473"/>
    <tableColumn id="2946" xr3:uid="{F3F97068-291E-4880-B670-DFD70E8D7323}" name="Columna2940" dataDxfId="13472"/>
    <tableColumn id="2947" xr3:uid="{0FEDB041-E29C-4D6E-BE0D-F689518B3A75}" name="Columna2941" dataDxfId="13471"/>
    <tableColumn id="2948" xr3:uid="{FCEDD1A9-8F19-4F0D-A6FA-5B3824847BA4}" name="Columna2942" dataDxfId="13470"/>
    <tableColumn id="2949" xr3:uid="{830982EB-460C-4F5E-A3FB-FE5DEF7FFE26}" name="Columna2943" dataDxfId="13469"/>
    <tableColumn id="2950" xr3:uid="{4EF54B4E-33E4-4C3C-A14B-BB0A4C2EB900}" name="Columna2944" dataDxfId="13468"/>
    <tableColumn id="2951" xr3:uid="{380846AB-76C8-4BD7-93E7-D582324B30A4}" name="Columna2945" dataDxfId="13467"/>
    <tableColumn id="2952" xr3:uid="{D7E4F8BB-1E0D-4ED3-844C-4D5CC30B7DCA}" name="Columna2946" dataDxfId="13466"/>
    <tableColumn id="2953" xr3:uid="{E2F21AEB-1DB3-4909-9A40-0972C42647BD}" name="Columna2947" dataDxfId="13465"/>
    <tableColumn id="2954" xr3:uid="{F7591375-43A1-4A6A-99D3-0C1B5E955F76}" name="Columna2948" dataDxfId="13464"/>
    <tableColumn id="2955" xr3:uid="{B34590BB-41FC-4412-A3F4-FFE51715000E}" name="Columna2949" dataDxfId="13463"/>
    <tableColumn id="2956" xr3:uid="{6F274B58-8802-4C7D-9F30-207A7C58C10E}" name="Columna2950" dataDxfId="13462"/>
    <tableColumn id="2957" xr3:uid="{8E8CADF6-40DB-48CE-94E0-86CBB0C22DE9}" name="Columna2951" dataDxfId="13461"/>
    <tableColumn id="2958" xr3:uid="{490BC4A0-4444-44D2-A0A5-E40548F62528}" name="Columna2952" dataDxfId="13460"/>
    <tableColumn id="2959" xr3:uid="{F923E392-C6BE-4F01-9673-F08309880503}" name="Columna2953" dataDxfId="13459"/>
    <tableColumn id="2960" xr3:uid="{06332873-589D-4B74-BA88-B1218FA8F6BC}" name="Columna2954" dataDxfId="13458"/>
    <tableColumn id="2961" xr3:uid="{8CD68709-8012-4E3E-B4C6-CC236AD2A8D8}" name="Columna2955" dataDxfId="13457"/>
    <tableColumn id="2962" xr3:uid="{BA4FA4D1-8E37-4CB3-8F5E-788A379F4684}" name="Columna2956" dataDxfId="13456"/>
    <tableColumn id="2963" xr3:uid="{542E0C4E-D4B1-4C60-A791-2C0FCD059CCA}" name="Columna2957" dataDxfId="13455"/>
    <tableColumn id="2964" xr3:uid="{C3A275EE-428B-4D96-97AB-BE7632A74D5B}" name="Columna2958" dataDxfId="13454"/>
    <tableColumn id="2965" xr3:uid="{93A7DBA1-F468-4634-8506-B1F5E72E2DDB}" name="Columna2959" dataDxfId="13453"/>
    <tableColumn id="2966" xr3:uid="{1A35ACF9-3A2C-46E2-AA4F-464BBB8942A8}" name="Columna2960" dataDxfId="13452"/>
    <tableColumn id="2967" xr3:uid="{0CCB579F-6DB6-4D43-8F8E-E95ECBAFA6BD}" name="Columna2961" dataDxfId="13451"/>
    <tableColumn id="2968" xr3:uid="{9415BFFA-8C86-4607-9401-50F0560D31A2}" name="Columna2962" dataDxfId="13450"/>
    <tableColumn id="2969" xr3:uid="{D0950366-F606-4F39-8112-A822E22ED8C5}" name="Columna2963" dataDxfId="13449"/>
    <tableColumn id="2970" xr3:uid="{D8716BC0-3645-4F61-A961-B1EE0BFDCCD2}" name="Columna2964" dataDxfId="13448"/>
    <tableColumn id="2971" xr3:uid="{506B67AF-55EC-4C62-8B3D-C674C463E121}" name="Columna2965" dataDxfId="13447"/>
    <tableColumn id="2972" xr3:uid="{CFB38616-A8E8-4524-B2D6-2EBCDBA7ACC0}" name="Columna2966" dataDxfId="13446"/>
    <tableColumn id="2973" xr3:uid="{D43FB5B3-A4DC-4C84-BF6D-CEF9EAE4A0C0}" name="Columna2967" dataDxfId="13445"/>
    <tableColumn id="2974" xr3:uid="{24CC5CC1-0BFD-47FF-AAA6-39D5BF6CE9A3}" name="Columna2968" dataDxfId="13444"/>
    <tableColumn id="2975" xr3:uid="{008E01BE-2E1F-4DE6-A1AE-537EA6E7F7B1}" name="Columna2969" dataDxfId="13443"/>
    <tableColumn id="2976" xr3:uid="{BFE6C92E-2DD5-4CC6-814F-E0386BEFAE90}" name="Columna2970" dataDxfId="13442"/>
    <tableColumn id="2977" xr3:uid="{B0EA2308-5462-4964-AB14-468E1A91940F}" name="Columna2971" dataDxfId="13441"/>
    <tableColumn id="2978" xr3:uid="{31FDC631-359C-49B5-828C-370821A41098}" name="Columna2972" dataDxfId="13440"/>
    <tableColumn id="2979" xr3:uid="{35456A96-1BF2-44E1-93E7-D8CAD9C3EFB9}" name="Columna2973" dataDxfId="13439"/>
    <tableColumn id="2980" xr3:uid="{A5DF5EC4-8EE2-4D46-A0B6-1D6F527D373E}" name="Columna2974" dataDxfId="13438"/>
    <tableColumn id="2981" xr3:uid="{63993C9C-ACEA-4E53-B05B-1663EAA3B990}" name="Columna2975" dataDxfId="13437"/>
    <tableColumn id="2982" xr3:uid="{4D54CD4B-63FA-40CD-B248-D000C0F30A04}" name="Columna2976" dataDxfId="13436"/>
    <tableColumn id="2983" xr3:uid="{841B3417-A251-4773-B34D-AE45AF1BFF10}" name="Columna2977" dataDxfId="13435"/>
    <tableColumn id="2984" xr3:uid="{77434725-D926-4766-ABBA-27D2CC48DB8E}" name="Columna2978" dataDxfId="13434"/>
    <tableColumn id="2985" xr3:uid="{0C3C2B5C-E9D5-4EED-B9D4-0610DE81ED4D}" name="Columna2979" dataDxfId="13433"/>
    <tableColumn id="2986" xr3:uid="{157DF573-2FA5-42FC-A014-413137894497}" name="Columna2980" dataDxfId="13432"/>
    <tableColumn id="2987" xr3:uid="{4B44E0D8-285B-4639-8086-406504D0646B}" name="Columna2981" dataDxfId="13431"/>
    <tableColumn id="2988" xr3:uid="{217AD5C5-1167-459D-877B-3A2980CC9FD7}" name="Columna2982" dataDxfId="13430"/>
    <tableColumn id="2989" xr3:uid="{7D886DF2-AADC-42B7-8AEE-69109F7F3861}" name="Columna2983" dataDxfId="13429"/>
    <tableColumn id="2990" xr3:uid="{E3488780-D19E-4DB7-B5E8-74A38D0A238E}" name="Columna2984" dataDxfId="13428"/>
    <tableColumn id="2991" xr3:uid="{1715648B-A020-4391-9CDF-F7F876D8F035}" name="Columna2985" dataDxfId="13427"/>
    <tableColumn id="2992" xr3:uid="{F030576F-D51D-4714-8042-DD712E75AE9B}" name="Columna2986" dataDxfId="13426"/>
    <tableColumn id="2993" xr3:uid="{7BFE3E4A-3D63-4AED-AF7F-F2252D74767B}" name="Columna2987" dataDxfId="13425"/>
    <tableColumn id="2994" xr3:uid="{0148A073-94E6-4F47-8C6C-97DE46460C42}" name="Columna2988" dataDxfId="13424"/>
    <tableColumn id="2995" xr3:uid="{3FE48BC8-B20B-4ED3-BE79-8D5F9B8429CC}" name="Columna2989" dataDxfId="13423"/>
    <tableColumn id="2996" xr3:uid="{89E29208-E4AC-4EA6-BD17-4FE7AB86530B}" name="Columna2990" dataDxfId="13422"/>
    <tableColumn id="2997" xr3:uid="{04F11C76-5433-4C21-A41B-D54F85223E74}" name="Columna2991" dataDxfId="13421"/>
    <tableColumn id="2998" xr3:uid="{BA7D46B0-2419-4401-8B17-77EA827822B7}" name="Columna2992" dataDxfId="13420"/>
    <tableColumn id="2999" xr3:uid="{099C1B8A-9324-4CF7-A018-25CCB6D72DF5}" name="Columna2993" dataDxfId="13419"/>
    <tableColumn id="3000" xr3:uid="{44D68A9E-50E5-47AA-B15C-AB11655C9B08}" name="Columna2994" dataDxfId="13418"/>
    <tableColumn id="3001" xr3:uid="{F50627B0-34FE-4F08-9DE5-A73C0CF7FB62}" name="Columna2995" dataDxfId="13417"/>
    <tableColumn id="3002" xr3:uid="{5DE52606-B66C-45B4-8421-2208A3062C52}" name="Columna2996" dataDxfId="13416"/>
    <tableColumn id="3003" xr3:uid="{F0CD0C18-4AA8-45DB-9AF0-A894233E0148}" name="Columna2997" dataDxfId="13415"/>
    <tableColumn id="3004" xr3:uid="{FDA583BB-1B48-4403-8FBC-1492BD31DBE2}" name="Columna2998" dataDxfId="13414"/>
    <tableColumn id="3005" xr3:uid="{A5D68EF0-32EE-4A4C-A97B-E4B9B2833F90}" name="Columna2999" dataDxfId="13413"/>
    <tableColumn id="3006" xr3:uid="{9C9C3CDC-DDB7-44E9-B371-2EEF62F0AC2D}" name="Columna3000" dataDxfId="13412"/>
    <tableColumn id="3007" xr3:uid="{AB02ED7C-11E2-4137-853F-D143E2195F49}" name="Columna3001" dataDxfId="13411"/>
    <tableColumn id="3008" xr3:uid="{16AD1DF1-D351-4A62-A20A-82F438F97750}" name="Columna3002" dataDxfId="13410"/>
    <tableColumn id="3009" xr3:uid="{57E45417-6B22-4150-A2EA-E95C6CA0E287}" name="Columna3003" dataDxfId="13409"/>
    <tableColumn id="3010" xr3:uid="{55148D14-09EA-4B3C-9131-15FC8F1B4D56}" name="Columna3004" dataDxfId="13408"/>
    <tableColumn id="3011" xr3:uid="{75F4415F-A62F-4C6F-A171-F49CD5C3F13D}" name="Columna3005" dataDxfId="13407"/>
    <tableColumn id="3012" xr3:uid="{94318117-AFAD-47A0-918C-E57010A194DF}" name="Columna3006" dataDxfId="13406"/>
    <tableColumn id="3013" xr3:uid="{E9786014-D21D-4ACA-8FA2-6C5217CBB244}" name="Columna3007" dataDxfId="13405"/>
    <tableColumn id="3014" xr3:uid="{2FD053E4-0ACC-4BA8-A71E-029B033DB5A8}" name="Columna3008" dataDxfId="13404"/>
    <tableColumn id="3015" xr3:uid="{12038D6F-F900-452D-9D00-9CC10FF97E84}" name="Columna3009" dataDxfId="13403"/>
    <tableColumn id="3016" xr3:uid="{8120FE14-CB62-4DD6-8307-8347227D5014}" name="Columna3010" dataDxfId="13402"/>
    <tableColumn id="3017" xr3:uid="{7C7BE81E-68FE-4B75-A7F4-458DF5779A0A}" name="Columna3011" dataDxfId="13401"/>
    <tableColumn id="3018" xr3:uid="{1785044A-F064-4CDF-BB58-F1B19262CDCA}" name="Columna3012" dataDxfId="13400"/>
    <tableColumn id="3019" xr3:uid="{B4B510E6-4BB6-444B-BFBC-B4A37B5EEE85}" name="Columna3013" dataDxfId="13399"/>
    <tableColumn id="3020" xr3:uid="{9D575654-CB5B-4CFE-A550-CD15B48402D5}" name="Columna3014" dataDxfId="13398"/>
    <tableColumn id="3021" xr3:uid="{68F2CF44-CF2D-4007-9BD6-6526E37BC2D2}" name="Columna3015" dataDxfId="13397"/>
    <tableColumn id="3022" xr3:uid="{C9318887-2E5E-4545-8A83-73FBA38138BB}" name="Columna3016" dataDxfId="13396"/>
    <tableColumn id="3023" xr3:uid="{4EA58747-CD8E-4D65-9136-1D6B03C320AE}" name="Columna3017" dataDxfId="13395"/>
    <tableColumn id="3024" xr3:uid="{2E2D598D-4A1A-4180-BCD2-14DF96252D77}" name="Columna3018" dataDxfId="13394"/>
    <tableColumn id="3025" xr3:uid="{118DF8AF-CCCA-48B9-9A24-A091A0FA6E44}" name="Columna3019" dataDxfId="13393"/>
    <tableColumn id="3026" xr3:uid="{9593D445-F92E-4BFC-A822-A040F6599DF7}" name="Columna3020" dataDxfId="13392"/>
    <tableColumn id="3027" xr3:uid="{36C455F8-3D12-41B3-A650-510ACF26A855}" name="Columna3021" dataDxfId="13391"/>
    <tableColumn id="3028" xr3:uid="{4DCB9D91-84A2-4B08-83F9-ED012C03D724}" name="Columna3022" dataDxfId="13390"/>
    <tableColumn id="3029" xr3:uid="{60C12740-1052-4DC7-B692-78186E60AE4B}" name="Columna3023" dataDxfId="13389"/>
    <tableColumn id="3030" xr3:uid="{D0E6DEC5-4639-4223-8E0B-3F382E19E1A9}" name="Columna3024" dataDxfId="13388"/>
    <tableColumn id="3031" xr3:uid="{A32321FD-2E72-47BD-B39D-5AD93B8D8FD9}" name="Columna3025" dataDxfId="13387"/>
    <tableColumn id="3032" xr3:uid="{3BEAA9A8-6909-4960-878C-FDEEDD321CB3}" name="Columna3026" dataDxfId="13386"/>
    <tableColumn id="3033" xr3:uid="{7DEF2A44-714D-49A9-B34B-730BE09744B6}" name="Columna3027" dataDxfId="13385"/>
    <tableColumn id="3034" xr3:uid="{2D63E7BE-8B7B-42AF-9607-17F62D3284E6}" name="Columna3028" dataDxfId="13384"/>
    <tableColumn id="3035" xr3:uid="{2E9D9E73-E2BA-41D4-AFFC-BF0351081345}" name="Columna3029" dataDxfId="13383"/>
    <tableColumn id="3036" xr3:uid="{A5E62B1F-161A-45BD-8336-1D74ACD2C767}" name="Columna3030" dataDxfId="13382"/>
    <tableColumn id="3037" xr3:uid="{1804CE48-871C-4C39-BDC4-1B415E1DBE0D}" name="Columna3031" dataDxfId="13381"/>
    <tableColumn id="3038" xr3:uid="{23FF0D8A-35CE-4342-A507-5B2A45A1CAE4}" name="Columna3032" dataDxfId="13380"/>
    <tableColumn id="3039" xr3:uid="{0E513E1F-3CCD-4F9B-9B62-01EBDB020DB3}" name="Columna3033" dataDxfId="13379"/>
    <tableColumn id="3040" xr3:uid="{7243ACF7-4440-43E7-841E-36A14F29D2A8}" name="Columna3034" dataDxfId="13378"/>
    <tableColumn id="3041" xr3:uid="{C39EFCC8-5975-42E6-9B4C-30EFDCE1B47C}" name="Columna3035" dataDxfId="13377"/>
    <tableColumn id="3042" xr3:uid="{6A6F40C3-A095-494E-A362-7A7B54B1304B}" name="Columna3036" dataDxfId="13376"/>
    <tableColumn id="3043" xr3:uid="{912AA4B0-C259-4845-A35E-B3CBD02AABF6}" name="Columna3037" dataDxfId="13375"/>
    <tableColumn id="3044" xr3:uid="{00EC8BFD-CD05-4810-8683-FE37C853CE76}" name="Columna3038" dataDxfId="13374"/>
    <tableColumn id="3045" xr3:uid="{54556B9B-6652-408E-81CE-CB416C265835}" name="Columna3039" dataDxfId="13373"/>
    <tableColumn id="3046" xr3:uid="{9E0D4E86-AD64-4CF6-A652-ACF4C76A320F}" name="Columna3040" dataDxfId="13372"/>
    <tableColumn id="3047" xr3:uid="{DF9DF6AF-5922-4C4D-B8DD-F4A0902F40D4}" name="Columna3041" dataDxfId="13371"/>
    <tableColumn id="3048" xr3:uid="{55218586-C8A3-49D7-BFF1-EC0EE599F065}" name="Columna3042" dataDxfId="13370"/>
    <tableColumn id="3049" xr3:uid="{3ADFE823-F4D0-4941-8680-5538DCBFB7D8}" name="Columna3043" dataDxfId="13369"/>
    <tableColumn id="3050" xr3:uid="{CBDC7770-572D-4C64-9499-B9DE233304AC}" name="Columna3044" dataDxfId="13368"/>
    <tableColumn id="3051" xr3:uid="{628C0301-6927-435C-8B97-6FEF365E1A02}" name="Columna3045" dataDxfId="13367"/>
    <tableColumn id="3052" xr3:uid="{B1438BE5-EDFB-4A84-A0C6-A4C7BBA7D8EB}" name="Columna3046" dataDxfId="13366"/>
    <tableColumn id="3053" xr3:uid="{CA50E96D-2039-4F05-8207-097E2780CB96}" name="Columna3047" dataDxfId="13365"/>
    <tableColumn id="3054" xr3:uid="{E3B27CFB-AF0E-4B9E-95CD-5082758C3A8D}" name="Columna3048" dataDxfId="13364"/>
    <tableColumn id="3055" xr3:uid="{AB278585-AAD2-40AF-97C7-65894BFA287C}" name="Columna3049" dataDxfId="13363"/>
    <tableColumn id="3056" xr3:uid="{6DA53D02-F67F-499B-817A-B33829BC548B}" name="Columna3050" dataDxfId="13362"/>
    <tableColumn id="3057" xr3:uid="{5CA78900-3239-40A9-9F31-4845DEBBC454}" name="Columna3051" dataDxfId="13361"/>
    <tableColumn id="3058" xr3:uid="{9AF5BFD7-55CA-40B5-838B-C852092C5FF9}" name="Columna3052" dataDxfId="13360"/>
    <tableColumn id="3059" xr3:uid="{60F66D56-B01F-4362-8625-BDD9A4856F77}" name="Columna3053" dataDxfId="13359"/>
    <tableColumn id="3060" xr3:uid="{4251C970-2DD6-4289-B028-1304B5B93D1C}" name="Columna3054" dataDxfId="13358"/>
    <tableColumn id="3061" xr3:uid="{925DB3D1-A510-4964-988D-4D9F734C2BBD}" name="Columna3055" dataDxfId="13357"/>
    <tableColumn id="3062" xr3:uid="{404760DF-0624-4B06-9FD7-57B3319832F7}" name="Columna3056" dataDxfId="13356"/>
    <tableColumn id="3063" xr3:uid="{25C941B9-B830-4D8F-8EEF-05C9922E0715}" name="Columna3057" dataDxfId="13355"/>
    <tableColumn id="3064" xr3:uid="{F22AE2B8-402F-49E7-9BC9-4DA83A7CC6D7}" name="Columna3058" dataDxfId="13354"/>
    <tableColumn id="3065" xr3:uid="{8989769A-ECAD-493A-A50E-16B266EC0A89}" name="Columna3059" dataDxfId="13353"/>
    <tableColumn id="3066" xr3:uid="{22C3160E-79E2-45F7-B00D-214F2DA34F28}" name="Columna3060" dataDxfId="13352"/>
    <tableColumn id="3067" xr3:uid="{930DDF66-1AD4-4419-87C3-3DA1CB1D6AE5}" name="Columna3061" dataDxfId="13351"/>
    <tableColumn id="3068" xr3:uid="{DFFFCA35-F317-4664-B0BA-20112966BEC7}" name="Columna3062" dataDxfId="13350"/>
    <tableColumn id="3069" xr3:uid="{BDD0386C-7DDC-4429-AF13-95E0C09D1F65}" name="Columna3063" dataDxfId="13349"/>
    <tableColumn id="3070" xr3:uid="{C8DDE4DE-B828-4B2D-A750-374A5564B193}" name="Columna3064" dataDxfId="13348"/>
    <tableColumn id="3071" xr3:uid="{39F18287-1FB5-4108-BED9-93E3AB9EA46A}" name="Columna3065" dataDxfId="13347"/>
    <tableColumn id="3072" xr3:uid="{B84F53B7-D3E1-49EB-9A91-E8440C7AA118}" name="Columna3066" dataDxfId="13346"/>
    <tableColumn id="3073" xr3:uid="{75DBDF63-6752-441E-84B8-C7ECA3DCECA5}" name="Columna3067" dataDxfId="13345"/>
    <tableColumn id="3074" xr3:uid="{BB837C64-A7BA-45C9-B1FA-D3BD5454A65A}" name="Columna3068" dataDxfId="13344"/>
    <tableColumn id="3075" xr3:uid="{DC74B6BD-1DF7-4A15-A474-394463999BF0}" name="Columna3069" dataDxfId="13343"/>
    <tableColumn id="3076" xr3:uid="{B467C45A-EE06-4D49-989B-2787A90EC9B4}" name="Columna3070" dataDxfId="13342"/>
    <tableColumn id="3077" xr3:uid="{4C38FC24-7681-467B-BA0A-DBE13BEA278D}" name="Columna3071" dataDxfId="13341"/>
    <tableColumn id="3078" xr3:uid="{330400DE-AD37-4F9A-94B7-8C2022E560AB}" name="Columna3072" dataDxfId="13340"/>
    <tableColumn id="3079" xr3:uid="{BA11DB5E-3571-41FB-8AFF-E27BC2F2194F}" name="Columna3073" dataDxfId="13339"/>
    <tableColumn id="3080" xr3:uid="{5400A5E3-57C2-492B-9820-455B2AD8EEC3}" name="Columna3074" dataDxfId="13338"/>
    <tableColumn id="3081" xr3:uid="{0BE7CADF-47BD-4B94-A88B-CA642909F9EA}" name="Columna3075" dataDxfId="13337"/>
    <tableColumn id="3082" xr3:uid="{D70726B0-8827-4B88-8364-B22F9BA5B5B5}" name="Columna3076" dataDxfId="13336"/>
    <tableColumn id="3083" xr3:uid="{9DC30C1E-55EA-490B-8FDB-10F2A4BAFA95}" name="Columna3077" dataDxfId="13335"/>
    <tableColumn id="3084" xr3:uid="{E4CBC206-3B36-40F0-BCD6-2BA6EAE1C268}" name="Columna3078" dataDxfId="13334"/>
    <tableColumn id="3085" xr3:uid="{4DDFA3F1-1F3F-48FC-B624-748F2F742602}" name="Columna3079" dataDxfId="13333"/>
    <tableColumn id="3086" xr3:uid="{2C9854FE-DBDF-47EC-BF5C-95BBFE291BE4}" name="Columna3080" dataDxfId="13332"/>
    <tableColumn id="3087" xr3:uid="{AAD59805-EB5A-4695-97A2-51562308BD8F}" name="Columna3081" dataDxfId="13331"/>
    <tableColumn id="3088" xr3:uid="{1332B4D6-BF84-4BAF-95EB-5CB503397368}" name="Columna3082" dataDxfId="13330"/>
    <tableColumn id="3089" xr3:uid="{33354F2E-7BF2-4F0B-BE6A-3A290E67356A}" name="Columna3083" dataDxfId="13329"/>
    <tableColumn id="3090" xr3:uid="{330DAADE-A0FF-4925-9961-85F1F0644B42}" name="Columna3084" dataDxfId="13328"/>
    <tableColumn id="3091" xr3:uid="{30D6000A-BEC5-4EE4-AFD4-99EF66BC191D}" name="Columna3085" dataDxfId="13327"/>
    <tableColumn id="3092" xr3:uid="{AB897BA8-5819-40B7-9F47-FDD654BC2243}" name="Columna3086" dataDxfId="13326"/>
    <tableColumn id="3093" xr3:uid="{8B97F972-A7AE-44D5-AFC1-4E4E964263D0}" name="Columna3087" dataDxfId="13325"/>
    <tableColumn id="3094" xr3:uid="{F8C4092F-825E-47C7-B948-B3EBE14B5B1B}" name="Columna3088" dataDxfId="13324"/>
    <tableColumn id="3095" xr3:uid="{3790B631-9907-46B8-A824-1D24700656D7}" name="Columna3089" dataDxfId="13323"/>
    <tableColumn id="3096" xr3:uid="{FD637048-FCAE-4041-8908-C6A18ED616F5}" name="Columna3090" dataDxfId="13322"/>
    <tableColumn id="3097" xr3:uid="{9E341F9C-5867-4E4E-AB58-387FF0AC5A15}" name="Columna3091" dataDxfId="13321"/>
    <tableColumn id="3098" xr3:uid="{30A86412-C2A9-4CC4-9292-779F10D83245}" name="Columna3092" dataDxfId="13320"/>
    <tableColumn id="3099" xr3:uid="{AED3877A-B438-49B4-9755-D1B14C5C7E63}" name="Columna3093" dataDxfId="13319"/>
    <tableColumn id="3100" xr3:uid="{64544328-C34A-4D2E-A701-5A6035D597C6}" name="Columna3094" dataDxfId="13318"/>
    <tableColumn id="3101" xr3:uid="{83E1E0DA-A5CE-42A2-AAEC-00ABDC5E2637}" name="Columna3095" dataDxfId="13317"/>
    <tableColumn id="3102" xr3:uid="{72AD5335-30EB-45D0-866D-6F015F553D32}" name="Columna3096" dataDxfId="13316"/>
    <tableColumn id="3103" xr3:uid="{46A38843-713D-4BB4-9161-A5258310D296}" name="Columna3097" dataDxfId="13315"/>
    <tableColumn id="3104" xr3:uid="{367E8A05-3532-46CF-AE60-62714E231E1C}" name="Columna3098" dataDxfId="13314"/>
    <tableColumn id="3105" xr3:uid="{51B02520-05F0-4814-8FAF-B1352AE36AD6}" name="Columna3099" dataDxfId="13313"/>
    <tableColumn id="3106" xr3:uid="{CA8F7CA5-6B1A-4B2B-BA71-97C2BFEA6D8A}" name="Columna3100" dataDxfId="13312"/>
    <tableColumn id="3107" xr3:uid="{D602B40C-AEF6-468F-A7B5-3EBBF293B39E}" name="Columna3101" dataDxfId="13311"/>
    <tableColumn id="3108" xr3:uid="{8BEEA0E6-2A5A-42F9-A59E-F12140055576}" name="Columna3102" dataDxfId="13310"/>
    <tableColumn id="3109" xr3:uid="{C09B8A32-1211-455C-9C7E-EB952B681A3F}" name="Columna3103" dataDxfId="13309"/>
    <tableColumn id="3110" xr3:uid="{217D344E-EB94-44A9-B682-A17D2887C2F2}" name="Columna3104" dataDxfId="13308"/>
    <tableColumn id="3111" xr3:uid="{507CC70E-70F9-4433-9D72-C2EFB7414927}" name="Columna3105" dataDxfId="13307"/>
    <tableColumn id="3112" xr3:uid="{19C729C9-DF95-4026-86E7-5C3E593EFFA7}" name="Columna3106" dataDxfId="13306"/>
    <tableColumn id="3113" xr3:uid="{A458D684-B74D-4EBE-A234-8023B473149C}" name="Columna3107" dataDxfId="13305"/>
    <tableColumn id="3114" xr3:uid="{3F0C6900-4965-4CF3-A9B0-D56D21209395}" name="Columna3108" dataDxfId="13304"/>
    <tableColumn id="3115" xr3:uid="{88743C70-464C-4FDE-82B5-7837187175F3}" name="Columna3109" dataDxfId="13303"/>
    <tableColumn id="3116" xr3:uid="{37FBEDFA-DDA0-43DB-87E8-3C6DC08680E9}" name="Columna3110" dataDxfId="13302"/>
    <tableColumn id="3117" xr3:uid="{8BCA63AA-944B-42A0-ACC4-D24B897A6E2A}" name="Columna3111" dataDxfId="13301"/>
    <tableColumn id="3118" xr3:uid="{03BD33F1-B417-4A00-9F12-B780C59F8A0E}" name="Columna3112" dataDxfId="13300"/>
    <tableColumn id="3119" xr3:uid="{0A903CD3-9C02-449B-AA20-7B0C7F90EE3A}" name="Columna3113" dataDxfId="13299"/>
    <tableColumn id="3120" xr3:uid="{CE83E91B-36B8-4CA4-962B-8158233D41BA}" name="Columna3114" dataDxfId="13298"/>
    <tableColumn id="3121" xr3:uid="{83027B37-5092-4116-85A6-CDEEA8342724}" name="Columna3115" dataDxfId="13297"/>
    <tableColumn id="3122" xr3:uid="{0E0CC303-1655-43D0-A7E9-986FF91AEF0D}" name="Columna3116" dataDxfId="13296"/>
    <tableColumn id="3123" xr3:uid="{C6C81B0D-A24C-4D6A-8FFA-46CFCAEC602F}" name="Columna3117" dataDxfId="13295"/>
    <tableColumn id="3124" xr3:uid="{2550C8A9-6EEA-4FA9-AFB0-AA28D101F7BC}" name="Columna3118" dataDxfId="13294"/>
    <tableColumn id="3125" xr3:uid="{C51F4A8D-CABD-4708-A010-7E78F4C588A3}" name="Columna3119" dataDxfId="13293"/>
    <tableColumn id="3126" xr3:uid="{696B8D79-F52D-4457-9235-1B012D1CDBC2}" name="Columna3120" dataDxfId="13292"/>
    <tableColumn id="3127" xr3:uid="{D08BA436-D9CC-4C88-A15B-CE76F61B0F31}" name="Columna3121" dataDxfId="13291"/>
    <tableColumn id="3128" xr3:uid="{8678D00B-1903-426C-A55A-5F877ED04471}" name="Columna3122" dataDxfId="13290"/>
    <tableColumn id="3129" xr3:uid="{105D08FB-F0F6-496C-B3A3-FA52AC96F91A}" name="Columna3123" dataDxfId="13289"/>
    <tableColumn id="3130" xr3:uid="{B21E417F-D6B3-45FC-AF0E-9F793C7BF60D}" name="Columna3124" dataDxfId="13288"/>
    <tableColumn id="3131" xr3:uid="{91F96952-BE8F-4FB0-B1A1-F87124B7A611}" name="Columna3125" dataDxfId="13287"/>
    <tableColumn id="3132" xr3:uid="{A8589C0E-C4F6-40BF-9168-1654DA2C4225}" name="Columna3126" dataDxfId="13286"/>
    <tableColumn id="3133" xr3:uid="{90B8FDD4-3F84-4214-996B-EBB75B2EB55D}" name="Columna3127" dataDxfId="13285"/>
    <tableColumn id="3134" xr3:uid="{4975AD88-7A6A-4B23-AD78-86933CBBD756}" name="Columna3128" dataDxfId="13284"/>
    <tableColumn id="3135" xr3:uid="{DA401637-8C1E-4B28-AA02-51AFFD5AD6FC}" name="Columna3129" dataDxfId="13283"/>
    <tableColumn id="3136" xr3:uid="{BE97F3D6-3990-4AAD-B01E-B68CD7122C41}" name="Columna3130" dataDxfId="13282"/>
    <tableColumn id="3137" xr3:uid="{E2D21EE8-05B7-4D96-B022-D4A44B03D3B3}" name="Columna3131" dataDxfId="13281"/>
    <tableColumn id="3138" xr3:uid="{E2295977-2526-4CB4-8FE8-F2471317E499}" name="Columna3132" dataDxfId="13280"/>
    <tableColumn id="3139" xr3:uid="{61577008-F337-4A83-ADA1-81B23657C0F0}" name="Columna3133" dataDxfId="13279"/>
    <tableColumn id="3140" xr3:uid="{AC15F9DB-FB61-4F08-9595-AE66F8CBD28C}" name="Columna3134" dataDxfId="13278"/>
    <tableColumn id="3141" xr3:uid="{A0ECD05C-AD83-41E2-A457-892405FB7C9D}" name="Columna3135" dataDxfId="13277"/>
    <tableColumn id="3142" xr3:uid="{B6398AFC-E7E7-4C60-95A5-34204FABE6B5}" name="Columna3136" dataDxfId="13276"/>
    <tableColumn id="3143" xr3:uid="{B271B0FE-12FE-4532-8C24-425CD8CCAB6D}" name="Columna3137" dataDxfId="13275"/>
    <tableColumn id="3144" xr3:uid="{54CC51A0-2047-4CA7-B190-EE6F780FA891}" name="Columna3138" dataDxfId="13274"/>
    <tableColumn id="3145" xr3:uid="{0839212C-D528-4A1F-832B-631F814642FC}" name="Columna3139" dataDxfId="13273"/>
    <tableColumn id="3146" xr3:uid="{BC7F25BE-899C-4BF6-8803-43BA663569C5}" name="Columna3140" dataDxfId="13272"/>
    <tableColumn id="3147" xr3:uid="{9F01898E-684E-4B1B-9EC1-E35454712035}" name="Columna3141" dataDxfId="13271"/>
    <tableColumn id="3148" xr3:uid="{05193370-4BD5-4681-8EB1-C1B2B10CF796}" name="Columna3142" dataDxfId="13270"/>
    <tableColumn id="3149" xr3:uid="{8A32681F-29A7-404C-90B2-F85ED32F49AC}" name="Columna3143" dataDxfId="13269"/>
    <tableColumn id="3150" xr3:uid="{85E67F38-ADAF-46B6-A94A-7EC30592C818}" name="Columna3144" dataDxfId="13268"/>
    <tableColumn id="3151" xr3:uid="{E28C7123-8F88-4D89-8D2A-9F1242A24C4E}" name="Columna3145" dataDxfId="13267"/>
    <tableColumn id="3152" xr3:uid="{8508EDD2-8433-42E3-B868-A4DDD3B27569}" name="Columna3146" dataDxfId="13266"/>
    <tableColumn id="3153" xr3:uid="{FEC6634C-F5F6-44CB-B1DC-02CAD4A57127}" name="Columna3147" dataDxfId="13265"/>
    <tableColumn id="3154" xr3:uid="{B3D85F17-C342-41B5-BB23-9264FB1D43B1}" name="Columna3148" dataDxfId="13264"/>
    <tableColumn id="3155" xr3:uid="{7A0BDFA2-9A0A-4284-8AA9-E5617A351B76}" name="Columna3149" dataDxfId="13263"/>
    <tableColumn id="3156" xr3:uid="{78F4DFCD-ACAE-4768-A33E-3CD871F8B460}" name="Columna3150" dataDxfId="13262"/>
    <tableColumn id="3157" xr3:uid="{D901A3EA-6995-4E7B-9DEF-FB2AA1456292}" name="Columna3151" dataDxfId="13261"/>
    <tableColumn id="3158" xr3:uid="{2B68FC06-87E5-491C-9300-5E4228283479}" name="Columna3152" dataDxfId="13260"/>
    <tableColumn id="3159" xr3:uid="{084EC4E4-FD1C-486A-A383-B36DA7B2F365}" name="Columna3153" dataDxfId="13259"/>
    <tableColumn id="3160" xr3:uid="{F3159F61-7144-4B1E-AFC2-05223E5580F4}" name="Columna3154" dataDxfId="13258"/>
    <tableColumn id="3161" xr3:uid="{FE26F451-B6F4-43F7-B841-20D2406CF01F}" name="Columna3155" dataDxfId="13257"/>
    <tableColumn id="3162" xr3:uid="{E462ED91-3E71-49AA-85C5-5FDA50CFD809}" name="Columna3156" dataDxfId="13256"/>
    <tableColumn id="3163" xr3:uid="{1006735A-2792-4486-87D9-FCBD7E6A6D7D}" name="Columna3157" dataDxfId="13255"/>
    <tableColumn id="3164" xr3:uid="{8F52E43F-D7BB-423B-8CEB-6CA13F2567AF}" name="Columna3158" dataDxfId="13254"/>
    <tableColumn id="3165" xr3:uid="{22C39768-8AB2-467B-9DC5-23CC1325A34B}" name="Columna3159" dataDxfId="13253"/>
    <tableColumn id="3166" xr3:uid="{283F9FB5-5AED-4EB6-9907-4C69455D8D1A}" name="Columna3160" dataDxfId="13252"/>
    <tableColumn id="3167" xr3:uid="{2F5F4C13-6C25-489F-A446-8167F47FE1C0}" name="Columna3161" dataDxfId="13251"/>
    <tableColumn id="3168" xr3:uid="{3FC4321A-9A02-4AAA-9BE9-9E2DEE6E37FC}" name="Columna3162" dataDxfId="13250"/>
    <tableColumn id="3169" xr3:uid="{B7158A5E-D0F4-49CB-8DC2-D29552CCAAE9}" name="Columna3163" dataDxfId="13249"/>
    <tableColumn id="3170" xr3:uid="{3C1EBBF7-CF78-4094-A56F-1650B818A12B}" name="Columna3164" dataDxfId="13248"/>
    <tableColumn id="3171" xr3:uid="{366687E4-4BD0-4DF4-8CBC-CF3B1E542F67}" name="Columna3165" dataDxfId="13247"/>
    <tableColumn id="3172" xr3:uid="{9F64E28E-DD3D-4862-BF61-9BA4DD97B5D0}" name="Columna3166" dataDxfId="13246"/>
    <tableColumn id="3173" xr3:uid="{C2473F32-6D10-4CED-9722-232B5B2C6059}" name="Columna3167" dataDxfId="13245"/>
    <tableColumn id="3174" xr3:uid="{7CB9F730-7218-4AA1-B25B-DD34479DA6B6}" name="Columna3168" dataDxfId="13244"/>
    <tableColumn id="3175" xr3:uid="{D83997D9-FDC9-4F60-8BF2-0EEA498678CF}" name="Columna3169" dataDxfId="13243"/>
    <tableColumn id="3176" xr3:uid="{21BD13B3-BEF4-44D2-B71E-1EA568B56F93}" name="Columna3170" dataDxfId="13242"/>
    <tableColumn id="3177" xr3:uid="{3AF211D3-2CBF-4F58-950F-95E8F138444F}" name="Columna3171" dataDxfId="13241"/>
    <tableColumn id="3178" xr3:uid="{33573013-CF53-4A5F-9818-D1C35F091F86}" name="Columna3172" dataDxfId="13240"/>
    <tableColumn id="3179" xr3:uid="{EE3E8B10-F12F-457F-A712-AD00C370556A}" name="Columna3173" dataDxfId="13239"/>
    <tableColumn id="3180" xr3:uid="{A97C856C-CE40-4F89-90AC-ABE9F3565099}" name="Columna3174" dataDxfId="13238"/>
    <tableColumn id="3181" xr3:uid="{6053CC36-486B-48A8-8102-82196947592A}" name="Columna3175" dataDxfId="13237"/>
    <tableColumn id="3182" xr3:uid="{B489CBBA-6EDD-4C16-8A50-F4E6A8E8380A}" name="Columna3176" dataDxfId="13236"/>
    <tableColumn id="3183" xr3:uid="{3DA14702-7E63-4E3C-B9EC-8CF9BE01D587}" name="Columna3177" dataDxfId="13235"/>
    <tableColumn id="3184" xr3:uid="{A4731DA9-4A83-483C-99BA-AD9A6C4F7D2F}" name="Columna3178" dataDxfId="13234"/>
    <tableColumn id="3185" xr3:uid="{13629186-9680-4DB4-B2F4-B486A41FD89F}" name="Columna3179" dataDxfId="13233"/>
    <tableColumn id="3186" xr3:uid="{4F8A1C9A-EFB5-4CF9-BB9E-F3521BD82102}" name="Columna3180" dataDxfId="13232"/>
    <tableColumn id="3187" xr3:uid="{1E99D74F-324B-481E-B603-CA232A51644D}" name="Columna3181" dataDxfId="13231"/>
    <tableColumn id="3188" xr3:uid="{ED47B2AD-939E-4D68-9912-335DAF4DAF43}" name="Columna3182" dataDxfId="13230"/>
    <tableColumn id="3189" xr3:uid="{48886CA2-0473-4441-A1AD-E595ECB861D8}" name="Columna3183" dataDxfId="13229"/>
    <tableColumn id="3190" xr3:uid="{3819D817-E63B-4047-AE8B-5F0CCBA2D8DB}" name="Columna3184" dataDxfId="13228"/>
    <tableColumn id="3191" xr3:uid="{99526109-5FAC-4226-B4F1-E8857E1EF16D}" name="Columna3185" dataDxfId="13227"/>
    <tableColumn id="3192" xr3:uid="{6F60C039-080C-41DA-A379-5B03FD55549F}" name="Columna3186" dataDxfId="13226"/>
    <tableColumn id="3193" xr3:uid="{3DF12B37-CCE8-4668-88D9-EFF7547F9449}" name="Columna3187" dataDxfId="13225"/>
    <tableColumn id="3194" xr3:uid="{FDB84AC8-0D83-4DAE-BC21-B26CD69C8C0E}" name="Columna3188" dataDxfId="13224"/>
    <tableColumn id="3195" xr3:uid="{686E70CF-822A-45BC-AA96-F4DD6E593CAA}" name="Columna3189" dataDxfId="13223"/>
    <tableColumn id="3196" xr3:uid="{FFFCFBCA-F996-4BF3-81C0-C01E632DC8F2}" name="Columna3190" dataDxfId="13222"/>
    <tableColumn id="3197" xr3:uid="{3E240D8A-609D-4403-A2C9-7D340DD11CFA}" name="Columna3191" dataDxfId="13221"/>
    <tableColumn id="3198" xr3:uid="{444E7E5B-B387-4F3C-8AFC-725979B115B3}" name="Columna3192" dataDxfId="13220"/>
    <tableColumn id="3199" xr3:uid="{A890BECF-32D4-4BDE-9DE2-FB040A2EA7CC}" name="Columna3193" dataDxfId="13219"/>
    <tableColumn id="3200" xr3:uid="{A4B6F078-3C13-4C80-8C66-93B713C201C9}" name="Columna3194" dataDxfId="13218"/>
    <tableColumn id="3201" xr3:uid="{5AE2B692-82B3-4366-A04D-32CC60040A51}" name="Columna3195" dataDxfId="13217"/>
    <tableColumn id="3202" xr3:uid="{5C7BD76D-8831-4B8A-9548-BC627953FAD0}" name="Columna3196" dataDxfId="13216"/>
    <tableColumn id="3203" xr3:uid="{8333CAFB-FBC0-4935-BA14-FB790A905ECE}" name="Columna3197" dataDxfId="13215"/>
    <tableColumn id="3204" xr3:uid="{0B382FBB-FAF1-4BD0-A1AE-CBC9F83252D7}" name="Columna3198" dataDxfId="13214"/>
    <tableColumn id="3205" xr3:uid="{E6C85AE6-F8F5-4E8E-B469-B43CD1D3E0F1}" name="Columna3199" dataDxfId="13213"/>
    <tableColumn id="3206" xr3:uid="{D6A80B27-C07C-4947-809B-F3A7E67EC974}" name="Columna3200" dataDxfId="13212"/>
    <tableColumn id="3207" xr3:uid="{938400A8-6383-4B20-8882-9291F01876D0}" name="Columna3201" dataDxfId="13211"/>
    <tableColumn id="3208" xr3:uid="{1B5081E0-61DE-4318-B6D2-E5AB6EF3D92B}" name="Columna3202" dataDxfId="13210"/>
    <tableColumn id="3209" xr3:uid="{37EB45E0-FB5B-46DB-B3E9-855FA0D5A0B0}" name="Columna3203" dataDxfId="13209"/>
    <tableColumn id="3210" xr3:uid="{456CAB48-BD52-4490-A491-2C2E402DB2E0}" name="Columna3204" dataDxfId="13208"/>
    <tableColumn id="3211" xr3:uid="{407E7662-D5EC-4B80-AAE2-E15D154D44D1}" name="Columna3205" dataDxfId="13207"/>
    <tableColumn id="3212" xr3:uid="{0B9B3FA5-9FFB-45D5-B9DA-1BF27F373C18}" name="Columna3206" dataDxfId="13206"/>
    <tableColumn id="3213" xr3:uid="{343781C6-629B-422F-9EC3-460B70BAB1B8}" name="Columna3207" dataDxfId="13205"/>
    <tableColumn id="3214" xr3:uid="{0B78FE44-2AD0-4A0A-ACCE-53FC57337D97}" name="Columna3208" dataDxfId="13204"/>
    <tableColumn id="3215" xr3:uid="{D4B05DCD-1F69-4125-BB7C-3ABF18F3FE50}" name="Columna3209" dataDxfId="13203"/>
    <tableColumn id="3216" xr3:uid="{52989697-A458-4AF4-8B94-B454FC160590}" name="Columna3210" dataDxfId="13202"/>
    <tableColumn id="3217" xr3:uid="{613EBB81-D315-4696-886B-E565C6C1C391}" name="Columna3211" dataDxfId="13201"/>
    <tableColumn id="3218" xr3:uid="{64A64F0B-9B2E-46E5-81DF-73D0AC3A3CFE}" name="Columna3212" dataDxfId="13200"/>
    <tableColumn id="3219" xr3:uid="{C68E7360-65E4-4097-9F35-192F9D7F7BA3}" name="Columna3213" dataDxfId="13199"/>
    <tableColumn id="3220" xr3:uid="{F2BA4362-DC1E-473F-B4D6-97351CAD8702}" name="Columna3214" dataDxfId="13198"/>
    <tableColumn id="3221" xr3:uid="{5831EC7D-8807-47A5-A979-1EACCE7DC9AE}" name="Columna3215" dataDxfId="13197"/>
    <tableColumn id="3222" xr3:uid="{29F19F58-3EAC-433B-8A3A-62421E17CA88}" name="Columna3216" dataDxfId="13196"/>
    <tableColumn id="3223" xr3:uid="{8617F381-40E6-4401-AA14-B3C507CF1C70}" name="Columna3217" dataDxfId="13195"/>
    <tableColumn id="3224" xr3:uid="{9038A332-F950-4614-998C-8B653C5CE8A8}" name="Columna3218" dataDxfId="13194"/>
    <tableColumn id="3225" xr3:uid="{B6578275-CDC5-46FD-8A72-FFCA71EE3DED}" name="Columna3219" dataDxfId="13193"/>
    <tableColumn id="3226" xr3:uid="{8A55E931-E67B-4383-8460-CC910A84A35B}" name="Columna3220" dataDxfId="13192"/>
    <tableColumn id="3227" xr3:uid="{FDC9E98B-4FD3-4779-AC75-2E8E16F322E8}" name="Columna3221" dataDxfId="13191"/>
    <tableColumn id="3228" xr3:uid="{604E9ECF-D4B7-48BF-AA7B-7AF9030AA73F}" name="Columna3222" dataDxfId="13190"/>
    <tableColumn id="3229" xr3:uid="{6BE01700-CB49-482B-9410-36E3CE8ABDBD}" name="Columna3223" dataDxfId="13189"/>
    <tableColumn id="3230" xr3:uid="{D5F05A67-BC8F-4ECB-A437-5B64A4DA4726}" name="Columna3224" dataDxfId="13188"/>
    <tableColumn id="3231" xr3:uid="{B770908A-DF24-49F0-8D48-46F4B6DF6326}" name="Columna3225" dataDxfId="13187"/>
    <tableColumn id="3232" xr3:uid="{4572DDFF-5763-4DD5-996E-312D403C875B}" name="Columna3226" dataDxfId="13186"/>
    <tableColumn id="3233" xr3:uid="{4A59C68A-E6C4-4374-94E2-8FC25A1787EF}" name="Columna3227" dataDxfId="13185"/>
    <tableColumn id="3234" xr3:uid="{4283584F-7CB3-43A8-B362-216854CDF152}" name="Columna3228" dataDxfId="13184"/>
    <tableColumn id="3235" xr3:uid="{531CEF82-A9C7-4A65-99CF-FCFB99DA920E}" name="Columna3229" dataDxfId="13183"/>
    <tableColumn id="3236" xr3:uid="{93B3F6A0-35EE-4968-804E-807777F337A7}" name="Columna3230" dataDxfId="13182"/>
    <tableColumn id="3237" xr3:uid="{7FD4E1BF-0B4E-4435-847B-7E47D6B562B1}" name="Columna3231" dataDxfId="13181"/>
    <tableColumn id="3238" xr3:uid="{BB5F44F0-2841-4970-AAD3-717AD3589EDF}" name="Columna3232" dataDxfId="13180"/>
    <tableColumn id="3239" xr3:uid="{3E40B048-7A7C-4DBC-A1D4-DA1A7337AB5E}" name="Columna3233" dataDxfId="13179"/>
    <tableColumn id="3240" xr3:uid="{520637C8-71C5-4218-9A10-92D2A65342CE}" name="Columna3234" dataDxfId="13178"/>
    <tableColumn id="3241" xr3:uid="{76A9D7C8-28C5-439B-A80B-174F1F484E45}" name="Columna3235" dataDxfId="13177"/>
    <tableColumn id="3242" xr3:uid="{66179D53-E4BC-49E7-8D31-0C1F69481500}" name="Columna3236" dataDxfId="13176"/>
    <tableColumn id="3243" xr3:uid="{444C6582-4138-465B-AF66-76FC2F6D61FC}" name="Columna3237" dataDxfId="13175"/>
    <tableColumn id="3244" xr3:uid="{D24C1C96-3555-4C39-B005-ED7B9FCFD590}" name="Columna3238" dataDxfId="13174"/>
    <tableColumn id="3245" xr3:uid="{7FFB2D79-E109-4AD1-95C2-2E601F066ECC}" name="Columna3239" dataDxfId="13173"/>
    <tableColumn id="3246" xr3:uid="{32A39FD9-1390-48BD-A906-0197199D3B5D}" name="Columna3240" dataDxfId="13172"/>
    <tableColumn id="3247" xr3:uid="{8FD0F67E-1D6D-4E30-A5F1-A4CFCDA720D4}" name="Columna3241" dataDxfId="13171"/>
    <tableColumn id="3248" xr3:uid="{95CD963F-3BE8-455C-B0B7-2D9CF380CD8F}" name="Columna3242" dataDxfId="13170"/>
    <tableColumn id="3249" xr3:uid="{0B801128-A1A2-4730-9669-3D850CC41F00}" name="Columna3243" dataDxfId="13169"/>
    <tableColumn id="3250" xr3:uid="{82146A97-7C10-4CF1-909E-9DE741B86159}" name="Columna3244" dataDxfId="13168"/>
    <tableColumn id="3251" xr3:uid="{91B07409-A6C5-438E-94C8-ACA694B748E5}" name="Columna3245" dataDxfId="13167"/>
    <tableColumn id="3252" xr3:uid="{701BB668-AA9D-451F-A785-BC4B53B54EE8}" name="Columna3246" dataDxfId="13166"/>
    <tableColumn id="3253" xr3:uid="{65D72024-C342-4B3B-AC70-652DCE830CDB}" name="Columna3247" dataDxfId="13165"/>
    <tableColumn id="3254" xr3:uid="{0A298D95-CD75-4DDD-A1C7-C8EAF6DD6405}" name="Columna3248" dataDxfId="13164"/>
    <tableColumn id="3255" xr3:uid="{3D2614E9-0CFD-4172-9BA0-8E35F772D2A1}" name="Columna3249" dataDxfId="13163"/>
    <tableColumn id="3256" xr3:uid="{D2E5AC82-30AF-4E83-A3E7-A5E94A55160E}" name="Columna3250" dataDxfId="13162"/>
    <tableColumn id="3257" xr3:uid="{80D67101-39BC-4E03-9CA2-C5440337BEA6}" name="Columna3251" dataDxfId="13161"/>
    <tableColumn id="3258" xr3:uid="{A6EE8599-A072-4C76-A0CB-E48C3C6F9174}" name="Columna3252" dataDxfId="13160"/>
    <tableColumn id="3259" xr3:uid="{A6A47FD8-F8B2-4CE3-A8BC-EC954ABB7428}" name="Columna3253" dataDxfId="13159"/>
    <tableColumn id="3260" xr3:uid="{DB2966A8-C2BE-422C-A980-DDB4C9B1FA8D}" name="Columna3254" dataDxfId="13158"/>
    <tableColumn id="3261" xr3:uid="{76147CD7-E0D7-4369-BFE1-5C7AAC45E392}" name="Columna3255" dataDxfId="13157"/>
    <tableColumn id="3262" xr3:uid="{90ACB0B2-35C7-4494-84E2-B5432E134AA9}" name="Columna3256" dataDxfId="13156"/>
    <tableColumn id="3263" xr3:uid="{79EA11B7-BB94-4239-BF7A-D4CD965EE8BB}" name="Columna3257" dataDxfId="13155"/>
    <tableColumn id="3264" xr3:uid="{43E424C1-1226-4D90-87F8-1DC18FD61676}" name="Columna3258" dataDxfId="13154"/>
    <tableColumn id="3265" xr3:uid="{2D14159A-2969-4E9E-AD36-8217A6DA7B16}" name="Columna3259" dataDxfId="13153"/>
    <tableColumn id="3266" xr3:uid="{1C7814C4-6563-4252-87AF-93FDE82A886E}" name="Columna3260" dataDxfId="13152"/>
    <tableColumn id="3267" xr3:uid="{0A56E52A-6AFD-40CA-A3F7-1931216257DA}" name="Columna3261" dataDxfId="13151"/>
    <tableColumn id="3268" xr3:uid="{489F78DD-5D23-4DAF-9A38-5050C03D7386}" name="Columna3262" dataDxfId="13150"/>
    <tableColumn id="3269" xr3:uid="{AEF105A7-2FDC-4C0A-A053-241E0B8D7BC4}" name="Columna3263" dataDxfId="13149"/>
    <tableColumn id="3270" xr3:uid="{AA618869-1801-47CD-9E76-CCE891A9AE0A}" name="Columna3264" dataDxfId="13148"/>
    <tableColumn id="3271" xr3:uid="{7F4C8156-926C-470D-A128-6A8BDE269D55}" name="Columna3265" dataDxfId="13147"/>
    <tableColumn id="3272" xr3:uid="{D92B0FA9-F6FD-4821-94DD-99459EFD2AE2}" name="Columna3266" dataDxfId="13146"/>
    <tableColumn id="3273" xr3:uid="{08246829-9E4C-4697-8F8C-F6EA60E80C6B}" name="Columna3267" dataDxfId="13145"/>
    <tableColumn id="3274" xr3:uid="{E6DB7633-474A-45D6-9258-3DA49CA223A0}" name="Columna3268" dataDxfId="13144"/>
    <tableColumn id="3275" xr3:uid="{DF5594D8-0E51-4C12-82AC-4D4DA4BCC8E1}" name="Columna3269" dataDxfId="13143"/>
    <tableColumn id="3276" xr3:uid="{E037C51D-7203-4D79-9DE8-19A896BFBB9A}" name="Columna3270" dataDxfId="13142"/>
    <tableColumn id="3277" xr3:uid="{21D8EA1B-9702-47A3-A6B2-D2AA14195228}" name="Columna3271" dataDxfId="13141"/>
    <tableColumn id="3278" xr3:uid="{DE17E0AF-9F3C-457D-942D-8E79FA6909AC}" name="Columna3272" dataDxfId="13140"/>
    <tableColumn id="3279" xr3:uid="{91E7A851-75B2-49D5-B690-C65B70F0DC90}" name="Columna3273" dataDxfId="13139"/>
    <tableColumn id="3280" xr3:uid="{D2A90380-1336-4723-8EB5-B35DF11A3203}" name="Columna3274" dataDxfId="13138"/>
    <tableColumn id="3281" xr3:uid="{C0997C29-4E32-4EC3-8071-5E8406CBA918}" name="Columna3275" dataDxfId="13137"/>
    <tableColumn id="3282" xr3:uid="{B352EA78-2EB7-40C0-A55A-1EB29950B169}" name="Columna3276" dataDxfId="13136"/>
    <tableColumn id="3283" xr3:uid="{05CAD6E7-5CE7-4962-A5CD-B376250BA314}" name="Columna3277" dataDxfId="13135"/>
    <tableColumn id="3284" xr3:uid="{1C704671-2289-47B5-997E-4EB97F06CED0}" name="Columna3278" dataDxfId="13134"/>
    <tableColumn id="3285" xr3:uid="{263BD638-57D1-40DE-8CA5-882C5EA3C987}" name="Columna3279" dataDxfId="13133"/>
    <tableColumn id="3286" xr3:uid="{CD433DB7-0C14-45C9-92FE-371F2CAC59F1}" name="Columna3280" dataDxfId="13132"/>
    <tableColumn id="3287" xr3:uid="{DAD549E7-41CF-4A30-A7E3-931ABD768B7D}" name="Columna3281" dataDxfId="13131"/>
    <tableColumn id="3288" xr3:uid="{3BABEC5C-8D3D-47C4-A245-687C2FA507B8}" name="Columna3282" dataDxfId="13130"/>
    <tableColumn id="3289" xr3:uid="{82E6CFC9-232C-4B23-B8FE-FD6A24101B0F}" name="Columna3283" dataDxfId="13129"/>
    <tableColumn id="3290" xr3:uid="{AF1D0569-E823-4ECE-A3E5-6C8638722E85}" name="Columna3284" dataDxfId="13128"/>
    <tableColumn id="3291" xr3:uid="{0A92CA17-D73D-45B0-9C26-33A6877A800D}" name="Columna3285" dataDxfId="13127"/>
    <tableColumn id="3292" xr3:uid="{C2410A90-678B-4C2D-930C-8972EC96B519}" name="Columna3286" dataDxfId="13126"/>
    <tableColumn id="3293" xr3:uid="{AD257614-B80D-4EE7-B3AB-1687EA9429DE}" name="Columna3287" dataDxfId="13125"/>
    <tableColumn id="3294" xr3:uid="{944CF25A-0E22-40F8-8A2B-AB8DA01005FC}" name="Columna3288" dataDxfId="13124"/>
    <tableColumn id="3295" xr3:uid="{530C9F9A-CFCA-401B-8BA9-2884DD99F14E}" name="Columna3289" dataDxfId="13123"/>
    <tableColumn id="3296" xr3:uid="{9B46D2F9-AC1B-4C75-864B-811DB3A8DB33}" name="Columna3290" dataDxfId="13122"/>
    <tableColumn id="3297" xr3:uid="{0E6CB472-018D-44E8-BF06-B7BEA94D7B77}" name="Columna3291" dataDxfId="13121"/>
    <tableColumn id="3298" xr3:uid="{6594E740-E041-448A-B6A1-27C04D15767A}" name="Columna3292" dataDxfId="13120"/>
    <tableColumn id="3299" xr3:uid="{2E42AAD7-6857-4ADF-A090-43AB1CC271A8}" name="Columna3293" dataDxfId="13119"/>
    <tableColumn id="3300" xr3:uid="{0014D3E0-3D9A-41D3-86C0-F198EB5D83CF}" name="Columna3294" dataDxfId="13118"/>
    <tableColumn id="3301" xr3:uid="{361E6E02-C0C2-4969-A091-3F27D7C44D30}" name="Columna3295" dataDxfId="13117"/>
    <tableColumn id="3302" xr3:uid="{7629CA74-F917-4A0E-B54D-8C6A0FA143AF}" name="Columna3296" dataDxfId="13116"/>
    <tableColumn id="3303" xr3:uid="{D7AC419A-9D60-4E9A-B66D-0A4A3068397A}" name="Columna3297" dataDxfId="13115"/>
    <tableColumn id="3304" xr3:uid="{69694C73-91E1-4515-BD13-A4685E46FAAD}" name="Columna3298" dataDxfId="13114"/>
    <tableColumn id="3305" xr3:uid="{BBD9026E-7826-4665-A2AE-400999E87106}" name="Columna3299" dataDxfId="13113"/>
    <tableColumn id="3306" xr3:uid="{BC14503D-192B-4C31-8EDE-F601724A73D6}" name="Columna3300" dataDxfId="13112"/>
    <tableColumn id="3307" xr3:uid="{8243AE70-BBD6-4EDA-99CD-91ACC05A57AC}" name="Columna3301" dataDxfId="13111"/>
    <tableColumn id="3308" xr3:uid="{397ABE8C-C3A1-4095-A9B6-A3741BC651F8}" name="Columna3302" dataDxfId="13110"/>
    <tableColumn id="3309" xr3:uid="{71D5ED0A-F28D-4F87-8FB3-DF23535F88F8}" name="Columna3303" dataDxfId="13109"/>
    <tableColumn id="3310" xr3:uid="{C5DE7CC3-5532-4635-85A1-7A9F4DD4044B}" name="Columna3304" dataDxfId="13108"/>
    <tableColumn id="3311" xr3:uid="{6877D1CB-1ACE-4FE8-9A2A-24A3DA1CF212}" name="Columna3305" dataDxfId="13107"/>
    <tableColumn id="3312" xr3:uid="{DC507D11-1205-409F-99BB-07A9697CC394}" name="Columna3306" dataDxfId="13106"/>
    <tableColumn id="3313" xr3:uid="{05CBC69F-3F10-4978-89A4-9091A9EFD2A4}" name="Columna3307" dataDxfId="13105"/>
    <tableColumn id="3314" xr3:uid="{FFFD361C-95F8-45BB-BF77-CE34DF9E635B}" name="Columna3308" dataDxfId="13104"/>
    <tableColumn id="3315" xr3:uid="{CAD60CFB-3A5D-48E8-9589-200DF9F06696}" name="Columna3309" dataDxfId="13103"/>
    <tableColumn id="3316" xr3:uid="{E4B116DE-802F-4F45-BD6A-EE65F49B0656}" name="Columna3310" dataDxfId="13102"/>
    <tableColumn id="3317" xr3:uid="{D11AAA01-C0E0-48D3-A57F-2739AEE7987C}" name="Columna3311" dataDxfId="13101"/>
    <tableColumn id="3318" xr3:uid="{7F72F00F-9961-47FB-A553-43D671544498}" name="Columna3312" dataDxfId="13100"/>
    <tableColumn id="3319" xr3:uid="{D2FFC487-3489-4185-9FB1-1C1FAC18345F}" name="Columna3313" dataDxfId="13099"/>
    <tableColumn id="3320" xr3:uid="{B102869F-7D23-46E0-8768-2F106C347A87}" name="Columna3314" dataDxfId="13098"/>
    <tableColumn id="3321" xr3:uid="{FE2C4D10-C080-4AEE-8F63-C2974B4181D6}" name="Columna3315" dataDxfId="13097"/>
    <tableColumn id="3322" xr3:uid="{708E64A7-68CA-4119-A20D-F5D1102230CE}" name="Columna3316" dataDxfId="13096"/>
    <tableColumn id="3323" xr3:uid="{CB9AC241-7E77-4F64-B302-6787FD1D12C7}" name="Columna3317" dataDxfId="13095"/>
    <tableColumn id="3324" xr3:uid="{EDD6E431-F084-4536-9990-B90C22CBBB93}" name="Columna3318" dataDxfId="13094"/>
    <tableColumn id="3325" xr3:uid="{EB432088-33EC-4DDA-8F5C-A0F9217A8A94}" name="Columna3319" dataDxfId="13093"/>
    <tableColumn id="3326" xr3:uid="{40270527-E85E-49AB-A35F-A99A7769354F}" name="Columna3320" dataDxfId="13092"/>
    <tableColumn id="3327" xr3:uid="{31A9CECC-7139-4ED5-9EF0-9E2D02581EDB}" name="Columna3321" dataDxfId="13091"/>
    <tableColumn id="3328" xr3:uid="{13B173FE-457D-42DE-B14F-84CC9CCC6055}" name="Columna3322" dataDxfId="13090"/>
    <tableColumn id="3329" xr3:uid="{DE3522FD-75C0-4646-B749-B47B6D26AB2D}" name="Columna3323" dataDxfId="13089"/>
    <tableColumn id="3330" xr3:uid="{0C2B0D22-C482-4286-B607-4EDE0BDEE34B}" name="Columna3324" dataDxfId="13088"/>
    <tableColumn id="3331" xr3:uid="{6D573ED2-D3F0-4FA5-8A7F-446246492BFF}" name="Columna3325" dataDxfId="13087"/>
    <tableColumn id="3332" xr3:uid="{D78F53A0-43C6-4D01-97E6-243703086B12}" name="Columna3326" dataDxfId="13086"/>
    <tableColumn id="3333" xr3:uid="{BB79A882-BA94-4CB9-AE00-DCFF3FED34F9}" name="Columna3327" dataDxfId="13085"/>
    <tableColumn id="3334" xr3:uid="{20F94D7E-8E5A-4B1E-938F-3E47A7E45811}" name="Columna3328" dataDxfId="13084"/>
    <tableColumn id="3335" xr3:uid="{F84FBCE1-C730-4AFC-B90B-63CCAA3EDF0E}" name="Columna3329" dataDxfId="13083"/>
    <tableColumn id="3336" xr3:uid="{198C41E0-8C69-4AE0-B962-CFAC6E47E3D6}" name="Columna3330" dataDxfId="13082"/>
    <tableColumn id="3337" xr3:uid="{DBCF1EDC-BB52-499A-BC36-605C3B3A1D84}" name="Columna3331" dataDxfId="13081"/>
    <tableColumn id="3338" xr3:uid="{93F8BB62-0350-4A0F-BCE2-8D0BB1955714}" name="Columna3332" dataDxfId="13080"/>
    <tableColumn id="3339" xr3:uid="{3E481C99-CB65-4A8E-BB19-29F3EBF0AF58}" name="Columna3333" dataDxfId="13079"/>
    <tableColumn id="3340" xr3:uid="{E4EB74A0-241F-4F98-9636-4D7EB31E51CD}" name="Columna3334" dataDxfId="13078"/>
    <tableColumn id="3341" xr3:uid="{EDC9D4D3-9743-4FB8-A62B-6132236E7C69}" name="Columna3335" dataDxfId="13077"/>
    <tableColumn id="3342" xr3:uid="{D76F55A8-BF80-465F-A97A-59F89345C858}" name="Columna3336" dataDxfId="13076"/>
    <tableColumn id="3343" xr3:uid="{F95D244B-F604-46B2-8783-C41A8EF731D6}" name="Columna3337" dataDxfId="13075"/>
    <tableColumn id="3344" xr3:uid="{F1C8FA8C-1E18-4A91-909B-76540D3BCAC9}" name="Columna3338" dataDxfId="13074"/>
    <tableColumn id="3345" xr3:uid="{88377064-0B0D-413C-9726-6BD79022846B}" name="Columna3339" dataDxfId="13073"/>
    <tableColumn id="3346" xr3:uid="{9FCD8252-EE0A-4EF6-9397-25E07440B400}" name="Columna3340" dataDxfId="13072"/>
    <tableColumn id="3347" xr3:uid="{CDF6E62F-4F8B-4037-A3BB-2A78CE812E3E}" name="Columna3341" dataDxfId="13071"/>
    <tableColumn id="3348" xr3:uid="{AD48FFFF-6ECE-40AE-9B4A-A1FB518A75B3}" name="Columna3342" dataDxfId="13070"/>
    <tableColumn id="3349" xr3:uid="{ADF8AB2A-9C8A-4347-96A5-CF655D787331}" name="Columna3343" dataDxfId="13069"/>
    <tableColumn id="3350" xr3:uid="{51E69B96-9B44-4E15-9027-2A882184B4E7}" name="Columna3344" dataDxfId="13068"/>
    <tableColumn id="3351" xr3:uid="{CEBA41A2-7D47-418C-B920-F5129CA2D992}" name="Columna3345" dataDxfId="13067"/>
    <tableColumn id="3352" xr3:uid="{33E1DD5A-B59C-453F-9E50-A56B4FDF5C7E}" name="Columna3346" dataDxfId="13066"/>
    <tableColumn id="3353" xr3:uid="{CFFD7A90-70CA-434C-855D-13BC17580BFC}" name="Columna3347" dataDxfId="13065"/>
    <tableColumn id="3354" xr3:uid="{531E87D9-09BC-48DD-9FC1-BAEEE2B014BE}" name="Columna3348" dataDxfId="13064"/>
    <tableColumn id="3355" xr3:uid="{38AAB453-7F04-4EFA-9D58-EC1A9D3763E1}" name="Columna3349" dataDxfId="13063"/>
    <tableColumn id="3356" xr3:uid="{5CC7017F-5353-4BA8-AF58-5F2CC8A6C636}" name="Columna3350" dataDxfId="13062"/>
    <tableColumn id="3357" xr3:uid="{60BECDFA-896E-465F-828F-135CACA86BCB}" name="Columna3351" dataDxfId="13061"/>
    <tableColumn id="3358" xr3:uid="{E518E36E-E4A8-4CB4-95B7-C35EDA01B6F3}" name="Columna3352" dataDxfId="13060"/>
    <tableColumn id="3359" xr3:uid="{2F41A703-71A2-4CBE-8A5C-81DEB98B5CAA}" name="Columna3353" dataDxfId="13059"/>
    <tableColumn id="3360" xr3:uid="{55393D4D-55CF-4A39-96EA-BA093754781B}" name="Columna3354" dataDxfId="13058"/>
    <tableColumn id="3361" xr3:uid="{69EE9BE1-F789-4108-A688-B78C4C4D101A}" name="Columna3355" dataDxfId="13057"/>
    <tableColumn id="3362" xr3:uid="{9D13081C-8E3E-4432-AC5A-FEC4DD564574}" name="Columna3356" dataDxfId="13056"/>
    <tableColumn id="3363" xr3:uid="{754A1F71-308C-4367-8C55-9A4997A85093}" name="Columna3357" dataDxfId="13055"/>
    <tableColumn id="3364" xr3:uid="{12E111CA-71C7-4F40-BE29-1401B6911939}" name="Columna3358" dataDxfId="13054"/>
    <tableColumn id="3365" xr3:uid="{8314754A-B4ED-4B13-8C94-923F88F004D1}" name="Columna3359" dataDxfId="13053"/>
    <tableColumn id="3366" xr3:uid="{AF250D67-6DCD-4626-B9A0-FB0A5EBF9F5D}" name="Columna3360" dataDxfId="13052"/>
    <tableColumn id="3367" xr3:uid="{55F43DF2-4DC6-476E-A59F-83086CC624DA}" name="Columna3361" dataDxfId="13051"/>
    <tableColumn id="3368" xr3:uid="{E53E7016-63A9-4807-8D29-2F8E4DE396D5}" name="Columna3362" dataDxfId="13050"/>
    <tableColumn id="3369" xr3:uid="{00840CCB-BB7E-4A99-AB3E-535023029A62}" name="Columna3363" dataDxfId="13049"/>
    <tableColumn id="3370" xr3:uid="{D1414C84-D0F8-420E-855B-832CBE0E397D}" name="Columna3364" dataDxfId="13048"/>
    <tableColumn id="3371" xr3:uid="{5AB1C50D-8C77-48ED-BB64-9F2B7C8393EC}" name="Columna3365" dataDxfId="13047"/>
    <tableColumn id="3372" xr3:uid="{2DCDC75A-B937-44C2-A808-263BBBA9BB64}" name="Columna3366" dataDxfId="13046"/>
    <tableColumn id="3373" xr3:uid="{89499224-AAA3-46EA-A15C-D4A0E4F52FFD}" name="Columna3367" dataDxfId="13045"/>
    <tableColumn id="3374" xr3:uid="{6D98AE53-5551-4B2D-B181-DFACD53D10F4}" name="Columna3368" dataDxfId="13044"/>
    <tableColumn id="3375" xr3:uid="{B13FB7B5-2E80-4EB7-934B-10D929221EDC}" name="Columna3369" dataDxfId="13043"/>
    <tableColumn id="3376" xr3:uid="{037B66CE-9FA2-4B6F-A7B3-451EFD5B3662}" name="Columna3370" dataDxfId="13042"/>
    <tableColumn id="3377" xr3:uid="{5EB9B9CC-950D-42BE-8DFD-F57E00C0BAD3}" name="Columna3371" dataDxfId="13041"/>
    <tableColumn id="3378" xr3:uid="{1DF00BE5-7DF1-4735-B29B-C50B8B862AA3}" name="Columna3372" dataDxfId="13040"/>
    <tableColumn id="3379" xr3:uid="{A885B359-DCF6-4855-9196-E49C67716A54}" name="Columna3373" dataDxfId="13039"/>
    <tableColumn id="3380" xr3:uid="{959687C2-A5CF-45F9-94D5-72BFB43BAA1B}" name="Columna3374" dataDxfId="13038"/>
    <tableColumn id="3381" xr3:uid="{B2A78917-97DA-46A7-AAEF-7C67C0C106CE}" name="Columna3375" dataDxfId="13037"/>
    <tableColumn id="3382" xr3:uid="{B339B6D4-F8D1-4AFD-AF4E-DD772C36B813}" name="Columna3376" dataDxfId="13036"/>
    <tableColumn id="3383" xr3:uid="{5A04FC3D-B841-4C1E-B749-499EA3CAFD50}" name="Columna3377" dataDxfId="13035"/>
    <tableColumn id="3384" xr3:uid="{97246880-21AE-4FC9-8D67-C77F015DB673}" name="Columna3378" dataDxfId="13034"/>
    <tableColumn id="3385" xr3:uid="{83D723C3-6128-4A8C-B441-4A51F132DFA4}" name="Columna3379" dataDxfId="13033"/>
    <tableColumn id="3386" xr3:uid="{529355E9-7548-4228-BF41-63EFA982BE35}" name="Columna3380" dataDxfId="13032"/>
    <tableColumn id="3387" xr3:uid="{B7178276-75D5-49D7-A273-AF6CAA31EF6B}" name="Columna3381" dataDxfId="13031"/>
    <tableColumn id="3388" xr3:uid="{516AD710-6F5C-4F1C-AF1A-836A29F84D36}" name="Columna3382" dataDxfId="13030"/>
    <tableColumn id="3389" xr3:uid="{F5722109-DEC0-4B03-BE33-144ADB103554}" name="Columna3383" dataDxfId="13029"/>
    <tableColumn id="3390" xr3:uid="{D57EE777-5719-4484-96ED-8888F254562E}" name="Columna3384" dataDxfId="13028"/>
    <tableColumn id="3391" xr3:uid="{CD949E6D-9F0F-4C67-BC78-770352D33344}" name="Columna3385" dataDxfId="13027"/>
    <tableColumn id="3392" xr3:uid="{98077DA3-9BB4-430B-ADF1-7AA1B88E0691}" name="Columna3386" dataDxfId="13026"/>
    <tableColumn id="3393" xr3:uid="{70CBE482-E70A-4E18-A147-259E657DAF3C}" name="Columna3387" dataDxfId="13025"/>
    <tableColumn id="3394" xr3:uid="{E717D9FF-C857-4253-B413-76A564BCD02C}" name="Columna3388" dataDxfId="13024"/>
    <tableColumn id="3395" xr3:uid="{1AF006D5-C390-47DB-A775-5FCDA0210C37}" name="Columna3389" dataDxfId="13023"/>
    <tableColumn id="3396" xr3:uid="{CC7769AF-9217-4364-A0AE-627676DA0DA6}" name="Columna3390" dataDxfId="13022"/>
    <tableColumn id="3397" xr3:uid="{25BC68EF-CF0C-4ABB-B8E5-5E43A6BF7A96}" name="Columna3391" dataDxfId="13021"/>
    <tableColumn id="3398" xr3:uid="{7ECBA562-5160-45E5-A7B3-EFD3A4FFBC66}" name="Columna3392" dataDxfId="13020"/>
    <tableColumn id="3399" xr3:uid="{74FE2F71-FE2D-4581-9213-6CACF43EA31F}" name="Columna3393" dataDxfId="13019"/>
    <tableColumn id="3400" xr3:uid="{B3F8C34D-A3D6-412F-BC56-8C3303F62D36}" name="Columna3394" dataDxfId="13018"/>
    <tableColumn id="3401" xr3:uid="{392F0AA6-439D-4FAD-9F62-4879DDB46AB9}" name="Columna3395" dataDxfId="13017"/>
    <tableColumn id="3402" xr3:uid="{418A45DF-5DA0-4CC0-ACA9-CE1F43BC8A7D}" name="Columna3396" dataDxfId="13016"/>
    <tableColumn id="3403" xr3:uid="{5D1858C1-038F-49AC-8063-6DFA296DFEA0}" name="Columna3397" dataDxfId="13015"/>
    <tableColumn id="3404" xr3:uid="{4C0CD887-FE94-430C-8E54-D221C33AD612}" name="Columna3398" dataDxfId="13014"/>
    <tableColumn id="3405" xr3:uid="{88F636E6-C9D0-4F27-AD68-55652477F1AB}" name="Columna3399" dataDxfId="13013"/>
    <tableColumn id="3406" xr3:uid="{4AE0319F-EB88-4B5F-B856-ED840E766EB4}" name="Columna3400" dataDxfId="13012"/>
    <tableColumn id="3407" xr3:uid="{ADF392AB-C807-4300-809F-D6080CAF4B2C}" name="Columna3401" dataDxfId="13011"/>
    <tableColumn id="3408" xr3:uid="{C40F57F8-E307-435A-83A8-99C00ECD5C7B}" name="Columna3402" dataDxfId="13010"/>
    <tableColumn id="3409" xr3:uid="{7CC0992A-6F93-4BE2-8778-B9CF3730AD90}" name="Columna3403" dataDxfId="13009"/>
    <tableColumn id="3410" xr3:uid="{4FA05CA9-F05E-457F-B5F8-7AD071BE4156}" name="Columna3404" dataDxfId="13008"/>
    <tableColumn id="3411" xr3:uid="{C50C19E2-4B05-4376-AB52-2AD3CBCD6A60}" name="Columna3405" dataDxfId="13007"/>
    <tableColumn id="3412" xr3:uid="{211FD87F-35D8-4D2F-9661-2D7DF7642130}" name="Columna3406" dataDxfId="13006"/>
    <tableColumn id="3413" xr3:uid="{B78FBAA0-BE62-49E3-83EF-ACA933D20C37}" name="Columna3407" dataDxfId="13005"/>
    <tableColumn id="3414" xr3:uid="{B47F197A-C775-4E92-98BA-E31EB4E8310E}" name="Columna3408" dataDxfId="13004"/>
    <tableColumn id="3415" xr3:uid="{70C0F866-059B-4554-97FF-1F5F6BC21B65}" name="Columna3409" dataDxfId="13003"/>
    <tableColumn id="3416" xr3:uid="{48F6EA1B-6C04-4EDD-ABE5-3A04A419D7B2}" name="Columna3410" dataDxfId="13002"/>
    <tableColumn id="3417" xr3:uid="{3061EAD7-93D4-407B-AA78-2571921A84E5}" name="Columna3411" dataDxfId="13001"/>
    <tableColumn id="3418" xr3:uid="{E47057E2-8988-4D38-A33A-9ED6603E7A63}" name="Columna3412" dataDxfId="13000"/>
    <tableColumn id="3419" xr3:uid="{3ECD9053-105E-471E-A7E5-B566E80AD6E3}" name="Columna3413" dataDxfId="12999"/>
    <tableColumn id="3420" xr3:uid="{64EF795F-BF82-4EE0-A66A-31B21E108A94}" name="Columna3414" dataDxfId="12998"/>
    <tableColumn id="3421" xr3:uid="{2E95D1BD-F866-4479-ACB9-C57638436716}" name="Columna3415" dataDxfId="12997"/>
    <tableColumn id="3422" xr3:uid="{3CD68DC9-9F5B-4118-9022-CE6C60BBD9E1}" name="Columna3416" dataDxfId="12996"/>
    <tableColumn id="3423" xr3:uid="{C83B8BF0-1754-4C7C-8598-41380736F767}" name="Columna3417" dataDxfId="12995"/>
    <tableColumn id="3424" xr3:uid="{CD0BF184-4CDD-4C45-82EC-54D8F20EB96B}" name="Columna3418" dataDxfId="12994"/>
    <tableColumn id="3425" xr3:uid="{D334A6AD-7419-4525-88D7-64ED3ABA1BE1}" name="Columna3419" dataDxfId="12993"/>
    <tableColumn id="3426" xr3:uid="{C90D3FAB-ED28-42DD-BE6E-C06D968428CD}" name="Columna3420" dataDxfId="12992"/>
    <tableColumn id="3427" xr3:uid="{ED01EDD5-D890-4B61-B9D3-92048DAA50E4}" name="Columna3421" dataDxfId="12991"/>
    <tableColumn id="3428" xr3:uid="{D23009F6-A513-4D8A-A8BE-6923619DAB93}" name="Columna3422" dataDxfId="12990"/>
    <tableColumn id="3429" xr3:uid="{C8216749-3CB8-4A76-859C-E8C5B5482EE9}" name="Columna3423" dataDxfId="12989"/>
    <tableColumn id="3430" xr3:uid="{C2CC3456-2FB4-4BC7-8BEE-CC210614D1C9}" name="Columna3424" dataDxfId="12988"/>
    <tableColumn id="3431" xr3:uid="{5309939E-F4A6-4630-B500-D32B62E5C7FD}" name="Columna3425" dataDxfId="12987"/>
    <tableColumn id="3432" xr3:uid="{BFBB188C-1F72-44B0-8BA7-56C6BD2312F7}" name="Columna3426" dataDxfId="12986"/>
    <tableColumn id="3433" xr3:uid="{3348D011-289C-486E-B30D-C3842D24C774}" name="Columna3427" dataDxfId="12985"/>
    <tableColumn id="3434" xr3:uid="{ECE6D7B3-9EBC-499A-B979-159F6C186C78}" name="Columna3428" dataDxfId="12984"/>
    <tableColumn id="3435" xr3:uid="{BD814F74-EA0E-49FF-ABA9-005120635021}" name="Columna3429" dataDxfId="12983"/>
    <tableColumn id="3436" xr3:uid="{4877CEB5-BC16-4DE3-ABC8-8E8E801F90AD}" name="Columna3430" dataDxfId="12982"/>
    <tableColumn id="3437" xr3:uid="{0DD46E17-8A78-4137-AA5F-23E5A40691E2}" name="Columna3431" dataDxfId="12981"/>
    <tableColumn id="3438" xr3:uid="{BE8DD877-56C2-459C-94B0-9414FBFDF1E8}" name="Columna3432" dataDxfId="12980"/>
    <tableColumn id="3439" xr3:uid="{132D6091-FE79-402A-BB70-DAD528D860AE}" name="Columna3433" dataDxfId="12979"/>
    <tableColumn id="3440" xr3:uid="{43838649-A68F-4E38-9249-0ECFFF27EB66}" name="Columna3434" dataDxfId="12978"/>
    <tableColumn id="3441" xr3:uid="{8723B515-D773-42F5-A3B9-B65BDA066D00}" name="Columna3435" dataDxfId="12977"/>
    <tableColumn id="3442" xr3:uid="{76EA547F-7809-49E5-AA1F-E9EF0269E0C4}" name="Columna3436" dataDxfId="12976"/>
    <tableColumn id="3443" xr3:uid="{BE38A6FD-EC7F-42B8-B987-BB3D4464F9FA}" name="Columna3437" dataDxfId="12975"/>
    <tableColumn id="3444" xr3:uid="{58443189-0BD8-4F64-A98F-772E9F0F30D1}" name="Columna3438" dataDxfId="12974"/>
    <tableColumn id="3445" xr3:uid="{F6EFFC83-C2AE-4F6B-B259-CFEABC0940B1}" name="Columna3439" dataDxfId="12973"/>
    <tableColumn id="3446" xr3:uid="{F3328BBB-B176-4BD9-BAEB-EED3FA7EC052}" name="Columna3440" dataDxfId="12972"/>
    <tableColumn id="3447" xr3:uid="{6BB30ADA-4BE6-4BA3-8261-9CA7AA67271B}" name="Columna3441" dataDxfId="12971"/>
    <tableColumn id="3448" xr3:uid="{4E0186B7-99D8-4F14-AB4E-85008E28B2B1}" name="Columna3442" dataDxfId="12970"/>
    <tableColumn id="3449" xr3:uid="{9DCB4B97-9E8F-4CB5-A9E8-61E19D51E19A}" name="Columna3443" dataDxfId="12969"/>
    <tableColumn id="3450" xr3:uid="{E455EC47-6EA9-489E-9ECD-3EF411B6975B}" name="Columna3444" dataDxfId="12968"/>
    <tableColumn id="3451" xr3:uid="{C546600C-CE21-4E26-BCEB-7EA85B371B12}" name="Columna3445" dataDxfId="12967"/>
    <tableColumn id="3452" xr3:uid="{1037C127-5D2C-43F8-995E-08F39A812981}" name="Columna3446" dataDxfId="12966"/>
    <tableColumn id="3453" xr3:uid="{69D82C59-B7C8-431E-8DA3-CBCB3367D3F5}" name="Columna3447" dataDxfId="12965"/>
    <tableColumn id="3454" xr3:uid="{FA8BA1FE-528D-407E-8301-5982C061F383}" name="Columna3448" dataDxfId="12964"/>
    <tableColumn id="3455" xr3:uid="{7ADA8D51-AD38-4800-80C9-BAAEECBB08F1}" name="Columna3449" dataDxfId="12963"/>
    <tableColumn id="3456" xr3:uid="{834656A1-A10F-4254-AFDB-C550DCE15F2B}" name="Columna3450" dataDxfId="12962"/>
    <tableColumn id="3457" xr3:uid="{D1B451F5-F4B6-484F-9272-94A8D651CB30}" name="Columna3451" dataDxfId="12961"/>
    <tableColumn id="3458" xr3:uid="{A62809EB-1FCC-4F42-93F7-4CA071963B90}" name="Columna3452" dataDxfId="12960"/>
    <tableColumn id="3459" xr3:uid="{FD851C61-4EB5-4807-82DE-807EB183025A}" name="Columna3453" dataDxfId="12959"/>
    <tableColumn id="3460" xr3:uid="{8F955A54-FACE-4FC9-AF5F-F3F635493CFB}" name="Columna3454" dataDxfId="12958"/>
    <tableColumn id="3461" xr3:uid="{27FCD684-6A76-43E5-9297-521EBDAA539D}" name="Columna3455" dataDxfId="12957"/>
    <tableColumn id="3462" xr3:uid="{687F1E49-C420-4F44-BEEA-F4A13547613D}" name="Columna3456" dataDxfId="12956"/>
    <tableColumn id="3463" xr3:uid="{E713B78E-120C-44AD-A1FE-9524DAFEF5DF}" name="Columna3457" dataDxfId="12955"/>
    <tableColumn id="3464" xr3:uid="{1567E530-BEDB-43ED-91BB-4F2C69CE1744}" name="Columna3458" dataDxfId="12954"/>
    <tableColumn id="3465" xr3:uid="{2B701D05-782E-4973-9ABB-6494B396A672}" name="Columna3459" dataDxfId="12953"/>
    <tableColumn id="3466" xr3:uid="{8D9F46D5-05BB-4709-A22D-CB6AF96051E5}" name="Columna3460" dataDxfId="12952"/>
    <tableColumn id="3467" xr3:uid="{34A80A69-91DF-480F-9F7E-E676BA9DB7F3}" name="Columna3461" dataDxfId="12951"/>
    <tableColumn id="3468" xr3:uid="{6CC1E933-794B-484F-9FAC-8FE6FA04D6B8}" name="Columna3462" dataDxfId="12950"/>
    <tableColumn id="3469" xr3:uid="{B973929E-D2CF-4352-877E-DF4F929E2596}" name="Columna3463" dataDxfId="12949"/>
    <tableColumn id="3470" xr3:uid="{1B0F6EBD-7A28-439F-86F6-15E3D0B442CD}" name="Columna3464" dataDxfId="12948"/>
    <tableColumn id="3471" xr3:uid="{D3043A15-4D70-4A1E-813E-EB4F3DD38BE3}" name="Columna3465" dataDxfId="12947"/>
    <tableColumn id="3472" xr3:uid="{6339378C-2B44-4379-B3E5-BA0F6C15295D}" name="Columna3466" dataDxfId="12946"/>
    <tableColumn id="3473" xr3:uid="{2F383008-224C-40DF-A4BB-4DA631F4E8CF}" name="Columna3467" dataDxfId="12945"/>
    <tableColumn id="3474" xr3:uid="{87981AFB-57DD-4B98-9158-AB5C693F8C12}" name="Columna3468" dataDxfId="12944"/>
    <tableColumn id="3475" xr3:uid="{FF0DA5F6-9838-4FE6-B472-07B62891A987}" name="Columna3469" dataDxfId="12943"/>
    <tableColumn id="3476" xr3:uid="{9E5BF349-F6B7-4729-8EF7-F178152F314E}" name="Columna3470" dataDxfId="12942"/>
    <tableColumn id="3477" xr3:uid="{AAE452E1-4A7C-4D5D-9197-FFC96CD899C0}" name="Columna3471" dataDxfId="12941"/>
    <tableColumn id="3478" xr3:uid="{733569E9-7E96-4B27-B857-C1A4BED6DAF4}" name="Columna3472" dataDxfId="12940"/>
    <tableColumn id="3479" xr3:uid="{872233D4-E787-4FD9-A298-6C67EB070499}" name="Columna3473" dataDxfId="12939"/>
    <tableColumn id="3480" xr3:uid="{AFD0977F-CAF8-4594-A041-2365194808C3}" name="Columna3474" dataDxfId="12938"/>
    <tableColumn id="3481" xr3:uid="{F8DFEC75-152E-47DF-9598-48A1C13098BF}" name="Columna3475" dataDxfId="12937"/>
    <tableColumn id="3482" xr3:uid="{467CCCCC-1F0B-4106-A129-C7B6D46F94C9}" name="Columna3476" dataDxfId="12936"/>
    <tableColumn id="3483" xr3:uid="{B6524E36-A275-400E-9FC8-95FAEE782A0C}" name="Columna3477" dataDxfId="12935"/>
    <tableColumn id="3484" xr3:uid="{307FA539-BB01-43A7-BDAD-5158DC6BA515}" name="Columna3478" dataDxfId="12934"/>
    <tableColumn id="3485" xr3:uid="{8E4CC66B-1845-4415-86E2-9B8559E22E0F}" name="Columna3479" dataDxfId="12933"/>
    <tableColumn id="3486" xr3:uid="{5F3B6811-2147-4EE6-BA2F-03A67F4FD040}" name="Columna3480" dataDxfId="12932"/>
    <tableColumn id="3487" xr3:uid="{E3D020D9-258D-495C-8F07-CB65B8453481}" name="Columna3481" dataDxfId="12931"/>
    <tableColumn id="3488" xr3:uid="{E5464C53-8EAE-40D9-BAE7-7E8D706A0A5B}" name="Columna3482" dataDxfId="12930"/>
    <tableColumn id="3489" xr3:uid="{7A3E5AAE-5B58-431F-9EB8-9E7BD1DB73D5}" name="Columna3483" dataDxfId="12929"/>
    <tableColumn id="3490" xr3:uid="{ECC9EDE5-F755-4D31-8351-35D5FE9BD037}" name="Columna3484" dataDxfId="12928"/>
    <tableColumn id="3491" xr3:uid="{998AE00C-C13C-479D-9F3E-845A1DB08FAF}" name="Columna3485" dataDxfId="12927"/>
    <tableColumn id="3492" xr3:uid="{977A426F-6297-433C-93A9-CA8E3F3C992C}" name="Columna3486" dataDxfId="12926"/>
    <tableColumn id="3493" xr3:uid="{3B6CCF47-3302-4D53-A468-0C256B439A2A}" name="Columna3487" dataDxfId="12925"/>
    <tableColumn id="3494" xr3:uid="{DD622CBD-4DE4-4D8F-AE2A-E297E8D5F6C6}" name="Columna3488" dataDxfId="12924"/>
    <tableColumn id="3495" xr3:uid="{4D608389-5C2C-4CA1-B62F-564891EC5956}" name="Columna3489" dataDxfId="12923"/>
    <tableColumn id="3496" xr3:uid="{39BADF60-1CBC-4BD5-9E04-42E07A2E997F}" name="Columna3490" dataDxfId="12922"/>
    <tableColumn id="3497" xr3:uid="{48288FCF-F8EB-49F4-84A1-5E15360C25BF}" name="Columna3491" dataDxfId="12921"/>
    <tableColumn id="3498" xr3:uid="{52237D1F-C3C1-41AB-95D5-DD193098DA54}" name="Columna3492" dataDxfId="12920"/>
    <tableColumn id="3499" xr3:uid="{D282898A-FC1D-43D4-A711-7E678496B423}" name="Columna3493" dataDxfId="12919"/>
    <tableColumn id="3500" xr3:uid="{FC264A8C-FC29-412A-B79E-A31F8BDEE567}" name="Columna3494" dataDxfId="12918"/>
    <tableColumn id="3501" xr3:uid="{FEEC459F-C599-4E30-923C-B2F40893CCE3}" name="Columna3495" dataDxfId="12917"/>
    <tableColumn id="3502" xr3:uid="{B0118804-4A7A-4BE1-8DF8-ACD3DEC4372A}" name="Columna3496" dataDxfId="12916"/>
    <tableColumn id="3503" xr3:uid="{BCAE92E2-B65B-4BC1-A1FB-6F2B6C70E9DD}" name="Columna3497" dataDxfId="12915"/>
    <tableColumn id="3504" xr3:uid="{4E772E9A-88B8-49B0-9BEA-785AC6500F17}" name="Columna3498" dataDxfId="12914"/>
    <tableColumn id="3505" xr3:uid="{0B224DC8-1DF2-4584-B312-2B72C67F985D}" name="Columna3499" dataDxfId="12913"/>
    <tableColumn id="3506" xr3:uid="{719B3F38-075D-4158-BFB2-4E2D119A5686}" name="Columna3500" dataDxfId="12912"/>
    <tableColumn id="3507" xr3:uid="{660B3C97-1DB1-4F0B-BCF4-08929BF3A8B6}" name="Columna3501" dataDxfId="12911"/>
    <tableColumn id="3508" xr3:uid="{D5D99FEE-3387-4685-9C9D-A02132F9B1AF}" name="Columna3502" dataDxfId="12910"/>
    <tableColumn id="3509" xr3:uid="{3D0148B2-5B08-4787-A136-3485BA6EC452}" name="Columna3503" dataDxfId="12909"/>
    <tableColumn id="3510" xr3:uid="{04065EC7-3FF6-4D93-90CE-82DE927C848D}" name="Columna3504" dataDxfId="12908"/>
    <tableColumn id="3511" xr3:uid="{B2E1DBBC-3F61-40C0-BEA1-4D48A27EE373}" name="Columna3505" dataDxfId="12907"/>
    <tableColumn id="3512" xr3:uid="{403FB931-32AD-4278-A525-83F145C55BB2}" name="Columna3506" dataDxfId="12906"/>
    <tableColumn id="3513" xr3:uid="{FDFDDF8F-0524-41CA-8A55-E4E624C13201}" name="Columna3507" dataDxfId="12905"/>
    <tableColumn id="3514" xr3:uid="{44D845A7-C53C-4921-8DDE-456A158B4FA0}" name="Columna3508" dataDxfId="12904"/>
    <tableColumn id="3515" xr3:uid="{88BAA840-7FCE-478D-B90E-0D0074959C69}" name="Columna3509" dataDxfId="12903"/>
    <tableColumn id="3516" xr3:uid="{C1C22875-2548-44B0-B254-51C1918652AC}" name="Columna3510" dataDxfId="12902"/>
    <tableColumn id="3517" xr3:uid="{E0BCD667-8EF8-4EF0-AA58-B86E6A35A433}" name="Columna3511" dataDxfId="12901"/>
    <tableColumn id="3518" xr3:uid="{0BC540FD-78B0-4B33-8762-1B00DED5C46C}" name="Columna3512" dataDxfId="12900"/>
    <tableColumn id="3519" xr3:uid="{5B62316F-5A39-4157-886B-25E675506111}" name="Columna3513" dataDxfId="12899"/>
    <tableColumn id="3520" xr3:uid="{4A08ED46-503E-477D-AAF1-A7AFD36A3C6C}" name="Columna3514" dataDxfId="12898"/>
    <tableColumn id="3521" xr3:uid="{157E279F-9051-4C0C-83EA-A33215B0B77E}" name="Columna3515" dataDxfId="12897"/>
    <tableColumn id="3522" xr3:uid="{1E028B99-1C1D-4919-B1D8-05D52FA0D2BD}" name="Columna3516" dataDxfId="12896"/>
    <tableColumn id="3523" xr3:uid="{46ECFE01-CDC7-46EA-83A8-BB12E870CDFF}" name="Columna3517" dataDxfId="12895"/>
    <tableColumn id="3524" xr3:uid="{4F2B9B28-D407-4B34-93FC-4C6A4C3C3CF2}" name="Columna3518" dataDxfId="12894"/>
    <tableColumn id="3525" xr3:uid="{417D20B3-702C-408B-A675-E00EB48AE3B8}" name="Columna3519" dataDxfId="12893"/>
    <tableColumn id="3526" xr3:uid="{118FE7AC-89B2-4A9E-ABC2-8010D23F42A8}" name="Columna3520" dataDxfId="12892"/>
    <tableColumn id="3527" xr3:uid="{A471ACA1-D16C-4093-A79A-A72C0AB7D4F2}" name="Columna3521" dataDxfId="12891"/>
    <tableColumn id="3528" xr3:uid="{3C2C3F0B-A5C6-4371-A91A-98DEC6402B84}" name="Columna3522" dataDxfId="12890"/>
    <tableColumn id="3529" xr3:uid="{FCBD3564-C135-4942-A15E-424A6FCEBF8D}" name="Columna3523" dataDxfId="12889"/>
    <tableColumn id="3530" xr3:uid="{CE5399CE-9CE9-4B89-B110-DDFC93303DA5}" name="Columna3524" dataDxfId="12888"/>
    <tableColumn id="3531" xr3:uid="{362AEADF-5881-42DF-8EBB-EAABF69B06DC}" name="Columna3525" dataDxfId="12887"/>
    <tableColumn id="3532" xr3:uid="{3602D668-279C-4DA6-9EC7-6A379ABF75AE}" name="Columna3526" dataDxfId="12886"/>
    <tableColumn id="3533" xr3:uid="{7C68CE87-618A-4C9D-9D43-3233F96680F5}" name="Columna3527" dataDxfId="12885"/>
    <tableColumn id="3534" xr3:uid="{63D987FE-8693-4B71-808F-63A42E238AB8}" name="Columna3528" dataDxfId="12884"/>
    <tableColumn id="3535" xr3:uid="{255BD541-8E9B-41A1-A530-2AF4610D349C}" name="Columna3529" dataDxfId="12883"/>
    <tableColumn id="3536" xr3:uid="{A7ECE525-B4CC-4827-B070-18631E6BECCE}" name="Columna3530" dataDxfId="12882"/>
    <tableColumn id="3537" xr3:uid="{4D28976A-D68F-4774-AF5C-D6F5B5DF2191}" name="Columna3531" dataDxfId="12881"/>
    <tableColumn id="3538" xr3:uid="{EEC8054B-4802-4CA8-B165-3E28131B9CD9}" name="Columna3532" dataDxfId="12880"/>
    <tableColumn id="3539" xr3:uid="{FD03E51D-53FC-40A3-9247-F74A8232DC54}" name="Columna3533" dataDxfId="12879"/>
    <tableColumn id="3540" xr3:uid="{A33197F5-E1C1-41EF-823E-663E65488C05}" name="Columna3534" dataDxfId="12878"/>
    <tableColumn id="3541" xr3:uid="{7B2B5DD3-B913-4B08-988A-919AD402DC06}" name="Columna3535" dataDxfId="12877"/>
    <tableColumn id="3542" xr3:uid="{1D92D210-A2C1-4E43-B2A5-CE13ACDE2C79}" name="Columna3536" dataDxfId="12876"/>
    <tableColumn id="3543" xr3:uid="{18FC3F67-0763-478A-A10D-BB1B8B2C3AFD}" name="Columna3537" dataDxfId="12875"/>
    <tableColumn id="3544" xr3:uid="{0B74B132-9870-41B5-809A-538D59EB70D2}" name="Columna3538" dataDxfId="12874"/>
    <tableColumn id="3545" xr3:uid="{40C27B0C-8EE2-44D1-A9B3-9FF14153F6F0}" name="Columna3539" dataDxfId="12873"/>
    <tableColumn id="3546" xr3:uid="{AE0F93A5-5A49-4001-8E47-AA3B026E2FD8}" name="Columna3540" dataDxfId="12872"/>
    <tableColumn id="3547" xr3:uid="{93946E52-D35C-4CC5-A967-46E841DA024A}" name="Columna3541" dataDxfId="12871"/>
    <tableColumn id="3548" xr3:uid="{A2C6F287-5032-47B5-B482-3C7BEC4D79C7}" name="Columna3542" dataDxfId="12870"/>
    <tableColumn id="3549" xr3:uid="{F70FBE31-F5F9-4434-87A3-19E6FED88123}" name="Columna3543" dataDxfId="12869"/>
    <tableColumn id="3550" xr3:uid="{7F27AC61-71D7-4C6F-9AB9-B735CD8DC744}" name="Columna3544" dataDxfId="12868"/>
    <tableColumn id="3551" xr3:uid="{68DAE810-A1C2-4E79-87C4-7B03AECD693A}" name="Columna3545" dataDxfId="12867"/>
    <tableColumn id="3552" xr3:uid="{ED698BDA-DC67-46FB-918F-46CFAEFD029C}" name="Columna3546" dataDxfId="12866"/>
    <tableColumn id="3553" xr3:uid="{03020CB2-752A-4D9A-AA49-970FB7C8FD99}" name="Columna3547" dataDxfId="12865"/>
    <tableColumn id="3554" xr3:uid="{7013738F-1615-4D6F-BCE2-0EB87386AD9A}" name="Columna3548" dataDxfId="12864"/>
    <tableColumn id="3555" xr3:uid="{B4C34D26-2B89-4522-9EE1-2C44F4AA432C}" name="Columna3549" dataDxfId="12863"/>
    <tableColumn id="3556" xr3:uid="{D5758CB8-B2BA-4ADE-A82A-9FFC99189EEF}" name="Columna3550" dataDxfId="12862"/>
    <tableColumn id="3557" xr3:uid="{6673198D-E433-4D7C-9C4A-54EAD6FD2DEE}" name="Columna3551" dataDxfId="12861"/>
    <tableColumn id="3558" xr3:uid="{A8088642-CF3D-4659-84BE-5E822F04E642}" name="Columna3552" dataDxfId="12860"/>
    <tableColumn id="3559" xr3:uid="{35C387FE-0582-4A26-A370-96001580B311}" name="Columna3553" dataDxfId="12859"/>
    <tableColumn id="3560" xr3:uid="{022ED6CB-1FB8-4C9D-A5E2-834F6EBDEC8A}" name="Columna3554" dataDxfId="12858"/>
    <tableColumn id="3561" xr3:uid="{B8EEA6E1-3630-4991-A686-78BF0B9EEF01}" name="Columna3555" dataDxfId="12857"/>
    <tableColumn id="3562" xr3:uid="{5D32B255-CD19-44A0-90F1-A20D07FEAA83}" name="Columna3556" dataDxfId="12856"/>
    <tableColumn id="3563" xr3:uid="{4E2501E9-9AD4-4D37-A577-A15792157EFF}" name="Columna3557" dataDxfId="12855"/>
    <tableColumn id="3564" xr3:uid="{0EB46DF4-72D5-4F03-A4F8-A0606654AE65}" name="Columna3558" dataDxfId="12854"/>
    <tableColumn id="3565" xr3:uid="{EA43C375-B74C-4DE4-A36D-079A6FC035F5}" name="Columna3559" dataDxfId="12853"/>
    <tableColumn id="3566" xr3:uid="{617D6BEC-C07B-4809-ACFF-E3AC7852DB46}" name="Columna3560" dataDxfId="12852"/>
    <tableColumn id="3567" xr3:uid="{DA82510D-B11B-42A8-9B41-51036A77EAED}" name="Columna3561" dataDxfId="12851"/>
    <tableColumn id="3568" xr3:uid="{CE755E52-B970-4BE5-8478-776703E6BA7C}" name="Columna3562" dataDxfId="12850"/>
    <tableColumn id="3569" xr3:uid="{C4E9F961-F6D8-4CFA-BE8C-DCD80D43C818}" name="Columna3563" dataDxfId="12849"/>
    <tableColumn id="3570" xr3:uid="{6D6BB7EF-E861-48E6-AEFB-A10A3AE82FE3}" name="Columna3564" dataDxfId="12848"/>
    <tableColumn id="3571" xr3:uid="{61517586-4404-461C-AFAF-6688147A7B84}" name="Columna3565" dataDxfId="12847"/>
    <tableColumn id="3572" xr3:uid="{6EE75E4A-7594-47EF-9A3A-555215BD7C52}" name="Columna3566" dataDxfId="12846"/>
    <tableColumn id="3573" xr3:uid="{2A2B099F-95E9-4A17-87F5-508F350BB29D}" name="Columna3567" dataDxfId="12845"/>
    <tableColumn id="3574" xr3:uid="{DDA76DE3-461A-4D90-8546-FC6A55C21B38}" name="Columna3568" dataDxfId="12844"/>
    <tableColumn id="3575" xr3:uid="{6CE383BA-9ADE-4E6F-950B-6ADF1ED77B11}" name="Columna3569" dataDxfId="12843"/>
    <tableColumn id="3576" xr3:uid="{5EA221C5-4A81-4CB7-B897-D28AE8A1DA68}" name="Columna3570" dataDxfId="12842"/>
    <tableColumn id="3577" xr3:uid="{8406FDFD-77B7-449A-8E35-48FDE60A6584}" name="Columna3571" dataDxfId="12841"/>
    <tableColumn id="3578" xr3:uid="{BACDBFA5-E49A-43DA-BF40-525F1F41E460}" name="Columna3572" dataDxfId="12840"/>
    <tableColumn id="3579" xr3:uid="{5BD0B488-D8A5-4208-8AC2-DF196A8F6F56}" name="Columna3573" dataDxfId="12839"/>
    <tableColumn id="3580" xr3:uid="{971AFBAF-0358-4839-8E0A-1380262D91A0}" name="Columna3574" dataDxfId="12838"/>
    <tableColumn id="3581" xr3:uid="{A91BE0F7-2E38-4BE1-AC65-5EE9B8976190}" name="Columna3575" dataDxfId="12837"/>
    <tableColumn id="3582" xr3:uid="{D5CCADE3-F81F-43DF-8455-9BC68261BB33}" name="Columna3576" dataDxfId="12836"/>
    <tableColumn id="3583" xr3:uid="{D4FD1655-47EB-46A9-AB46-7C8B6B9B0C7F}" name="Columna3577" dataDxfId="12835"/>
    <tableColumn id="3584" xr3:uid="{40AD640A-F031-4F56-B28C-8BECE184222F}" name="Columna3578" dataDxfId="12834"/>
    <tableColumn id="3585" xr3:uid="{51B76704-AE2B-471E-90B9-C0308F827AD5}" name="Columna3579" dataDxfId="12833"/>
    <tableColumn id="3586" xr3:uid="{E4561490-85DB-43FF-8030-3DE6E6F48173}" name="Columna3580" dataDxfId="12832"/>
    <tableColumn id="3587" xr3:uid="{9DD63B2F-DAE9-45DE-9898-ADF9AEC8A835}" name="Columna3581" dataDxfId="12831"/>
    <tableColumn id="3588" xr3:uid="{9687BA24-C655-4F2F-B5B1-37E0DCDBC382}" name="Columna3582" dataDxfId="12830"/>
    <tableColumn id="3589" xr3:uid="{B3FFDCAD-013B-41F2-B98B-1FC31ADC848A}" name="Columna3583" dataDxfId="12829"/>
    <tableColumn id="3590" xr3:uid="{7EB0913D-4BB4-471D-8719-7241964F67E1}" name="Columna3584" dataDxfId="12828"/>
    <tableColumn id="3591" xr3:uid="{864CDA08-CEC8-41A4-8601-E905AEA28CE4}" name="Columna3585" dataDxfId="12827"/>
    <tableColumn id="3592" xr3:uid="{1965416E-78AC-4CDA-9F97-5CBFEE9FEE54}" name="Columna3586" dataDxfId="12826"/>
    <tableColumn id="3593" xr3:uid="{0C2E0026-FB29-4281-8D34-7906A39D5786}" name="Columna3587" dataDxfId="12825"/>
    <tableColumn id="3594" xr3:uid="{ECF3B77F-66C0-4C0F-88DF-8C46A2810B5B}" name="Columna3588" dataDxfId="12824"/>
    <tableColumn id="3595" xr3:uid="{CD5FAF51-E4B8-46FF-BC64-82D733CA1BDD}" name="Columna3589" dataDxfId="12823"/>
    <tableColumn id="3596" xr3:uid="{B8AD5BCB-C0A0-49AC-B8CC-D15AE7904E04}" name="Columna3590" dataDxfId="12822"/>
    <tableColumn id="3597" xr3:uid="{82966E5F-BB99-42D0-BD17-4E0FECC84B09}" name="Columna3591" dataDxfId="12821"/>
    <tableColumn id="3598" xr3:uid="{F50BB8D7-C7C5-4D8C-B277-93EF732E748E}" name="Columna3592" dataDxfId="12820"/>
    <tableColumn id="3599" xr3:uid="{CA98F13C-BD7F-481D-B338-196AC59B5296}" name="Columna3593" dataDxfId="12819"/>
    <tableColumn id="3600" xr3:uid="{26C51A2C-9B06-407C-BBE6-4E91A2615082}" name="Columna3594" dataDxfId="12818"/>
    <tableColumn id="3601" xr3:uid="{CC22A7B0-939B-464A-A378-99F26D4D6036}" name="Columna3595" dataDxfId="12817"/>
    <tableColumn id="3602" xr3:uid="{04427FFB-6952-49BF-B7C7-00BEA3058BAE}" name="Columna3596" dataDxfId="12816"/>
    <tableColumn id="3603" xr3:uid="{1A2B086B-4607-45B3-8844-F3CB775E5581}" name="Columna3597" dataDxfId="12815"/>
    <tableColumn id="3604" xr3:uid="{166933AD-EA84-45FA-853C-CA8AEFCF8371}" name="Columna3598" dataDxfId="12814"/>
    <tableColumn id="3605" xr3:uid="{67E83C27-70FD-4066-90E6-7960D2F4FB7D}" name="Columna3599" dataDxfId="12813"/>
    <tableColumn id="3606" xr3:uid="{9013479C-2DCA-4D3D-B006-04A04545EAD3}" name="Columna3600" dataDxfId="12812"/>
    <tableColumn id="3607" xr3:uid="{B1368871-4A52-4171-9E2C-A640C1CDE856}" name="Columna3601" dataDxfId="12811"/>
    <tableColumn id="3608" xr3:uid="{4E0B1AEA-16CA-4E8B-8603-F705044A1F06}" name="Columna3602" dataDxfId="12810"/>
    <tableColumn id="3609" xr3:uid="{7BAA40CA-3C70-40FD-BBBC-CCAC6ED6B95A}" name="Columna3603" dataDxfId="12809"/>
    <tableColumn id="3610" xr3:uid="{CE342DD9-1D28-4C5E-9338-E1A5D6A83B7C}" name="Columna3604" dataDxfId="12808"/>
    <tableColumn id="3611" xr3:uid="{D7D2151A-2006-4897-8049-35E740678585}" name="Columna3605" dataDxfId="12807"/>
    <tableColumn id="3612" xr3:uid="{4FA03266-66CE-4F0F-A74F-B2E48DE54B16}" name="Columna3606" dataDxfId="12806"/>
    <tableColumn id="3613" xr3:uid="{CC88507E-1427-48EA-9544-B198EF026502}" name="Columna3607" dataDxfId="12805"/>
    <tableColumn id="3614" xr3:uid="{0A65DE61-3521-46A1-AA2C-7326B5658576}" name="Columna3608" dataDxfId="12804"/>
    <tableColumn id="3615" xr3:uid="{4E74A6D9-CC76-4B46-A157-2EC60516A2BB}" name="Columna3609" dataDxfId="12803"/>
    <tableColumn id="3616" xr3:uid="{077AD9C2-9040-4F0F-9F58-6536DB5DFF93}" name="Columna3610" dataDxfId="12802"/>
    <tableColumn id="3617" xr3:uid="{4227C232-136B-4D98-8AC5-715818DAE702}" name="Columna3611" dataDxfId="12801"/>
    <tableColumn id="3618" xr3:uid="{996EBC92-6ECE-4DDD-B5C2-E0544076E785}" name="Columna3612" dataDxfId="12800"/>
    <tableColumn id="3619" xr3:uid="{6D4E5FA2-5301-45D5-B5C2-8B7BB563E3F9}" name="Columna3613" dataDxfId="12799"/>
    <tableColumn id="3620" xr3:uid="{DCDFD0BF-A572-4F17-A248-96DA9636D97A}" name="Columna3614" dataDxfId="12798"/>
    <tableColumn id="3621" xr3:uid="{5F776CA1-96F0-4E13-A825-94CAB655696C}" name="Columna3615" dataDxfId="12797"/>
    <tableColumn id="3622" xr3:uid="{10B6FDFF-2AB2-4BC1-9F15-568F08B4157F}" name="Columna3616" dataDxfId="12796"/>
    <tableColumn id="3623" xr3:uid="{1C15FFCF-7DC3-46FD-80E6-5E1557EDDCEA}" name="Columna3617" dataDxfId="12795"/>
    <tableColumn id="3624" xr3:uid="{4BC46659-C356-491D-94DC-2B02A50BE3CD}" name="Columna3618" dataDxfId="12794"/>
    <tableColumn id="3625" xr3:uid="{310B7687-09BD-4F4F-918F-517BB4962960}" name="Columna3619" dataDxfId="12793"/>
    <tableColumn id="3626" xr3:uid="{E743257B-0C3B-42E4-9424-9D1495A21C58}" name="Columna3620" dataDxfId="12792"/>
    <tableColumn id="3627" xr3:uid="{B48A6963-C281-4876-A5DF-FB3BD1C79F6A}" name="Columna3621" dataDxfId="12791"/>
    <tableColumn id="3628" xr3:uid="{2246B402-3331-49EF-82EE-550CF6A9F411}" name="Columna3622" dataDxfId="12790"/>
    <tableColumn id="3629" xr3:uid="{F483D3DF-60C1-49F6-B893-3640F1A80AB4}" name="Columna3623" dataDxfId="12789"/>
    <tableColumn id="3630" xr3:uid="{55837E4F-CA45-4DBC-B470-4390439863AC}" name="Columna3624" dataDxfId="12788"/>
    <tableColumn id="3631" xr3:uid="{ABC11F9D-5385-44AB-B33F-7D00829D8DCE}" name="Columna3625" dataDxfId="12787"/>
    <tableColumn id="3632" xr3:uid="{BB1B7D6C-3CCB-41EC-B036-87CE47006130}" name="Columna3626" dataDxfId="12786"/>
    <tableColumn id="3633" xr3:uid="{4ACD2EF3-89A8-4492-9773-50210EDF3DB4}" name="Columna3627" dataDxfId="12785"/>
    <tableColumn id="3634" xr3:uid="{742B0E46-E1C3-4E11-8B97-83E6271C5C10}" name="Columna3628" dataDxfId="12784"/>
    <tableColumn id="3635" xr3:uid="{D5D06260-9F2D-43F3-B702-831EFA56A19F}" name="Columna3629" dataDxfId="12783"/>
    <tableColumn id="3636" xr3:uid="{411D1821-C820-4873-A27E-D52D8F7C784F}" name="Columna3630" dataDxfId="12782"/>
    <tableColumn id="3637" xr3:uid="{A47D95F8-84FE-43CA-BA33-E69CB8B446D7}" name="Columna3631" dataDxfId="12781"/>
    <tableColumn id="3638" xr3:uid="{5402B5E6-1C50-436A-8AEB-023567935648}" name="Columna3632" dataDxfId="12780"/>
    <tableColumn id="3639" xr3:uid="{E2DF53FD-8AED-4AB0-80E7-110BA025938B}" name="Columna3633" dataDxfId="12779"/>
    <tableColumn id="3640" xr3:uid="{DC05563C-42CC-40B1-8769-680557F7CF9B}" name="Columna3634" dataDxfId="12778"/>
    <tableColumn id="3641" xr3:uid="{67CDA4FE-2B09-47DA-916D-5D8109F99197}" name="Columna3635" dataDxfId="12777"/>
    <tableColumn id="3642" xr3:uid="{E8DBDC80-D636-4510-9EEE-3DF9F2B63FA6}" name="Columna3636" dataDxfId="12776"/>
    <tableColumn id="3643" xr3:uid="{FA7B4A76-01FE-4AAE-9278-8FF1F54320F0}" name="Columna3637" dataDxfId="12775"/>
    <tableColumn id="3644" xr3:uid="{DAF88220-BBAF-4D7A-BAFF-4F747E1BBF42}" name="Columna3638" dataDxfId="12774"/>
    <tableColumn id="3645" xr3:uid="{95FB0847-9F71-4F85-949A-CE61C8A3FFA6}" name="Columna3639" dataDxfId="12773"/>
    <tableColumn id="3646" xr3:uid="{52D3ADF6-7FE2-4791-AC13-A3466B23FB97}" name="Columna3640" dataDxfId="12772"/>
    <tableColumn id="3647" xr3:uid="{37BDBFB6-8FB3-4F1C-ACA8-882D4550E789}" name="Columna3641" dataDxfId="12771"/>
    <tableColumn id="3648" xr3:uid="{20067A3B-F39C-499D-8ECF-E4299D9FDF53}" name="Columna3642" dataDxfId="12770"/>
    <tableColumn id="3649" xr3:uid="{8F2BFD30-3249-43A3-B40B-064CC03E999D}" name="Columna3643" dataDxfId="12769"/>
    <tableColumn id="3650" xr3:uid="{9DD11AEB-06D3-4394-8584-E26F5981D80C}" name="Columna3644" dataDxfId="12768"/>
    <tableColumn id="3651" xr3:uid="{4B0728BB-DB15-4E5D-AE61-1842524958E7}" name="Columna3645" dataDxfId="12767"/>
    <tableColumn id="3652" xr3:uid="{1D498CB2-9CE3-472E-95F3-DE3A272DB503}" name="Columna3646" dataDxfId="12766"/>
    <tableColumn id="3653" xr3:uid="{F73398E7-4C79-4C54-BAF2-4A4D91924155}" name="Columna3647" dataDxfId="12765"/>
    <tableColumn id="3654" xr3:uid="{220990DC-846B-4CB3-8A75-C7B95CFDC4D1}" name="Columna3648" dataDxfId="12764"/>
    <tableColumn id="3655" xr3:uid="{8163987C-9FE3-4E9E-B5A0-B9FC5C940613}" name="Columna3649" dataDxfId="12763"/>
    <tableColumn id="3656" xr3:uid="{0A21868F-9B6B-44AA-AF73-3C8A05ED01F8}" name="Columna3650" dataDxfId="12762"/>
    <tableColumn id="3657" xr3:uid="{9AF0F036-4E7B-4C2B-9E84-E0F51719789E}" name="Columna3651" dataDxfId="12761"/>
    <tableColumn id="3658" xr3:uid="{96B7272B-B848-43E6-AEB6-1A10D136FE1C}" name="Columna3652" dataDxfId="12760"/>
    <tableColumn id="3659" xr3:uid="{9D5D4E0E-FBFB-4BC9-B186-805ECE32DAB4}" name="Columna3653" dataDxfId="12759"/>
    <tableColumn id="3660" xr3:uid="{9871B5BA-AE68-44A3-936A-C24A97CB1F7F}" name="Columna3654" dataDxfId="12758"/>
    <tableColumn id="3661" xr3:uid="{B746E00B-3DBB-4098-A623-8D997C57BDE7}" name="Columna3655" dataDxfId="12757"/>
    <tableColumn id="3662" xr3:uid="{893378C9-D6A0-4BCE-AC1F-3E70CD16E96A}" name="Columna3656" dataDxfId="12756"/>
    <tableColumn id="3663" xr3:uid="{E46C5F53-AAAF-4854-B691-3FCFD0549228}" name="Columna3657" dataDxfId="12755"/>
    <tableColumn id="3664" xr3:uid="{6DDD85EF-80FA-4E32-80F2-E4B8024A9FA0}" name="Columna3658" dataDxfId="12754"/>
    <tableColumn id="3665" xr3:uid="{35A81F88-DF64-41AA-93B5-0F7D3C2034BD}" name="Columna3659" dataDxfId="12753"/>
    <tableColumn id="3666" xr3:uid="{4CF34417-A9F9-4303-B566-7E090C00CE77}" name="Columna3660" dataDxfId="12752"/>
    <tableColumn id="3667" xr3:uid="{43A9CC0A-8C5C-47AC-B9CF-3DC8C1014249}" name="Columna3661" dataDxfId="12751"/>
    <tableColumn id="3668" xr3:uid="{676B1A43-A056-4B70-A091-F0B1DAF4E392}" name="Columna3662" dataDxfId="12750"/>
    <tableColumn id="3669" xr3:uid="{5F4E1908-61A1-41D6-A46F-7EACF9597DFD}" name="Columna3663" dataDxfId="12749"/>
    <tableColumn id="3670" xr3:uid="{EAB7A68C-1A5F-468B-AC92-88A0B65C2A8C}" name="Columna3664" dataDxfId="12748"/>
    <tableColumn id="3671" xr3:uid="{E7AD439C-3F31-4B7B-A362-A8FD835DF98E}" name="Columna3665" dataDxfId="12747"/>
    <tableColumn id="3672" xr3:uid="{997A7227-8EC1-44A4-AB72-ADABD3E98F29}" name="Columna3666" dataDxfId="12746"/>
    <tableColumn id="3673" xr3:uid="{24575C2C-0801-47BB-8C05-75A8D79CDE4E}" name="Columna3667" dataDxfId="12745"/>
    <tableColumn id="3674" xr3:uid="{24E57E47-8513-4AE5-86D9-B672E9B4363B}" name="Columna3668" dataDxfId="12744"/>
    <tableColumn id="3675" xr3:uid="{80C2D6B2-905C-4A35-8182-9FF093BB1DF7}" name="Columna3669" dataDxfId="12743"/>
    <tableColumn id="3676" xr3:uid="{9A2F2F19-A026-4FBE-8C95-0EF435D8561F}" name="Columna3670" dataDxfId="12742"/>
    <tableColumn id="3677" xr3:uid="{40981C79-733B-44F0-8174-073B10E8DE78}" name="Columna3671" dataDxfId="12741"/>
    <tableColumn id="3678" xr3:uid="{B13923D7-A59B-41C3-BC98-0EE0E9DFA496}" name="Columna3672" dataDxfId="12740"/>
    <tableColumn id="3679" xr3:uid="{280766FB-EE93-4446-8511-F07AB4BF7D13}" name="Columna3673" dataDxfId="12739"/>
    <tableColumn id="3680" xr3:uid="{20A3D937-7EF3-435D-881E-B0D66A9A9E42}" name="Columna3674" dataDxfId="12738"/>
    <tableColumn id="3681" xr3:uid="{703C77DE-BD77-4A2B-B461-0A9D67B83D5F}" name="Columna3675" dataDxfId="12737"/>
    <tableColumn id="3682" xr3:uid="{8D7ECCE7-85B4-45E4-807E-AD94E24A9BF2}" name="Columna3676" dataDxfId="12736"/>
    <tableColumn id="3683" xr3:uid="{41273B7E-5D1C-4C2B-8106-D306CC18D3BF}" name="Columna3677" dataDxfId="12735"/>
    <tableColumn id="3684" xr3:uid="{59FCF488-6A9E-4AD5-965E-748FDF5EA97D}" name="Columna3678" dataDxfId="12734"/>
    <tableColumn id="3685" xr3:uid="{CFD64975-A3FC-4647-9BFE-6EFE92222A95}" name="Columna3679" dataDxfId="12733"/>
    <tableColumn id="3686" xr3:uid="{15EF1FD7-527C-41FA-96BD-F5B5DF11F426}" name="Columna3680" dataDxfId="12732"/>
    <tableColumn id="3687" xr3:uid="{D87C92C2-A58C-4A9D-AF1E-283E61E4301F}" name="Columna3681" dataDxfId="12731"/>
    <tableColumn id="3688" xr3:uid="{D96E5C25-8280-4E4F-862B-BFFAB6D56C84}" name="Columna3682" dataDxfId="12730"/>
    <tableColumn id="3689" xr3:uid="{7905B36B-9B44-454E-851A-01BBB76B08C2}" name="Columna3683" dataDxfId="12729"/>
    <tableColumn id="3690" xr3:uid="{234525D9-97E7-462C-A02E-B8B353EF7857}" name="Columna3684" dataDxfId="12728"/>
    <tableColumn id="3691" xr3:uid="{BFC4B1B1-E060-4D19-874A-F81B622A12FB}" name="Columna3685" dataDxfId="12727"/>
    <tableColumn id="3692" xr3:uid="{33DF4A77-90CF-4BC9-A414-6EF49CCEF4D1}" name="Columna3686" dataDxfId="12726"/>
    <tableColumn id="3693" xr3:uid="{1D87026A-90F7-44C9-B129-B3685E12128D}" name="Columna3687" dataDxfId="12725"/>
    <tableColumn id="3694" xr3:uid="{C4BD2A44-CC88-467A-861F-D3BBE0F5BA44}" name="Columna3688" dataDxfId="12724"/>
    <tableColumn id="3695" xr3:uid="{78FF9E8E-2445-4B15-A7B9-77BBDDDB47D8}" name="Columna3689" dataDxfId="12723"/>
    <tableColumn id="3696" xr3:uid="{F07161D4-9387-46DC-8DAF-B094DF5CA129}" name="Columna3690" dataDxfId="12722"/>
    <tableColumn id="3697" xr3:uid="{B919A3EA-12C8-4042-BA23-687CFF8A81C1}" name="Columna3691" dataDxfId="12721"/>
    <tableColumn id="3698" xr3:uid="{C5DF5AC7-0D0D-4CE2-ADF5-B4ABF4F14251}" name="Columna3692" dataDxfId="12720"/>
    <tableColumn id="3699" xr3:uid="{E8E70D01-C022-44AB-8A9E-98067E2B4229}" name="Columna3693" dataDxfId="12719"/>
    <tableColumn id="3700" xr3:uid="{F9E1971F-A7B1-4930-9156-7574192318A3}" name="Columna3694" dataDxfId="12718"/>
    <tableColumn id="3701" xr3:uid="{4AFF497C-4395-4BD2-8985-6A20BCC45B85}" name="Columna3695" dataDxfId="12717"/>
    <tableColumn id="3702" xr3:uid="{3344AE3C-693C-4FB1-98B6-6AD917A10BB2}" name="Columna3696" dataDxfId="12716"/>
    <tableColumn id="3703" xr3:uid="{5D8A4E9A-D027-4E79-A40B-ADC7A86EDE7C}" name="Columna3697" dataDxfId="12715"/>
    <tableColumn id="3704" xr3:uid="{2C2447D1-0AD8-4D73-9406-545216919E07}" name="Columna3698" dataDxfId="12714"/>
    <tableColumn id="3705" xr3:uid="{D05DF205-C3C3-46B0-B1E7-DB6B65360511}" name="Columna3699" dataDxfId="12713"/>
    <tableColumn id="3706" xr3:uid="{E3E889CA-C569-486F-9538-BC5F585EA8D7}" name="Columna3700" dataDxfId="12712"/>
    <tableColumn id="3707" xr3:uid="{C48D2074-69ED-47EF-B910-BA492C967465}" name="Columna3701" dataDxfId="12711"/>
    <tableColumn id="3708" xr3:uid="{4352E8A6-DA05-4758-911D-A35BBD09F059}" name="Columna3702" dataDxfId="12710"/>
    <tableColumn id="3709" xr3:uid="{5E52B8D9-B6CF-4258-80A8-1A3295635552}" name="Columna3703" dataDxfId="12709"/>
    <tableColumn id="3710" xr3:uid="{CA383483-2DDC-4E43-8249-FD0C061CEC9F}" name="Columna3704" dataDxfId="12708"/>
    <tableColumn id="3711" xr3:uid="{979AC8F0-C5F8-410B-9AB3-C151DB02DA3E}" name="Columna3705" dataDxfId="12707"/>
    <tableColumn id="3712" xr3:uid="{6CC5BBFB-B77B-4C05-BC8F-7D6FDDC6C654}" name="Columna3706" dataDxfId="12706"/>
    <tableColumn id="3713" xr3:uid="{0D36D66E-46D9-44EE-9C7B-F4D0A5EA4730}" name="Columna3707" dataDxfId="12705"/>
    <tableColumn id="3714" xr3:uid="{89C86E91-7FE8-4528-8FB9-49B5371459BF}" name="Columna3708" dataDxfId="12704"/>
    <tableColumn id="3715" xr3:uid="{0FE7EABF-98DB-429A-8B9C-12E4F95FBDD4}" name="Columna3709" dataDxfId="12703"/>
    <tableColumn id="3716" xr3:uid="{704FEB43-B08D-42FA-8C74-14376FCC5C6E}" name="Columna3710" dataDxfId="12702"/>
    <tableColumn id="3717" xr3:uid="{B508E3B7-488B-45CA-8F04-E2C30591D7A9}" name="Columna3711" dataDxfId="12701"/>
    <tableColumn id="3718" xr3:uid="{39A3258A-6DB5-4258-A0A8-4A617D71CED8}" name="Columna3712" dataDxfId="12700"/>
    <tableColumn id="3719" xr3:uid="{74AC14BD-1592-4612-B954-D59EC9ABEC14}" name="Columna3713" dataDxfId="12699"/>
    <tableColumn id="3720" xr3:uid="{9D1CB4E0-7F5D-47AE-9ABB-841EE8686249}" name="Columna3714" dataDxfId="12698"/>
    <tableColumn id="3721" xr3:uid="{43A7186A-84A0-46CA-9291-149192181C5A}" name="Columna3715" dataDxfId="12697"/>
    <tableColumn id="3722" xr3:uid="{529DBE03-42E2-43DE-8635-3584161D9108}" name="Columna3716" dataDxfId="12696"/>
    <tableColumn id="3723" xr3:uid="{0B88EEC1-F14B-4D46-A99D-ACE4C3A8C2D1}" name="Columna3717" dataDxfId="12695"/>
    <tableColumn id="3724" xr3:uid="{2CADF965-A5EF-4A7F-B3C6-1E3A0E21D748}" name="Columna3718" dataDxfId="12694"/>
    <tableColumn id="3725" xr3:uid="{5557FF0D-ECA6-470E-8AA8-01DC8776385C}" name="Columna3719" dataDxfId="12693"/>
    <tableColumn id="3726" xr3:uid="{7CAAC5E9-962C-417F-B9F5-74A6C102D502}" name="Columna3720" dataDxfId="12692"/>
    <tableColumn id="3727" xr3:uid="{BC186FF1-D0F0-4284-9640-FF75621E5B8E}" name="Columna3721" dataDxfId="12691"/>
    <tableColumn id="3728" xr3:uid="{F27860C3-71EC-4BE4-A56D-B21BDDB76079}" name="Columna3722" dataDxfId="12690"/>
    <tableColumn id="3729" xr3:uid="{32F3D9AE-D9A0-4697-8F12-FA73630B8D5A}" name="Columna3723" dataDxfId="12689"/>
    <tableColumn id="3730" xr3:uid="{157E5578-E10C-43E3-A05F-7E484CF6D973}" name="Columna3724" dataDxfId="12688"/>
    <tableColumn id="3731" xr3:uid="{AEA1605A-CC8F-4DFE-965F-B1B6CE94329E}" name="Columna3725" dataDxfId="12687"/>
    <tableColumn id="3732" xr3:uid="{7B026C56-082C-47E3-B8E1-F83D2E6800B9}" name="Columna3726" dataDxfId="12686"/>
    <tableColumn id="3733" xr3:uid="{0F23A9BB-0EEE-4AE6-B322-BB87E854BCF3}" name="Columna3727" dataDxfId="12685"/>
    <tableColumn id="3734" xr3:uid="{F6F0D4E2-8B29-4CAC-9F87-0BE0FFFA3CF4}" name="Columna3728" dataDxfId="12684"/>
    <tableColumn id="3735" xr3:uid="{8C6B7C5F-69EA-4F2D-A3A1-585BA3EBDCFB}" name="Columna3729" dataDxfId="12683"/>
    <tableColumn id="3736" xr3:uid="{457790B9-7D9F-4DA1-AA00-95C5B956E1C4}" name="Columna3730" dataDxfId="12682"/>
    <tableColumn id="3737" xr3:uid="{5FFA85A9-0838-4FEC-B657-D121AF78D688}" name="Columna3731" dataDxfId="12681"/>
    <tableColumn id="3738" xr3:uid="{8866E1CC-C458-4EBE-B3E8-A08DFFEA689C}" name="Columna3732" dataDxfId="12680"/>
    <tableColumn id="3739" xr3:uid="{03D1693D-AE72-423E-BB25-89B80AE005E2}" name="Columna3733" dataDxfId="12679"/>
    <tableColumn id="3740" xr3:uid="{18FC364E-8617-46AC-B4DD-BA5BA0EEB03D}" name="Columna3734" dataDxfId="12678"/>
    <tableColumn id="3741" xr3:uid="{94561716-A347-44BA-8537-B93A7A34E2F6}" name="Columna3735" dataDxfId="12677"/>
    <tableColumn id="3742" xr3:uid="{1D138DFE-5E6B-4C24-884E-17B4DA4F77F6}" name="Columna3736" dataDxfId="12676"/>
    <tableColumn id="3743" xr3:uid="{93B9167C-803C-4CDC-BEC7-1293CACEA57D}" name="Columna3737" dataDxfId="12675"/>
    <tableColumn id="3744" xr3:uid="{D36B9B45-30B4-49F5-A360-DB95FF6AE6BC}" name="Columna3738" dataDxfId="12674"/>
    <tableColumn id="3745" xr3:uid="{46BE87C7-BA27-42A6-9A06-8073F66FE2A6}" name="Columna3739" dataDxfId="12673"/>
    <tableColumn id="3746" xr3:uid="{2F2EC2FB-205D-4AAE-813C-E899D151102A}" name="Columna3740" dataDxfId="12672"/>
    <tableColumn id="3747" xr3:uid="{93F0E1D5-0BDB-47B8-9555-5697033D4C51}" name="Columna3741" dataDxfId="12671"/>
    <tableColumn id="3748" xr3:uid="{4CECC132-09A8-488F-B2E3-CB4ECBCA1D5B}" name="Columna3742" dataDxfId="12670"/>
    <tableColumn id="3749" xr3:uid="{1AF7A9ED-3333-4438-AFB0-D07F3BE3420A}" name="Columna3743" dataDxfId="12669"/>
    <tableColumn id="3750" xr3:uid="{EE12224E-5B6B-4870-A7D4-8AC5DF83EAEA}" name="Columna3744" dataDxfId="12668"/>
    <tableColumn id="3751" xr3:uid="{3D4F6070-4F36-42FC-B6D6-C2068C53801E}" name="Columna3745" dataDxfId="12667"/>
    <tableColumn id="3752" xr3:uid="{2D12AF06-A2CD-48F5-BE76-2EAAC63B7B3B}" name="Columna3746" dataDxfId="12666"/>
    <tableColumn id="3753" xr3:uid="{6D015060-97BA-494E-92EF-197658992997}" name="Columna3747" dataDxfId="12665"/>
    <tableColumn id="3754" xr3:uid="{84EE42BB-9D9E-488B-BF82-58F0D2FF64DF}" name="Columna3748" dataDxfId="12664"/>
    <tableColumn id="3755" xr3:uid="{BDC0D9D8-BFF6-41B4-BD12-4A11F50281A0}" name="Columna3749" dataDxfId="12663"/>
    <tableColumn id="3756" xr3:uid="{4816ED1B-A528-41F5-8580-2AAE5FED2541}" name="Columna3750" dataDxfId="12662"/>
    <tableColumn id="3757" xr3:uid="{92AA7A23-B986-4866-B4CD-C6054EEDA197}" name="Columna3751" dataDxfId="12661"/>
    <tableColumn id="3758" xr3:uid="{D9F460D4-BF38-4005-AA16-30C7E595A4FF}" name="Columna3752" dataDxfId="12660"/>
    <tableColumn id="3759" xr3:uid="{806EE87D-8A52-4474-9B5D-E01F281AEF37}" name="Columna3753" dataDxfId="12659"/>
    <tableColumn id="3760" xr3:uid="{FCB86886-16DD-46C9-B793-7D7DC7F70829}" name="Columna3754" dataDxfId="12658"/>
    <tableColumn id="3761" xr3:uid="{5AC1DA47-5568-4520-A3A7-2F338A66A4ED}" name="Columna3755" dataDxfId="12657"/>
    <tableColumn id="3762" xr3:uid="{E73DB9F8-8C66-43A6-A94A-E78FF88758CF}" name="Columna3756" dataDxfId="12656"/>
    <tableColumn id="3763" xr3:uid="{41904E80-28D2-44B6-9E3F-E664D01A0619}" name="Columna3757" dataDxfId="12655"/>
    <tableColumn id="3764" xr3:uid="{64D24D13-AC32-4075-A4F3-D5852F3873CD}" name="Columna3758" dataDxfId="12654"/>
    <tableColumn id="3765" xr3:uid="{10F6D95C-6191-47A1-B304-9EA66AE8B661}" name="Columna3759" dataDxfId="12653"/>
    <tableColumn id="3766" xr3:uid="{DBC836DB-43BC-44E0-9BC7-6075D6D53235}" name="Columna3760" dataDxfId="12652"/>
    <tableColumn id="3767" xr3:uid="{927456FE-6D2E-439D-A370-F1C0E806F792}" name="Columna3761" dataDxfId="12651"/>
    <tableColumn id="3768" xr3:uid="{CA25DFC0-187B-4198-81FF-249D6C74D840}" name="Columna3762" dataDxfId="12650"/>
    <tableColumn id="3769" xr3:uid="{AA9EC94C-40A6-4402-9765-80E31A0541EE}" name="Columna3763" dataDxfId="12649"/>
    <tableColumn id="3770" xr3:uid="{D75E5EBE-CBA5-4F56-8D4B-57165B93BC30}" name="Columna3764" dataDxfId="12648"/>
    <tableColumn id="3771" xr3:uid="{BD4E9EAF-8CA5-4686-B0CD-ABD7D6B4CAD1}" name="Columna3765" dataDxfId="12647"/>
    <tableColumn id="3772" xr3:uid="{DA6D520F-616B-45B5-85E9-D9A4C94BB4BD}" name="Columna3766" dataDxfId="12646"/>
    <tableColumn id="3773" xr3:uid="{B4196429-DEF7-4BE0-8D7F-E377FE32423A}" name="Columna3767" dataDxfId="12645"/>
    <tableColumn id="3774" xr3:uid="{F669DB08-410A-4740-B5B5-4A656CA437D6}" name="Columna3768" dataDxfId="12644"/>
    <tableColumn id="3775" xr3:uid="{4844F518-802B-4784-A50C-C46E72B2D3AC}" name="Columna3769" dataDxfId="12643"/>
    <tableColumn id="3776" xr3:uid="{8C0B538B-AF15-42C1-861E-CD230409E2D4}" name="Columna3770" dataDxfId="12642"/>
    <tableColumn id="3777" xr3:uid="{B6CA0CE1-786B-4C32-BB76-D3CEC4CE61B9}" name="Columna3771" dataDxfId="12641"/>
    <tableColumn id="3778" xr3:uid="{7F18DCA8-9470-4383-96D8-B8385AC65E90}" name="Columna3772" dataDxfId="12640"/>
    <tableColumn id="3779" xr3:uid="{F5DA1C73-39BD-47D3-98FF-D1C8F2189D40}" name="Columna3773" dataDxfId="12639"/>
    <tableColumn id="3780" xr3:uid="{607E35BC-16A0-4B7B-9805-9B961D24F2E1}" name="Columna3774" dataDxfId="12638"/>
    <tableColumn id="3781" xr3:uid="{73D22CF4-87D7-4452-BF1D-81E3DB700B17}" name="Columna3775" dataDxfId="12637"/>
    <tableColumn id="3782" xr3:uid="{666F56FA-5036-48D7-8526-6EA505F09900}" name="Columna3776" dataDxfId="12636"/>
    <tableColumn id="3783" xr3:uid="{288CA5F1-59C7-48C1-8929-51FB7C9FD2AD}" name="Columna3777" dataDxfId="12635"/>
    <tableColumn id="3784" xr3:uid="{299FB447-0800-4538-B6FC-C5E7EA4BE872}" name="Columna3778" dataDxfId="12634"/>
    <tableColumn id="3785" xr3:uid="{521D7556-59D0-40B3-A905-F945877BF5B5}" name="Columna3779" dataDxfId="12633"/>
    <tableColumn id="3786" xr3:uid="{9837E1D8-BA54-4F3E-AF40-575B50826187}" name="Columna3780" dataDxfId="12632"/>
    <tableColumn id="3787" xr3:uid="{939DEB42-9248-492A-8C72-99AE03A796ED}" name="Columna3781" dataDxfId="12631"/>
    <tableColumn id="3788" xr3:uid="{F35DB7E5-4F14-4242-9851-EA14C7406109}" name="Columna3782" dataDxfId="12630"/>
    <tableColumn id="3789" xr3:uid="{99991F9D-A4FA-4D9F-AB9D-3405E0C42BCD}" name="Columna3783" dataDxfId="12629"/>
    <tableColumn id="3790" xr3:uid="{44590A7A-B8CB-4A6C-B5A3-C97EC93F9DB4}" name="Columna3784" dataDxfId="12628"/>
    <tableColumn id="3791" xr3:uid="{B2582986-D202-48BE-99BD-721E701B0A50}" name="Columna3785" dataDxfId="12627"/>
    <tableColumn id="3792" xr3:uid="{E1AF0417-2CF8-4805-B807-A58D9C9CBB1F}" name="Columna3786" dataDxfId="12626"/>
    <tableColumn id="3793" xr3:uid="{BF08B80C-A947-4BD0-BA3F-5845F463C54B}" name="Columna3787" dataDxfId="12625"/>
    <tableColumn id="3794" xr3:uid="{E49E8100-AA8F-4BBA-9923-52290898FD0A}" name="Columna3788" dataDxfId="12624"/>
    <tableColumn id="3795" xr3:uid="{7C18B4B3-2986-4401-ABF2-5B81B4744AF5}" name="Columna3789" dataDxfId="12623"/>
    <tableColumn id="3796" xr3:uid="{F43F5AD6-FB2D-46F8-9EC5-9E3DCFD5B99F}" name="Columna3790" dataDxfId="12622"/>
    <tableColumn id="3797" xr3:uid="{4AC37CEC-3AED-4122-BB04-E9B640AE007E}" name="Columna3791" dataDxfId="12621"/>
    <tableColumn id="3798" xr3:uid="{1D3CF099-9070-488F-BBA7-54FD025F679D}" name="Columna3792" dataDxfId="12620"/>
    <tableColumn id="3799" xr3:uid="{41321472-0E16-417E-83B5-59246D424F95}" name="Columna3793" dataDxfId="12619"/>
    <tableColumn id="3800" xr3:uid="{F8AFBB40-DDDB-450D-B83A-DA4CC7CA01FD}" name="Columna3794" dataDxfId="12618"/>
    <tableColumn id="3801" xr3:uid="{353C482B-0403-41F9-9F1B-9E1E990C663F}" name="Columna3795" dataDxfId="12617"/>
    <tableColumn id="3802" xr3:uid="{E9D68051-FE43-4372-832A-3133C060FDEE}" name="Columna3796" dataDxfId="12616"/>
    <tableColumn id="3803" xr3:uid="{0585AE3E-6D35-44CA-ACC1-FF849EB880EE}" name="Columna3797" dataDxfId="12615"/>
    <tableColumn id="3804" xr3:uid="{1D8A3379-9F91-4A9D-BAB3-2F33A4A35041}" name="Columna3798" dataDxfId="12614"/>
    <tableColumn id="3805" xr3:uid="{36991BB5-6A72-4432-AB55-A83E4C82941F}" name="Columna3799" dataDxfId="12613"/>
    <tableColumn id="3806" xr3:uid="{F454F869-4059-4F13-AD74-F8189DE37B79}" name="Columna3800" dataDxfId="12612"/>
    <tableColumn id="3807" xr3:uid="{91D72672-5E09-44CD-A82F-5228A6EB62F8}" name="Columna3801" dataDxfId="12611"/>
    <tableColumn id="3808" xr3:uid="{EED040E5-FF38-40C7-97EA-DB1CAA64BEDF}" name="Columna3802" dataDxfId="12610"/>
    <tableColumn id="3809" xr3:uid="{78184E05-FDF4-45C0-9BE3-56AEE8EB3BD5}" name="Columna3803" dataDxfId="12609"/>
    <tableColumn id="3810" xr3:uid="{27EE4E73-357D-445E-B57C-38ABC9286B32}" name="Columna3804" dataDxfId="12608"/>
    <tableColumn id="3811" xr3:uid="{E9AF9CB6-96E5-4DE4-BCA2-BA786CF769DF}" name="Columna3805" dataDxfId="12607"/>
    <tableColumn id="3812" xr3:uid="{81FCB458-ED56-458B-9A47-2E8A385ADE38}" name="Columna3806" dataDxfId="12606"/>
    <tableColumn id="3813" xr3:uid="{0EF37752-A713-4C9C-A9D8-B295CC07EF3C}" name="Columna3807" dataDxfId="12605"/>
    <tableColumn id="3814" xr3:uid="{5937B6BE-0622-4416-8A5A-7F4BEA378B3A}" name="Columna3808" dataDxfId="12604"/>
    <tableColumn id="3815" xr3:uid="{31C7EDB0-788E-4C3F-B661-9C894CFF462E}" name="Columna3809" dataDxfId="12603"/>
    <tableColumn id="3816" xr3:uid="{3D541369-CE42-4DBC-8D9A-4905E348443D}" name="Columna3810" dataDxfId="12602"/>
    <tableColumn id="3817" xr3:uid="{DD11B048-C460-4250-912C-FD70A23F5388}" name="Columna3811" dataDxfId="12601"/>
    <tableColumn id="3818" xr3:uid="{37E128C9-4B4B-45BE-85E7-981DB26A0CE2}" name="Columna3812" dataDxfId="12600"/>
    <tableColumn id="3819" xr3:uid="{199D5123-D5A4-41BB-A6E7-76D823F03CE9}" name="Columna3813" dataDxfId="12599"/>
    <tableColumn id="3820" xr3:uid="{22B1337B-C0D4-4EF0-97BF-A5330A5CD484}" name="Columna3814" dataDxfId="12598"/>
    <tableColumn id="3821" xr3:uid="{CD979E46-517F-40EB-9741-CECAEF84909E}" name="Columna3815" dataDxfId="12597"/>
    <tableColumn id="3822" xr3:uid="{E4DB63E6-CE15-43AE-B085-77B59D4CA7F6}" name="Columna3816" dataDxfId="12596"/>
    <tableColumn id="3823" xr3:uid="{B821E903-970A-4323-8C74-ECB974C1AEB6}" name="Columna3817" dataDxfId="12595"/>
    <tableColumn id="3824" xr3:uid="{D2A18E64-68FD-4E80-8D59-5896F2FAEA81}" name="Columna3818" dataDxfId="12594"/>
    <tableColumn id="3825" xr3:uid="{4D25EFFC-D091-417F-8938-F124C87BC678}" name="Columna3819" dataDxfId="12593"/>
    <tableColumn id="3826" xr3:uid="{D901CAC7-7ADD-4F35-891B-FA7592182519}" name="Columna3820" dataDxfId="12592"/>
    <tableColumn id="3827" xr3:uid="{610831B5-9303-4CC4-83D5-42D8C41B2A98}" name="Columna3821" dataDxfId="12591"/>
    <tableColumn id="3828" xr3:uid="{E33F7B9D-AC7A-4403-B625-294A6C2FB5A2}" name="Columna3822" dataDxfId="12590"/>
    <tableColumn id="3829" xr3:uid="{4D086B8A-2A06-4262-8250-DB3AE6A3BBFA}" name="Columna3823" dataDxfId="12589"/>
    <tableColumn id="3830" xr3:uid="{654CD998-FC79-4D80-B477-DB31D33469EA}" name="Columna3824" dataDxfId="12588"/>
    <tableColumn id="3831" xr3:uid="{07ABF90E-D17A-4E17-90D9-5D726CFB6CFC}" name="Columna3825" dataDxfId="12587"/>
    <tableColumn id="3832" xr3:uid="{A0E81C0F-69B4-455C-A556-E0500D4FD796}" name="Columna3826" dataDxfId="12586"/>
    <tableColumn id="3833" xr3:uid="{95ACA649-30B9-456B-9D0E-C5C30B72498C}" name="Columna3827" dataDxfId="12585"/>
    <tableColumn id="3834" xr3:uid="{F9295947-6193-4B9C-978C-B4D420E5EF00}" name="Columna3828" dataDxfId="12584"/>
    <tableColumn id="3835" xr3:uid="{FCF6E4A0-9B4C-4612-B820-7F3F2B44CB67}" name="Columna3829" dataDxfId="12583"/>
    <tableColumn id="3836" xr3:uid="{A0E11150-2236-43F7-9EF8-7D20B91DEC0C}" name="Columna3830" dataDxfId="12582"/>
    <tableColumn id="3837" xr3:uid="{C5600B15-EA35-40DC-BCB0-5AA40D2FA32D}" name="Columna3831" dataDxfId="12581"/>
    <tableColumn id="3838" xr3:uid="{1F3C4EBF-6A4D-466E-A758-909412D21585}" name="Columna3832" dataDxfId="12580"/>
    <tableColumn id="3839" xr3:uid="{7380EF95-5E28-4B74-BEC2-7D90A13251CA}" name="Columna3833" dataDxfId="12579"/>
    <tableColumn id="3840" xr3:uid="{01DB66F9-6F70-459E-9963-A6753A4DFAB2}" name="Columna3834" dataDxfId="12578"/>
    <tableColumn id="3841" xr3:uid="{C2DBC0A3-71B7-41CD-B03F-6BCEF230B570}" name="Columna3835" dataDxfId="12577"/>
    <tableColumn id="3842" xr3:uid="{BB623929-E1B5-4790-A423-FF9EBB18BC02}" name="Columna3836" dataDxfId="12576"/>
    <tableColumn id="3843" xr3:uid="{EA63DCC8-CAF3-4C5B-8D85-B8D019CDE8E1}" name="Columna3837" dataDxfId="12575"/>
    <tableColumn id="3844" xr3:uid="{55E5CDC0-23AD-406B-A3ED-AC68E9D02B35}" name="Columna3838" dataDxfId="12574"/>
    <tableColumn id="3845" xr3:uid="{B0CF783B-D36F-4F06-8761-1838C8D47522}" name="Columna3839" dataDxfId="12573"/>
    <tableColumn id="3846" xr3:uid="{7979B34A-E7FF-4CAF-9775-9AC7D4CF2863}" name="Columna3840" dataDxfId="12572"/>
    <tableColumn id="3847" xr3:uid="{80816C1B-3A18-4C0B-9D6D-DEE377F36DF9}" name="Columna3841" dataDxfId="12571"/>
    <tableColumn id="3848" xr3:uid="{B792BFA7-7951-4DE9-B5B9-972E5687A379}" name="Columna3842" dataDxfId="12570"/>
    <tableColumn id="3849" xr3:uid="{88AF5B4B-1C97-4746-9FB1-CC5C3D5CB236}" name="Columna3843" dataDxfId="12569"/>
    <tableColumn id="3850" xr3:uid="{B890E2C4-1512-4131-B449-7CD93DB763AB}" name="Columna3844" dataDxfId="12568"/>
    <tableColumn id="3851" xr3:uid="{E67DDBDC-AEE2-41B5-9E0D-D4D9F0DEEAF0}" name="Columna3845" dataDxfId="12567"/>
    <tableColumn id="3852" xr3:uid="{42B7788E-A87A-4E13-B61B-5F2C7AC3E2DA}" name="Columna3846" dataDxfId="12566"/>
    <tableColumn id="3853" xr3:uid="{4EE69116-F857-42C0-992A-B37FBD008445}" name="Columna3847" dataDxfId="12565"/>
    <tableColumn id="3854" xr3:uid="{32FFECB5-6E4B-4784-9D69-11A07EFB1C52}" name="Columna3848" dataDxfId="12564"/>
    <tableColumn id="3855" xr3:uid="{7C6A6AEC-FE13-4301-9FE6-E09C2F458844}" name="Columna3849" dataDxfId="12563"/>
    <tableColumn id="3856" xr3:uid="{29E69D84-F6AE-4EB5-9AE2-ADF269730210}" name="Columna3850" dataDxfId="12562"/>
    <tableColumn id="3857" xr3:uid="{FCD41BD9-5A89-4FB9-A20C-86214D9C4051}" name="Columna3851" dataDxfId="12561"/>
    <tableColumn id="3858" xr3:uid="{165E42AE-6661-47EF-9300-1B82A5CA0A4B}" name="Columna3852" dataDxfId="12560"/>
    <tableColumn id="3859" xr3:uid="{34C89E24-CA57-4905-9872-43C8AF750CB6}" name="Columna3853" dataDxfId="12559"/>
    <tableColumn id="3860" xr3:uid="{91A1A8CC-7CB5-44F7-81ED-9E5427C3E055}" name="Columna3854" dataDxfId="12558"/>
    <tableColumn id="3861" xr3:uid="{62973941-5292-4D41-B901-E99FF6DDB7BA}" name="Columna3855" dataDxfId="12557"/>
    <tableColumn id="3862" xr3:uid="{FE3BB15E-F34F-46ED-9E59-7CAB83199E43}" name="Columna3856" dataDxfId="12556"/>
    <tableColumn id="3863" xr3:uid="{9007C042-5226-4F9C-A846-68C206A802A9}" name="Columna3857" dataDxfId="12555"/>
    <tableColumn id="3864" xr3:uid="{0742DD81-B2A9-424B-A0DE-92A11FD05B72}" name="Columna3858" dataDxfId="12554"/>
    <tableColumn id="3865" xr3:uid="{1783189D-4674-4DBC-8ED9-BA322D188C71}" name="Columna3859" dataDxfId="12553"/>
    <tableColumn id="3866" xr3:uid="{6B180E7A-E50D-477E-9244-06FCF4735E03}" name="Columna3860" dataDxfId="12552"/>
    <tableColumn id="3867" xr3:uid="{84B13BE3-D314-4BA7-B38D-67C83E41780A}" name="Columna3861" dataDxfId="12551"/>
    <tableColumn id="3868" xr3:uid="{8FED4146-E8A6-45B6-A47F-6416A24348F4}" name="Columna3862" dataDxfId="12550"/>
    <tableColumn id="3869" xr3:uid="{AE6B8BEA-4847-41A9-AA5F-6F739607FA15}" name="Columna3863" dataDxfId="12549"/>
    <tableColumn id="3870" xr3:uid="{8007504F-4846-45C8-BF80-CD78EFD1AD3B}" name="Columna3864" dataDxfId="12548"/>
    <tableColumn id="3871" xr3:uid="{1CEAACFA-7771-4A1F-BF4B-5CD9E4D6E469}" name="Columna3865" dataDxfId="12547"/>
    <tableColumn id="3872" xr3:uid="{B79E9284-28D3-4E54-8AF5-0B0509C6481B}" name="Columna3866" dataDxfId="12546"/>
    <tableColumn id="3873" xr3:uid="{77C796E3-7E61-4D7B-A71C-E31072AFC957}" name="Columna3867" dataDxfId="12545"/>
    <tableColumn id="3874" xr3:uid="{4F37FF83-6DB3-4014-B051-57D19B5225C5}" name="Columna3868" dataDxfId="12544"/>
    <tableColumn id="3875" xr3:uid="{D0D9374F-ACBA-41C5-B622-2BC9764CCFB5}" name="Columna3869" dataDxfId="12543"/>
    <tableColumn id="3876" xr3:uid="{C7B2534D-86CF-4E05-B67B-6A50A2230E33}" name="Columna3870" dataDxfId="12542"/>
    <tableColumn id="3877" xr3:uid="{BD3CBCFF-EDE7-43D0-A3A0-F4003C37C612}" name="Columna3871" dataDxfId="12541"/>
    <tableColumn id="3878" xr3:uid="{395BC1D9-9E45-48C1-A664-01EA2EFBC330}" name="Columna3872" dataDxfId="12540"/>
    <tableColumn id="3879" xr3:uid="{5C657A7F-3459-4494-A335-ADB80E63011D}" name="Columna3873" dataDxfId="12539"/>
    <tableColumn id="3880" xr3:uid="{15A6EB96-F117-4AF1-8338-9B7780A2A76F}" name="Columna3874" dataDxfId="12538"/>
    <tableColumn id="3881" xr3:uid="{DE4178BE-1325-429E-A53C-B38FBB5A8F57}" name="Columna3875" dataDxfId="12537"/>
    <tableColumn id="3882" xr3:uid="{19FF22E4-32A0-4FE1-8780-FD31B10E4FAB}" name="Columna3876" dataDxfId="12536"/>
    <tableColumn id="3883" xr3:uid="{C00A8DC6-362F-4731-A1B8-025329064DD5}" name="Columna3877" dataDxfId="12535"/>
    <tableColumn id="3884" xr3:uid="{F037EAD4-FF28-4458-A8AF-C7AA0D8EF634}" name="Columna3878" dataDxfId="12534"/>
    <tableColumn id="3885" xr3:uid="{B6BAD078-E78D-47F8-826F-E63B38A1E18A}" name="Columna3879" dataDxfId="12533"/>
    <tableColumn id="3886" xr3:uid="{DEEB50E8-AC39-4D9F-9496-5B981C3F4F4F}" name="Columna3880" dataDxfId="12532"/>
    <tableColumn id="3887" xr3:uid="{6F83A308-BF27-4938-AAF3-7FCBE5ABF5BD}" name="Columna3881" dataDxfId="12531"/>
    <tableColumn id="3888" xr3:uid="{96E792A1-4097-472C-AB4D-D85A37E80BC1}" name="Columna3882" dataDxfId="12530"/>
    <tableColumn id="3889" xr3:uid="{90DA2A99-4AA5-45C4-855C-3C4DCF1F07F8}" name="Columna3883" dataDxfId="12529"/>
    <tableColumn id="3890" xr3:uid="{0212950B-1BFC-4F0F-99A1-CE0855E65D14}" name="Columna3884" dataDxfId="12528"/>
    <tableColumn id="3891" xr3:uid="{841CF440-86BE-41D9-9E79-9FB265D69DA0}" name="Columna3885" dataDxfId="12527"/>
    <tableColumn id="3892" xr3:uid="{C58BF880-03FA-48A4-A30F-BD0E85E1E6B8}" name="Columna3886" dataDxfId="12526"/>
    <tableColumn id="3893" xr3:uid="{6DBFE762-BD7D-47C3-95B5-024A9FDAC5AD}" name="Columna3887" dataDxfId="12525"/>
    <tableColumn id="3894" xr3:uid="{2CF87522-A6C5-4884-9302-DD07F1718319}" name="Columna3888" dataDxfId="12524"/>
    <tableColumn id="3895" xr3:uid="{2B36A846-A6D4-4F31-97E2-6CB9C6272D4A}" name="Columna3889" dataDxfId="12523"/>
    <tableColumn id="3896" xr3:uid="{6D1B6C74-2C6F-4A28-9D47-6ADE06FAF556}" name="Columna3890" dataDxfId="12522"/>
    <tableColumn id="3897" xr3:uid="{63C420D8-C704-414D-B13C-BFD094F66A05}" name="Columna3891" dataDxfId="12521"/>
    <tableColumn id="3898" xr3:uid="{20CA6225-4146-411A-8A7B-6D7193432787}" name="Columna3892" dataDxfId="12520"/>
    <tableColumn id="3899" xr3:uid="{D3DBF04B-7930-4BEA-8D55-D24136F72A56}" name="Columna3893" dataDxfId="12519"/>
    <tableColumn id="3900" xr3:uid="{E344B7A9-DBBA-4F6D-8CED-5DA0A614969E}" name="Columna3894" dataDxfId="12518"/>
    <tableColumn id="3901" xr3:uid="{487EA6B8-70AE-4BE7-BF2C-002463876897}" name="Columna3895" dataDxfId="12517"/>
    <tableColumn id="3902" xr3:uid="{D3BDEDE8-D27F-4EE7-9CC5-DD78C88632F5}" name="Columna3896" dataDxfId="12516"/>
    <tableColumn id="3903" xr3:uid="{2D8E95E6-59D0-4EE6-8D82-48A815C1DEA4}" name="Columna3897" dataDxfId="12515"/>
    <tableColumn id="3904" xr3:uid="{C50D743E-AEEE-457A-9554-549C57C07AC2}" name="Columna3898" dataDxfId="12514"/>
    <tableColumn id="3905" xr3:uid="{4A615D68-FC60-484F-B8DE-B79A4A6FFB57}" name="Columna3899" dataDxfId="12513"/>
    <tableColumn id="3906" xr3:uid="{79981D80-3BBA-418D-AEBF-195715BA360B}" name="Columna3900" dataDxfId="12512"/>
    <tableColumn id="3907" xr3:uid="{CE684569-FDBA-4E40-9507-ED21581F77BA}" name="Columna3901" dataDxfId="12511"/>
    <tableColumn id="3908" xr3:uid="{98297D0B-BA08-4F7D-9876-6349B3A28204}" name="Columna3902" dataDxfId="12510"/>
    <tableColumn id="3909" xr3:uid="{6F400E72-B030-4DF7-AFC4-E9DD472C4335}" name="Columna3903" dataDxfId="12509"/>
    <tableColumn id="3910" xr3:uid="{5BDFB638-88BD-483F-9A8C-E80FCF67B018}" name="Columna3904" dataDxfId="12508"/>
    <tableColumn id="3911" xr3:uid="{4A891162-4DDA-4FA8-BB02-A74547E49200}" name="Columna3905" dataDxfId="12507"/>
    <tableColumn id="3912" xr3:uid="{7341D2DE-442E-4A8E-AE0E-DB24A45C0B7A}" name="Columna3906" dataDxfId="12506"/>
    <tableColumn id="3913" xr3:uid="{9A8ADCB3-2C58-44B6-BBEC-85AFFF458D48}" name="Columna3907" dataDxfId="12505"/>
    <tableColumn id="3914" xr3:uid="{0485269E-0670-41D5-A54A-2BC86C8329F5}" name="Columna3908" dataDxfId="12504"/>
    <tableColumn id="3915" xr3:uid="{D1244E56-F156-4858-A0AC-B07A72AEB9B0}" name="Columna3909" dataDxfId="12503"/>
    <tableColumn id="3916" xr3:uid="{C82FADAE-4626-484F-AA65-65D56350846E}" name="Columna3910" dataDxfId="12502"/>
    <tableColumn id="3917" xr3:uid="{03D58142-261C-4EB4-8FB2-06E747776171}" name="Columna3911" dataDxfId="12501"/>
    <tableColumn id="3918" xr3:uid="{9FB89163-F734-47E9-BC8A-FA14B0DFFDFE}" name="Columna3912" dataDxfId="12500"/>
    <tableColumn id="3919" xr3:uid="{EED0AB20-607B-4F9A-B057-7D562956EEAB}" name="Columna3913" dataDxfId="12499"/>
    <tableColumn id="3920" xr3:uid="{69F5EE57-806B-40B2-9B24-7CEA7380C585}" name="Columna3914" dataDxfId="12498"/>
    <tableColumn id="3921" xr3:uid="{F7DEBE32-6EE6-46F9-861A-72BABE4786AA}" name="Columna3915" dataDxfId="12497"/>
    <tableColumn id="3922" xr3:uid="{73D94260-5306-4354-B65B-CABC31814AFD}" name="Columna3916" dataDxfId="12496"/>
    <tableColumn id="3923" xr3:uid="{24FCEC00-C036-48D0-A53D-F00C4C5C1738}" name="Columna3917" dataDxfId="12495"/>
    <tableColumn id="3924" xr3:uid="{AB28D128-3EBF-463D-88ED-86F1A5933EB6}" name="Columna3918" dataDxfId="12494"/>
    <tableColumn id="3925" xr3:uid="{229E604F-D618-47F4-A417-7BF43653CF86}" name="Columna3919" dataDxfId="12493"/>
    <tableColumn id="3926" xr3:uid="{12645C7B-D882-4E6A-9994-36126CF15A20}" name="Columna3920" dataDxfId="12492"/>
    <tableColumn id="3927" xr3:uid="{A308ED0D-D652-4D6B-A12A-856AEF6DD269}" name="Columna3921" dataDxfId="12491"/>
    <tableColumn id="3928" xr3:uid="{15DED521-0A77-4B2E-800F-6C0AE9F6972D}" name="Columna3922" dataDxfId="12490"/>
    <tableColumn id="3929" xr3:uid="{BA6ADE52-0CF0-4737-947A-CABEF425913D}" name="Columna3923" dataDxfId="12489"/>
    <tableColumn id="3930" xr3:uid="{FCBEC9E0-98B5-41C2-B310-FD13845A7A22}" name="Columna3924" dataDxfId="12488"/>
    <tableColumn id="3931" xr3:uid="{32D2718C-C8A0-4B0F-943A-FA026A86A2FC}" name="Columna3925" dataDxfId="12487"/>
    <tableColumn id="3932" xr3:uid="{1DED4666-2B10-4247-8DFF-77CACCB653B1}" name="Columna3926" dataDxfId="12486"/>
    <tableColumn id="3933" xr3:uid="{566588ED-11B2-4A00-83B8-F02BB224A881}" name="Columna3927" dataDxfId="12485"/>
    <tableColumn id="3934" xr3:uid="{5DB42E55-DC5C-4106-984F-06F28D7CE6D2}" name="Columna3928" dataDxfId="12484"/>
    <tableColumn id="3935" xr3:uid="{FBAF5509-7442-4787-9054-21F0A2FB1FAE}" name="Columna3929" dataDxfId="12483"/>
    <tableColumn id="3936" xr3:uid="{CF07F068-9A4A-495E-8384-C09E11663926}" name="Columna3930" dataDxfId="12482"/>
    <tableColumn id="3937" xr3:uid="{A6F6F542-B5B6-4214-AE98-8E9568E9DA95}" name="Columna3931" dataDxfId="12481"/>
    <tableColumn id="3938" xr3:uid="{B5973351-1B1E-40CC-B4AB-A655FDDF3343}" name="Columna3932" dataDxfId="12480"/>
    <tableColumn id="3939" xr3:uid="{560C540F-3906-4CFE-989B-97776024E4E9}" name="Columna3933" dataDxfId="12479"/>
    <tableColumn id="3940" xr3:uid="{F2ECC374-8C7C-4068-8239-93C575DFCBF0}" name="Columna3934" dataDxfId="12478"/>
    <tableColumn id="3941" xr3:uid="{343EFF86-57DA-424A-A582-8433D1C694EA}" name="Columna3935" dataDxfId="12477"/>
    <tableColumn id="3942" xr3:uid="{EA6F03FC-589E-4288-B662-B14E3B656407}" name="Columna3936" dataDxfId="12476"/>
    <tableColumn id="3943" xr3:uid="{927995C6-68E0-4976-89D6-D6E9A6859C34}" name="Columna3937" dataDxfId="12475"/>
    <tableColumn id="3944" xr3:uid="{82ACAE6D-756A-4BBE-98A3-AC001D25B0F9}" name="Columna3938" dataDxfId="12474"/>
    <tableColumn id="3945" xr3:uid="{D461C440-1BAA-43E2-ACAC-43BB7C992766}" name="Columna3939" dataDxfId="12473"/>
    <tableColumn id="3946" xr3:uid="{E0FF2ACE-0F57-4812-BB88-2F37516221ED}" name="Columna3940" dataDxfId="12472"/>
    <tableColumn id="3947" xr3:uid="{1C3CBA30-CEB7-45D3-B9AE-5A935F7D5C1E}" name="Columna3941" dataDxfId="12471"/>
    <tableColumn id="3948" xr3:uid="{62235D52-CFC1-410F-9DA0-DC90FE1E6C75}" name="Columna3942" dataDxfId="12470"/>
    <tableColumn id="3949" xr3:uid="{549236C0-EC98-4018-8EA9-8FAAE49A000B}" name="Columna3943" dataDxfId="12469"/>
    <tableColumn id="3950" xr3:uid="{A8543530-0BDD-4938-957D-A5218E8E9FE4}" name="Columna3944" dataDxfId="12468"/>
    <tableColumn id="3951" xr3:uid="{F026F803-11D1-4B01-BF7D-49AA7B7FFB61}" name="Columna3945" dataDxfId="12467"/>
    <tableColumn id="3952" xr3:uid="{6F4142EE-2434-4806-A7C5-2A8518B2FAC3}" name="Columna3946" dataDxfId="12466"/>
    <tableColumn id="3953" xr3:uid="{FA36D9C7-45A2-4499-BF3C-C534263E763F}" name="Columna3947" dataDxfId="12465"/>
    <tableColumn id="3954" xr3:uid="{B27F1BAE-A38A-44E6-B93F-4A71A6916BC1}" name="Columna3948" dataDxfId="12464"/>
    <tableColumn id="3955" xr3:uid="{E2AEEAEB-A19F-4459-99A7-699A0EBB10A9}" name="Columna3949" dataDxfId="12463"/>
    <tableColumn id="3956" xr3:uid="{B3B42C9D-297E-4FF9-8F54-621697FA6480}" name="Columna3950" dataDxfId="12462"/>
    <tableColumn id="3957" xr3:uid="{F7CADD09-9830-4A15-A27D-B51E45A4051E}" name="Columna3951" dataDxfId="12461"/>
    <tableColumn id="3958" xr3:uid="{8C4D31EB-6940-4B34-BA64-94BBAC5A4AAC}" name="Columna3952" dataDxfId="12460"/>
    <tableColumn id="3959" xr3:uid="{CE8E4034-2BC8-4BD0-BBD3-1A12DBD5E346}" name="Columna3953" dataDxfId="12459"/>
    <tableColumn id="3960" xr3:uid="{ED014E25-1635-42BC-9D3E-B8AD4A7CA6A1}" name="Columna3954" dataDxfId="12458"/>
    <tableColumn id="3961" xr3:uid="{EF7543B3-73BF-41CF-AD01-8F787539CF36}" name="Columna3955" dataDxfId="12457"/>
    <tableColumn id="3962" xr3:uid="{7508D580-A592-4EAE-A195-652B2297F3F8}" name="Columna3956" dataDxfId="12456"/>
    <tableColumn id="3963" xr3:uid="{8B99350D-17D3-42BA-A292-7DEA0717DA46}" name="Columna3957" dataDxfId="12455"/>
    <tableColumn id="3964" xr3:uid="{B117EC39-6F60-416E-8981-D375DAFEF8D0}" name="Columna3958" dataDxfId="12454"/>
    <tableColumn id="3965" xr3:uid="{F14E49EE-2B60-471C-8581-3203662803FA}" name="Columna3959" dataDxfId="12453"/>
    <tableColumn id="3966" xr3:uid="{47A6792F-9211-42EA-8174-435055F0E173}" name="Columna3960" dataDxfId="12452"/>
    <tableColumn id="3967" xr3:uid="{9CF17343-6DA8-42E3-9A24-B81CC3AE0951}" name="Columna3961" dataDxfId="12451"/>
    <tableColumn id="3968" xr3:uid="{0C813D7A-FF3D-4569-9C32-5FD319CE3967}" name="Columna3962" dataDxfId="12450"/>
    <tableColumn id="3969" xr3:uid="{44498C36-F879-4DC3-8892-49CA6B6D2ADC}" name="Columna3963" dataDxfId="12449"/>
    <tableColumn id="3970" xr3:uid="{E12651B9-83C6-4A7D-970D-BC69A346C0C7}" name="Columna3964" dataDxfId="12448"/>
    <tableColumn id="3971" xr3:uid="{BC0DF150-B782-4996-97D7-7A9B86B27D71}" name="Columna3965" dataDxfId="12447"/>
    <tableColumn id="3972" xr3:uid="{298053C3-FB16-4D43-B586-71EB159F0D42}" name="Columna3966" dataDxfId="12446"/>
    <tableColumn id="3973" xr3:uid="{474BC755-76E7-4C01-93E8-82959B540484}" name="Columna3967" dataDxfId="12445"/>
    <tableColumn id="3974" xr3:uid="{76B54A8A-A0A6-4960-AF16-F66E60AF834E}" name="Columna3968" dataDxfId="12444"/>
    <tableColumn id="3975" xr3:uid="{CCB659C6-7C85-410C-B7ED-8A2D56413129}" name="Columna3969" dataDxfId="12443"/>
    <tableColumn id="3976" xr3:uid="{F9E49771-477D-4970-9BA5-82B62121894D}" name="Columna3970" dataDxfId="12442"/>
    <tableColumn id="3977" xr3:uid="{FD77094A-950A-4DDE-B27E-2E62D444BCDE}" name="Columna3971" dataDxfId="12441"/>
    <tableColumn id="3978" xr3:uid="{EAAE6EFE-B79C-46E9-81EA-3E9DC8F0182A}" name="Columna3972" dataDxfId="12440"/>
    <tableColumn id="3979" xr3:uid="{E553E5D3-90F7-4239-8D62-9BF8BB5E28A8}" name="Columna3973" dataDxfId="12439"/>
    <tableColumn id="3980" xr3:uid="{0441B852-C96C-4F1A-994B-C2F938E88BA7}" name="Columna3974" dataDxfId="12438"/>
    <tableColumn id="3981" xr3:uid="{5FA5A01C-AC51-49E7-B7D5-B10FD879D0BD}" name="Columna3975" dataDxfId="12437"/>
    <tableColumn id="3982" xr3:uid="{3E34FF9B-2591-4EE9-BFBE-A63CA6C709FD}" name="Columna3976" dataDxfId="12436"/>
    <tableColumn id="3983" xr3:uid="{C366FFC7-3A69-4A8B-929F-3CF3CA55A9EB}" name="Columna3977" dataDxfId="12435"/>
    <tableColumn id="3984" xr3:uid="{4B976AD7-460C-4F75-AB35-A625A4190D38}" name="Columna3978" dataDxfId="12434"/>
    <tableColumn id="3985" xr3:uid="{FB3E3CD2-8BD1-4669-B72F-B45C6013809D}" name="Columna3979" dataDxfId="12433"/>
    <tableColumn id="3986" xr3:uid="{03997820-87C0-48EF-82F1-E4D873A903B9}" name="Columna3980" dataDxfId="12432"/>
    <tableColumn id="3987" xr3:uid="{7C2221CB-1837-40F5-9253-5DF246E1EF37}" name="Columna3981" dataDxfId="12431"/>
    <tableColumn id="3988" xr3:uid="{EC5BA54F-7EEE-4C6C-A3F7-9BB04162539E}" name="Columna3982" dataDxfId="12430"/>
    <tableColumn id="3989" xr3:uid="{94A77064-908E-4B02-A90A-387E495C1303}" name="Columna3983" dataDxfId="12429"/>
    <tableColumn id="3990" xr3:uid="{0BF36604-01AC-4794-AFAD-EC5B011FF535}" name="Columna3984" dataDxfId="12428"/>
    <tableColumn id="3991" xr3:uid="{DD2861C8-A580-45C8-AEE8-1E0FCCB860F6}" name="Columna3985" dataDxfId="12427"/>
    <tableColumn id="3992" xr3:uid="{7D4BC048-C476-428F-8A87-F11A3C3C5A79}" name="Columna3986" dataDxfId="12426"/>
    <tableColumn id="3993" xr3:uid="{A5B3556A-613E-406A-BC3E-946010B62534}" name="Columna3987" dataDxfId="12425"/>
    <tableColumn id="3994" xr3:uid="{3F543AC9-E53C-4CBB-BFF7-E23FAD351794}" name="Columna3988" dataDxfId="12424"/>
    <tableColumn id="3995" xr3:uid="{D1D80DFA-1943-463A-BAD6-600B4902F0A6}" name="Columna3989" dataDxfId="12423"/>
    <tableColumn id="3996" xr3:uid="{ED83869E-AD26-4C35-B50F-1EAC41071C27}" name="Columna3990" dataDxfId="12422"/>
    <tableColumn id="3997" xr3:uid="{37E9594D-52B9-4BEE-8592-6CC206EE945C}" name="Columna3991" dataDxfId="12421"/>
    <tableColumn id="3998" xr3:uid="{0D940478-220B-4BC1-817D-61EEBF166304}" name="Columna3992" dataDxfId="12420"/>
    <tableColumn id="3999" xr3:uid="{E347214B-D371-4D22-8238-D8476FF3568E}" name="Columna3993" dataDxfId="12419"/>
    <tableColumn id="4000" xr3:uid="{25440CFB-8BF5-4652-B207-A9444092FACE}" name="Columna3994" dataDxfId="12418"/>
    <tableColumn id="4001" xr3:uid="{315D612B-CC2D-4B52-87AE-C0073AFEE827}" name="Columna3995" dataDxfId="12417"/>
    <tableColumn id="4002" xr3:uid="{EAF03594-763C-446D-9219-B9530DF537A1}" name="Columna3996" dataDxfId="12416"/>
    <tableColumn id="4003" xr3:uid="{96E9871B-A199-4076-BD80-AFBCE176CE2A}" name="Columna3997" dataDxfId="12415"/>
    <tableColumn id="4004" xr3:uid="{5C25AE27-F847-4AA5-BA96-9D72431B4E6E}" name="Columna3998" dataDxfId="12414"/>
    <tableColumn id="4005" xr3:uid="{927446CA-5ADC-4532-9185-9A8E0B8788EA}" name="Columna3999" dataDxfId="12413"/>
    <tableColumn id="4006" xr3:uid="{41748FED-C148-4CE9-A562-036CD093D69C}" name="Columna4000" dataDxfId="12412"/>
    <tableColumn id="4007" xr3:uid="{E6647CEA-68C6-4AFA-9704-7297ADFDCF5A}" name="Columna4001" dataDxfId="12411"/>
    <tableColumn id="4008" xr3:uid="{7A9DF04B-19F0-44B1-A78B-A4417ACC9426}" name="Columna4002" dataDxfId="12410"/>
    <tableColumn id="4009" xr3:uid="{3854CBB4-4179-4FF2-9A8D-8540C028E575}" name="Columna4003" dataDxfId="12409"/>
    <tableColumn id="4010" xr3:uid="{311049F3-B8A5-4415-BD9B-4CA6504B9173}" name="Columna4004" dataDxfId="12408"/>
    <tableColumn id="4011" xr3:uid="{49A5123F-3F0A-4CAD-B4BD-26B39A79732C}" name="Columna4005" dataDxfId="12407"/>
    <tableColumn id="4012" xr3:uid="{3B633801-068D-409B-81CD-DB4C79986CA8}" name="Columna4006" dataDxfId="12406"/>
    <tableColumn id="4013" xr3:uid="{6CB38A63-C0F0-4533-87B2-DF6CFFAE29FD}" name="Columna4007" dataDxfId="12405"/>
    <tableColumn id="4014" xr3:uid="{DE48130F-DE4B-4592-966E-264667F7DD7C}" name="Columna4008" dataDxfId="12404"/>
    <tableColumn id="4015" xr3:uid="{C15A3173-A3F0-4BE1-844F-DAB869B52E65}" name="Columna4009" dataDxfId="12403"/>
    <tableColumn id="4016" xr3:uid="{13BC0EDC-49AF-4E51-9B44-2DD72736E30E}" name="Columna4010" dataDxfId="12402"/>
    <tableColumn id="4017" xr3:uid="{2D15A1A6-2678-45B4-A21C-F151313D98D3}" name="Columna4011" dataDxfId="12401"/>
    <tableColumn id="4018" xr3:uid="{3BC47E04-F8C0-4717-B68F-76986E89963A}" name="Columna4012" dataDxfId="12400"/>
    <tableColumn id="4019" xr3:uid="{429B87EF-D508-4E25-B5F8-E23D544B9EDE}" name="Columna4013" dataDxfId="12399"/>
    <tableColumn id="4020" xr3:uid="{F6D6A69D-5065-4D26-8A36-3237ABCBB1AD}" name="Columna4014" dataDxfId="12398"/>
    <tableColumn id="4021" xr3:uid="{30E1422C-9D81-448D-AB91-8E52F788E570}" name="Columna4015" dataDxfId="12397"/>
    <tableColumn id="4022" xr3:uid="{7F7B166D-CC91-414C-ADF5-10A39BCE0766}" name="Columna4016" dataDxfId="12396"/>
    <tableColumn id="4023" xr3:uid="{788A186E-F43A-4A77-A066-00F32B088881}" name="Columna4017" dataDxfId="12395"/>
    <tableColumn id="4024" xr3:uid="{A6CFB470-D66E-4B58-B70E-CC3B059C04D1}" name="Columna4018" dataDxfId="12394"/>
    <tableColumn id="4025" xr3:uid="{A42CA8CF-1BB5-43CC-B6EA-2417EC16B16E}" name="Columna4019" dataDxfId="12393"/>
    <tableColumn id="4026" xr3:uid="{9A47EA1C-28EF-4D4E-B566-BFCF233C2222}" name="Columna4020" dataDxfId="12392"/>
    <tableColumn id="4027" xr3:uid="{2D9AF018-74B2-4E26-B211-B1A4292F09D9}" name="Columna4021" dataDxfId="12391"/>
    <tableColumn id="4028" xr3:uid="{0EE49A82-9AAD-4C61-BB5F-F566D8602AE3}" name="Columna4022" dataDxfId="12390"/>
    <tableColumn id="4029" xr3:uid="{312F7907-86C9-4C04-979E-3D0D06234829}" name="Columna4023" dataDxfId="12389"/>
    <tableColumn id="4030" xr3:uid="{698ABB41-E7BB-40AC-95CA-EEBF2CDB22C5}" name="Columna4024" dataDxfId="12388"/>
    <tableColumn id="4031" xr3:uid="{D2A798B9-DCED-4127-B983-66C9E9BB92BF}" name="Columna4025" dataDxfId="12387"/>
    <tableColumn id="4032" xr3:uid="{2616DC42-1449-44DF-960A-AA6558814BE3}" name="Columna4026" dataDxfId="12386"/>
    <tableColumn id="4033" xr3:uid="{E57A5049-DFFB-4C31-8E7C-CA6B66A0BDD6}" name="Columna4027" dataDxfId="12385"/>
    <tableColumn id="4034" xr3:uid="{E4D91D1B-FA35-40C6-B4AA-0BC0539DC54A}" name="Columna4028" dataDxfId="12384"/>
    <tableColumn id="4035" xr3:uid="{00AF46BD-A985-4D8C-B279-FFAE1496A336}" name="Columna4029" dataDxfId="12383"/>
    <tableColumn id="4036" xr3:uid="{B41E0B25-B441-4650-927E-2F5BFB13A5C1}" name="Columna4030" dataDxfId="12382"/>
    <tableColumn id="4037" xr3:uid="{D5C10875-70E4-4C22-BDC1-9826E9E70ACB}" name="Columna4031" dataDxfId="12381"/>
    <tableColumn id="4038" xr3:uid="{7E4054A2-1A64-4975-9F27-08E2B1926EDF}" name="Columna4032" dataDxfId="12380"/>
    <tableColumn id="4039" xr3:uid="{AEBFA5BA-47CE-47E7-8B4A-07F3BCF4B17C}" name="Columna4033" dataDxfId="12379"/>
    <tableColumn id="4040" xr3:uid="{383A3508-F38B-4F0F-8850-4C342570C598}" name="Columna4034" dataDxfId="12378"/>
    <tableColumn id="4041" xr3:uid="{459E838F-4CEA-4374-81BA-E01FA8CD9143}" name="Columna4035" dataDxfId="12377"/>
    <tableColumn id="4042" xr3:uid="{3A753FB2-0415-46EA-8B9D-805719FE8F82}" name="Columna4036" dataDxfId="12376"/>
    <tableColumn id="4043" xr3:uid="{AFB01ACA-40FC-4260-A914-ACA6B41E13AA}" name="Columna4037" dataDxfId="12375"/>
    <tableColumn id="4044" xr3:uid="{B2B9D6AD-D0A9-48F9-B34C-049838DB9578}" name="Columna4038" dataDxfId="12374"/>
    <tableColumn id="4045" xr3:uid="{805C8027-9179-4147-899A-5D1A3E8F7964}" name="Columna4039" dataDxfId="12373"/>
    <tableColumn id="4046" xr3:uid="{43F0B1AA-A183-4881-B6E3-6CEF7C524EBA}" name="Columna4040" dataDxfId="12372"/>
    <tableColumn id="4047" xr3:uid="{F22B0BB3-31C4-4D9E-B1D5-75F7D83C1B16}" name="Columna4041" dataDxfId="12371"/>
    <tableColumn id="4048" xr3:uid="{7C5AEAF6-11FA-4585-B93B-5DBBADB7ABED}" name="Columna4042" dataDxfId="12370"/>
    <tableColumn id="4049" xr3:uid="{5B7B3D94-A7FF-4B3B-9016-F6AA77C65E2B}" name="Columna4043" dataDxfId="12369"/>
    <tableColumn id="4050" xr3:uid="{67F94689-D38A-425B-A8A3-22391CFF2C13}" name="Columna4044" dataDxfId="12368"/>
    <tableColumn id="4051" xr3:uid="{E40A1558-F29A-4388-8E34-033C2E83B986}" name="Columna4045" dataDxfId="12367"/>
    <tableColumn id="4052" xr3:uid="{CAAC802D-2633-4A13-B407-2D67BDAFC5AD}" name="Columna4046" dataDxfId="12366"/>
    <tableColumn id="4053" xr3:uid="{556F25C2-75D0-4282-A47F-52E722532539}" name="Columna4047" dataDxfId="12365"/>
    <tableColumn id="4054" xr3:uid="{050002D2-AB81-4AD7-B236-9175E947317A}" name="Columna4048" dataDxfId="12364"/>
    <tableColumn id="4055" xr3:uid="{10DA0C06-2884-4456-BA4A-B085E9963A4D}" name="Columna4049" dataDxfId="12363"/>
    <tableColumn id="4056" xr3:uid="{794FC553-8D58-4F70-BFAB-6529052E24F3}" name="Columna4050" dataDxfId="12362"/>
    <tableColumn id="4057" xr3:uid="{6212B656-B7AF-48AD-833D-7D549F441476}" name="Columna4051" dataDxfId="12361"/>
    <tableColumn id="4058" xr3:uid="{9EFC3A64-CAD7-4AB3-97B8-A5680435CB1B}" name="Columna4052" dataDxfId="12360"/>
    <tableColumn id="4059" xr3:uid="{11F26A5A-F147-4CA1-9FE8-C2A27FE56BA5}" name="Columna4053" dataDxfId="12359"/>
    <tableColumn id="4060" xr3:uid="{A17868CB-284E-46E0-87DE-D34C19CA1ED8}" name="Columna4054" dataDxfId="12358"/>
    <tableColumn id="4061" xr3:uid="{30F409FE-BD97-4B3D-8B16-7BA61CFDBB0C}" name="Columna4055" dataDxfId="12357"/>
    <tableColumn id="4062" xr3:uid="{F57E4B95-2278-466E-AF8D-A7DE30DE7DCD}" name="Columna4056" dataDxfId="12356"/>
    <tableColumn id="4063" xr3:uid="{C72FCAF2-FB0A-42F7-AA3B-3F5BE090AB4D}" name="Columna4057" dataDxfId="12355"/>
    <tableColumn id="4064" xr3:uid="{A5C0F0E5-542A-4F8B-B297-B78C3B15E69D}" name="Columna4058" dataDxfId="12354"/>
    <tableColumn id="4065" xr3:uid="{E072ABF6-9BA4-4C58-977E-B07F077C3C53}" name="Columna4059" dataDxfId="12353"/>
    <tableColumn id="4066" xr3:uid="{DCF2BC2D-FD70-4579-84BE-177BD9FB7C33}" name="Columna4060" dataDxfId="12352"/>
    <tableColumn id="4067" xr3:uid="{CE6C79B6-997A-45A2-8AD4-75812039FB6E}" name="Columna4061" dataDxfId="12351"/>
    <tableColumn id="4068" xr3:uid="{FE37EA9B-0E78-44CE-93AE-F4F6484FE11F}" name="Columna4062" dataDxfId="12350"/>
    <tableColumn id="4069" xr3:uid="{D4E68D37-C6F9-4EDB-9F5E-6215184CE6D7}" name="Columna4063" dataDxfId="12349"/>
    <tableColumn id="4070" xr3:uid="{BC9B6072-B75E-4502-91BB-C9DD3B54FD18}" name="Columna4064" dataDxfId="12348"/>
    <tableColumn id="4071" xr3:uid="{BD48EE91-214F-4F22-8E76-9D5BA899FBCE}" name="Columna4065" dataDxfId="12347"/>
    <tableColumn id="4072" xr3:uid="{7064739C-D44C-465A-9BA1-05298B8CC8D2}" name="Columna4066" dataDxfId="12346"/>
    <tableColumn id="4073" xr3:uid="{5D2664E5-A9EB-432F-AAE1-F5E1F70A8BBE}" name="Columna4067" dataDxfId="12345"/>
    <tableColumn id="4074" xr3:uid="{18CEF9EB-CFA5-486E-875E-4913C8E44EED}" name="Columna4068" dataDxfId="12344"/>
    <tableColumn id="4075" xr3:uid="{9E36BD94-3E25-471B-AE5C-F5D869D8F60E}" name="Columna4069" dataDxfId="12343"/>
    <tableColumn id="4076" xr3:uid="{776BB95A-BF82-4B1F-9931-CB681C9BC623}" name="Columna4070" dataDxfId="12342"/>
    <tableColumn id="4077" xr3:uid="{2421E2FA-EF2E-4597-9180-2C76566A73B4}" name="Columna4071" dataDxfId="12341"/>
    <tableColumn id="4078" xr3:uid="{7B9203A8-BDE4-4E27-A924-83B4FD379548}" name="Columna4072" dataDxfId="12340"/>
    <tableColumn id="4079" xr3:uid="{5465E116-4F22-434E-81FC-74308B92625F}" name="Columna4073" dataDxfId="12339"/>
    <tableColumn id="4080" xr3:uid="{C23DCAE6-0868-4387-B470-EC2187F0BAC5}" name="Columna4074" dataDxfId="12338"/>
    <tableColumn id="4081" xr3:uid="{D02D1E4A-8E13-4036-82FE-09EFB33595B1}" name="Columna4075" dataDxfId="12337"/>
    <tableColumn id="4082" xr3:uid="{2A31FB2B-9A14-4249-A110-C99C1BED5A39}" name="Columna4076" dataDxfId="12336"/>
    <tableColumn id="4083" xr3:uid="{D9504757-BD06-43D5-AB8D-7119A2BFA942}" name="Columna4077" dataDxfId="12335"/>
    <tableColumn id="4084" xr3:uid="{17BE1DE8-23B6-4972-985F-3BC8F416F6A6}" name="Columna4078" dataDxfId="12334"/>
    <tableColumn id="4085" xr3:uid="{63AB6E89-A293-49B2-96EB-088F257A12D7}" name="Columna4079" dataDxfId="12333"/>
    <tableColumn id="4086" xr3:uid="{52D96AA4-91B7-44D0-B633-150FBB8DA7E4}" name="Columna4080" dataDxfId="12332"/>
    <tableColumn id="4087" xr3:uid="{C2B284C8-6324-43E2-B421-DFA33888E8B0}" name="Columna4081" dataDxfId="12331"/>
    <tableColumn id="4088" xr3:uid="{DFB75C80-CD26-4A42-84D1-B6ECE8882012}" name="Columna4082" dataDxfId="12330"/>
    <tableColumn id="4089" xr3:uid="{EA8B208E-BB58-465A-96A2-8099D4C956D0}" name="Columna4083" dataDxfId="12329"/>
    <tableColumn id="4090" xr3:uid="{743822CB-5C47-4129-AD08-0237F75E519A}" name="Columna4084" dataDxfId="12328"/>
    <tableColumn id="4091" xr3:uid="{5C44FAA3-294B-4FD4-B63F-DDC90A04146B}" name="Columna4085" dataDxfId="12327"/>
    <tableColumn id="4092" xr3:uid="{763946CB-A720-4F64-916E-3E9F9CEC573C}" name="Columna4086" dataDxfId="12326"/>
    <tableColumn id="4093" xr3:uid="{35E7F0DF-FF6C-4C60-9823-23B34DD183D6}" name="Columna4087" dataDxfId="12325"/>
    <tableColumn id="4094" xr3:uid="{EA9C1EB4-5BF1-49A1-800F-3E6CC7E2A2E6}" name="Columna4088" dataDxfId="12324"/>
    <tableColumn id="4095" xr3:uid="{01EA207C-CBB6-4F51-A143-3AB1EB6B6909}" name="Columna4089" dataDxfId="12323"/>
    <tableColumn id="4096" xr3:uid="{A1E1A8C2-543F-4068-BEEE-846CA19C27C8}" name="Columna4090" dataDxfId="12322"/>
    <tableColumn id="4097" xr3:uid="{8F6A53BF-3C60-4B5F-AB6E-A3758F0FF6C3}" name="Columna4091" dataDxfId="12321"/>
    <tableColumn id="4098" xr3:uid="{A849EEDF-DEA8-4DB8-9284-984AC8E0BAE1}" name="Columna4092" dataDxfId="12320"/>
    <tableColumn id="4099" xr3:uid="{FB8C8AE1-860B-4E2F-90DB-E6A930852B21}" name="Columna4093" dataDxfId="12319"/>
    <tableColumn id="4100" xr3:uid="{39E1A678-3403-4C93-85CA-4FF14336405A}" name="Columna4094" dataDxfId="12318"/>
    <tableColumn id="4101" xr3:uid="{18D901A1-3FFC-41AB-AA82-F54874A8A5B2}" name="Columna4095" dataDxfId="12317"/>
    <tableColumn id="4102" xr3:uid="{E76A07B2-07B9-4BE9-B625-3AD893F2EC6D}" name="Columna4096" dataDxfId="12316"/>
    <tableColumn id="4103" xr3:uid="{6074BAD6-063D-4571-8BB7-9378A9F18D31}" name="Columna4097" dataDxfId="12315"/>
    <tableColumn id="4104" xr3:uid="{DF513E9E-6B4B-455D-BD69-66D7B6C6EBD0}" name="Columna4098" dataDxfId="12314"/>
    <tableColumn id="4105" xr3:uid="{C7DB86D3-1DA9-4607-9D8F-83A7A900B1FD}" name="Columna4099" dataDxfId="12313"/>
    <tableColumn id="4106" xr3:uid="{E8C66033-EA5F-407F-9B73-3E354051B873}" name="Columna4100" dataDxfId="12312"/>
    <tableColumn id="4107" xr3:uid="{FBF52F0B-2C1F-4884-916F-03A2B6E3DE88}" name="Columna4101" dataDxfId="12311"/>
    <tableColumn id="4108" xr3:uid="{680D6EDA-5B99-4AA4-9C86-2BC62396190A}" name="Columna4102" dataDxfId="12310"/>
    <tableColumn id="4109" xr3:uid="{55440825-752C-41FA-97A9-072C7A56BD25}" name="Columna4103" dataDxfId="12309"/>
    <tableColumn id="4110" xr3:uid="{6C847A15-6DA1-478F-A1C9-EA4661EF1F29}" name="Columna4104" dataDxfId="12308"/>
    <tableColumn id="4111" xr3:uid="{86C4BE0E-A114-48BB-9E7B-6887014376A9}" name="Columna4105" dataDxfId="12307"/>
    <tableColumn id="4112" xr3:uid="{ADE71DA1-CD1B-459E-9B6D-E0573F9F8A02}" name="Columna4106" dataDxfId="12306"/>
    <tableColumn id="4113" xr3:uid="{97F6518F-81E9-456B-9FDC-0F6D2D604A87}" name="Columna4107" dataDxfId="12305"/>
    <tableColumn id="4114" xr3:uid="{D00EA998-5DBC-406C-9642-6DBC0BEC0A9F}" name="Columna4108" dataDxfId="12304"/>
    <tableColumn id="4115" xr3:uid="{FF0B238B-0271-4310-A04C-C27BB65181BB}" name="Columna4109" dataDxfId="12303"/>
    <tableColumn id="4116" xr3:uid="{158A2B8B-04E6-4C58-8C34-62F5FEFBB520}" name="Columna4110" dataDxfId="12302"/>
    <tableColumn id="4117" xr3:uid="{FE87B67D-1DC8-4690-AF43-794F96D02270}" name="Columna4111" dataDxfId="12301"/>
    <tableColumn id="4118" xr3:uid="{3AE9309B-B462-4011-94E4-76EDF4E27A54}" name="Columna4112" dataDxfId="12300"/>
    <tableColumn id="4119" xr3:uid="{E814E13D-C19A-4839-862A-9459F4D41241}" name="Columna4113" dataDxfId="12299"/>
    <tableColumn id="4120" xr3:uid="{4AB7BC43-7182-4B83-985B-CE2048A2A405}" name="Columna4114" dataDxfId="12298"/>
    <tableColumn id="4121" xr3:uid="{67B491D4-CE08-4F10-92F3-C4B072B6205B}" name="Columna4115" dataDxfId="12297"/>
    <tableColumn id="4122" xr3:uid="{D1BBC30B-0D42-4331-888F-D3319CEEB998}" name="Columna4116" dataDxfId="12296"/>
    <tableColumn id="4123" xr3:uid="{3092FADD-AAB3-41B0-86E4-799581C199B1}" name="Columna4117" dataDxfId="12295"/>
    <tableColumn id="4124" xr3:uid="{B4297365-DCDE-448A-8BBD-10F11476072E}" name="Columna4118" dataDxfId="12294"/>
    <tableColumn id="4125" xr3:uid="{B6F8CC66-21AA-4B37-A206-B62CDA412DA9}" name="Columna4119" dataDxfId="12293"/>
    <tableColumn id="4126" xr3:uid="{3C3E3B2E-7D28-4848-903C-1402D4D3CEAD}" name="Columna4120" dataDxfId="12292"/>
    <tableColumn id="4127" xr3:uid="{2B0FD9D1-DEE2-4FE3-80AD-E8B1BF8084C4}" name="Columna4121" dataDxfId="12291"/>
    <tableColumn id="4128" xr3:uid="{8B36638B-2BED-4F8D-A4A3-5A5D45524056}" name="Columna4122" dataDxfId="12290"/>
    <tableColumn id="4129" xr3:uid="{CF53064A-0B61-41A9-A018-DDF62B6F3FD9}" name="Columna4123" dataDxfId="12289"/>
    <tableColumn id="4130" xr3:uid="{28925DF8-D6D0-410C-98B5-4B93813D5EB0}" name="Columna4124" dataDxfId="12288"/>
    <tableColumn id="4131" xr3:uid="{B73478FE-C9C4-4BA9-8F41-A0F6E9C48859}" name="Columna4125" dataDxfId="12287"/>
    <tableColumn id="4132" xr3:uid="{298EB726-D8A6-4CC9-9408-8A00A8B1A2B4}" name="Columna4126" dataDxfId="12286"/>
    <tableColumn id="4133" xr3:uid="{A0EA75CA-CCED-46A6-ADA4-59C76D2BD0B9}" name="Columna4127" dataDxfId="12285"/>
    <tableColumn id="4134" xr3:uid="{6D306082-9DD8-4993-8008-57030B8A1844}" name="Columna4128" dataDxfId="12284"/>
    <tableColumn id="4135" xr3:uid="{FE338222-4EED-40BC-B53B-3D24C456D0F3}" name="Columna4129" dataDxfId="12283"/>
    <tableColumn id="4136" xr3:uid="{46C2E0D5-ABA0-4D1C-B0F6-1A38916D322E}" name="Columna4130" dataDxfId="12282"/>
    <tableColumn id="4137" xr3:uid="{E1117917-9FBD-4C92-BE0A-4426F938631F}" name="Columna4131" dataDxfId="12281"/>
    <tableColumn id="4138" xr3:uid="{AFCC33E0-2F45-4D03-ADE4-8AD1CEAEFC78}" name="Columna4132" dataDxfId="12280"/>
    <tableColumn id="4139" xr3:uid="{2B751597-4763-4D6C-879B-8B97B22B1576}" name="Columna4133" dataDxfId="12279"/>
    <tableColumn id="4140" xr3:uid="{25D2B976-97A2-46FD-BD19-6B63E046155C}" name="Columna4134" dataDxfId="12278"/>
    <tableColumn id="4141" xr3:uid="{AB215977-9FD4-4BCA-9D46-E569CC82F0C2}" name="Columna4135" dataDxfId="12277"/>
    <tableColumn id="4142" xr3:uid="{318C5604-364C-4066-A961-E11B14FDF67F}" name="Columna4136" dataDxfId="12276"/>
    <tableColumn id="4143" xr3:uid="{9BB3C50C-7A32-43C5-92E9-1EE4FB28A80F}" name="Columna4137" dataDxfId="12275"/>
    <tableColumn id="4144" xr3:uid="{CAF37C47-E6E4-4B4D-92AB-38FF10F08B70}" name="Columna4138" dataDxfId="12274"/>
    <tableColumn id="4145" xr3:uid="{B23DC6BA-7972-4C4D-B4B8-EA4021B9D25D}" name="Columna4139" dataDxfId="12273"/>
    <tableColumn id="4146" xr3:uid="{C6C271CA-E4F9-4DA7-AA35-62E25AF812BE}" name="Columna4140" dataDxfId="12272"/>
    <tableColumn id="4147" xr3:uid="{598E1B7F-F514-4A9A-BD34-8AEF2A859233}" name="Columna4141" dataDxfId="12271"/>
    <tableColumn id="4148" xr3:uid="{1BD9D48C-59DD-400D-9D51-F5EB2B2EDC0F}" name="Columna4142" dataDxfId="12270"/>
    <tableColumn id="4149" xr3:uid="{1F1E4117-EF7F-46C9-B63D-81DE36A253B7}" name="Columna4143" dataDxfId="12269"/>
    <tableColumn id="4150" xr3:uid="{B3554B66-31C0-4899-AC2E-D103D066CE4F}" name="Columna4144" dataDxfId="12268"/>
    <tableColumn id="4151" xr3:uid="{B234E28E-29D7-43B2-8BAD-AB835C446248}" name="Columna4145" dataDxfId="12267"/>
    <tableColumn id="4152" xr3:uid="{878ECC48-F1BB-4B6B-B4BE-AC9F0EE8F170}" name="Columna4146" dataDxfId="12266"/>
    <tableColumn id="4153" xr3:uid="{58E05FAB-AFE1-480E-B680-DFC4C00115F2}" name="Columna4147" dataDxfId="12265"/>
    <tableColumn id="4154" xr3:uid="{DBCE9D14-FF18-419A-9E23-38A09C5992CE}" name="Columna4148" dataDxfId="12264"/>
    <tableColumn id="4155" xr3:uid="{ED4D381E-75F2-43BE-8CCD-89CDB33258D7}" name="Columna4149" dataDxfId="12263"/>
    <tableColumn id="4156" xr3:uid="{6BD8F400-CB52-4BA6-B305-3BFDA4BDBBC8}" name="Columna4150" dataDxfId="12262"/>
    <tableColumn id="4157" xr3:uid="{9437E1C5-8D08-4FD7-8D74-057358B271EA}" name="Columna4151" dataDxfId="12261"/>
    <tableColumn id="4158" xr3:uid="{CBEB8532-CBC8-4AAD-B9E7-56F24D75E37D}" name="Columna4152" dataDxfId="12260"/>
    <tableColumn id="4159" xr3:uid="{57E72E46-7504-4C1A-B860-02A732BFD21D}" name="Columna4153" dataDxfId="12259"/>
    <tableColumn id="4160" xr3:uid="{2E2F1F17-707C-475D-B068-5720D8110B80}" name="Columna4154" dataDxfId="12258"/>
    <tableColumn id="4161" xr3:uid="{0CF41B83-DCD5-44FE-86C0-CEB77106A184}" name="Columna4155" dataDxfId="12257"/>
    <tableColumn id="4162" xr3:uid="{EB5EBFD0-09B2-464F-8A6F-52EFA5F2E9C9}" name="Columna4156" dataDxfId="12256"/>
    <tableColumn id="4163" xr3:uid="{34D6850D-889D-4657-ACBC-47166354C3F2}" name="Columna4157" dataDxfId="12255"/>
    <tableColumn id="4164" xr3:uid="{F4CEE507-9427-490C-9A6F-F636A8A905DB}" name="Columna4158" dataDxfId="12254"/>
    <tableColumn id="4165" xr3:uid="{5BBEDFA4-3819-4329-B051-6B2D85987B59}" name="Columna4159" dataDxfId="12253"/>
    <tableColumn id="4166" xr3:uid="{3E0E5139-4300-40A3-B08B-A3F4B125CCBF}" name="Columna4160" dataDxfId="12252"/>
    <tableColumn id="4167" xr3:uid="{6A69F723-AC73-48BD-B485-6BEE3177C2DD}" name="Columna4161" dataDxfId="12251"/>
    <tableColumn id="4168" xr3:uid="{1C98590C-C5B4-49AA-B5BD-805EE90396C1}" name="Columna4162" dataDxfId="12250"/>
    <tableColumn id="4169" xr3:uid="{ECB15C66-DF6B-423C-A311-86516F28CE8E}" name="Columna4163" dataDxfId="12249"/>
    <tableColumn id="4170" xr3:uid="{295BB218-E721-48F6-8A25-31ED61F1B407}" name="Columna4164" dataDxfId="12248"/>
    <tableColumn id="4171" xr3:uid="{6C1E0725-9AAC-4E12-9CA6-5479448857CB}" name="Columna4165" dataDxfId="12247"/>
    <tableColumn id="4172" xr3:uid="{39F3C6BA-6464-4F0F-ACD4-B188DE60F3DF}" name="Columna4166" dataDxfId="12246"/>
    <tableColumn id="4173" xr3:uid="{3BAE8BD9-6FCB-4DA2-AAD6-12ED5BF9A8EA}" name="Columna4167" dataDxfId="12245"/>
    <tableColumn id="4174" xr3:uid="{B395E5D2-44F3-4E5B-81CE-56DFF431D98F}" name="Columna4168" dataDxfId="12244"/>
    <tableColumn id="4175" xr3:uid="{8A43C1BA-F499-491D-AB91-5140F2446B17}" name="Columna4169" dataDxfId="12243"/>
    <tableColumn id="4176" xr3:uid="{D19945FF-18D0-462C-8EA3-6985AE6C2D40}" name="Columna4170" dataDxfId="12242"/>
    <tableColumn id="4177" xr3:uid="{F6572FBA-4B5F-4997-9314-7DC564BA50A5}" name="Columna4171" dataDxfId="12241"/>
    <tableColumn id="4178" xr3:uid="{E722A31A-55B7-4A4F-8D41-678DB1F555EE}" name="Columna4172" dataDxfId="12240"/>
    <tableColumn id="4179" xr3:uid="{9E62FE58-0E33-4927-A0B5-0409DB1FAE24}" name="Columna4173" dataDxfId="12239"/>
    <tableColumn id="4180" xr3:uid="{05D6CCE7-9870-414D-BC75-514D5177AFFD}" name="Columna4174" dataDxfId="12238"/>
    <tableColumn id="4181" xr3:uid="{9B5DE0C3-8CCC-4203-99AA-D59BF6A8274D}" name="Columna4175" dataDxfId="12237"/>
    <tableColumn id="4182" xr3:uid="{024873A2-11B1-47E8-8792-F8B87743FBEE}" name="Columna4176" dataDxfId="12236"/>
    <tableColumn id="4183" xr3:uid="{69D7DB30-DC59-41C1-A44A-048E4F3491EA}" name="Columna4177" dataDxfId="12235"/>
    <tableColumn id="4184" xr3:uid="{BC04636F-EB19-4C71-8F76-911DC24AE2C6}" name="Columna4178" dataDxfId="12234"/>
    <tableColumn id="4185" xr3:uid="{8E6463B0-BE27-4D26-B42B-34129394A641}" name="Columna4179" dataDxfId="12233"/>
    <tableColumn id="4186" xr3:uid="{F000510B-07DF-4242-9CCD-041A60BDD011}" name="Columna4180" dataDxfId="12232"/>
    <tableColumn id="4187" xr3:uid="{B5F10EBD-2F27-409D-9D83-537D68CAAB60}" name="Columna4181" dataDxfId="12231"/>
    <tableColumn id="4188" xr3:uid="{F206C925-DCA4-4A5C-8D6A-E33B51CDE3D4}" name="Columna4182" dataDxfId="12230"/>
    <tableColumn id="4189" xr3:uid="{48AD4F37-57D5-4CCA-8FDA-D2D83ED7E1EA}" name="Columna4183" dataDxfId="12229"/>
    <tableColumn id="4190" xr3:uid="{3F200A0A-5B76-4C91-A3F9-F6C841C49E75}" name="Columna4184" dataDxfId="12228"/>
    <tableColumn id="4191" xr3:uid="{955EEB6E-5AF9-4F44-B2FB-54517C9D981C}" name="Columna4185" dataDxfId="12227"/>
    <tableColumn id="4192" xr3:uid="{3DE4EC83-D09E-4774-A1CE-A1C65C5EAB6B}" name="Columna4186" dataDxfId="12226"/>
    <tableColumn id="4193" xr3:uid="{741E6574-D7F0-44D2-BC49-9583E78E4BAA}" name="Columna4187" dataDxfId="12225"/>
    <tableColumn id="4194" xr3:uid="{4F7E9329-E1F4-462A-9826-184CA5C9FB7E}" name="Columna4188" dataDxfId="12224"/>
    <tableColumn id="4195" xr3:uid="{1040A39F-A0C3-4400-A6B8-58C86457A4D1}" name="Columna4189" dataDxfId="12223"/>
    <tableColumn id="4196" xr3:uid="{445D71A3-A8BD-4D52-8AF6-D84CC0F10B1E}" name="Columna4190" dataDxfId="12222"/>
    <tableColumn id="4197" xr3:uid="{05BF7BA3-FF02-4E5D-9330-4E10A36CCCCA}" name="Columna4191" dataDxfId="12221"/>
    <tableColumn id="4198" xr3:uid="{471D7930-E8EE-427A-91D3-3E958B06E6A3}" name="Columna4192" dataDxfId="12220"/>
    <tableColumn id="4199" xr3:uid="{4C7039CC-4717-4ADB-9EEF-13CDA5C5A494}" name="Columna4193" dataDxfId="12219"/>
    <tableColumn id="4200" xr3:uid="{12694B4C-459E-444D-9F9A-D6CE4E4D4316}" name="Columna4194" dataDxfId="12218"/>
    <tableColumn id="4201" xr3:uid="{003BAE4E-E5FE-4146-9FC8-11D855BD1ECD}" name="Columna4195" dataDxfId="12217"/>
    <tableColumn id="4202" xr3:uid="{BA4CD309-3FB5-471A-AE35-50B5FC734FD9}" name="Columna4196" dataDxfId="12216"/>
    <tableColumn id="4203" xr3:uid="{DCDBB020-6720-4F64-B203-495896C2FB07}" name="Columna4197" dataDxfId="12215"/>
    <tableColumn id="4204" xr3:uid="{2D588066-6E55-4B0A-AB37-E9975BDB07BE}" name="Columna4198" dataDxfId="12214"/>
    <tableColumn id="4205" xr3:uid="{E353B6D0-55D0-4666-889A-7CAFB10910B8}" name="Columna4199" dataDxfId="12213"/>
    <tableColumn id="4206" xr3:uid="{1CEDE69F-BF78-4A73-AC73-41CA0CA59990}" name="Columna4200" dataDxfId="12212"/>
    <tableColumn id="4207" xr3:uid="{9DCAC505-8C2B-4718-94CE-4746A5371FC2}" name="Columna4201" dataDxfId="12211"/>
    <tableColumn id="4208" xr3:uid="{4BA081BA-EEDF-40ED-87DC-6CDE58774945}" name="Columna4202" dataDxfId="12210"/>
    <tableColumn id="4209" xr3:uid="{8CFD478E-6431-4100-BB01-E582EEEC2788}" name="Columna4203" dataDxfId="12209"/>
    <tableColumn id="4210" xr3:uid="{7BD44512-7650-4F43-92BE-E507157D96AB}" name="Columna4204" dataDxfId="12208"/>
    <tableColumn id="4211" xr3:uid="{C3E7006A-3652-41A3-A4F5-A9A8F662D209}" name="Columna4205" dataDxfId="12207"/>
    <tableColumn id="4212" xr3:uid="{24317035-0E6D-4C29-8496-0E6F7C45E97A}" name="Columna4206" dataDxfId="12206"/>
    <tableColumn id="4213" xr3:uid="{9AE18483-DF76-42D3-8CDF-06BB5CD9CF51}" name="Columna4207" dataDxfId="12205"/>
    <tableColumn id="4214" xr3:uid="{9893584D-218F-413A-BACF-85444C18A3BA}" name="Columna4208" dataDxfId="12204"/>
    <tableColumn id="4215" xr3:uid="{4E21A797-9143-4853-B787-3FA617DACB3E}" name="Columna4209" dataDxfId="12203"/>
    <tableColumn id="4216" xr3:uid="{F8569B41-F243-49C3-ACF3-FEE619BE5E22}" name="Columna4210" dataDxfId="12202"/>
    <tableColumn id="4217" xr3:uid="{BC171505-1FFB-461C-B0A7-895BDD7ACA33}" name="Columna4211" dataDxfId="12201"/>
    <tableColumn id="4218" xr3:uid="{A6D1A360-D46B-4788-94AE-CFD7A12326FD}" name="Columna4212" dataDxfId="12200"/>
    <tableColumn id="4219" xr3:uid="{49F0FE5A-5892-418A-9D04-F8FC8FF80DB9}" name="Columna4213" dataDxfId="12199"/>
    <tableColumn id="4220" xr3:uid="{39720BF2-F227-4B6F-9A63-76F82C383FE3}" name="Columna4214" dataDxfId="12198"/>
    <tableColumn id="4221" xr3:uid="{DF84DD20-147B-45A8-AC16-96560C67B8B2}" name="Columna4215" dataDxfId="12197"/>
    <tableColumn id="4222" xr3:uid="{0E0C78B4-47F2-4AC4-8B74-FB7DF3DE8876}" name="Columna4216" dataDxfId="12196"/>
    <tableColumn id="4223" xr3:uid="{09A4F5AA-8AAE-4218-86D4-B24D0EBB05F6}" name="Columna4217" dataDxfId="12195"/>
    <tableColumn id="4224" xr3:uid="{4E59D98B-7B08-425A-89AD-22E6EEFD1A45}" name="Columna4218" dataDxfId="12194"/>
    <tableColumn id="4225" xr3:uid="{5959BD0A-AD31-4A22-A952-411AC9E99F23}" name="Columna4219" dataDxfId="12193"/>
    <tableColumn id="4226" xr3:uid="{96E2318D-79FC-4022-98E2-7FA434028B17}" name="Columna4220" dataDxfId="12192"/>
    <tableColumn id="4227" xr3:uid="{BF559988-5895-412B-BA9D-C40553BA2188}" name="Columna4221" dataDxfId="12191"/>
    <tableColumn id="4228" xr3:uid="{AB89CBE2-F32A-4629-A346-3EF636C42B73}" name="Columna4222" dataDxfId="12190"/>
    <tableColumn id="4229" xr3:uid="{90F812CE-C606-4B6E-865A-97CF2086E41D}" name="Columna4223" dataDxfId="12189"/>
    <tableColumn id="4230" xr3:uid="{901F15CE-B164-4455-A45E-6BD752D1592D}" name="Columna4224" dataDxfId="12188"/>
    <tableColumn id="4231" xr3:uid="{7659BB52-C6D2-4468-966F-B7E923FB8178}" name="Columna4225" dataDxfId="12187"/>
    <tableColumn id="4232" xr3:uid="{57BAD08B-CF8C-4C18-AF48-A5AAEBFF5199}" name="Columna4226" dataDxfId="12186"/>
    <tableColumn id="4233" xr3:uid="{62BF1567-15A8-4A6B-BFB9-5D1F45AF9D46}" name="Columna4227" dataDxfId="12185"/>
    <tableColumn id="4234" xr3:uid="{5C01742B-D416-4272-82C1-EFD722F9AB44}" name="Columna4228" dataDxfId="12184"/>
    <tableColumn id="4235" xr3:uid="{68D4063C-10FE-49F0-838B-B0E6E25A3F06}" name="Columna4229" dataDxfId="12183"/>
    <tableColumn id="4236" xr3:uid="{82FF118A-8E3B-4EB9-9ECF-19DA315670B8}" name="Columna4230" dataDxfId="12182"/>
    <tableColumn id="4237" xr3:uid="{78B6989F-0E2C-4843-8B12-E3E6559CE86E}" name="Columna4231" dataDxfId="12181"/>
    <tableColumn id="4238" xr3:uid="{DAFCEC84-ADAA-4921-A2D6-EE2719598E26}" name="Columna4232" dataDxfId="12180"/>
    <tableColumn id="4239" xr3:uid="{76BAB0AD-EE54-4965-9D9E-0778CE9BFD31}" name="Columna4233" dataDxfId="12179"/>
    <tableColumn id="4240" xr3:uid="{71ECBBC6-CBC7-4716-BBA2-971CD98A76BE}" name="Columna4234" dataDxfId="12178"/>
    <tableColumn id="4241" xr3:uid="{12592010-A680-4664-B062-82F21CDD25C4}" name="Columna4235" dataDxfId="12177"/>
    <tableColumn id="4242" xr3:uid="{73E88F1C-D741-44D2-A3B1-602ADC937233}" name="Columna4236" dataDxfId="12176"/>
    <tableColumn id="4243" xr3:uid="{19959577-D223-477A-A24F-0C3B3F5E7A72}" name="Columna4237" dataDxfId="12175"/>
    <tableColumn id="4244" xr3:uid="{B34E96B1-97DC-448A-9079-540C49AA7BEC}" name="Columna4238" dataDxfId="12174"/>
    <tableColumn id="4245" xr3:uid="{98F54894-0C3B-46BC-8DA6-5BB9D133DE50}" name="Columna4239" dataDxfId="12173"/>
    <tableColumn id="4246" xr3:uid="{6CCA1C9D-7A0B-4046-B058-CC923E69BEE6}" name="Columna4240" dataDxfId="12172"/>
    <tableColumn id="4247" xr3:uid="{22978B5F-AB38-4FB0-9453-194CCB551A46}" name="Columna4241" dataDxfId="12171"/>
    <tableColumn id="4248" xr3:uid="{08ADAF1F-C662-48EB-970A-1A4580B46CD9}" name="Columna4242" dataDxfId="12170"/>
    <tableColumn id="4249" xr3:uid="{48D72FE9-4976-4B53-87F5-537D4C92C37D}" name="Columna4243" dataDxfId="12169"/>
    <tableColumn id="4250" xr3:uid="{0FC47970-A3EE-41A9-A87A-0C4507B24562}" name="Columna4244" dataDxfId="12168"/>
    <tableColumn id="4251" xr3:uid="{84E1BC64-C69E-48B2-BEEC-C5BB76693E74}" name="Columna4245" dataDxfId="12167"/>
    <tableColumn id="4252" xr3:uid="{2130D48F-2106-415D-89DC-65C3C99FD797}" name="Columna4246" dataDxfId="12166"/>
    <tableColumn id="4253" xr3:uid="{DC59A95E-47D7-4233-AD51-8B7099269A76}" name="Columna4247" dataDxfId="12165"/>
    <tableColumn id="4254" xr3:uid="{0DADCE7D-8AD8-4AE3-9AC2-BB179782F152}" name="Columna4248" dataDxfId="12164"/>
    <tableColumn id="4255" xr3:uid="{843A90FA-70D4-4B25-9363-48CE1624D113}" name="Columna4249" dataDxfId="12163"/>
    <tableColumn id="4256" xr3:uid="{38868A5E-0EB5-4C41-8486-F57F09EC86C4}" name="Columna4250" dataDxfId="12162"/>
    <tableColumn id="4257" xr3:uid="{16E5CE55-FE3F-4712-B23D-503EB2B5508C}" name="Columna4251" dataDxfId="12161"/>
    <tableColumn id="4258" xr3:uid="{3E4E580B-9733-4084-85AF-A4D0220BBAFC}" name="Columna4252" dataDxfId="12160"/>
    <tableColumn id="4259" xr3:uid="{3800F610-6DBE-42C6-AB98-BA06B1C784DE}" name="Columna4253" dataDxfId="12159"/>
    <tableColumn id="4260" xr3:uid="{8837B5EC-74B4-4501-B20C-871684E99F76}" name="Columna4254" dataDxfId="12158"/>
    <tableColumn id="4261" xr3:uid="{6F1D23BC-547A-491E-84AB-8EA30D2DAA2D}" name="Columna4255" dataDxfId="12157"/>
    <tableColumn id="4262" xr3:uid="{79FE9BB3-60F1-4D9A-AB48-C0B208062CDE}" name="Columna4256" dataDxfId="12156"/>
    <tableColumn id="4263" xr3:uid="{C29D8333-597C-4837-AC2D-409CBCB4A305}" name="Columna4257" dataDxfId="12155"/>
    <tableColumn id="4264" xr3:uid="{F027A4BE-17D6-4A6B-AFB3-72FE5ED0BF36}" name="Columna4258" dataDxfId="12154"/>
    <tableColumn id="4265" xr3:uid="{E54779BB-506A-4AA2-A383-FFE14FAB5D0C}" name="Columna4259" dataDxfId="12153"/>
    <tableColumn id="4266" xr3:uid="{C0E657CF-4B20-4D6F-AC97-2B01AB281ED3}" name="Columna4260" dataDxfId="12152"/>
    <tableColumn id="4267" xr3:uid="{B06C5DCF-0F02-4CE6-A58A-604D5162B601}" name="Columna4261" dataDxfId="12151"/>
    <tableColumn id="4268" xr3:uid="{92A43D6B-069D-4BC3-A0C0-7B317501445B}" name="Columna4262" dataDxfId="12150"/>
    <tableColumn id="4269" xr3:uid="{A8A233B6-2634-4C3A-9F58-EAFA487E12A0}" name="Columna4263" dataDxfId="12149"/>
    <tableColumn id="4270" xr3:uid="{4BAA5C13-8616-4220-89E7-72C1D4563327}" name="Columna4264" dataDxfId="12148"/>
    <tableColumn id="4271" xr3:uid="{DAF7C725-82F9-4DAF-80E9-4CE27B34E891}" name="Columna4265" dataDxfId="12147"/>
    <tableColumn id="4272" xr3:uid="{CB3597A8-1EF1-45CE-AAEF-55CB733B59F9}" name="Columna4266" dataDxfId="12146"/>
    <tableColumn id="4273" xr3:uid="{0CA52E46-1A86-48C7-9B7B-3EB4E230AF84}" name="Columna4267" dataDxfId="12145"/>
    <tableColumn id="4274" xr3:uid="{7FC04166-EEBA-49A6-A8EB-20C84EA03402}" name="Columna4268" dataDxfId="12144"/>
    <tableColumn id="4275" xr3:uid="{2C9106D4-7EA7-44AF-B30D-08F22F0CFE42}" name="Columna4269" dataDxfId="12143"/>
    <tableColumn id="4276" xr3:uid="{C71F1AB1-9182-47CD-8473-166FB536337F}" name="Columna4270" dataDxfId="12142"/>
    <tableColumn id="4277" xr3:uid="{C7A55B15-08F7-4827-BD5E-5DBDE7A124AA}" name="Columna4271" dataDxfId="12141"/>
    <tableColumn id="4278" xr3:uid="{BC2B74A4-8633-48F0-A8BA-CA70944621A3}" name="Columna4272" dataDxfId="12140"/>
    <tableColumn id="4279" xr3:uid="{9ED962C1-89AE-49E1-8F36-5BE32C428C3E}" name="Columna4273" dataDxfId="12139"/>
    <tableColumn id="4280" xr3:uid="{668F7F6B-81A5-475F-BFB6-3D39B8A03210}" name="Columna4274" dataDxfId="12138"/>
    <tableColumn id="4281" xr3:uid="{1EAF8BB6-3D28-4452-8098-2D6A69282663}" name="Columna4275" dataDxfId="12137"/>
    <tableColumn id="4282" xr3:uid="{DA3D7CA7-2408-49CC-BF2C-5FB4CF17C0BF}" name="Columna4276" dataDxfId="12136"/>
    <tableColumn id="4283" xr3:uid="{8920D4FB-CAAD-4F0B-B90B-8018E376730B}" name="Columna4277" dataDxfId="12135"/>
    <tableColumn id="4284" xr3:uid="{7D8E697A-1C9B-46CC-8576-BB64231D2EFC}" name="Columna4278" dataDxfId="12134"/>
    <tableColumn id="4285" xr3:uid="{116A27B5-A1A2-480E-88E2-8656D0E9105D}" name="Columna4279" dataDxfId="12133"/>
    <tableColumn id="4286" xr3:uid="{DDC68A75-E01D-471A-BB9C-BBFAD4913946}" name="Columna4280" dataDxfId="12132"/>
    <tableColumn id="4287" xr3:uid="{FBBE33F8-88AA-4CA2-8FBE-52B341E04905}" name="Columna4281" dataDxfId="12131"/>
    <tableColumn id="4288" xr3:uid="{37F28196-BCDA-4FE6-8F5A-0E35CA0AF828}" name="Columna4282" dataDxfId="12130"/>
    <tableColumn id="4289" xr3:uid="{37B1C5FB-9851-44F3-BA06-5D67AE69AB78}" name="Columna4283" dataDxfId="12129"/>
    <tableColumn id="4290" xr3:uid="{F0F19D39-F86B-4F28-BEA5-D564AFB9A1CB}" name="Columna4284" dataDxfId="12128"/>
    <tableColumn id="4291" xr3:uid="{15A74C24-FCD9-40C3-B5CF-86A022729925}" name="Columna4285" dataDxfId="12127"/>
    <tableColumn id="4292" xr3:uid="{FFED8B29-CAB5-4594-9F1B-DAFB251A9494}" name="Columna4286" dataDxfId="12126"/>
    <tableColumn id="4293" xr3:uid="{95285565-37B6-45CA-8803-1D9D3232DC1A}" name="Columna4287" dataDxfId="12125"/>
    <tableColumn id="4294" xr3:uid="{9D34C61A-82F2-42BD-957D-FE1479B0E337}" name="Columna4288" dataDxfId="12124"/>
    <tableColumn id="4295" xr3:uid="{6F85CD45-C75B-43FC-A8A1-9D55A0902403}" name="Columna4289" dataDxfId="12123"/>
    <tableColumn id="4296" xr3:uid="{854E370B-48F7-4C8E-B821-F95582967C20}" name="Columna4290" dataDxfId="12122"/>
    <tableColumn id="4297" xr3:uid="{352252B2-90CB-4D6C-B64D-70EC59BF6C68}" name="Columna4291" dataDxfId="12121"/>
    <tableColumn id="4298" xr3:uid="{6B50F5B1-742A-40F3-9A5A-E1000D37246B}" name="Columna4292" dataDxfId="12120"/>
    <tableColumn id="4299" xr3:uid="{11372A9C-86AF-4FD7-8C13-272CEC76FBFA}" name="Columna4293" dataDxfId="12119"/>
    <tableColumn id="4300" xr3:uid="{9B16B142-3DB0-4888-8E1C-6B4E6B314517}" name="Columna4294" dataDxfId="12118"/>
    <tableColumn id="4301" xr3:uid="{B780A275-43F9-4D86-A6F3-AAEBE5ADAEEC}" name="Columna4295" dataDxfId="12117"/>
    <tableColumn id="4302" xr3:uid="{F6FF7E5B-CBDB-4D6A-A5C4-C4957061C314}" name="Columna4296" dataDxfId="12116"/>
    <tableColumn id="4303" xr3:uid="{A56D81C7-41B9-463B-8A8D-84DBC4E7284B}" name="Columna4297" dataDxfId="12115"/>
    <tableColumn id="4304" xr3:uid="{B0F0AB3E-CE5F-4757-B889-DEFC2F615E3C}" name="Columna4298" dataDxfId="12114"/>
    <tableColumn id="4305" xr3:uid="{21E3D01D-6AEF-4FD2-B0BF-1C288D9BE27B}" name="Columna4299" dataDxfId="12113"/>
    <tableColumn id="4306" xr3:uid="{894F07E7-93D9-4249-9554-D4E11D2A6DC4}" name="Columna4300" dataDxfId="12112"/>
    <tableColumn id="4307" xr3:uid="{5AE7CF4A-1E43-4E00-BB52-3052BAAD4709}" name="Columna4301" dataDxfId="12111"/>
    <tableColumn id="4308" xr3:uid="{52689F5A-B54E-4B89-BBD4-79558B1A5C11}" name="Columna4302" dataDxfId="12110"/>
    <tableColumn id="4309" xr3:uid="{5429007C-8080-4609-BDE8-E03A40A00921}" name="Columna4303" dataDxfId="12109"/>
    <tableColumn id="4310" xr3:uid="{1FEBED6A-79EA-4A6B-9038-816CA494FDFD}" name="Columna4304" dataDxfId="12108"/>
    <tableColumn id="4311" xr3:uid="{159D4ED0-811C-4D3D-974F-5CF4031097F2}" name="Columna4305" dataDxfId="12107"/>
    <tableColumn id="4312" xr3:uid="{8C5EFD95-F9E7-4434-857D-7516A9DE15FB}" name="Columna4306" dataDxfId="12106"/>
    <tableColumn id="4313" xr3:uid="{08F39FED-496F-4D75-9ABA-5BCE5F043141}" name="Columna4307" dataDxfId="12105"/>
    <tableColumn id="4314" xr3:uid="{C2A8A124-6319-4BDB-B3CF-E104A76C70E9}" name="Columna4308" dataDxfId="12104"/>
    <tableColumn id="4315" xr3:uid="{5D662349-0705-4FA6-9213-A372F83DB1CC}" name="Columna4309" dataDxfId="12103"/>
    <tableColumn id="4316" xr3:uid="{1E630575-F5D4-4785-8CF0-1ED497F4CC1D}" name="Columna4310" dataDxfId="12102"/>
    <tableColumn id="4317" xr3:uid="{7701A9E0-5B69-4CD8-96B8-9F5BC6E4F47D}" name="Columna4311" dataDxfId="12101"/>
    <tableColumn id="4318" xr3:uid="{CF3D39FA-3592-4792-B3F9-923BE0B6C602}" name="Columna4312" dataDxfId="12100"/>
    <tableColumn id="4319" xr3:uid="{1056D44A-97E0-40C0-8D85-F1DA0FFDEBBF}" name="Columna4313" dataDxfId="12099"/>
    <tableColumn id="4320" xr3:uid="{EB286078-9B31-4A0C-9DC2-173CB62B655D}" name="Columna4314" dataDxfId="12098"/>
    <tableColumn id="4321" xr3:uid="{CE2EE4AD-75FF-4380-842D-46C155C77E51}" name="Columna4315" dataDxfId="12097"/>
    <tableColumn id="4322" xr3:uid="{19BF2B75-2E3F-4BAE-9763-A7AC607EDBBF}" name="Columna4316" dataDxfId="12096"/>
    <tableColumn id="4323" xr3:uid="{967F23E9-D194-4077-B1AF-48293EFFADB9}" name="Columna4317" dataDxfId="12095"/>
    <tableColumn id="4324" xr3:uid="{0DC8DBDF-B30F-44C9-91A1-89FE47906E3D}" name="Columna4318" dataDxfId="12094"/>
    <tableColumn id="4325" xr3:uid="{79940944-1C3D-4753-9E4C-45E86C3E039E}" name="Columna4319" dataDxfId="12093"/>
    <tableColumn id="4326" xr3:uid="{C422F1CA-A56E-4FEE-BC7A-C641B18755CC}" name="Columna4320" dataDxfId="12092"/>
    <tableColumn id="4327" xr3:uid="{23E94451-1D7C-48AE-8DC3-18B698D960AE}" name="Columna4321" dataDxfId="12091"/>
    <tableColumn id="4328" xr3:uid="{4FA9941E-B567-41AF-9B83-594C5600E512}" name="Columna4322" dataDxfId="12090"/>
    <tableColumn id="4329" xr3:uid="{C91E93CD-3D63-40BF-9C2F-1976D0CE6DAA}" name="Columna4323" dataDxfId="12089"/>
    <tableColumn id="4330" xr3:uid="{8FE6EE4A-692D-482B-B9D6-DEC33C0ECCFD}" name="Columna4324" dataDxfId="12088"/>
    <tableColumn id="4331" xr3:uid="{3BB7475F-A86F-4DF8-A6DB-59053E4A25D3}" name="Columna4325" dataDxfId="12087"/>
    <tableColumn id="4332" xr3:uid="{E8E607DE-C2F4-4DE4-B47D-2A324B3203CB}" name="Columna4326" dataDxfId="12086"/>
    <tableColumn id="4333" xr3:uid="{C9414CA6-4D46-4879-8929-C4DC065D65C6}" name="Columna4327" dataDxfId="12085"/>
    <tableColumn id="4334" xr3:uid="{102C8D7F-A31F-4377-8B40-D7737D9EB5A6}" name="Columna4328" dataDxfId="12084"/>
    <tableColumn id="4335" xr3:uid="{DB27871D-6824-47AE-A840-433D5C802805}" name="Columna4329" dataDxfId="12083"/>
    <tableColumn id="4336" xr3:uid="{B415736B-5E1A-4BEE-BA8F-B18AD751A01C}" name="Columna4330" dataDxfId="12082"/>
    <tableColumn id="4337" xr3:uid="{8B8EA03C-FDD7-4E0A-A8A2-343D5105E228}" name="Columna4331" dataDxfId="12081"/>
    <tableColumn id="4338" xr3:uid="{A2D0DE63-C908-47F3-94B6-32A872DB0339}" name="Columna4332" dataDxfId="12080"/>
    <tableColumn id="4339" xr3:uid="{3D260A96-5AF0-4A76-BF5D-B5C7780FF93E}" name="Columna4333" dataDxfId="12079"/>
    <tableColumn id="4340" xr3:uid="{1000EA4C-E6FB-4CC5-AED5-C0E301D61DC0}" name="Columna4334" dataDxfId="12078"/>
    <tableColumn id="4341" xr3:uid="{3C98DA70-9A7D-4A61-B8CB-89B9B35D4303}" name="Columna4335" dataDxfId="12077"/>
    <tableColumn id="4342" xr3:uid="{262C8490-A8D5-4BE0-8F11-873DEDF5207E}" name="Columna4336" dataDxfId="12076"/>
    <tableColumn id="4343" xr3:uid="{C3690F08-CD4B-4509-8230-7DE383F3F11B}" name="Columna4337" dataDxfId="12075"/>
    <tableColumn id="4344" xr3:uid="{7F237624-BC4E-466A-91BA-E9EA8AA4FEE0}" name="Columna4338" dataDxfId="12074"/>
    <tableColumn id="4345" xr3:uid="{60FE9A2C-FA73-4838-86F7-06DD4E8EFA61}" name="Columna4339" dataDxfId="12073"/>
    <tableColumn id="4346" xr3:uid="{89F60E0B-6775-432D-B854-F99CD866ACE1}" name="Columna4340" dataDxfId="12072"/>
    <tableColumn id="4347" xr3:uid="{7D2CB74F-62FD-483F-B8D4-DBA7F5176DF2}" name="Columna4341" dataDxfId="12071"/>
    <tableColumn id="4348" xr3:uid="{C39D9411-A394-4148-9A8A-56FE7946164E}" name="Columna4342" dataDxfId="12070"/>
    <tableColumn id="4349" xr3:uid="{3E6A5382-CE76-4D0F-A08C-8C4A4EBD54F3}" name="Columna4343" dataDxfId="12069"/>
    <tableColumn id="4350" xr3:uid="{1E75791A-87AB-41CA-8F6D-2DFF52E3F483}" name="Columna4344" dataDxfId="12068"/>
    <tableColumn id="4351" xr3:uid="{AE3BE755-2C89-49DE-8CB7-F08C9EE31E9A}" name="Columna4345" dataDxfId="12067"/>
    <tableColumn id="4352" xr3:uid="{C0A76302-9666-409E-8235-F7CB2EE844CD}" name="Columna4346" dataDxfId="12066"/>
    <tableColumn id="4353" xr3:uid="{D218B146-B602-4725-8E78-8B7C3E223B97}" name="Columna4347" dataDxfId="12065"/>
    <tableColumn id="4354" xr3:uid="{B24CF467-93FF-4BB7-9A1A-F4780014D1E5}" name="Columna4348" dataDxfId="12064"/>
    <tableColumn id="4355" xr3:uid="{D54D325F-C55E-476F-B3CC-55EF4BA24F40}" name="Columna4349" dataDxfId="12063"/>
    <tableColumn id="4356" xr3:uid="{7227B8D3-51F8-4D83-A2F2-677BC53E871A}" name="Columna4350" dataDxfId="12062"/>
    <tableColumn id="4357" xr3:uid="{7CA43171-52C1-4027-A671-84F951F8D966}" name="Columna4351" dataDxfId="12061"/>
    <tableColumn id="4358" xr3:uid="{A4B32BDE-8DCB-44F1-BE1F-9D2CD0780A23}" name="Columna4352" dataDxfId="12060"/>
    <tableColumn id="4359" xr3:uid="{8011E608-0372-45EC-9379-DBD95B81DBC1}" name="Columna4353" dataDxfId="12059"/>
    <tableColumn id="4360" xr3:uid="{522AC97C-BF3E-4A3D-988E-97EB6A1D0213}" name="Columna4354" dataDxfId="12058"/>
    <tableColumn id="4361" xr3:uid="{FC3373EE-6D0E-4056-B0E3-F352B739370C}" name="Columna4355" dataDxfId="12057"/>
    <tableColumn id="4362" xr3:uid="{7891C1AC-B58B-4BC5-83FC-B6F36A63BCF6}" name="Columna4356" dataDxfId="12056"/>
    <tableColumn id="4363" xr3:uid="{5B90D18F-1B4D-4817-9311-7AC16D4EC52F}" name="Columna4357" dataDxfId="12055"/>
    <tableColumn id="4364" xr3:uid="{180724A1-CE1B-4221-9184-A5D7F9F87F8C}" name="Columna4358" dataDxfId="12054"/>
    <tableColumn id="4365" xr3:uid="{AF4B2312-57A6-41BA-A11D-374EEFE36EE2}" name="Columna4359" dataDxfId="12053"/>
    <tableColumn id="4366" xr3:uid="{FEA9EB6B-2174-4F74-B752-9859A5540550}" name="Columna4360" dataDxfId="12052"/>
    <tableColumn id="4367" xr3:uid="{38FDF70F-0402-4D44-9226-CE8DECA1F9CD}" name="Columna4361" dataDxfId="12051"/>
    <tableColumn id="4368" xr3:uid="{90A5CE9E-BE43-462C-B9F2-BDEA2B7F642A}" name="Columna4362" dataDxfId="12050"/>
    <tableColumn id="4369" xr3:uid="{C8B4114F-B43F-45FA-9508-78BAE4574CBB}" name="Columna4363" dataDxfId="12049"/>
    <tableColumn id="4370" xr3:uid="{D281F9E7-E616-4F67-99E9-55E659AAA0A5}" name="Columna4364" dataDxfId="12048"/>
    <tableColumn id="4371" xr3:uid="{80BF0078-9F17-43C1-AF62-DE69DF6CE4CB}" name="Columna4365" dataDxfId="12047"/>
    <tableColumn id="4372" xr3:uid="{60112912-7B15-47C3-A2C9-00A9641793FD}" name="Columna4366" dataDxfId="12046"/>
    <tableColumn id="4373" xr3:uid="{325F7B09-C661-4171-A450-421C58E69A48}" name="Columna4367" dataDxfId="12045"/>
    <tableColumn id="4374" xr3:uid="{194B16F2-E56E-4099-8009-DA4093A22ECD}" name="Columna4368" dataDxfId="12044"/>
    <tableColumn id="4375" xr3:uid="{3D031AB3-A3C3-405A-B2B5-17E8F6ABFA05}" name="Columna4369" dataDxfId="12043"/>
    <tableColumn id="4376" xr3:uid="{10A22826-9827-45B0-9C72-E9ADD6ED6348}" name="Columna4370" dataDxfId="12042"/>
    <tableColumn id="4377" xr3:uid="{D6C01C19-44A5-49DB-B314-78804DAC45D0}" name="Columna4371" dataDxfId="12041"/>
    <tableColumn id="4378" xr3:uid="{70655103-471B-4018-93A8-71DE8EC8C4D1}" name="Columna4372" dataDxfId="12040"/>
    <tableColumn id="4379" xr3:uid="{F6D7F4E4-BA64-4816-8456-862739A73757}" name="Columna4373" dataDxfId="12039"/>
    <tableColumn id="4380" xr3:uid="{A831A4FE-B841-4F16-ABD7-34BB6CD432BA}" name="Columna4374" dataDxfId="12038"/>
    <tableColumn id="4381" xr3:uid="{4F185C7D-E0F2-4242-A6D3-9640CC10FB28}" name="Columna4375" dataDxfId="12037"/>
    <tableColumn id="4382" xr3:uid="{AD46F041-FE1E-4FB5-A367-D8FC5B48650B}" name="Columna4376" dataDxfId="12036"/>
    <tableColumn id="4383" xr3:uid="{1E50E9B1-9A0D-42E7-AB76-92B5A4B142FF}" name="Columna4377" dataDxfId="12035"/>
    <tableColumn id="4384" xr3:uid="{89C9BCFF-32DD-4B05-BAB0-CEE41CF0FB5F}" name="Columna4378" dataDxfId="12034"/>
    <tableColumn id="4385" xr3:uid="{91642E1F-A6A6-4E8E-9450-AEFD04FAA004}" name="Columna4379" dataDxfId="12033"/>
    <tableColumn id="4386" xr3:uid="{EF74CCDB-AD20-44F6-B2DD-764E00D33A87}" name="Columna4380" dataDxfId="12032"/>
    <tableColumn id="4387" xr3:uid="{2C29EF8F-C0D7-43A4-AB86-844EE302756A}" name="Columna4381" dataDxfId="12031"/>
    <tableColumn id="4388" xr3:uid="{F7F082F0-7F79-4E49-ADAC-E6952517889D}" name="Columna4382" dataDxfId="12030"/>
    <tableColumn id="4389" xr3:uid="{E854FECE-BC60-4F16-BB01-7C435E332DFF}" name="Columna4383" dataDxfId="12029"/>
    <tableColumn id="4390" xr3:uid="{7292CE53-F50F-4356-96FD-0669E56AA55D}" name="Columna4384" dataDxfId="12028"/>
    <tableColumn id="4391" xr3:uid="{ECB0038D-DE23-4A7A-B336-1C410123CECD}" name="Columna4385" dataDxfId="12027"/>
    <tableColumn id="4392" xr3:uid="{B1E3FF26-104A-4093-A899-86FA266DE96B}" name="Columna4386" dataDxfId="12026"/>
    <tableColumn id="4393" xr3:uid="{12CE0FE4-232B-42C7-906A-BA73CA10CE6B}" name="Columna4387" dataDxfId="12025"/>
    <tableColumn id="4394" xr3:uid="{6E44AC80-2928-4C98-A01A-ACDF40964E9C}" name="Columna4388" dataDxfId="12024"/>
    <tableColumn id="4395" xr3:uid="{1C7349C8-3A67-4595-8A57-6440F6816406}" name="Columna4389" dataDxfId="12023"/>
    <tableColumn id="4396" xr3:uid="{1EEBA9B6-3A90-4E5E-894F-442B8726E3BF}" name="Columna4390" dataDxfId="12022"/>
    <tableColumn id="4397" xr3:uid="{BC33EF57-D552-4C64-99C0-EB03AA206330}" name="Columna4391" dataDxfId="12021"/>
    <tableColumn id="4398" xr3:uid="{4824CE94-B781-4AB4-BCCF-03F33A24519A}" name="Columna4392" dataDxfId="12020"/>
    <tableColumn id="4399" xr3:uid="{BB4B0ED3-650F-48DE-A9DB-E71798F7E950}" name="Columna4393" dataDxfId="12019"/>
    <tableColumn id="4400" xr3:uid="{7C6A14D5-6B65-4F77-8748-057F2F492EB2}" name="Columna4394" dataDxfId="12018"/>
    <tableColumn id="4401" xr3:uid="{9FB6DB58-2886-4CCF-B1CA-F11A0F5FAF52}" name="Columna4395" dataDxfId="12017"/>
    <tableColumn id="4402" xr3:uid="{B382B2E4-BFCC-4014-895E-F3BC5E0B6163}" name="Columna4396" dataDxfId="12016"/>
    <tableColumn id="4403" xr3:uid="{2F138BBC-CC26-40EB-B6BD-802CD72383B9}" name="Columna4397" dataDxfId="12015"/>
    <tableColumn id="4404" xr3:uid="{FCC7AB0E-07D4-495E-AFBE-D936FD92A980}" name="Columna4398" dataDxfId="12014"/>
    <tableColumn id="4405" xr3:uid="{7530BF04-C9C3-4C5F-8258-942C5CF7D6B9}" name="Columna4399" dataDxfId="12013"/>
    <tableColumn id="4406" xr3:uid="{6F3A7D5A-CCD3-455C-A0BC-4904F122150A}" name="Columna4400" dataDxfId="12012"/>
    <tableColumn id="4407" xr3:uid="{0651DC1F-50F5-44FB-A647-BB6BF2E7AF01}" name="Columna4401" dataDxfId="12011"/>
    <tableColumn id="4408" xr3:uid="{04F9D7E1-3FA8-47F9-88AA-2AFE414BBB4B}" name="Columna4402" dataDxfId="12010"/>
    <tableColumn id="4409" xr3:uid="{BDE7CDFD-6562-4A05-8C55-8796B2F65F93}" name="Columna4403" dataDxfId="12009"/>
    <tableColumn id="4410" xr3:uid="{44113B4E-640A-475B-8366-5A37767A030A}" name="Columna4404" dataDxfId="12008"/>
    <tableColumn id="4411" xr3:uid="{4D40DA42-5F3D-4BE6-B942-C8BFE5387F26}" name="Columna4405" dataDxfId="12007"/>
    <tableColumn id="4412" xr3:uid="{6E5CCC74-ECB3-48E1-8C79-25D29409F9A2}" name="Columna4406" dataDxfId="12006"/>
    <tableColumn id="4413" xr3:uid="{B9FAC19C-9C2D-4494-9CA4-C5D22A3F39AA}" name="Columna4407" dataDxfId="12005"/>
    <tableColumn id="4414" xr3:uid="{AF670643-E9E1-429E-A324-C97FA5D353C0}" name="Columna4408" dataDxfId="12004"/>
    <tableColumn id="4415" xr3:uid="{D1AFF586-5CF9-4798-8557-50D6A0197968}" name="Columna4409" dataDxfId="12003"/>
    <tableColumn id="4416" xr3:uid="{C5CD07F9-B91E-4E1B-B034-06294F52B574}" name="Columna4410" dataDxfId="12002"/>
    <tableColumn id="4417" xr3:uid="{02F8B679-7336-49FA-9E23-9BD4B2747893}" name="Columna4411" dataDxfId="12001"/>
    <tableColumn id="4418" xr3:uid="{2552A1D1-3A2F-42F2-A837-00C2488FB7CD}" name="Columna4412" dataDxfId="12000"/>
    <tableColumn id="4419" xr3:uid="{F13857AA-0876-4A27-A615-8E48922DFCBA}" name="Columna4413" dataDxfId="11999"/>
    <tableColumn id="4420" xr3:uid="{8A4D01D8-1243-4DE7-BDF9-BB713C40B459}" name="Columna4414" dataDxfId="11998"/>
    <tableColumn id="4421" xr3:uid="{241CAD51-E5BC-43A7-9DC4-0DA566687729}" name="Columna4415" dataDxfId="11997"/>
    <tableColumn id="4422" xr3:uid="{4683A109-1928-4DCB-BEBB-C6354F1495BC}" name="Columna4416" dataDxfId="11996"/>
    <tableColumn id="4423" xr3:uid="{DEECDB71-BAF2-411B-89A3-811E498267C1}" name="Columna4417" dataDxfId="11995"/>
    <tableColumn id="4424" xr3:uid="{42C37BB9-70C4-4FE8-97EE-BFAD52E2C09F}" name="Columna4418" dataDxfId="11994"/>
    <tableColumn id="4425" xr3:uid="{F60BA2F3-5F43-4636-BFCB-1DD30511266C}" name="Columna4419" dataDxfId="11993"/>
    <tableColumn id="4426" xr3:uid="{D127A3D2-F537-4120-AA3F-2ACCCE26222A}" name="Columna4420" dataDxfId="11992"/>
    <tableColumn id="4427" xr3:uid="{2C097B91-4CD2-4948-AF9B-B08BBD457DE6}" name="Columna4421" dataDxfId="11991"/>
    <tableColumn id="4428" xr3:uid="{C4CCE49E-F4E8-40FA-88B6-5A24BBD35B7A}" name="Columna4422" dataDxfId="11990"/>
    <tableColumn id="4429" xr3:uid="{42D69C0E-F1E7-487C-91ED-D6F8D2D98502}" name="Columna4423" dataDxfId="11989"/>
    <tableColumn id="4430" xr3:uid="{6A785320-AE2D-43FD-A02E-04004299437E}" name="Columna4424" dataDxfId="11988"/>
    <tableColumn id="4431" xr3:uid="{036E15D6-52E4-49D1-8427-B41AF543EB5B}" name="Columna4425" dataDxfId="11987"/>
    <tableColumn id="4432" xr3:uid="{3A180428-F266-4AF2-960A-3EA32138A169}" name="Columna4426" dataDxfId="11986"/>
    <tableColumn id="4433" xr3:uid="{E370FC85-CCD0-4EB3-9231-71BB35406BB1}" name="Columna4427" dataDxfId="11985"/>
    <tableColumn id="4434" xr3:uid="{DE4DBE9A-1C82-44B4-A5BB-6CED46B39555}" name="Columna4428" dataDxfId="11984"/>
    <tableColumn id="4435" xr3:uid="{69992985-11DF-439E-953C-367CBB7EBDA0}" name="Columna4429" dataDxfId="11983"/>
    <tableColumn id="4436" xr3:uid="{76270822-6818-4056-AB1A-BE8B12F1B4B1}" name="Columna4430" dataDxfId="11982"/>
    <tableColumn id="4437" xr3:uid="{DA6EFB60-F0CC-4F5E-88D0-3166EB01282C}" name="Columna4431" dataDxfId="11981"/>
    <tableColumn id="4438" xr3:uid="{6C477763-D578-410F-AF5D-9F4B99FA51F0}" name="Columna4432" dataDxfId="11980"/>
    <tableColumn id="4439" xr3:uid="{9F45BA7E-1F53-4BFF-B8E6-D1E14E22FFE5}" name="Columna4433" dataDxfId="11979"/>
    <tableColumn id="4440" xr3:uid="{2EA444C0-237F-428C-9197-88C2D2F180F5}" name="Columna4434" dataDxfId="11978"/>
    <tableColumn id="4441" xr3:uid="{D5D40EF3-5875-4E87-9F55-82A8DA9B223C}" name="Columna4435" dataDxfId="11977"/>
    <tableColumn id="4442" xr3:uid="{83F05F2B-8DCD-4C6D-9139-A12E6A1A87BA}" name="Columna4436" dataDxfId="11976"/>
    <tableColumn id="4443" xr3:uid="{5FEBDB1A-48D1-4AD2-8B1B-9C9DBC5ABE4E}" name="Columna4437" dataDxfId="11975"/>
    <tableColumn id="4444" xr3:uid="{00DFEDBA-6C13-4B09-A389-11C27EB81A86}" name="Columna4438" dataDxfId="11974"/>
    <tableColumn id="4445" xr3:uid="{678CBCD7-A2DF-4739-ABA8-4D157A7C192F}" name="Columna4439" dataDxfId="11973"/>
    <tableColumn id="4446" xr3:uid="{64A4C2D0-0781-496E-8F4F-B8C0CB716956}" name="Columna4440" dataDxfId="11972"/>
    <tableColumn id="4447" xr3:uid="{AB4983B7-D794-40E6-9912-C44A60457400}" name="Columna4441" dataDxfId="11971"/>
    <tableColumn id="4448" xr3:uid="{B9E5E521-EAA2-421C-B4FD-15B5E5CFAB02}" name="Columna4442" dataDxfId="11970"/>
    <tableColumn id="4449" xr3:uid="{788A4DA9-532C-40E4-A180-CC9D89183E3E}" name="Columna4443" dataDxfId="11969"/>
    <tableColumn id="4450" xr3:uid="{A4982477-4422-4835-83DE-31542E27ED78}" name="Columna4444" dataDxfId="11968"/>
    <tableColumn id="4451" xr3:uid="{64984168-9684-4FCD-B1BB-BF72BC706681}" name="Columna4445" dataDxfId="11967"/>
    <tableColumn id="4452" xr3:uid="{9E57D95D-76B8-49FA-A795-B88F14EC0531}" name="Columna4446" dataDxfId="11966"/>
    <tableColumn id="4453" xr3:uid="{A144DFC8-67C3-4B39-8AE8-307DC96D7C7B}" name="Columna4447" dataDxfId="11965"/>
    <tableColumn id="4454" xr3:uid="{F69B203C-4081-469A-9807-49A291DE0E21}" name="Columna4448" dataDxfId="11964"/>
    <tableColumn id="4455" xr3:uid="{A1A98844-2A37-414D-9F3F-78E02249941B}" name="Columna4449" dataDxfId="11963"/>
    <tableColumn id="4456" xr3:uid="{0D6692FD-550C-4F38-8B76-A17A731A0A49}" name="Columna4450" dataDxfId="11962"/>
    <tableColumn id="4457" xr3:uid="{DE6FFFF6-9459-4F00-BD27-AD0E36EFFDCD}" name="Columna4451" dataDxfId="11961"/>
    <tableColumn id="4458" xr3:uid="{6207F88E-2F8D-400C-ABBB-2101B3CA2602}" name="Columna4452" dataDxfId="11960"/>
    <tableColumn id="4459" xr3:uid="{65E8832C-D846-45DE-A258-8E1B9A33F8CD}" name="Columna4453" dataDxfId="11959"/>
    <tableColumn id="4460" xr3:uid="{0EF5E97B-70FD-4419-B8D5-725F42EB6BC3}" name="Columna4454" dataDxfId="11958"/>
    <tableColumn id="4461" xr3:uid="{AEB243DB-B606-4413-B34D-3303713E51D5}" name="Columna4455" dataDxfId="11957"/>
    <tableColumn id="4462" xr3:uid="{DF52775A-DEC5-47A4-8406-B075E9B0A61A}" name="Columna4456" dataDxfId="11956"/>
    <tableColumn id="4463" xr3:uid="{759B3F37-95EF-4DC2-9AEF-712C003731CD}" name="Columna4457" dataDxfId="11955"/>
    <tableColumn id="4464" xr3:uid="{E549277D-E367-40F5-B58D-872C926AA8CD}" name="Columna4458" dataDxfId="11954"/>
    <tableColumn id="4465" xr3:uid="{61811746-AC48-42C2-8E6F-223E3B92436D}" name="Columna4459" dataDxfId="11953"/>
    <tableColumn id="4466" xr3:uid="{14A3E62F-EAD0-453A-B62F-C46D1E4CB248}" name="Columna4460" dataDxfId="11952"/>
    <tableColumn id="4467" xr3:uid="{ADA1AF7F-C5FB-4993-83F3-FD0BB5A080BF}" name="Columna4461" dataDxfId="11951"/>
    <tableColumn id="4468" xr3:uid="{1D06C8CC-B50C-477F-B17B-5FBD77175079}" name="Columna4462" dataDxfId="11950"/>
    <tableColumn id="4469" xr3:uid="{0F8B437B-BC2F-40F7-915D-54C749143709}" name="Columna4463" dataDxfId="11949"/>
    <tableColumn id="4470" xr3:uid="{51431450-F1B9-4D80-9016-F265D95EEAD2}" name="Columna4464" dataDxfId="11948"/>
    <tableColumn id="4471" xr3:uid="{53AECEC8-E7AD-4861-A397-145147781605}" name="Columna4465" dataDxfId="11947"/>
    <tableColumn id="4472" xr3:uid="{C41B85EC-B517-460C-8703-44DD39F6DB1D}" name="Columna4466" dataDxfId="11946"/>
    <tableColumn id="4473" xr3:uid="{71772DB5-190A-4FE7-8F92-8EC942DED4DA}" name="Columna4467" dataDxfId="11945"/>
    <tableColumn id="4474" xr3:uid="{76D6AA6B-093F-41C7-AAF6-F37C08954722}" name="Columna4468" dataDxfId="11944"/>
    <tableColumn id="4475" xr3:uid="{26A83F40-9261-49A3-BD34-9DAA630A751C}" name="Columna4469" dataDxfId="11943"/>
    <tableColumn id="4476" xr3:uid="{3A272401-CEE6-4AAD-8EF8-9C476A6C0755}" name="Columna4470" dataDxfId="11942"/>
    <tableColumn id="4477" xr3:uid="{52459D7D-A7E5-4733-8DEF-9A099AE9C10D}" name="Columna4471" dataDxfId="11941"/>
    <tableColumn id="4478" xr3:uid="{5E5AE6B6-8BB9-4064-BCE5-22AADDD41E61}" name="Columna4472" dataDxfId="11940"/>
    <tableColumn id="4479" xr3:uid="{83380567-A082-4E9C-9DA3-92D88220D1E5}" name="Columna4473" dataDxfId="11939"/>
    <tableColumn id="4480" xr3:uid="{20E9930E-C885-49E7-A42F-0E7E9321790C}" name="Columna4474" dataDxfId="11938"/>
    <tableColumn id="4481" xr3:uid="{89753BE0-4479-48DE-858A-9CB251591010}" name="Columna4475" dataDxfId="11937"/>
    <tableColumn id="4482" xr3:uid="{50029590-7289-4F2E-9194-0923891739EC}" name="Columna4476" dataDxfId="11936"/>
    <tableColumn id="4483" xr3:uid="{63713A94-40D0-4586-B523-61B62EA0A087}" name="Columna4477" dataDxfId="11935"/>
    <tableColumn id="4484" xr3:uid="{A6710EF3-4940-4068-8F30-E59BFAA96DCC}" name="Columna4478" dataDxfId="11934"/>
    <tableColumn id="4485" xr3:uid="{996303B7-72A0-4FD3-AB8F-27229ABFEA01}" name="Columna4479" dataDxfId="11933"/>
    <tableColumn id="4486" xr3:uid="{FAF41C0F-5E04-458D-B09F-5C25F3E66B65}" name="Columna4480" dataDxfId="11932"/>
    <tableColumn id="4487" xr3:uid="{F5738330-AD73-4713-9F83-59A164D83FA8}" name="Columna4481" dataDxfId="11931"/>
    <tableColumn id="4488" xr3:uid="{4E97E878-8F8B-4B56-A100-94CED836F122}" name="Columna4482" dataDxfId="11930"/>
    <tableColumn id="4489" xr3:uid="{E07B6596-F9D4-45D2-B944-3685B6AE00AF}" name="Columna4483" dataDxfId="11929"/>
    <tableColumn id="4490" xr3:uid="{46355DA8-BBE4-4FA8-96A9-7C70CD15ADB1}" name="Columna4484" dataDxfId="11928"/>
    <tableColumn id="4491" xr3:uid="{EB8B2CB7-A1D2-417A-A1D1-ED63E77AAC55}" name="Columna4485" dataDxfId="11927"/>
    <tableColumn id="4492" xr3:uid="{647A4202-0243-4A6A-8320-4685A63397E3}" name="Columna4486" dataDxfId="11926"/>
    <tableColumn id="4493" xr3:uid="{DA1DF012-1934-45DA-A923-C866162842E0}" name="Columna4487" dataDxfId="11925"/>
    <tableColumn id="4494" xr3:uid="{66C0D221-E482-49E5-AE2F-79F9D63C2E87}" name="Columna4488" dataDxfId="11924"/>
    <tableColumn id="4495" xr3:uid="{46AE374F-A406-4AA9-8F3A-13A620178FBD}" name="Columna4489" dataDxfId="11923"/>
    <tableColumn id="4496" xr3:uid="{0563F1FD-CD2C-4D63-BBFC-CA21E3B02577}" name="Columna4490" dataDxfId="11922"/>
    <tableColumn id="4497" xr3:uid="{AB3EF8B0-1AED-48B4-B126-B50CF1FCE221}" name="Columna4491" dataDxfId="11921"/>
    <tableColumn id="4498" xr3:uid="{BB1CF81E-2F71-4A65-B90A-B8D6428AC21C}" name="Columna4492" dataDxfId="11920"/>
    <tableColumn id="4499" xr3:uid="{E628C2BC-55B4-4A63-BEBD-2076EBFB29B7}" name="Columna4493" dataDxfId="11919"/>
    <tableColumn id="4500" xr3:uid="{AFB61476-0F68-40B7-AF2A-46C2C881CFC2}" name="Columna4494" dataDxfId="11918"/>
    <tableColumn id="4501" xr3:uid="{EA46A49E-C0B4-4CFB-A61A-5C442888CBB6}" name="Columna4495" dataDxfId="11917"/>
    <tableColumn id="4502" xr3:uid="{1D8422E0-DB0B-469E-B7B8-13DAFE59242F}" name="Columna4496" dataDxfId="11916"/>
    <tableColumn id="4503" xr3:uid="{43C65C63-FA60-49C7-BA43-011C8CDA056D}" name="Columna4497" dataDxfId="11915"/>
    <tableColumn id="4504" xr3:uid="{823A3EE5-DA92-4D56-96F8-C6F68BDF9859}" name="Columna4498" dataDxfId="11914"/>
    <tableColumn id="4505" xr3:uid="{826189BF-EC45-467F-AF78-D6D13B185B62}" name="Columna4499" dataDxfId="11913"/>
    <tableColumn id="4506" xr3:uid="{791512F5-791B-4804-9019-96419A5E1AA4}" name="Columna4500" dataDxfId="11912"/>
    <tableColumn id="4507" xr3:uid="{2D9FCBBD-F8E9-410B-9E75-ED3E1B8127C4}" name="Columna4501" dataDxfId="11911"/>
    <tableColumn id="4508" xr3:uid="{31E92112-431E-45A4-A899-D693B0997100}" name="Columna4502" dataDxfId="11910"/>
    <tableColumn id="4509" xr3:uid="{911506FF-B0B6-4768-AABE-8D660E127CA9}" name="Columna4503" dataDxfId="11909"/>
    <tableColumn id="4510" xr3:uid="{7037266C-9D14-43F7-99BD-9CAEF0215805}" name="Columna4504" dataDxfId="11908"/>
    <tableColumn id="4511" xr3:uid="{5F9AFC82-EF31-4CA3-B31E-FB88EE16E300}" name="Columna4505" dataDxfId="11907"/>
    <tableColumn id="4512" xr3:uid="{D17F94AA-E383-4D7E-A477-F6FCD0698988}" name="Columna4506" dataDxfId="11906"/>
    <tableColumn id="4513" xr3:uid="{4170E41E-69C6-41A4-9BCC-58B77A962775}" name="Columna4507" dataDxfId="11905"/>
    <tableColumn id="4514" xr3:uid="{EEB01937-F80B-4758-94F5-10C81BFBF1AB}" name="Columna4508" dataDxfId="11904"/>
    <tableColumn id="4515" xr3:uid="{A80A6CB0-2C96-4A42-9E95-3065E0EC64D2}" name="Columna4509" dataDxfId="11903"/>
    <tableColumn id="4516" xr3:uid="{C37E9060-042D-4A4D-BE93-D9F3943A53C0}" name="Columna4510" dataDxfId="11902"/>
    <tableColumn id="4517" xr3:uid="{F167906B-9163-4C4F-AE4A-6E6E7BEF66EC}" name="Columna4511" dataDxfId="11901"/>
    <tableColumn id="4518" xr3:uid="{4318BF33-8860-4842-B1CB-C2F4655A42D6}" name="Columna4512" dataDxfId="11900"/>
    <tableColumn id="4519" xr3:uid="{1BD64459-03CB-4E2C-A506-EA697E7487E7}" name="Columna4513" dataDxfId="11899"/>
    <tableColumn id="4520" xr3:uid="{C24B253E-1CD9-42A2-A9D0-5E7A26F66A0A}" name="Columna4514" dataDxfId="11898"/>
    <tableColumn id="4521" xr3:uid="{EEF08453-76EC-4C54-BE91-2C0BE6F772E0}" name="Columna4515" dataDxfId="11897"/>
    <tableColumn id="4522" xr3:uid="{012E576F-8D93-4E97-8D72-454CA59436CA}" name="Columna4516" dataDxfId="11896"/>
    <tableColumn id="4523" xr3:uid="{D882B849-D8CB-4AC7-A6C0-2E3A318B6F03}" name="Columna4517" dataDxfId="11895"/>
    <tableColumn id="4524" xr3:uid="{9EFD7A3F-D2F8-4279-A243-C8BD1896F208}" name="Columna4518" dataDxfId="11894"/>
    <tableColumn id="4525" xr3:uid="{6A2BF98E-5A05-41AD-AA59-486FD82CF788}" name="Columna4519" dataDxfId="11893"/>
    <tableColumn id="4526" xr3:uid="{AD4AD826-4E4B-46F3-B1A1-391FF80D3AE3}" name="Columna4520" dataDxfId="11892"/>
    <tableColumn id="4527" xr3:uid="{931AE739-5AF0-49B0-8C90-B6C4F909CA9C}" name="Columna4521" dataDxfId="11891"/>
    <tableColumn id="4528" xr3:uid="{32EFB28E-6F2C-4D46-B8B8-5460E96616CE}" name="Columna4522" dataDxfId="11890"/>
    <tableColumn id="4529" xr3:uid="{D8E78691-5819-4D7A-9434-81A45B757033}" name="Columna4523" dataDxfId="11889"/>
    <tableColumn id="4530" xr3:uid="{63B19ED4-2DEB-42D2-8D97-6E25EA23A09D}" name="Columna4524" dataDxfId="11888"/>
    <tableColumn id="4531" xr3:uid="{8BA8E3E1-E240-4AC3-BE8B-235B9251014A}" name="Columna4525" dataDxfId="11887"/>
    <tableColumn id="4532" xr3:uid="{D76EC95E-562D-4B23-BF3B-29D44E477B24}" name="Columna4526" dataDxfId="11886"/>
    <tableColumn id="4533" xr3:uid="{2088A7EC-F0E8-4398-A265-DC5414D91E4C}" name="Columna4527" dataDxfId="11885"/>
    <tableColumn id="4534" xr3:uid="{033C3D4E-2A13-439B-B2A1-877401B4CCD6}" name="Columna4528" dataDxfId="11884"/>
    <tableColumn id="4535" xr3:uid="{6D59E61E-D966-4C72-9613-3EE836104F94}" name="Columna4529" dataDxfId="11883"/>
    <tableColumn id="4536" xr3:uid="{2B4299F2-6EFA-4E61-84E5-7C2782835DB2}" name="Columna4530" dataDxfId="11882"/>
    <tableColumn id="4537" xr3:uid="{7CB1AC4D-B8AE-4C9C-AF76-521C62CE1944}" name="Columna4531" dataDxfId="11881"/>
    <tableColumn id="4538" xr3:uid="{6124DEE5-BF21-46C3-9036-B39A4C6B1EB2}" name="Columna4532" dataDxfId="11880"/>
    <tableColumn id="4539" xr3:uid="{7220E3DC-99AF-4658-B6C5-1D42AE3B5314}" name="Columna4533" dataDxfId="11879"/>
    <tableColumn id="4540" xr3:uid="{875121D2-9CCF-4BC9-991D-2A63C4AA7948}" name="Columna4534" dataDxfId="11878"/>
    <tableColumn id="4541" xr3:uid="{FC9AFCD0-2CBC-4656-989E-CF0B85FB8E15}" name="Columna4535" dataDxfId="11877"/>
    <tableColumn id="4542" xr3:uid="{F66B9E4B-44C9-4F70-A970-95F65B28EFE8}" name="Columna4536" dataDxfId="11876"/>
    <tableColumn id="4543" xr3:uid="{BB549D3D-DDED-49F9-9EF7-35A7E1A22D94}" name="Columna4537" dataDxfId="11875"/>
    <tableColumn id="4544" xr3:uid="{2DDF6E0D-A928-4EE7-8C13-CAE1362871E8}" name="Columna4538" dataDxfId="11874"/>
    <tableColumn id="4545" xr3:uid="{E00F9AF2-F38F-452D-9466-1E96DEF03A30}" name="Columna4539" dataDxfId="11873"/>
    <tableColumn id="4546" xr3:uid="{BA54EFF4-77E5-4429-8C8A-FEAA9B9F504D}" name="Columna4540" dataDxfId="11872"/>
    <tableColumn id="4547" xr3:uid="{4B44B8AB-9FC7-401F-91F6-CD1BA2B425BE}" name="Columna4541" dataDxfId="11871"/>
    <tableColumn id="4548" xr3:uid="{DAE923E1-8D26-4BFC-8DCA-A035E2705C2C}" name="Columna4542" dataDxfId="11870"/>
    <tableColumn id="4549" xr3:uid="{99862FB5-C3A5-4227-90C8-47583103F2D7}" name="Columna4543" dataDxfId="11869"/>
    <tableColumn id="4550" xr3:uid="{A6AB413E-99C4-4F06-ADB6-CD2248A46054}" name="Columna4544" dataDxfId="11868"/>
    <tableColumn id="4551" xr3:uid="{C27F4F01-9515-4D25-B74E-12F94599FD12}" name="Columna4545" dataDxfId="11867"/>
    <tableColumn id="4552" xr3:uid="{719EDD07-F163-497F-BB03-4BD262ADD367}" name="Columna4546" dataDxfId="11866"/>
    <tableColumn id="4553" xr3:uid="{5786C6C9-6CC0-41E9-9CDC-5D1E508C5A92}" name="Columna4547" dataDxfId="11865"/>
    <tableColumn id="4554" xr3:uid="{CEAB2C49-13F6-4DD0-89DE-D3273C8C446C}" name="Columna4548" dataDxfId="11864"/>
    <tableColumn id="4555" xr3:uid="{9B123A0D-E3D4-4ACD-92B6-EBB3C9280D03}" name="Columna4549" dataDxfId="11863"/>
    <tableColumn id="4556" xr3:uid="{EC2BCC50-8A55-4254-AC2E-177016CA4DE0}" name="Columna4550" dataDxfId="11862"/>
    <tableColumn id="4557" xr3:uid="{38CD467B-CDCB-42A2-932A-8364B2027CE6}" name="Columna4551" dataDxfId="11861"/>
    <tableColumn id="4558" xr3:uid="{FCCCF254-1DEC-4E08-811D-350DF9A8CD3C}" name="Columna4552" dataDxfId="11860"/>
    <tableColumn id="4559" xr3:uid="{DCD0E412-D543-45A9-B0F9-F2BECC6D15B1}" name="Columna4553" dataDxfId="11859"/>
    <tableColumn id="4560" xr3:uid="{737329F2-5B2C-414A-B792-70B1EFD5AF74}" name="Columna4554" dataDxfId="11858"/>
    <tableColumn id="4561" xr3:uid="{CFF4A090-6607-4B96-B8FE-0C28A5FC5AE3}" name="Columna4555" dataDxfId="11857"/>
    <tableColumn id="4562" xr3:uid="{99D7776D-13BD-46AF-BBED-136B2C64344B}" name="Columna4556" dataDxfId="11856"/>
    <tableColumn id="4563" xr3:uid="{35A917E9-0E60-4304-BC71-671A65AAAD0F}" name="Columna4557" dataDxfId="11855"/>
    <tableColumn id="4564" xr3:uid="{C227DD53-E1BE-4A5F-992C-CA978992D25A}" name="Columna4558" dataDxfId="11854"/>
    <tableColumn id="4565" xr3:uid="{10ED1E02-F709-4E4F-A3BB-EFC38A34ABB6}" name="Columna4559" dataDxfId="11853"/>
    <tableColumn id="4566" xr3:uid="{2634101F-E169-47BF-88D5-2E112D3E6200}" name="Columna4560" dataDxfId="11852"/>
    <tableColumn id="4567" xr3:uid="{4EEA4323-4E10-4960-A05A-12FB94E4958A}" name="Columna4561" dataDxfId="11851"/>
    <tableColumn id="4568" xr3:uid="{C508A75B-C18E-4772-848A-CD356EBFBC96}" name="Columna4562" dataDxfId="11850"/>
    <tableColumn id="4569" xr3:uid="{12D47287-8E80-46E0-957D-23AFCBF8FC19}" name="Columna4563" dataDxfId="11849"/>
    <tableColumn id="4570" xr3:uid="{A28B89FE-B8E8-4E49-9A52-2E9C67B9ECC5}" name="Columna4564" dataDxfId="11848"/>
    <tableColumn id="4571" xr3:uid="{0CED36C8-5214-41BA-ABA1-83094116F532}" name="Columna4565" dataDxfId="11847"/>
    <tableColumn id="4572" xr3:uid="{72998102-2287-47F8-8906-2940DE0E4E03}" name="Columna4566" dataDxfId="11846"/>
    <tableColumn id="4573" xr3:uid="{4546BABC-8856-438C-9455-2D7D46DB0DED}" name="Columna4567" dataDxfId="11845"/>
    <tableColumn id="4574" xr3:uid="{B190B5DA-3329-4D98-9409-4D879C87B95A}" name="Columna4568" dataDxfId="11844"/>
    <tableColumn id="4575" xr3:uid="{471E22E4-6574-4F38-9896-A735EF20A62D}" name="Columna4569" dataDxfId="11843"/>
    <tableColumn id="4576" xr3:uid="{E6005BD6-9870-4CF5-96F7-7C853C2893FE}" name="Columna4570" dataDxfId="11842"/>
    <tableColumn id="4577" xr3:uid="{E6F9189E-3F6E-47A6-9329-231871E8DF0E}" name="Columna4571" dataDxfId="11841"/>
    <tableColumn id="4578" xr3:uid="{63E3BEAD-A6DB-4A86-B480-9A38BC1B3B7B}" name="Columna4572" dataDxfId="11840"/>
    <tableColumn id="4579" xr3:uid="{0C238B65-9C42-4FEC-B042-079FA2AEC884}" name="Columna4573" dataDxfId="11839"/>
    <tableColumn id="4580" xr3:uid="{0620D8F2-03AF-43A9-9945-388A2B20E2CD}" name="Columna4574" dataDxfId="11838"/>
    <tableColumn id="4581" xr3:uid="{F44E14E1-C099-4864-A612-8FD722D31D54}" name="Columna4575" dataDxfId="11837"/>
    <tableColumn id="4582" xr3:uid="{A5C85466-B79A-477F-A4F3-297DA0DECF89}" name="Columna4576" dataDxfId="11836"/>
    <tableColumn id="4583" xr3:uid="{31D3D158-E65F-48EB-824E-C2E2C3DF1311}" name="Columna4577" dataDxfId="11835"/>
    <tableColumn id="4584" xr3:uid="{EF7744C7-50DF-4997-824F-FC4E16AA34C8}" name="Columna4578" dataDxfId="11834"/>
    <tableColumn id="4585" xr3:uid="{4FD42B6A-A159-4DEE-94B5-4F9B88432439}" name="Columna4579" dataDxfId="11833"/>
    <tableColumn id="4586" xr3:uid="{0002FC63-46BE-4D17-A6A1-74B697118FD3}" name="Columna4580" dataDxfId="11832"/>
    <tableColumn id="4587" xr3:uid="{F1B46B03-AAB6-45C8-B3C1-68B91C691977}" name="Columna4581" dataDxfId="11831"/>
    <tableColumn id="4588" xr3:uid="{4B7BBED9-4614-48F6-89FD-30537E10D1E7}" name="Columna4582" dataDxfId="11830"/>
    <tableColumn id="4589" xr3:uid="{BAD5AD40-6732-4B87-B49B-43C79032B8FF}" name="Columna4583" dataDxfId="11829"/>
    <tableColumn id="4590" xr3:uid="{65009500-7154-42DA-A2A6-B25BD8866115}" name="Columna4584" dataDxfId="11828"/>
    <tableColumn id="4591" xr3:uid="{964C4DC8-807E-4965-B179-52A141733562}" name="Columna4585" dataDxfId="11827"/>
    <tableColumn id="4592" xr3:uid="{72A79576-C793-4F47-9ACF-8B43568D393D}" name="Columna4586" dataDxfId="11826"/>
    <tableColumn id="4593" xr3:uid="{E2589758-606C-4EFF-B523-A160F365E340}" name="Columna4587" dataDxfId="11825"/>
    <tableColumn id="4594" xr3:uid="{49655E80-F68F-403D-B543-FE7E1BA9D93C}" name="Columna4588" dataDxfId="11824"/>
    <tableColumn id="4595" xr3:uid="{84C737A3-AC4D-42C9-95C8-51C721736AD9}" name="Columna4589" dataDxfId="11823"/>
    <tableColumn id="4596" xr3:uid="{1BFBC28D-E058-4756-B7D3-0E20188EA582}" name="Columna4590" dataDxfId="11822"/>
    <tableColumn id="4597" xr3:uid="{ABB39F9F-E9F7-4DE7-936D-49C3D8689EA4}" name="Columna4591" dataDxfId="11821"/>
    <tableColumn id="4598" xr3:uid="{7B5DE198-2E24-46B1-A44F-A370373B0D20}" name="Columna4592" dataDxfId="11820"/>
    <tableColumn id="4599" xr3:uid="{4821BF7D-94CC-47EB-8BFB-E73D5016C24E}" name="Columna4593" dataDxfId="11819"/>
    <tableColumn id="4600" xr3:uid="{3339F8F3-714E-46B2-8B70-6D1AEABE6848}" name="Columna4594" dataDxfId="11818"/>
    <tableColumn id="4601" xr3:uid="{587C6B7A-50B0-4B7A-8977-516B56D92199}" name="Columna4595" dataDxfId="11817"/>
    <tableColumn id="4602" xr3:uid="{C9DACC5C-7153-4115-8B95-0D1BD4DCD259}" name="Columna4596" dataDxfId="11816"/>
    <tableColumn id="4603" xr3:uid="{551799AD-6413-4256-B2D2-D873728E381F}" name="Columna4597" dataDxfId="11815"/>
    <tableColumn id="4604" xr3:uid="{B92F6D0C-1D8D-455A-8D46-8E4773E10E6C}" name="Columna4598" dataDxfId="11814"/>
    <tableColumn id="4605" xr3:uid="{9C6B5E29-D057-4D2D-80A4-C9D85434FD4F}" name="Columna4599" dataDxfId="11813"/>
    <tableColumn id="4606" xr3:uid="{866548B1-6083-4756-805B-83092ED3E5EA}" name="Columna4600" dataDxfId="11812"/>
    <tableColumn id="4607" xr3:uid="{D49624F7-F72F-4822-A76F-2DC5DE9DD2A6}" name="Columna4601" dataDxfId="11811"/>
    <tableColumn id="4608" xr3:uid="{B1872445-266C-4E8D-853C-A4E6686F9681}" name="Columna4602" dataDxfId="11810"/>
    <tableColumn id="4609" xr3:uid="{D8137F3F-03A4-4F65-B6F4-7D97167BB2DD}" name="Columna4603" dataDxfId="11809"/>
    <tableColumn id="4610" xr3:uid="{DCC017FC-3511-4690-A544-97C844F2E13D}" name="Columna4604" dataDxfId="11808"/>
    <tableColumn id="4611" xr3:uid="{85F9216A-C012-44AF-BE45-342DDD56D0E9}" name="Columna4605" dataDxfId="11807"/>
    <tableColumn id="4612" xr3:uid="{9E69596D-64C0-479A-AD40-0996DD0823A5}" name="Columna4606" dataDxfId="11806"/>
    <tableColumn id="4613" xr3:uid="{11595243-959A-4990-99BD-820CC6A12F3C}" name="Columna4607" dataDxfId="11805"/>
    <tableColumn id="4614" xr3:uid="{963246A5-8D7C-45F1-8FB8-22AE30A1D69C}" name="Columna4608" dataDxfId="11804"/>
    <tableColumn id="4615" xr3:uid="{3918DCCF-C452-4FC8-9B96-637F37509195}" name="Columna4609" dataDxfId="11803"/>
    <tableColumn id="4616" xr3:uid="{D8C3B572-4BB8-44E2-BA4D-BD2CCDA033C0}" name="Columna4610" dataDxfId="11802"/>
    <tableColumn id="4617" xr3:uid="{33A02C3F-4F34-4B3B-B9C6-C8BD0875505C}" name="Columna4611" dataDxfId="11801"/>
    <tableColumn id="4618" xr3:uid="{77084C88-73B5-4BE4-A712-D52D0E0A098E}" name="Columna4612" dataDxfId="11800"/>
    <tableColumn id="4619" xr3:uid="{3DD59825-97C9-4548-9D02-4FD82BC14B45}" name="Columna4613" dataDxfId="11799"/>
    <tableColumn id="4620" xr3:uid="{101CBB36-B6EA-4A48-93E5-0EEBC7F20620}" name="Columna4614" dataDxfId="11798"/>
    <tableColumn id="4621" xr3:uid="{6624D253-1F0D-4D77-803B-6FA9D6B4AA2F}" name="Columna4615" dataDxfId="11797"/>
    <tableColumn id="4622" xr3:uid="{323CFBC9-6115-4496-A917-C0FBD8622C16}" name="Columna4616" dataDxfId="11796"/>
    <tableColumn id="4623" xr3:uid="{52EBD3DD-69A7-4576-967C-A402BE3138D0}" name="Columna4617" dataDxfId="11795"/>
    <tableColumn id="4624" xr3:uid="{AD803F85-2D46-4E3C-9383-D7A1985078CE}" name="Columna4618" dataDxfId="11794"/>
    <tableColumn id="4625" xr3:uid="{1FB24BEA-5F7E-4B44-A1A2-FB8CC6A99204}" name="Columna4619" dataDxfId="11793"/>
    <tableColumn id="4626" xr3:uid="{445EE3C9-CD95-49ED-A839-E1C962D37678}" name="Columna4620" dataDxfId="11792"/>
    <tableColumn id="4627" xr3:uid="{497E7744-3EED-4A8A-8F5F-48E7CEB748AC}" name="Columna4621" dataDxfId="11791"/>
    <tableColumn id="4628" xr3:uid="{39281BAC-FB59-4D94-B4A5-23B133F53F85}" name="Columna4622" dataDxfId="11790"/>
    <tableColumn id="4629" xr3:uid="{DC0E0C43-F914-4066-A3A0-1DD7241F38DD}" name="Columna4623" dataDxfId="11789"/>
    <tableColumn id="4630" xr3:uid="{D9DFC3FE-D2BA-4223-992C-9860ADAE47B4}" name="Columna4624" dataDxfId="11788"/>
    <tableColumn id="4631" xr3:uid="{336128AF-9B75-4D0A-8B07-E89194A51D9C}" name="Columna4625" dataDxfId="11787"/>
    <tableColumn id="4632" xr3:uid="{CB35DAC4-9EB7-403D-BAAE-17F1391937DE}" name="Columna4626" dataDxfId="11786"/>
    <tableColumn id="4633" xr3:uid="{58AC47DF-82C2-4A6D-AD4E-467B5FF04B6A}" name="Columna4627" dataDxfId="11785"/>
    <tableColumn id="4634" xr3:uid="{0EED39C5-379A-420F-B701-0C8D77CFDD0C}" name="Columna4628" dataDxfId="11784"/>
    <tableColumn id="4635" xr3:uid="{B45E3034-14DF-4AD1-A9CE-3559CFEC2D2C}" name="Columna4629" dataDxfId="11783"/>
    <tableColumn id="4636" xr3:uid="{A056FD4A-9DA2-497E-844D-5B0CFF01F929}" name="Columna4630" dataDxfId="11782"/>
    <tableColumn id="4637" xr3:uid="{E9B17025-4EFF-425E-8B05-E51DB74D59A2}" name="Columna4631" dataDxfId="11781"/>
    <tableColumn id="4638" xr3:uid="{122DE0CB-6E27-4CFC-BE0E-0DE7C16335FA}" name="Columna4632" dataDxfId="11780"/>
    <tableColumn id="4639" xr3:uid="{05A8C2B3-D226-470E-9D53-0576F151E467}" name="Columna4633" dataDxfId="11779"/>
    <tableColumn id="4640" xr3:uid="{AF73D551-4F01-4432-82BF-346AC1379CCB}" name="Columna4634" dataDxfId="11778"/>
    <tableColumn id="4641" xr3:uid="{CD8858FF-3139-43CA-9716-C49A13ADDDA2}" name="Columna4635" dataDxfId="11777"/>
    <tableColumn id="4642" xr3:uid="{516553A2-D90B-4140-851C-99BEF9B37C6E}" name="Columna4636" dataDxfId="11776"/>
    <tableColumn id="4643" xr3:uid="{2D1588A8-0670-4C3B-83F2-1A76F67D18B6}" name="Columna4637" dataDxfId="11775"/>
    <tableColumn id="4644" xr3:uid="{B5FBD048-D578-492F-918B-F8B5D6A59741}" name="Columna4638" dataDxfId="11774"/>
    <tableColumn id="4645" xr3:uid="{DC3A210E-A3C7-45EF-BA26-B7D5F7E166A2}" name="Columna4639" dataDxfId="11773"/>
    <tableColumn id="4646" xr3:uid="{1B1E59E9-F334-4F9C-9864-E0C744CF8F69}" name="Columna4640" dataDxfId="11772"/>
    <tableColumn id="4647" xr3:uid="{0F85948A-7683-4A77-9310-F3210F1C5A59}" name="Columna4641" dataDxfId="11771"/>
    <tableColumn id="4648" xr3:uid="{B1F482D0-9404-4A81-B1E0-7EA9044CE27D}" name="Columna4642" dataDxfId="11770"/>
    <tableColumn id="4649" xr3:uid="{8E3B4640-1131-40C1-BD3B-67864E0083A7}" name="Columna4643" dataDxfId="11769"/>
    <tableColumn id="4650" xr3:uid="{48329F02-204C-40BF-88FA-3C2E535F09FA}" name="Columna4644" dataDxfId="11768"/>
    <tableColumn id="4651" xr3:uid="{9D1E2CFA-261D-4C7C-97E9-E2F0AEE58BE0}" name="Columna4645" dataDxfId="11767"/>
    <tableColumn id="4652" xr3:uid="{0D5AFBCA-EF58-4661-96F0-4B014F634DAD}" name="Columna4646" dataDxfId="11766"/>
    <tableColumn id="4653" xr3:uid="{27C7849B-ACBD-4FCE-8278-B071056B9EE3}" name="Columna4647" dataDxfId="11765"/>
    <tableColumn id="4654" xr3:uid="{9189E77C-09A5-48C4-8B20-D7D6C739EE2D}" name="Columna4648" dataDxfId="11764"/>
    <tableColumn id="4655" xr3:uid="{478AC09A-67A9-4614-8B8D-8D0EF388F53C}" name="Columna4649" dataDxfId="11763"/>
    <tableColumn id="4656" xr3:uid="{33C69E27-BFF3-4E1C-B084-886AC51628D0}" name="Columna4650" dataDxfId="11762"/>
    <tableColumn id="4657" xr3:uid="{73D297E6-7C24-42C8-9F97-0BC49E7AB976}" name="Columna4651" dataDxfId="11761"/>
    <tableColumn id="4658" xr3:uid="{BF693403-8CBB-4D2C-A613-AD1A419B15BB}" name="Columna4652" dataDxfId="11760"/>
    <tableColumn id="4659" xr3:uid="{3FE0199D-15FC-4530-97F2-92132F700E4B}" name="Columna4653" dataDxfId="11759"/>
    <tableColumn id="4660" xr3:uid="{D5B6B0AF-1703-4696-9162-FB7B20E841EA}" name="Columna4654" dataDxfId="11758"/>
    <tableColumn id="4661" xr3:uid="{52942887-11C5-4657-AEAF-ABF9E0D2D9AB}" name="Columna4655" dataDxfId="11757"/>
    <tableColumn id="4662" xr3:uid="{833864EC-A6A3-4533-84B4-3293E7B3D185}" name="Columna4656" dataDxfId="11756"/>
    <tableColumn id="4663" xr3:uid="{2415A6FC-EDCB-46C1-ACF7-9A9F714D0DD2}" name="Columna4657" dataDxfId="11755"/>
    <tableColumn id="4664" xr3:uid="{BB868769-E841-4716-8479-042AA78599D6}" name="Columna4658" dataDxfId="11754"/>
    <tableColumn id="4665" xr3:uid="{A6715BC9-8D23-47F1-A51E-C3F8639FC694}" name="Columna4659" dataDxfId="11753"/>
    <tableColumn id="4666" xr3:uid="{890E25D1-B97F-41EF-A834-D517E1D43791}" name="Columna4660" dataDxfId="11752"/>
    <tableColumn id="4667" xr3:uid="{6A7FFDB4-8073-44AC-B4DA-CCF90F149E88}" name="Columna4661" dataDxfId="11751"/>
    <tableColumn id="4668" xr3:uid="{095C7072-0B1B-4F1F-A383-CD7607E5CAA3}" name="Columna4662" dataDxfId="11750"/>
    <tableColumn id="4669" xr3:uid="{D0EBA31C-E772-4EDF-81D9-5EECA20330EC}" name="Columna4663" dataDxfId="11749"/>
    <tableColumn id="4670" xr3:uid="{4CAE0C26-A71E-4369-BBDB-3AEE846CD214}" name="Columna4664" dataDxfId="11748"/>
    <tableColumn id="4671" xr3:uid="{61DB1860-01B2-4328-9CA2-D61A02AD6AA7}" name="Columna4665" dataDxfId="11747"/>
    <tableColumn id="4672" xr3:uid="{A4F5A264-D104-48CD-80F7-53A6F0F94671}" name="Columna4666" dataDxfId="11746"/>
    <tableColumn id="4673" xr3:uid="{706CB5B8-38BB-4826-A593-CD5927B623FC}" name="Columna4667" dataDxfId="11745"/>
    <tableColumn id="4674" xr3:uid="{42371D0F-22E6-46FE-8926-75E89C1395F3}" name="Columna4668" dataDxfId="11744"/>
    <tableColumn id="4675" xr3:uid="{CFB0B6B4-9BAB-4E30-A7D3-5C191AFA98B6}" name="Columna4669" dataDxfId="11743"/>
    <tableColumn id="4676" xr3:uid="{1ABB8FAC-DF64-4A85-9959-1E949AEC278E}" name="Columna4670" dataDxfId="11742"/>
    <tableColumn id="4677" xr3:uid="{CB3195C9-86CF-4B28-A279-981B78722A60}" name="Columna4671" dataDxfId="11741"/>
    <tableColumn id="4678" xr3:uid="{D72B7665-3097-409B-B03B-2396B4A8278A}" name="Columna4672" dataDxfId="11740"/>
    <tableColumn id="4679" xr3:uid="{A330A80E-4777-48EF-B458-9F2071C000AA}" name="Columna4673" dataDxfId="11739"/>
    <tableColumn id="4680" xr3:uid="{0D785B8F-5693-4BED-9ECE-842DDC004ECB}" name="Columna4674" dataDxfId="11738"/>
    <tableColumn id="4681" xr3:uid="{3A1667E5-815A-4F7D-A633-902755FE2AB2}" name="Columna4675" dataDxfId="11737"/>
    <tableColumn id="4682" xr3:uid="{40EBB2B9-F01D-4258-A043-5D8A3A2D9D94}" name="Columna4676" dataDxfId="11736"/>
    <tableColumn id="4683" xr3:uid="{513433AE-8D17-471C-ABAB-AE12D3DA2574}" name="Columna4677" dataDxfId="11735"/>
    <tableColumn id="4684" xr3:uid="{F2B5DDC2-CC27-45AA-93A0-53D3C79B79BD}" name="Columna4678" dataDxfId="11734"/>
    <tableColumn id="4685" xr3:uid="{1D4DE421-A15A-4C26-AA02-310A6C59EFBB}" name="Columna4679" dataDxfId="11733"/>
    <tableColumn id="4686" xr3:uid="{26041444-6503-4087-AE61-622444065188}" name="Columna4680" dataDxfId="11732"/>
    <tableColumn id="4687" xr3:uid="{C464A024-8757-4AC8-819A-B7A8ED9A6FFC}" name="Columna4681" dataDxfId="11731"/>
    <tableColumn id="4688" xr3:uid="{24887E6F-642E-4A65-B2A2-D087F0D3B8E3}" name="Columna4682" dataDxfId="11730"/>
    <tableColumn id="4689" xr3:uid="{AF0C9CBD-033E-4103-844A-89857CCC98C0}" name="Columna4683" dataDxfId="11729"/>
    <tableColumn id="4690" xr3:uid="{A97359E1-9566-4668-BB60-17D0C0037EA3}" name="Columna4684" dataDxfId="11728"/>
    <tableColumn id="4691" xr3:uid="{EF034BE1-6E4D-41CA-9F1F-80AAF93ECD61}" name="Columna4685" dataDxfId="11727"/>
    <tableColumn id="4692" xr3:uid="{557CC127-ABE6-4369-A685-4AA8BE794826}" name="Columna4686" dataDxfId="11726"/>
    <tableColumn id="4693" xr3:uid="{51B37FAF-F624-41D5-909A-9942E70AD421}" name="Columna4687" dataDxfId="11725"/>
    <tableColumn id="4694" xr3:uid="{8FDC8349-7028-40F2-869B-42640D8EBCC9}" name="Columna4688" dataDxfId="11724"/>
    <tableColumn id="4695" xr3:uid="{CC98F484-CE86-4A73-B638-228EA5DAA09B}" name="Columna4689" dataDxfId="11723"/>
    <tableColumn id="4696" xr3:uid="{C8D6D81B-D7F8-462A-8BCE-EF5D4744D05C}" name="Columna4690" dataDxfId="11722"/>
    <tableColumn id="4697" xr3:uid="{015FE91F-67C3-4DF1-8673-B740A2656FA1}" name="Columna4691" dataDxfId="11721"/>
    <tableColumn id="4698" xr3:uid="{53629BFA-EB8A-4ECF-9CDE-40AA2AA197B7}" name="Columna4692" dataDxfId="11720"/>
    <tableColumn id="4699" xr3:uid="{031299A1-C4DD-4BA0-9298-06708B55E3BF}" name="Columna4693" dataDxfId="11719"/>
    <tableColumn id="4700" xr3:uid="{E0A8D3DC-8AE6-4B4F-AA23-EFE0FD16D1BC}" name="Columna4694" dataDxfId="11718"/>
    <tableColumn id="4701" xr3:uid="{A19C6A36-72CE-488A-B0A1-A80E1D106457}" name="Columna4695" dataDxfId="11717"/>
    <tableColumn id="4702" xr3:uid="{7B3D234F-7BAA-44E8-A811-959B9F547A11}" name="Columna4696" dataDxfId="11716"/>
    <tableColumn id="4703" xr3:uid="{B8BFEB74-145F-4F48-9A09-68166C42631F}" name="Columna4697" dataDxfId="11715"/>
    <tableColumn id="4704" xr3:uid="{D0E5069D-0B33-4F86-A0C3-32ECBF0EB307}" name="Columna4698" dataDxfId="11714"/>
    <tableColumn id="4705" xr3:uid="{BE112999-D5B5-4718-97DA-B1010246E9BF}" name="Columna4699" dataDxfId="11713"/>
    <tableColumn id="4706" xr3:uid="{B3DA59A7-450F-4FEA-9BEB-4989ACDEB76E}" name="Columna4700" dataDxfId="11712"/>
    <tableColumn id="4707" xr3:uid="{49505956-D05A-467A-95F1-12CA0D37E597}" name="Columna4701" dataDxfId="11711"/>
    <tableColumn id="4708" xr3:uid="{952444F7-B4FD-4C1F-A622-BBF795E4E017}" name="Columna4702" dataDxfId="11710"/>
    <tableColumn id="4709" xr3:uid="{67038EBD-73E5-4A70-AE0F-CBC2DD8304B2}" name="Columna4703" dataDxfId="11709"/>
    <tableColumn id="4710" xr3:uid="{64F67AEF-28E3-4C21-9793-037F4F8A4793}" name="Columna4704" dataDxfId="11708"/>
    <tableColumn id="4711" xr3:uid="{98BD5ACC-0DB8-4801-9B7E-E48D5FA4C40F}" name="Columna4705" dataDxfId="11707"/>
    <tableColumn id="4712" xr3:uid="{5945FA42-97C5-411C-B318-8817BE46BF1E}" name="Columna4706" dataDxfId="11706"/>
    <tableColumn id="4713" xr3:uid="{2B44F055-9701-4C33-8D8F-FB169DF2B2AF}" name="Columna4707" dataDxfId="11705"/>
    <tableColumn id="4714" xr3:uid="{10231064-6070-45B8-AED4-A1580DDF4016}" name="Columna4708" dataDxfId="11704"/>
    <tableColumn id="4715" xr3:uid="{F559B247-2210-4279-9328-E50A38F90F7E}" name="Columna4709" dataDxfId="11703"/>
    <tableColumn id="4716" xr3:uid="{2DF6D9BD-136A-4096-94A5-6C27C508D43E}" name="Columna4710" dataDxfId="11702"/>
    <tableColumn id="4717" xr3:uid="{7D9FBD3B-CAB3-48B2-9ADB-73BCD57F8AE0}" name="Columna4711" dataDxfId="11701"/>
    <tableColumn id="4718" xr3:uid="{53E0E3C2-54FA-41B6-8678-32A1BB43FB18}" name="Columna4712" dataDxfId="11700"/>
    <tableColumn id="4719" xr3:uid="{FE6DB13B-D384-4B2A-A08B-24FE2F65452B}" name="Columna4713" dataDxfId="11699"/>
    <tableColumn id="4720" xr3:uid="{313549CF-8392-43C5-9CBE-BF964E0D7CD2}" name="Columna4714" dataDxfId="11698"/>
    <tableColumn id="4721" xr3:uid="{11C6B0F6-BF7D-4519-A517-D9EDA607F4A6}" name="Columna4715" dataDxfId="11697"/>
    <tableColumn id="4722" xr3:uid="{1B2DD2E6-D1E3-4A77-BCA2-FBC240460CF4}" name="Columna4716" dataDxfId="11696"/>
    <tableColumn id="4723" xr3:uid="{96321314-3EB9-45DA-A5E5-860A9C132408}" name="Columna4717" dataDxfId="11695"/>
    <tableColumn id="4724" xr3:uid="{E7E3F4C0-F4E0-4065-BA5A-7F5933D0C216}" name="Columna4718" dataDxfId="11694"/>
    <tableColumn id="4725" xr3:uid="{B6B08DE3-95D5-4F39-BA8D-B66464CA4004}" name="Columna4719" dataDxfId="11693"/>
    <tableColumn id="4726" xr3:uid="{0E2C5A05-A8F3-46CD-BD99-67A40AC65EFF}" name="Columna4720" dataDxfId="11692"/>
    <tableColumn id="4727" xr3:uid="{84534468-EC19-470C-A323-CA71C7AB1383}" name="Columna4721" dataDxfId="11691"/>
    <tableColumn id="4728" xr3:uid="{731842F7-75A4-409B-A429-C05DE7CCC227}" name="Columna4722" dataDxfId="11690"/>
    <tableColumn id="4729" xr3:uid="{EDFF89C2-D8AE-49F5-B3E0-57BDCE529702}" name="Columna4723" dataDxfId="11689"/>
    <tableColumn id="4730" xr3:uid="{351E82A2-11C1-472F-817F-0CF00B22B72A}" name="Columna4724" dataDxfId="11688"/>
    <tableColumn id="4731" xr3:uid="{4B232027-A657-4E7B-88A6-F7069307D1A3}" name="Columna4725" dataDxfId="11687"/>
    <tableColumn id="4732" xr3:uid="{D0730578-C44C-4C6C-AE52-E123C39C8D3D}" name="Columna4726" dataDxfId="11686"/>
    <tableColumn id="4733" xr3:uid="{166AA5A5-9221-40CF-B725-F0E99AC0DF76}" name="Columna4727" dataDxfId="11685"/>
    <tableColumn id="4734" xr3:uid="{D91D6BEA-17FD-4C3B-BE8A-8F1E94C1891B}" name="Columna4728" dataDxfId="11684"/>
    <tableColumn id="4735" xr3:uid="{82D28ADA-E57F-4BF1-A804-62F22F05A3E4}" name="Columna4729" dataDxfId="11683"/>
    <tableColumn id="4736" xr3:uid="{A321D844-7434-417F-9AFB-D36EC8C8A1F6}" name="Columna4730" dataDxfId="11682"/>
    <tableColumn id="4737" xr3:uid="{A6B89D2B-C4B4-4865-90DC-C2FEF84290AE}" name="Columna4731" dataDxfId="11681"/>
    <tableColumn id="4738" xr3:uid="{42583185-A605-499F-96B5-EB0D73718617}" name="Columna4732" dataDxfId="11680"/>
    <tableColumn id="4739" xr3:uid="{0AECDC29-B456-4A0F-92CA-706537F80054}" name="Columna4733" dataDxfId="11679"/>
    <tableColumn id="4740" xr3:uid="{40AB9DB2-1C13-48C8-8CF4-E2B1EF34E6AD}" name="Columna4734" dataDxfId="11678"/>
    <tableColumn id="4741" xr3:uid="{13FA5025-7187-48F2-BFF2-4D7C748E39B5}" name="Columna4735" dataDxfId="11677"/>
    <tableColumn id="4742" xr3:uid="{494865F4-CB8E-478F-ADCC-9589203D9807}" name="Columna4736" dataDxfId="11676"/>
    <tableColumn id="4743" xr3:uid="{7C8EE91E-8F00-4E21-BB42-F403399B318D}" name="Columna4737" dataDxfId="11675"/>
    <tableColumn id="4744" xr3:uid="{42B0DEBC-5984-43AB-AC1A-97B3F4203316}" name="Columna4738" dataDxfId="11674"/>
    <tableColumn id="4745" xr3:uid="{DA465121-E705-48E4-95AA-99380F6B37B6}" name="Columna4739" dataDxfId="11673"/>
    <tableColumn id="4746" xr3:uid="{BEA9FBB7-94A9-4217-88FE-060E226D09F0}" name="Columna4740" dataDxfId="11672"/>
    <tableColumn id="4747" xr3:uid="{4A767777-5FD5-4272-996F-BFD65B339298}" name="Columna4741" dataDxfId="11671"/>
    <tableColumn id="4748" xr3:uid="{F5E01C85-1587-4102-AB3E-CD1AA42E7DE1}" name="Columna4742" dataDxfId="11670"/>
    <tableColumn id="4749" xr3:uid="{27E06373-6A31-4A30-AA8A-6C0867333E12}" name="Columna4743" dataDxfId="11669"/>
    <tableColumn id="4750" xr3:uid="{B52D7600-530F-4389-9606-B37BEB273EB8}" name="Columna4744" dataDxfId="11668"/>
    <tableColumn id="4751" xr3:uid="{966D9C67-EF67-4C23-B536-0324239913C6}" name="Columna4745" dataDxfId="11667"/>
    <tableColumn id="4752" xr3:uid="{7441B476-E42D-4613-A6B5-595C7A4DA390}" name="Columna4746" dataDxfId="11666"/>
    <tableColumn id="4753" xr3:uid="{08F7C064-9F36-49B3-B825-11CCA760510F}" name="Columna4747" dataDxfId="11665"/>
    <tableColumn id="4754" xr3:uid="{A4AAB471-BC99-4F98-8BF1-F2C84C765E1B}" name="Columna4748" dataDxfId="11664"/>
    <tableColumn id="4755" xr3:uid="{992EB493-CB80-4528-8183-A7971A6CD195}" name="Columna4749" dataDxfId="11663"/>
    <tableColumn id="4756" xr3:uid="{2B3A81F5-0653-453C-8C91-4ADB86F5DFFC}" name="Columna4750" dataDxfId="11662"/>
    <tableColumn id="4757" xr3:uid="{30D78AA2-85B0-465E-928A-20F9620DF59C}" name="Columna4751" dataDxfId="11661"/>
    <tableColumn id="4758" xr3:uid="{8B847315-7B79-42F8-8FD4-1D3A3CE57886}" name="Columna4752" dataDxfId="11660"/>
    <tableColumn id="4759" xr3:uid="{3E4A2A60-04F0-4C74-89DA-0FFC4ED18EB4}" name="Columna4753" dataDxfId="11659"/>
    <tableColumn id="4760" xr3:uid="{C6E4F19A-2FE9-4206-8296-E4916F0FF39E}" name="Columna4754" dataDxfId="11658"/>
    <tableColumn id="4761" xr3:uid="{10A16D69-4CBF-48AB-B4DD-BD0DEBFF6DDC}" name="Columna4755" dataDxfId="11657"/>
    <tableColumn id="4762" xr3:uid="{B2586691-DC25-4738-BB43-B4CD53314D23}" name="Columna4756" dataDxfId="11656"/>
    <tableColumn id="4763" xr3:uid="{548C666C-12D5-43AA-90B9-7125571E1430}" name="Columna4757" dataDxfId="11655"/>
    <tableColumn id="4764" xr3:uid="{A25F2584-CACE-413B-80C6-C42DB22E25A5}" name="Columna4758" dataDxfId="11654"/>
    <tableColumn id="4765" xr3:uid="{C245FE01-863B-4E51-B091-B5E4F8F442CF}" name="Columna4759" dataDxfId="11653"/>
    <tableColumn id="4766" xr3:uid="{61C842D4-2D13-437C-9DCC-84929F2D1CE8}" name="Columna4760" dataDxfId="11652"/>
    <tableColumn id="4767" xr3:uid="{96913455-6FB2-4045-A273-A8DA18EE228E}" name="Columna4761" dataDxfId="11651"/>
    <tableColumn id="4768" xr3:uid="{5A962C65-FAE7-4BEC-9610-16A9C25BC1BB}" name="Columna4762" dataDxfId="11650"/>
    <tableColumn id="4769" xr3:uid="{D627C1B2-CA91-420D-9A30-BA261913119C}" name="Columna4763" dataDxfId="11649"/>
    <tableColumn id="4770" xr3:uid="{5D712FEE-640D-4B5E-8D60-06FB7049FF2C}" name="Columna4764" dataDxfId="11648"/>
    <tableColumn id="4771" xr3:uid="{48285BDB-A06C-43DD-996D-9CCDC2882CCB}" name="Columna4765" dataDxfId="11647"/>
    <tableColumn id="4772" xr3:uid="{C958D3CF-7C26-41AB-B848-7A942C902F99}" name="Columna4766" dataDxfId="11646"/>
    <tableColumn id="4773" xr3:uid="{EF1F94A5-20C8-474B-8A40-458C0E0EBEF4}" name="Columna4767" dataDxfId="11645"/>
    <tableColumn id="4774" xr3:uid="{F7B074E6-2824-4623-9E6B-82C01B70418E}" name="Columna4768" dataDxfId="11644"/>
    <tableColumn id="4775" xr3:uid="{7818975E-9D05-4A7D-973F-922220507EAF}" name="Columna4769" dataDxfId="11643"/>
    <tableColumn id="4776" xr3:uid="{D75041CC-1954-47B2-9401-5D11CD072A7F}" name="Columna4770" dataDxfId="11642"/>
    <tableColumn id="4777" xr3:uid="{540F1720-ACF5-4B07-A770-F6CA4F07B899}" name="Columna4771" dataDxfId="11641"/>
    <tableColumn id="4778" xr3:uid="{536A8154-4B64-4F93-AB30-1B067F012185}" name="Columna4772" dataDxfId="11640"/>
    <tableColumn id="4779" xr3:uid="{5813BEA4-F1A3-47A4-B208-89ED6BDEEB47}" name="Columna4773" dataDxfId="11639"/>
    <tableColumn id="4780" xr3:uid="{6B449A20-DF45-4A7A-B8FF-3F82446D1848}" name="Columna4774" dataDxfId="11638"/>
    <tableColumn id="4781" xr3:uid="{5492144C-3643-46C9-8F55-CBC6EDB2F949}" name="Columna4775" dataDxfId="11637"/>
    <tableColumn id="4782" xr3:uid="{DAD1F244-771E-48F4-BFA0-48B43768F50A}" name="Columna4776" dataDxfId="11636"/>
    <tableColumn id="4783" xr3:uid="{A243B7CC-F9CC-4CF1-96BB-3C849DAF8BC9}" name="Columna4777" dataDxfId="11635"/>
    <tableColumn id="4784" xr3:uid="{B49C8772-7EB0-4A68-B2BF-588B32281B01}" name="Columna4778" dataDxfId="11634"/>
    <tableColumn id="4785" xr3:uid="{8A896C97-1E0C-4DC4-9044-6D5D1DC2B5F6}" name="Columna4779" dataDxfId="11633"/>
    <tableColumn id="4786" xr3:uid="{81E104AA-2214-4A36-8A64-024D678729B3}" name="Columna4780" dataDxfId="11632"/>
    <tableColumn id="4787" xr3:uid="{8D549B81-A1D4-4156-B51D-337756F241CD}" name="Columna4781" dataDxfId="11631"/>
    <tableColumn id="4788" xr3:uid="{860491DD-545C-4C98-A043-2654DE359371}" name="Columna4782" dataDxfId="11630"/>
    <tableColumn id="4789" xr3:uid="{09783CE3-CCCD-42BD-A81B-5FEA11F4F0E2}" name="Columna4783" dataDxfId="11629"/>
    <tableColumn id="4790" xr3:uid="{E98A40B1-C1C6-41E7-BE12-64D570DD5C60}" name="Columna4784" dataDxfId="11628"/>
    <tableColumn id="4791" xr3:uid="{2C1B8575-A6B2-422E-A3CC-9EFF08AF2981}" name="Columna4785" dataDxfId="11627"/>
    <tableColumn id="4792" xr3:uid="{44ED488B-BEF1-4522-BDCE-ACA70B9386AE}" name="Columna4786" dataDxfId="11626"/>
    <tableColumn id="4793" xr3:uid="{72FA2104-208B-408D-9518-EEF88F3EA736}" name="Columna4787" dataDxfId="11625"/>
    <tableColumn id="4794" xr3:uid="{685234CB-E541-4195-B98C-556D8A2D65B1}" name="Columna4788" dataDxfId="11624"/>
    <tableColumn id="4795" xr3:uid="{F19842BB-0AAC-4E83-9FA9-3DA7997014DF}" name="Columna4789" dataDxfId="11623"/>
    <tableColumn id="4796" xr3:uid="{AD190A23-471B-4516-B062-81346ABED512}" name="Columna4790" dataDxfId="11622"/>
    <tableColumn id="4797" xr3:uid="{29C7A320-5390-413D-9233-515952ADF4DD}" name="Columna4791" dataDxfId="11621"/>
    <tableColumn id="4798" xr3:uid="{2FC47289-86F8-4754-950E-A3B3CCC48907}" name="Columna4792" dataDxfId="11620"/>
    <tableColumn id="4799" xr3:uid="{A92DAA03-DA9C-4DB2-967B-9E35AE0D39E6}" name="Columna4793" dataDxfId="11619"/>
    <tableColumn id="4800" xr3:uid="{EA0CBBD5-353F-4F2B-A623-08E08044810F}" name="Columna4794" dataDxfId="11618"/>
    <tableColumn id="4801" xr3:uid="{8D262AD3-0706-4923-AE6B-A705BE8E76F3}" name="Columna4795" dataDxfId="11617"/>
    <tableColumn id="4802" xr3:uid="{3D26402D-F0A8-4849-A298-570B5AB33909}" name="Columna4796" dataDxfId="11616"/>
    <tableColumn id="4803" xr3:uid="{4A17A4F4-916B-41EC-9511-9958C0BC51B7}" name="Columna4797" dataDxfId="11615"/>
    <tableColumn id="4804" xr3:uid="{5F9FBF8C-BB5E-4168-AAAC-BC06521BA10F}" name="Columna4798" dataDxfId="11614"/>
    <tableColumn id="4805" xr3:uid="{2AFAB2C9-04AC-4223-88BE-466D82FA5DC3}" name="Columna4799" dataDxfId="11613"/>
    <tableColumn id="4806" xr3:uid="{FBE001C5-48CD-40D5-B935-8535C5917D48}" name="Columna4800" dataDxfId="11612"/>
    <tableColumn id="4807" xr3:uid="{1B733F84-3D99-4372-8148-E446A3A14FCF}" name="Columna4801" dataDxfId="11611"/>
    <tableColumn id="4808" xr3:uid="{BD9992D7-B540-4EFF-B631-8766755A563A}" name="Columna4802" dataDxfId="11610"/>
    <tableColumn id="4809" xr3:uid="{1174B020-640F-4D26-BCD4-362DF840833C}" name="Columna4803" dataDxfId="11609"/>
    <tableColumn id="4810" xr3:uid="{24AA4F9B-6D58-4658-9312-CF651510184A}" name="Columna4804" dataDxfId="11608"/>
    <tableColumn id="4811" xr3:uid="{B318AE7B-C369-4D0F-86EB-54EDEE7B323A}" name="Columna4805" dataDxfId="11607"/>
    <tableColumn id="4812" xr3:uid="{3BE40C11-95CB-42D9-986A-3181F2322290}" name="Columna4806" dataDxfId="11606"/>
    <tableColumn id="4813" xr3:uid="{61EBFE79-D29B-4375-828C-11BA838C3F05}" name="Columna4807" dataDxfId="11605"/>
    <tableColumn id="4814" xr3:uid="{96867104-6226-42CB-B578-790366969308}" name="Columna4808" dataDxfId="11604"/>
    <tableColumn id="4815" xr3:uid="{12C41F74-C2CE-4478-87C0-1A1715B52028}" name="Columna4809" dataDxfId="11603"/>
    <tableColumn id="4816" xr3:uid="{E35D11B7-8353-4D67-AF66-4E4A03082632}" name="Columna4810" dataDxfId="11602"/>
    <tableColumn id="4817" xr3:uid="{5C11AA6E-2F07-47E6-BAF7-D08A7AE20217}" name="Columna4811" dataDxfId="11601"/>
    <tableColumn id="4818" xr3:uid="{7D2AF1B2-1380-430D-B0FF-D2C044E72764}" name="Columna4812" dataDxfId="11600"/>
    <tableColumn id="4819" xr3:uid="{02C876C8-9FC2-4922-9F1A-F86D83274AA5}" name="Columna4813" dataDxfId="11599"/>
    <tableColumn id="4820" xr3:uid="{2F020082-A556-4092-9727-B79747659C9D}" name="Columna4814" dataDxfId="11598"/>
    <tableColumn id="4821" xr3:uid="{8D543B7C-8D3C-44B2-AEF3-608552D98465}" name="Columna4815" dataDxfId="11597"/>
    <tableColumn id="4822" xr3:uid="{AFD6775D-F6E4-40B2-B27C-7EEDE6F404B8}" name="Columna4816" dataDxfId="11596"/>
    <tableColumn id="4823" xr3:uid="{933F35EE-4C37-482E-BBB0-A157410BFA34}" name="Columna4817" dataDxfId="11595"/>
    <tableColumn id="4824" xr3:uid="{E3228AF6-358A-4302-A147-FCF13F83323D}" name="Columna4818" dataDxfId="11594"/>
    <tableColumn id="4825" xr3:uid="{FB8C23DF-F668-4CAD-B1D9-C8A704601CD3}" name="Columna4819" dataDxfId="11593"/>
    <tableColumn id="4826" xr3:uid="{2C775131-7D65-4353-A52F-A3C34AD71559}" name="Columna4820" dataDxfId="11592"/>
    <tableColumn id="4827" xr3:uid="{807B7C49-F5F5-4AF6-8648-618D3D025CA2}" name="Columna4821" dataDxfId="11591"/>
    <tableColumn id="4828" xr3:uid="{25AC9E4C-3DD6-4B53-947F-7206D0C222AC}" name="Columna4822" dataDxfId="11590"/>
    <tableColumn id="4829" xr3:uid="{EE407254-CA8B-4DC8-91A5-96C73D0D3C84}" name="Columna4823" dataDxfId="11589"/>
    <tableColumn id="4830" xr3:uid="{E8421E8D-052F-497F-976C-0AC6A904983F}" name="Columna4824" dataDxfId="11588"/>
    <tableColumn id="4831" xr3:uid="{D81B42A3-4A06-4962-9FCF-903822EC61FE}" name="Columna4825" dataDxfId="11587"/>
    <tableColumn id="4832" xr3:uid="{4A03F903-921F-41BC-846E-8A3E6D84CB9E}" name="Columna4826" dataDxfId="11586"/>
    <tableColumn id="4833" xr3:uid="{4908D2B3-AA1F-4865-AA48-F283520533E8}" name="Columna4827" dataDxfId="11585"/>
    <tableColumn id="4834" xr3:uid="{F34A5978-EBAA-4B1D-B041-4B4A55D90A82}" name="Columna4828" dataDxfId="11584"/>
    <tableColumn id="4835" xr3:uid="{ECBF4123-3287-4197-BEA4-723D3424064D}" name="Columna4829" dataDxfId="11583"/>
    <tableColumn id="4836" xr3:uid="{1E0B2B09-1073-4162-88B6-77E211972B4F}" name="Columna4830" dataDxfId="11582"/>
    <tableColumn id="4837" xr3:uid="{5C4BA749-CA12-44D5-AE64-2884CBE9DE6B}" name="Columna4831" dataDxfId="11581"/>
    <tableColumn id="4838" xr3:uid="{C20CA264-1619-45E6-AF7D-333ED2D293AC}" name="Columna4832" dataDxfId="11580"/>
    <tableColumn id="4839" xr3:uid="{887E87B2-B97C-4CDB-97F9-E67B076010B2}" name="Columna4833" dataDxfId="11579"/>
    <tableColumn id="4840" xr3:uid="{98EDBB4C-E633-4BAC-AC10-EA767D6DCF07}" name="Columna4834" dataDxfId="11578"/>
    <tableColumn id="4841" xr3:uid="{D28C9828-8A32-4245-ADFE-03D90C7FFE87}" name="Columna4835" dataDxfId="11577"/>
    <tableColumn id="4842" xr3:uid="{3FE35190-6D57-4137-A5A8-2C14EC8C3D7E}" name="Columna4836" dataDxfId="11576"/>
    <tableColumn id="4843" xr3:uid="{222E6097-4B8D-45CF-8980-D8EDBF42737A}" name="Columna4837" dataDxfId="11575"/>
    <tableColumn id="4844" xr3:uid="{599B00AD-6C47-42CF-B3EF-869784D8E25B}" name="Columna4838" dataDxfId="11574"/>
    <tableColumn id="4845" xr3:uid="{77E7F78A-D830-4130-A341-48A10349983F}" name="Columna4839" dataDxfId="11573"/>
    <tableColumn id="4846" xr3:uid="{B65DC852-B63B-4CBE-8373-E4CF31680780}" name="Columna4840" dataDxfId="11572"/>
    <tableColumn id="4847" xr3:uid="{64A74D2E-4EB8-4A30-AAE7-756D554CD151}" name="Columna4841" dataDxfId="11571"/>
    <tableColumn id="4848" xr3:uid="{C3723E6E-21FC-4D21-AD7E-6CC844AB0384}" name="Columna4842" dataDxfId="11570"/>
    <tableColumn id="4849" xr3:uid="{E2A1EC3B-2BA8-4C89-BF6B-B147E8C7C8F8}" name="Columna4843" dataDxfId="11569"/>
    <tableColumn id="4850" xr3:uid="{0AE32B4A-3153-4634-B10B-44F91A2DD23C}" name="Columna4844" dataDxfId="11568"/>
    <tableColumn id="4851" xr3:uid="{6872D8FC-1D06-4E68-8481-7C8285BFC330}" name="Columna4845" dataDxfId="11567"/>
    <tableColumn id="4852" xr3:uid="{31DF066B-3B47-4D75-A07B-3F10670CEB11}" name="Columna4846" dataDxfId="11566"/>
    <tableColumn id="4853" xr3:uid="{3196C0ED-3511-4105-9E9F-9A028FDEDEA8}" name="Columna4847" dataDxfId="11565"/>
    <tableColumn id="4854" xr3:uid="{52504B16-3769-4ECC-B81D-FBD9516CC32C}" name="Columna4848" dataDxfId="11564"/>
    <tableColumn id="4855" xr3:uid="{4C073EF6-11F6-4AC5-8F0C-243A368B94E1}" name="Columna4849" dataDxfId="11563"/>
    <tableColumn id="4856" xr3:uid="{34D00BF3-AFF2-4589-9457-C9A4C4628C93}" name="Columna4850" dataDxfId="11562"/>
    <tableColumn id="4857" xr3:uid="{FF0A79AE-B748-4B78-8D34-6E92C4621BB1}" name="Columna4851" dataDxfId="11561"/>
    <tableColumn id="4858" xr3:uid="{2774FC6D-822C-45FC-8AB4-B0A99F830ADF}" name="Columna4852" dataDxfId="11560"/>
    <tableColumn id="4859" xr3:uid="{426CA81D-89A2-41B7-A643-88AB14DE5600}" name="Columna4853" dataDxfId="11559"/>
    <tableColumn id="4860" xr3:uid="{FEB06127-509D-40CE-B8BC-E2DF25EB6B70}" name="Columna4854" dataDxfId="11558"/>
    <tableColumn id="4861" xr3:uid="{2B7EAAFC-732D-4314-9D66-21805B1CF99F}" name="Columna4855" dataDxfId="11557"/>
    <tableColumn id="4862" xr3:uid="{411529AC-D15B-4175-A93E-7592052BB20A}" name="Columna4856" dataDxfId="11556"/>
    <tableColumn id="4863" xr3:uid="{715B49E4-A7EF-41BC-B113-7720AEE122FB}" name="Columna4857" dataDxfId="11555"/>
    <tableColumn id="4864" xr3:uid="{63EFB125-714A-4DBD-B77C-A49F7392C20D}" name="Columna4858" dataDxfId="11554"/>
    <tableColumn id="4865" xr3:uid="{4D8913E0-654E-43C8-9533-1620C3E27ADB}" name="Columna4859" dataDxfId="11553"/>
    <tableColumn id="4866" xr3:uid="{268BD120-0639-4AC9-8B13-931607B553C0}" name="Columna4860" dataDxfId="11552"/>
    <tableColumn id="4867" xr3:uid="{4D6FA513-8BC4-46D8-900D-94ADAFB909CD}" name="Columna4861" dataDxfId="11551"/>
    <tableColumn id="4868" xr3:uid="{2EA6CA9E-E196-4225-AF35-7BB7FBDD138C}" name="Columna4862" dataDxfId="11550"/>
    <tableColumn id="4869" xr3:uid="{3212747F-00B1-4165-882D-E93F5DB54874}" name="Columna4863" dataDxfId="11549"/>
    <tableColumn id="4870" xr3:uid="{A65BE631-16E1-42C4-AB9B-99D4FA0A1E5B}" name="Columna4864" dataDxfId="11548"/>
    <tableColumn id="4871" xr3:uid="{FE38EDE4-0A98-491D-AAE7-DC2DBFA0027F}" name="Columna4865" dataDxfId="11547"/>
    <tableColumn id="4872" xr3:uid="{21AA6241-FCED-409E-BF36-48116CAEAF92}" name="Columna4866" dataDxfId="11546"/>
    <tableColumn id="4873" xr3:uid="{65405FD0-B1C0-4A72-9FBB-D92CE99EE0D2}" name="Columna4867" dataDxfId="11545"/>
    <tableColumn id="4874" xr3:uid="{4D23E5EB-7376-417F-A27E-FE7B729B0835}" name="Columna4868" dataDxfId="11544"/>
    <tableColumn id="4875" xr3:uid="{CCD7C66E-AF26-457A-99A6-8D3CF74C9AB0}" name="Columna4869" dataDxfId="11543"/>
    <tableColumn id="4876" xr3:uid="{FCB3B91F-2B98-4307-995E-FA4CB53DEBEC}" name="Columna4870" dataDxfId="11542"/>
    <tableColumn id="4877" xr3:uid="{26C6C84A-108F-4E25-9F68-F4BC9C2291E8}" name="Columna4871" dataDxfId="11541"/>
    <tableColumn id="4878" xr3:uid="{8F4262AC-D0CD-4E70-9A9D-7024EE5D2E34}" name="Columna4872" dataDxfId="11540"/>
    <tableColumn id="4879" xr3:uid="{F1EEBE54-4887-4EB7-9E28-D65E53CFFB5E}" name="Columna4873" dataDxfId="11539"/>
    <tableColumn id="4880" xr3:uid="{EC39A03E-DDA3-409A-8AA3-9B5530F39F66}" name="Columna4874" dataDxfId="11538"/>
    <tableColumn id="4881" xr3:uid="{10671678-4238-4CAC-903F-E95640B0DE0B}" name="Columna4875" dataDxfId="11537"/>
    <tableColumn id="4882" xr3:uid="{4ED17940-81E8-4D4F-B209-0CF16780F3E3}" name="Columna4876" dataDxfId="11536"/>
    <tableColumn id="4883" xr3:uid="{CF5DCCC1-66AE-4FEA-8B64-6B5EDCD1791B}" name="Columna4877" dataDxfId="11535"/>
    <tableColumn id="4884" xr3:uid="{BD710048-961E-4139-92FB-036B9EC4EA6E}" name="Columna4878" dataDxfId="11534"/>
    <tableColumn id="4885" xr3:uid="{5D5844B0-EED9-4105-AD14-BABADCD5102C}" name="Columna4879" dataDxfId="11533"/>
    <tableColumn id="4886" xr3:uid="{8F9BA0E4-3B76-4E02-952D-3DA6F19A2E21}" name="Columna4880" dataDxfId="11532"/>
    <tableColumn id="4887" xr3:uid="{63B52879-33CF-40BB-81EC-FB30378F7E77}" name="Columna4881" dataDxfId="11531"/>
    <tableColumn id="4888" xr3:uid="{9D0CF138-840F-422D-8832-09BD628583BD}" name="Columna4882" dataDxfId="11530"/>
    <tableColumn id="4889" xr3:uid="{2276BB1F-BADD-413E-9A47-F92BB24725FC}" name="Columna4883" dataDxfId="11529"/>
    <tableColumn id="4890" xr3:uid="{3301D4FE-97B4-44EE-BB74-C18A0A5E6B64}" name="Columna4884" dataDxfId="11528"/>
    <tableColumn id="4891" xr3:uid="{AB66063A-FA93-4F8C-8269-68EAB926F7CC}" name="Columna4885" dataDxfId="11527"/>
    <tableColumn id="4892" xr3:uid="{5C558DB8-022E-40B8-83E6-CDA5CFDCAA14}" name="Columna4886" dataDxfId="11526"/>
    <tableColumn id="4893" xr3:uid="{85076B10-50D5-432B-B969-E81223579243}" name="Columna4887" dataDxfId="11525"/>
    <tableColumn id="4894" xr3:uid="{D9E5BAD9-B7A2-45FC-B1F0-78D9D8533CD9}" name="Columna4888" dataDxfId="11524"/>
    <tableColumn id="4895" xr3:uid="{517F9616-C219-4B0D-9090-68C64830E188}" name="Columna4889" dataDxfId="11523"/>
    <tableColumn id="4896" xr3:uid="{83B70FDA-5CC6-4E08-9E9C-1DC9642E97F7}" name="Columna4890" dataDxfId="11522"/>
    <tableColumn id="4897" xr3:uid="{E3768BDE-D091-437F-8E4C-46C33AB17304}" name="Columna4891" dataDxfId="11521"/>
    <tableColumn id="4898" xr3:uid="{FFF3A7BF-3A88-44A2-8682-1BCFC1DB7B23}" name="Columna4892" dataDxfId="11520"/>
    <tableColumn id="4899" xr3:uid="{3C9D5427-B099-438E-9768-190DD79E1354}" name="Columna4893" dataDxfId="11519"/>
    <tableColumn id="4900" xr3:uid="{28395FD1-CF60-48F9-94FC-B887DDA67043}" name="Columna4894" dataDxfId="11518"/>
    <tableColumn id="4901" xr3:uid="{940E92C6-A4FE-4E3B-BA22-68BAF8325CA7}" name="Columna4895" dataDxfId="11517"/>
    <tableColumn id="4902" xr3:uid="{792A1F0B-993B-41AC-9517-D8D5DA5AB60A}" name="Columna4896" dataDxfId="11516"/>
    <tableColumn id="4903" xr3:uid="{39975CCB-E547-4E12-AD1A-18333E5AA088}" name="Columna4897" dataDxfId="11515"/>
    <tableColumn id="4904" xr3:uid="{025277B7-4E1D-4F22-88DE-FE8AE7820DBA}" name="Columna4898" dataDxfId="11514"/>
    <tableColumn id="4905" xr3:uid="{126F23BD-A139-4600-A7D6-9C902C643FD2}" name="Columna4899" dataDxfId="11513"/>
    <tableColumn id="4906" xr3:uid="{2A68FD2D-DBA8-44B4-8FA2-52D0F9587BA2}" name="Columna4900" dataDxfId="11512"/>
    <tableColumn id="4907" xr3:uid="{B0A5DF13-2F96-4D31-9A17-1C723E90352B}" name="Columna4901" dataDxfId="11511"/>
    <tableColumn id="4908" xr3:uid="{45E7EA56-95FF-4425-824E-3D5815E7B15C}" name="Columna4902" dataDxfId="11510"/>
    <tableColumn id="4909" xr3:uid="{11DB3741-6D2C-4551-921A-82E2027807CB}" name="Columna4903" dataDxfId="11509"/>
    <tableColumn id="4910" xr3:uid="{C9AB2811-C35F-4711-83F8-5A0CFE724C72}" name="Columna4904" dataDxfId="11508"/>
    <tableColumn id="4911" xr3:uid="{48931E51-5E1A-43E9-9DD6-C0152CB637A7}" name="Columna4905" dataDxfId="11507"/>
    <tableColumn id="4912" xr3:uid="{AA0C12CA-4E71-4247-A95B-EE8EBCE0540A}" name="Columna4906" dataDxfId="11506"/>
    <tableColumn id="4913" xr3:uid="{39018ACF-C743-43D9-9A99-99F11DBE6933}" name="Columna4907" dataDxfId="11505"/>
    <tableColumn id="4914" xr3:uid="{3FF14BDC-7430-44A1-870E-25F6C94FC366}" name="Columna4908" dataDxfId="11504"/>
    <tableColumn id="4915" xr3:uid="{8701F5BA-F7DB-44D7-8441-6D4243A1A064}" name="Columna4909" dataDxfId="11503"/>
    <tableColumn id="4916" xr3:uid="{DAF7DBF5-6B6E-4360-B037-6C091D2DF2BA}" name="Columna4910" dataDxfId="11502"/>
    <tableColumn id="4917" xr3:uid="{0303F47E-4DD9-4EC5-83DE-CEDC9849B423}" name="Columna4911" dataDxfId="11501"/>
    <tableColumn id="4918" xr3:uid="{62BAA717-E310-4D35-979D-23F6E91FBE50}" name="Columna4912" dataDxfId="11500"/>
    <tableColumn id="4919" xr3:uid="{08C04FE5-699F-4A80-BCFA-DBE04EBB79E2}" name="Columna4913" dataDxfId="11499"/>
    <tableColumn id="4920" xr3:uid="{39FBB427-F4C2-454D-BF6B-D65CFA38179B}" name="Columna4914" dataDxfId="11498"/>
    <tableColumn id="4921" xr3:uid="{167670F8-2A4B-4F89-ADA1-F3CD8DD311DC}" name="Columna4915" dataDxfId="11497"/>
    <tableColumn id="4922" xr3:uid="{9FF8EBC1-697F-449C-B9E6-40FDCBD09031}" name="Columna4916" dataDxfId="11496"/>
    <tableColumn id="4923" xr3:uid="{FEA6F855-830F-4630-ADBF-E744C54BEC82}" name="Columna4917" dataDxfId="11495"/>
    <tableColumn id="4924" xr3:uid="{765BD26A-3517-47E4-B20E-A1ECC8C15BE9}" name="Columna4918" dataDxfId="11494"/>
    <tableColumn id="4925" xr3:uid="{B14A720E-F863-4A54-9BA3-DB3C8AB306BB}" name="Columna4919" dataDxfId="11493"/>
    <tableColumn id="4926" xr3:uid="{981D96E4-5BD8-494C-9F03-CE920BA66B1E}" name="Columna4920" dataDxfId="11492"/>
    <tableColumn id="4927" xr3:uid="{FC4DDEDE-DAE8-4C65-A5CD-AE7C78320396}" name="Columna4921" dataDxfId="11491"/>
    <tableColumn id="4928" xr3:uid="{DB509F56-2881-4ED9-814D-FE2698337F5F}" name="Columna4922" dataDxfId="11490"/>
    <tableColumn id="4929" xr3:uid="{AE7228A2-40EF-4D63-9E7E-8D9DDE113A7C}" name="Columna4923" dataDxfId="11489"/>
    <tableColumn id="4930" xr3:uid="{DC3FEDCD-CBAD-4B4C-9B68-451A9A7B759C}" name="Columna4924" dataDxfId="11488"/>
    <tableColumn id="4931" xr3:uid="{021ADA7B-4F92-4955-B27E-98E8D3BC2A8A}" name="Columna4925" dataDxfId="11487"/>
    <tableColumn id="4932" xr3:uid="{5EA21905-C1DA-482E-9BFD-B9490D40EF88}" name="Columna4926" dataDxfId="11486"/>
    <tableColumn id="4933" xr3:uid="{EC4788EB-3ADF-4251-B19D-675AE96155E1}" name="Columna4927" dataDxfId="11485"/>
    <tableColumn id="4934" xr3:uid="{F6AD64DF-6A26-4AD7-88BE-841359C41EE5}" name="Columna4928" dataDxfId="11484"/>
    <tableColumn id="4935" xr3:uid="{32C42AE4-3767-4EF6-9CAC-CFB4E7A0CCC6}" name="Columna4929" dataDxfId="11483"/>
    <tableColumn id="4936" xr3:uid="{B1F7DD40-E6A2-4928-B1FD-84E3E98EC6EC}" name="Columna4930" dataDxfId="11482"/>
    <tableColumn id="4937" xr3:uid="{41290728-2274-4F05-BE03-57D86AE970D9}" name="Columna4931" dataDxfId="11481"/>
    <tableColumn id="4938" xr3:uid="{8F7948DC-A307-4510-B1E1-EDB23A257DF2}" name="Columna4932" dataDxfId="11480"/>
    <tableColumn id="4939" xr3:uid="{38BE3AE0-AA65-4952-B3A6-F2BC3D9F6E3E}" name="Columna4933" dataDxfId="11479"/>
    <tableColumn id="4940" xr3:uid="{E5E22356-3BBD-4F7D-9530-F738D9F7B028}" name="Columna4934" dataDxfId="11478"/>
    <tableColumn id="4941" xr3:uid="{FB74C28F-71CB-4FC4-8692-F57648909D2E}" name="Columna4935" dataDxfId="11477"/>
    <tableColumn id="4942" xr3:uid="{7E7BDF07-CBE7-4ECA-BEED-CD3F6ABBFABC}" name="Columna4936" dataDxfId="11476"/>
    <tableColumn id="4943" xr3:uid="{A0E7CC51-E4BB-44E5-9337-276030379BF1}" name="Columna4937" dataDxfId="11475"/>
    <tableColumn id="4944" xr3:uid="{70F1EA1A-471F-44E1-AA2F-D3AF5F066AE7}" name="Columna4938" dataDxfId="11474"/>
    <tableColumn id="4945" xr3:uid="{0DB921D0-FC0F-4B18-AB2C-8B38587F5D0A}" name="Columna4939" dataDxfId="11473"/>
    <tableColumn id="4946" xr3:uid="{CEEB95BE-DDFC-4C85-943A-A163324DA685}" name="Columna4940" dataDxfId="11472"/>
    <tableColumn id="4947" xr3:uid="{8C20B491-DCBE-4687-81A9-CC07072A5BE1}" name="Columna4941" dataDxfId="11471"/>
    <tableColumn id="4948" xr3:uid="{9BD95FFD-B98D-4B64-9198-C2534E06AC93}" name="Columna4942" dataDxfId="11470"/>
    <tableColumn id="4949" xr3:uid="{A58AEA71-B2D4-46F3-B28F-11F5FCFC43B1}" name="Columna4943" dataDxfId="11469"/>
    <tableColumn id="4950" xr3:uid="{B0CBB699-AC5B-4171-8142-87E06AA582A4}" name="Columna4944" dataDxfId="11468"/>
    <tableColumn id="4951" xr3:uid="{04A8004D-1D39-437A-839D-92846B07FD54}" name="Columna4945" dataDxfId="11467"/>
    <tableColumn id="4952" xr3:uid="{ED798A44-DE91-4E14-871A-1C3767E8EBFF}" name="Columna4946" dataDxfId="11466"/>
    <tableColumn id="4953" xr3:uid="{26C0D052-F3E8-4B12-BE69-F30EBA73B946}" name="Columna4947" dataDxfId="11465"/>
    <tableColumn id="4954" xr3:uid="{E4EEFA26-B246-4F47-83DC-821F0BAFB588}" name="Columna4948" dataDxfId="11464"/>
    <tableColumn id="4955" xr3:uid="{1DF093FA-E5BD-4700-85AD-33AC467D18C4}" name="Columna4949" dataDxfId="11463"/>
    <tableColumn id="4956" xr3:uid="{5AB56C4E-0120-48A0-A289-E50452C5F0C7}" name="Columna4950" dataDxfId="11462"/>
    <tableColumn id="4957" xr3:uid="{A13BDC67-3609-4AE3-AFC2-930F4EDDED30}" name="Columna4951" dataDxfId="11461"/>
    <tableColumn id="4958" xr3:uid="{A9C1C1A0-3DC9-40A6-BBE9-C6C79E2FE9EC}" name="Columna4952" dataDxfId="11460"/>
    <tableColumn id="4959" xr3:uid="{6D26A48C-5332-4BE9-9ABF-4699A2157F6D}" name="Columna4953" dataDxfId="11459"/>
    <tableColumn id="4960" xr3:uid="{8D4648F7-5A87-4C47-9B4A-68EC2AD1D6B1}" name="Columna4954" dataDxfId="11458"/>
    <tableColumn id="4961" xr3:uid="{8F0591C1-506C-4F16-925F-0A017DC14D6A}" name="Columna4955" dataDxfId="11457"/>
    <tableColumn id="4962" xr3:uid="{7B0EDA8D-1CEF-49C5-AE84-499C8D5CAC5C}" name="Columna4956" dataDxfId="11456"/>
    <tableColumn id="4963" xr3:uid="{F8234A01-DF99-48AD-AB18-C1C23E7E427E}" name="Columna4957" dataDxfId="11455"/>
    <tableColumn id="4964" xr3:uid="{ECA3AC69-C9B5-4B97-B20E-FA7CA6B78AF0}" name="Columna4958" dataDxfId="11454"/>
    <tableColumn id="4965" xr3:uid="{5B8B4A77-2F34-47F0-9695-1F1CDB2ECE46}" name="Columna4959" dataDxfId="11453"/>
    <tableColumn id="4966" xr3:uid="{79072DA1-6DFF-4813-951E-BCDA02B5429C}" name="Columna4960" dataDxfId="11452"/>
    <tableColumn id="4967" xr3:uid="{DAB3CECD-2129-4F77-8581-81FBF23B1A8A}" name="Columna4961" dataDxfId="11451"/>
    <tableColumn id="4968" xr3:uid="{64E81FBA-13DD-4775-BB16-1516AC3933C5}" name="Columna4962" dataDxfId="11450"/>
    <tableColumn id="4969" xr3:uid="{68D4C997-6285-4427-82F5-D4F482D2EEA5}" name="Columna4963" dataDxfId="11449"/>
    <tableColumn id="4970" xr3:uid="{FE12A320-288C-41E8-A5CA-DE4853917A43}" name="Columna4964" dataDxfId="11448"/>
    <tableColumn id="4971" xr3:uid="{6ABF4185-96D7-4936-B50F-CB126F566067}" name="Columna4965" dataDxfId="11447"/>
    <tableColumn id="4972" xr3:uid="{A88EB72D-E101-4E3F-B13F-FDA00713D3F1}" name="Columna4966" dataDxfId="11446"/>
    <tableColumn id="4973" xr3:uid="{730721F8-E699-4469-BD56-CF7C4609F745}" name="Columna4967" dataDxfId="11445"/>
    <tableColumn id="4974" xr3:uid="{E239C91C-93D1-4072-A72B-A20933A92451}" name="Columna4968" dataDxfId="11444"/>
    <tableColumn id="4975" xr3:uid="{472BAB3B-4BF7-4281-8907-844B649D4A39}" name="Columna4969" dataDxfId="11443"/>
    <tableColumn id="4976" xr3:uid="{CE8F5163-CC24-422F-97BE-2F2EAAA81DCA}" name="Columna4970" dataDxfId="11442"/>
    <tableColumn id="4977" xr3:uid="{A778302A-2335-4F1F-BDF9-C6EAB2E4B2A7}" name="Columna4971" dataDxfId="11441"/>
    <tableColumn id="4978" xr3:uid="{BDA0C0FA-9639-456A-B976-A79217D63350}" name="Columna4972" dataDxfId="11440"/>
    <tableColumn id="4979" xr3:uid="{967BBE5F-75F3-4D68-B2BE-B66801B30B4B}" name="Columna4973" dataDxfId="11439"/>
    <tableColumn id="4980" xr3:uid="{04660437-A0FB-46E7-89C4-240B8EF2F53B}" name="Columna4974" dataDxfId="11438"/>
    <tableColumn id="4981" xr3:uid="{E105771A-B2BD-403B-BD01-FB51F549E4B9}" name="Columna4975" dataDxfId="11437"/>
    <tableColumn id="4982" xr3:uid="{FB0D4DE9-26D9-4BAF-8807-0C0852149168}" name="Columna4976" dataDxfId="11436"/>
    <tableColumn id="4983" xr3:uid="{039FCEAF-F48B-408D-AC32-9CD9CD7D4B9C}" name="Columna4977" dataDxfId="11435"/>
    <tableColumn id="4984" xr3:uid="{168E83C6-92F5-4EA1-A136-8C587544F4B2}" name="Columna4978" dataDxfId="11434"/>
    <tableColumn id="4985" xr3:uid="{D7B0F4FA-D2A5-4267-A77D-148A112069B6}" name="Columna4979" dataDxfId="11433"/>
    <tableColumn id="4986" xr3:uid="{22D7BB05-28D8-4559-B52F-9603BEED6A57}" name="Columna4980" dataDxfId="11432"/>
    <tableColumn id="4987" xr3:uid="{3D0C9216-D5E6-4322-98BE-382430672B67}" name="Columna4981" dataDxfId="11431"/>
    <tableColumn id="4988" xr3:uid="{60052CBA-1602-46FF-B211-B46EA4B41BD5}" name="Columna4982" dataDxfId="11430"/>
    <tableColumn id="4989" xr3:uid="{0535C5DB-A570-4534-9128-D66B11588644}" name="Columna4983" dataDxfId="11429"/>
    <tableColumn id="4990" xr3:uid="{69140041-FAC5-4A39-8DA1-90955A99066B}" name="Columna4984" dataDxfId="11428"/>
    <tableColumn id="4991" xr3:uid="{765B2AAC-EC0C-4622-95FA-B7BA903420B1}" name="Columna4985" dataDxfId="11427"/>
    <tableColumn id="4992" xr3:uid="{2B61473C-3250-45DF-AE54-5F0FD038B353}" name="Columna4986" dataDxfId="11426"/>
    <tableColumn id="4993" xr3:uid="{80B1BFB6-6450-4A4F-8B98-B1F6D76FD051}" name="Columna4987" dataDxfId="11425"/>
    <tableColumn id="4994" xr3:uid="{A7F96DE5-F244-4D57-8133-68C8154D99EB}" name="Columna4988" dataDxfId="11424"/>
    <tableColumn id="4995" xr3:uid="{2D5B244A-A9F2-46B9-9028-D9D3F9C4926C}" name="Columna4989" dataDxfId="11423"/>
    <tableColumn id="4996" xr3:uid="{391F4D57-5086-4F0D-90A7-7F19617E90F6}" name="Columna4990" dataDxfId="11422"/>
    <tableColumn id="4997" xr3:uid="{A95A3EDB-551B-45EE-825D-B95C98B8CA4D}" name="Columna4991" dataDxfId="11421"/>
    <tableColumn id="4998" xr3:uid="{0BD29182-F409-49DF-917A-8B88DAF6F4B8}" name="Columna4992" dataDxfId="11420"/>
    <tableColumn id="4999" xr3:uid="{534968A7-D72A-41DE-AA3E-626FD0DC5292}" name="Columna4993" dataDxfId="11419"/>
    <tableColumn id="5000" xr3:uid="{74DC4259-5BE9-4A5A-A0C4-6D230F98A1D5}" name="Columna4994" dataDxfId="11418"/>
    <tableColumn id="5001" xr3:uid="{6A455A0F-96E7-48BA-B2A2-1F06F8215309}" name="Columna4995" dataDxfId="11417"/>
    <tableColumn id="5002" xr3:uid="{E4F5D1B2-79DA-4146-88DA-FA273C0CD3A6}" name="Columna4996" dataDxfId="11416"/>
    <tableColumn id="5003" xr3:uid="{8C12EEBA-7E9F-47D1-9728-806CB25F25B8}" name="Columna4997" dataDxfId="11415"/>
    <tableColumn id="5004" xr3:uid="{4EF9821C-9F24-4096-A9E1-33512418D526}" name="Columna4998" dataDxfId="11414"/>
    <tableColumn id="5005" xr3:uid="{831159E4-5232-42A8-803A-1B58B7F84304}" name="Columna4999" dataDxfId="11413"/>
    <tableColumn id="5006" xr3:uid="{2D19467B-D574-4EFD-A1BE-BE5B3A841FFC}" name="Columna5000" dataDxfId="11412"/>
    <tableColumn id="5007" xr3:uid="{567DFEA0-87B0-4E34-A609-285A52CED212}" name="Columna5001" dataDxfId="11411"/>
    <tableColumn id="5008" xr3:uid="{BBD9CF24-CDF2-42B9-A2FD-6EE1832A5F62}" name="Columna5002" dataDxfId="11410"/>
    <tableColumn id="5009" xr3:uid="{F7CB19A4-0E33-483E-AC98-6E7B2491AFDA}" name="Columna5003" dataDxfId="11409"/>
    <tableColumn id="5010" xr3:uid="{F665EF9D-D353-4618-971D-B2BA5D525FC0}" name="Columna5004" dataDxfId="11408"/>
    <tableColumn id="5011" xr3:uid="{64CFA6E3-366E-40C7-8153-F1722D1FB81F}" name="Columna5005" dataDxfId="11407"/>
    <tableColumn id="5012" xr3:uid="{4BE28B2F-FFB4-4436-883A-32FFE9F3BA3D}" name="Columna5006" dataDxfId="11406"/>
    <tableColumn id="5013" xr3:uid="{104CC085-8874-4740-B3A8-50CA4CC6F643}" name="Columna5007" dataDxfId="11405"/>
    <tableColumn id="5014" xr3:uid="{0078571D-0DC5-4476-BA79-BB78D4C394A0}" name="Columna5008" dataDxfId="11404"/>
    <tableColumn id="5015" xr3:uid="{A180970F-6013-4939-B542-B7185C7408EA}" name="Columna5009" dataDxfId="11403"/>
    <tableColumn id="5016" xr3:uid="{41E2C0AE-D3C4-4127-BD11-53EEB42292F4}" name="Columna5010" dataDxfId="11402"/>
    <tableColumn id="5017" xr3:uid="{2E7104E3-978C-4441-AB0C-0F4218D95786}" name="Columna5011" dataDxfId="11401"/>
    <tableColumn id="5018" xr3:uid="{496E2597-95D6-4694-A36B-D36BBA88A16F}" name="Columna5012" dataDxfId="11400"/>
    <tableColumn id="5019" xr3:uid="{0FEDDF56-55A9-41B1-983D-DBAD3DCAF2DB}" name="Columna5013" dataDxfId="11399"/>
    <tableColumn id="5020" xr3:uid="{71DFD18C-7E61-475C-8CF5-82B7B8EF4BFD}" name="Columna5014" dataDxfId="11398"/>
    <tableColumn id="5021" xr3:uid="{81F4984B-A94E-4D64-9EF8-A97406C34BE5}" name="Columna5015" dataDxfId="11397"/>
    <tableColumn id="5022" xr3:uid="{F1FDE8AF-9C87-4BAC-98AB-4D91D61E0A0E}" name="Columna5016" dataDxfId="11396"/>
    <tableColumn id="5023" xr3:uid="{50EB59B8-885F-4ED9-8F64-8000C2C5DB46}" name="Columna5017" dataDxfId="11395"/>
    <tableColumn id="5024" xr3:uid="{2ED620E8-D288-4E59-A58B-E5BBC23E8E74}" name="Columna5018" dataDxfId="11394"/>
    <tableColumn id="5025" xr3:uid="{C2D062AA-7FA4-4DE6-AA92-C78EBBB2C102}" name="Columna5019" dataDxfId="11393"/>
    <tableColumn id="5026" xr3:uid="{BFB8BC63-5962-470C-81A6-E875DF8DA328}" name="Columna5020" dataDxfId="11392"/>
    <tableColumn id="5027" xr3:uid="{8D4DCBC0-0E1E-4A2C-B2B1-A9188A12F986}" name="Columna5021" dataDxfId="11391"/>
    <tableColumn id="5028" xr3:uid="{6A44F2A3-4D9F-49B2-8AFD-2E11260933D8}" name="Columna5022" dataDxfId="11390"/>
    <tableColumn id="5029" xr3:uid="{B000856D-16E0-4887-97CF-60733788DD6D}" name="Columna5023" dataDxfId="11389"/>
    <tableColumn id="5030" xr3:uid="{432E24ED-DB97-4A88-A78B-01BCF7E51B7F}" name="Columna5024" dataDxfId="11388"/>
    <tableColumn id="5031" xr3:uid="{36B570F7-E193-43E0-9DB3-057CD41C47C2}" name="Columna5025" dataDxfId="11387"/>
    <tableColumn id="5032" xr3:uid="{1033DFB2-6D28-45CB-BBF9-A8DEC3306E17}" name="Columna5026" dataDxfId="11386"/>
    <tableColumn id="5033" xr3:uid="{4C415384-5581-4581-91A0-82DAE96BBEA0}" name="Columna5027" dataDxfId="11385"/>
    <tableColumn id="5034" xr3:uid="{5B4CD5DC-BA15-4937-ACA6-7F75E877452F}" name="Columna5028" dataDxfId="11384"/>
    <tableColumn id="5035" xr3:uid="{59CA4CD9-BC97-4619-AA58-B61CF47173BD}" name="Columna5029" dataDxfId="11383"/>
    <tableColumn id="5036" xr3:uid="{F17B9D98-C5A7-400E-8FDA-B1EEE45F3A93}" name="Columna5030" dataDxfId="11382"/>
    <tableColumn id="5037" xr3:uid="{CD744465-AB69-408D-88AC-3ABD28DB98C0}" name="Columna5031" dataDxfId="11381"/>
    <tableColumn id="5038" xr3:uid="{31BFA4E1-5032-4989-8EDC-81702688BB45}" name="Columna5032" dataDxfId="11380"/>
    <tableColumn id="5039" xr3:uid="{B233CB34-0CD8-4357-A4EA-FAEB36A3DF6D}" name="Columna5033" dataDxfId="11379"/>
    <tableColumn id="5040" xr3:uid="{0163B5C6-ECB4-4B98-9976-C818FA5DF67A}" name="Columna5034" dataDxfId="11378"/>
    <tableColumn id="5041" xr3:uid="{679411C2-F76D-484C-88B2-D6AFE602C198}" name="Columna5035" dataDxfId="11377"/>
    <tableColumn id="5042" xr3:uid="{6C34059E-191D-406D-9913-C2828C1041B1}" name="Columna5036" dataDxfId="11376"/>
    <tableColumn id="5043" xr3:uid="{9371C20B-59AD-4B4C-857A-E380ABBE58FB}" name="Columna5037" dataDxfId="11375"/>
    <tableColumn id="5044" xr3:uid="{36FE246C-6A29-4880-91F7-8A719BACC13E}" name="Columna5038" dataDxfId="11374"/>
    <tableColumn id="5045" xr3:uid="{D95845A9-CB7E-4CA0-958F-D97C4900060D}" name="Columna5039" dataDxfId="11373"/>
    <tableColumn id="5046" xr3:uid="{24B3AC98-6F0B-4BAA-A846-A7177B18C373}" name="Columna5040" dataDxfId="11372"/>
    <tableColumn id="5047" xr3:uid="{853C0780-14AC-4A5D-80DD-08FB48B1B90E}" name="Columna5041" dataDxfId="11371"/>
    <tableColumn id="5048" xr3:uid="{7019C5D9-61D7-40E1-ACE0-FB5D7C9E384A}" name="Columna5042" dataDxfId="11370"/>
    <tableColumn id="5049" xr3:uid="{4EE40A30-598C-4680-8642-039BC8CC976C}" name="Columna5043" dataDxfId="11369"/>
    <tableColumn id="5050" xr3:uid="{42F6A4C1-87AA-4F32-AA68-9C960381189F}" name="Columna5044" dataDxfId="11368"/>
    <tableColumn id="5051" xr3:uid="{D0012D54-FD24-45DA-8E76-6FBEA0F5A106}" name="Columna5045" dataDxfId="11367"/>
    <tableColumn id="5052" xr3:uid="{B2AE4A24-C6F6-4FF0-8C34-E6AEC3E912E3}" name="Columna5046" dataDxfId="11366"/>
    <tableColumn id="5053" xr3:uid="{BEF5D237-898D-4921-B0C1-33BB335BA681}" name="Columna5047" dataDxfId="11365"/>
    <tableColumn id="5054" xr3:uid="{378B6DB6-72D6-4A18-94D5-B50D1DD19301}" name="Columna5048" dataDxfId="11364"/>
    <tableColumn id="5055" xr3:uid="{341DD51E-5FA1-4D99-8947-479397C68313}" name="Columna5049" dataDxfId="11363"/>
    <tableColumn id="5056" xr3:uid="{5FC8A3C8-8C1C-46CB-A331-549B3BA44CE4}" name="Columna5050" dataDxfId="11362"/>
    <tableColumn id="5057" xr3:uid="{AEBD6033-5EDE-4434-B72C-D1690E2A96E4}" name="Columna5051" dataDxfId="11361"/>
    <tableColumn id="5058" xr3:uid="{75CFCF6A-27FB-490F-B950-9962759C8B07}" name="Columna5052" dataDxfId="11360"/>
    <tableColumn id="5059" xr3:uid="{61CDDFE0-2C9C-48F1-A7F2-CADC29F6AA6E}" name="Columna5053" dataDxfId="11359"/>
    <tableColumn id="5060" xr3:uid="{F7E8E5F9-2178-4531-AB74-0C0A925D4607}" name="Columna5054" dataDxfId="11358"/>
    <tableColumn id="5061" xr3:uid="{27328788-EA25-45AA-9860-B9D525A8B9EF}" name="Columna5055" dataDxfId="11357"/>
    <tableColumn id="5062" xr3:uid="{A6667EA1-40ED-4DE2-BA77-B9AD3E29BE93}" name="Columna5056" dataDxfId="11356"/>
    <tableColumn id="5063" xr3:uid="{E3E72096-8D22-4056-92A0-57DF6D49CEB6}" name="Columna5057" dataDxfId="11355"/>
    <tableColumn id="5064" xr3:uid="{1E0B231B-CA4A-4465-83F7-5130752CB3E8}" name="Columna5058" dataDxfId="11354"/>
    <tableColumn id="5065" xr3:uid="{DE65F4AE-85C8-4872-ACF9-9DFF1F3C1014}" name="Columna5059" dataDxfId="11353"/>
    <tableColumn id="5066" xr3:uid="{AECDCA4F-7BDB-4222-8ECA-E4AEA31B64BA}" name="Columna5060" dataDxfId="11352"/>
    <tableColumn id="5067" xr3:uid="{20DE4E29-D255-4E81-8184-F499A5F80E24}" name="Columna5061" dataDxfId="11351"/>
    <tableColumn id="5068" xr3:uid="{0F300A5D-D30A-44CC-9C36-EA70A0426922}" name="Columna5062" dataDxfId="11350"/>
    <tableColumn id="5069" xr3:uid="{6C4910B1-607D-49E1-976C-A6DA28D19835}" name="Columna5063" dataDxfId="11349"/>
    <tableColumn id="5070" xr3:uid="{7DC14785-6AA3-4DC6-97AA-7560795A0701}" name="Columna5064" dataDxfId="11348"/>
    <tableColumn id="5071" xr3:uid="{6F56B9BB-C9C5-4583-8F3A-43FE16C0E29C}" name="Columna5065" dataDxfId="11347"/>
    <tableColumn id="5072" xr3:uid="{CFA05CE0-80AF-4612-BC61-4EFC4275FD30}" name="Columna5066" dataDxfId="11346"/>
    <tableColumn id="5073" xr3:uid="{B77B21A3-23DD-4B14-8941-6BE0805D574D}" name="Columna5067" dataDxfId="11345"/>
    <tableColumn id="5074" xr3:uid="{3BA7DB7D-B432-4AC5-A081-57E92E788B77}" name="Columna5068" dataDxfId="11344"/>
    <tableColumn id="5075" xr3:uid="{4AB66532-8F4C-4F62-953E-14D29DD54B95}" name="Columna5069" dataDxfId="11343"/>
    <tableColumn id="5076" xr3:uid="{CD00546A-8295-4363-B3FB-D59440702D75}" name="Columna5070" dataDxfId="11342"/>
    <tableColumn id="5077" xr3:uid="{9E8E4011-A6CC-45AB-BCE0-60AF1A421E0F}" name="Columna5071" dataDxfId="11341"/>
    <tableColumn id="5078" xr3:uid="{96D99E0E-7BD2-4C89-BD87-DEF76FD32F90}" name="Columna5072" dataDxfId="11340"/>
    <tableColumn id="5079" xr3:uid="{EC05CA30-CE41-4A65-9785-73D2B3CD2A9B}" name="Columna5073" dataDxfId="11339"/>
    <tableColumn id="5080" xr3:uid="{B95FBB1D-2841-495E-9CC7-0BEE03D3DDCE}" name="Columna5074" dataDxfId="11338"/>
    <tableColumn id="5081" xr3:uid="{92D2C0AB-5D7F-42EC-9CED-7EA7B5779C77}" name="Columna5075" dataDxfId="11337"/>
    <tableColumn id="5082" xr3:uid="{A707EB2D-E038-431A-AE58-122CF827AA66}" name="Columna5076" dataDxfId="11336"/>
    <tableColumn id="5083" xr3:uid="{8B06215F-DD00-4650-829E-361AD786A340}" name="Columna5077" dataDxfId="11335"/>
    <tableColumn id="5084" xr3:uid="{4C191C01-3F5B-43E8-8AA7-76DA7390D7CF}" name="Columna5078" dataDxfId="11334"/>
    <tableColumn id="5085" xr3:uid="{D299ACF6-D7B6-488A-9413-E0F68D594D6D}" name="Columna5079" dataDxfId="11333"/>
    <tableColumn id="5086" xr3:uid="{9E321385-0734-4C89-8D70-C1A5FAF59F8E}" name="Columna5080" dataDxfId="11332"/>
    <tableColumn id="5087" xr3:uid="{11502E09-FE1A-47DC-BA18-CAB5910BE0A9}" name="Columna5081" dataDxfId="11331"/>
    <tableColumn id="5088" xr3:uid="{961351EF-652C-410B-A615-624873C3872C}" name="Columna5082" dataDxfId="11330"/>
    <tableColumn id="5089" xr3:uid="{5207D563-D2B4-4FC9-B2A1-D64B8BE58C3C}" name="Columna5083" dataDxfId="11329"/>
    <tableColumn id="5090" xr3:uid="{35D17730-93E4-48D7-A955-BE886D983555}" name="Columna5084" dataDxfId="11328"/>
    <tableColumn id="5091" xr3:uid="{B5EDE773-C049-4678-9821-E4B881A46E9E}" name="Columna5085" dataDxfId="11327"/>
    <tableColumn id="5092" xr3:uid="{9539317B-18F6-495B-B67C-2847BA7CD60B}" name="Columna5086" dataDxfId="11326"/>
    <tableColumn id="5093" xr3:uid="{7417C5F8-3C8E-41A7-9940-845675672CC9}" name="Columna5087" dataDxfId="11325"/>
    <tableColumn id="5094" xr3:uid="{7BB80572-0EED-4B97-B7F8-B75C7E2D31BB}" name="Columna5088" dataDxfId="11324"/>
    <tableColumn id="5095" xr3:uid="{E56B785C-B537-44D9-9381-6D4A057764F2}" name="Columna5089" dataDxfId="11323"/>
    <tableColumn id="5096" xr3:uid="{BDC2A33E-49F8-4B39-A35B-E177E6699281}" name="Columna5090" dataDxfId="11322"/>
    <tableColumn id="5097" xr3:uid="{E4EEACF8-94B8-4FC8-B488-D034B9F1DFD1}" name="Columna5091" dataDxfId="11321"/>
    <tableColumn id="5098" xr3:uid="{805CF1FF-6643-4272-9AF9-2879DDE05672}" name="Columna5092" dataDxfId="11320"/>
    <tableColumn id="5099" xr3:uid="{3530A559-8D97-4125-95A3-A08EE82D5BAE}" name="Columna5093" dataDxfId="11319"/>
    <tableColumn id="5100" xr3:uid="{0E534DF1-BBEE-4661-8915-B9B319B16CF9}" name="Columna5094" dataDxfId="11318"/>
    <tableColumn id="5101" xr3:uid="{F7C0F80F-8DBF-4D09-85D6-705532CA679E}" name="Columna5095" dataDxfId="11317"/>
    <tableColumn id="5102" xr3:uid="{CABA6818-541F-4A8E-AE81-853E07CBF4A1}" name="Columna5096" dataDxfId="11316"/>
    <tableColumn id="5103" xr3:uid="{76A9DDE1-2008-432B-871D-6347B9D5D689}" name="Columna5097" dataDxfId="11315"/>
    <tableColumn id="5104" xr3:uid="{F670976F-FEC0-4375-9C68-84D88D4A4AEC}" name="Columna5098" dataDxfId="11314"/>
    <tableColumn id="5105" xr3:uid="{BF91D249-444F-4506-BD7A-A1180BBE5B13}" name="Columna5099" dataDxfId="11313"/>
    <tableColumn id="5106" xr3:uid="{66ABCFE0-E6A7-41B4-A93E-8016FC7A0636}" name="Columna5100" dataDxfId="11312"/>
    <tableColumn id="5107" xr3:uid="{ABA9DAAA-33FD-4E63-A088-24179CB2897D}" name="Columna5101" dataDxfId="11311"/>
    <tableColumn id="5108" xr3:uid="{22DFAC39-B328-43F7-B07F-D22E484ECE11}" name="Columna5102" dataDxfId="11310"/>
    <tableColumn id="5109" xr3:uid="{1C4DFBEE-0E26-4AEB-BF4F-CA97E2315411}" name="Columna5103" dataDxfId="11309"/>
    <tableColumn id="5110" xr3:uid="{3D82C7AE-836B-4BF1-ACA5-AB0CEB402F94}" name="Columna5104" dataDxfId="11308"/>
    <tableColumn id="5111" xr3:uid="{7E07FE11-F8A3-4522-A42B-D0CF5B6719D0}" name="Columna5105" dataDxfId="11307"/>
    <tableColumn id="5112" xr3:uid="{F4DE8602-4B0E-47F9-B3C8-E29EB9A8786C}" name="Columna5106" dataDxfId="11306"/>
    <tableColumn id="5113" xr3:uid="{3B98CB63-AC46-4528-8B9D-6171E80FEBD2}" name="Columna5107" dataDxfId="11305"/>
    <tableColumn id="5114" xr3:uid="{A6C2A78F-A2E2-40CC-848E-B7D24C09A833}" name="Columna5108" dataDxfId="11304"/>
    <tableColumn id="5115" xr3:uid="{84C244B4-1B62-40CC-947A-608233EE8630}" name="Columna5109" dataDxfId="11303"/>
    <tableColumn id="5116" xr3:uid="{C4C3D898-1DE4-4852-A475-2335A6F86E85}" name="Columna5110" dataDxfId="11302"/>
    <tableColumn id="5117" xr3:uid="{882B8289-D4F7-42CE-8280-6CD0143C332D}" name="Columna5111" dataDxfId="11301"/>
    <tableColumn id="5118" xr3:uid="{53CFC634-6724-4F4C-9E9F-65A458D11931}" name="Columna5112" dataDxfId="11300"/>
    <tableColumn id="5119" xr3:uid="{B45A4B34-B7ED-4BD1-9AC2-135A3CACE3F6}" name="Columna5113" dataDxfId="11299"/>
    <tableColumn id="5120" xr3:uid="{2F1FDDEC-CB91-4E17-BB15-4CE50525408E}" name="Columna5114" dataDxfId="11298"/>
    <tableColumn id="5121" xr3:uid="{140B0530-C46F-4638-B1B5-08F8CD7B14BA}" name="Columna5115" dataDxfId="11297"/>
    <tableColumn id="5122" xr3:uid="{79D5BE40-7EDD-4F2D-A2BF-18E3BFD37E64}" name="Columna5116" dataDxfId="11296"/>
    <tableColumn id="5123" xr3:uid="{297591AF-77B6-47EC-AF72-D2618F423EAE}" name="Columna5117" dataDxfId="11295"/>
    <tableColumn id="5124" xr3:uid="{5B3ABA7C-F8C8-4C22-B383-2A8F25848B9F}" name="Columna5118" dataDxfId="11294"/>
    <tableColumn id="5125" xr3:uid="{846F8742-C650-4203-90BB-068DFCF20B8D}" name="Columna5119" dataDxfId="11293"/>
    <tableColumn id="5126" xr3:uid="{2698F647-15D9-4E5D-9149-E5B72692913E}" name="Columna5120" dataDxfId="11292"/>
    <tableColumn id="5127" xr3:uid="{B5AAA93B-7FE5-47F2-922D-4EEC177AD404}" name="Columna5121" dataDxfId="11291"/>
    <tableColumn id="5128" xr3:uid="{E6573483-A73D-49FF-92B2-FE53FE793FC3}" name="Columna5122" dataDxfId="11290"/>
    <tableColumn id="5129" xr3:uid="{E8C362A8-84D5-4267-9938-233A7AAE5B8A}" name="Columna5123" dataDxfId="11289"/>
    <tableColumn id="5130" xr3:uid="{D9339722-6FFE-4F43-9133-A7436A3A6357}" name="Columna5124" dataDxfId="11288"/>
    <tableColumn id="5131" xr3:uid="{C1A3075D-D3C5-4C58-8EB3-FB5713C14A65}" name="Columna5125" dataDxfId="11287"/>
    <tableColumn id="5132" xr3:uid="{037C2BDC-0697-4298-AABE-B0BA95741532}" name="Columna5126" dataDxfId="11286"/>
    <tableColumn id="5133" xr3:uid="{4417CCD6-41CC-4ECD-BA26-083ED3644980}" name="Columna5127" dataDxfId="11285"/>
    <tableColumn id="5134" xr3:uid="{71AD95C5-1083-4EA7-8B79-241E54531E5D}" name="Columna5128" dataDxfId="11284"/>
    <tableColumn id="5135" xr3:uid="{59E8BE57-0EEB-4182-B244-5888B3190316}" name="Columna5129" dataDxfId="11283"/>
    <tableColumn id="5136" xr3:uid="{DCCF62EA-07FB-409E-BFCD-B0615E416740}" name="Columna5130" dataDxfId="11282"/>
    <tableColumn id="5137" xr3:uid="{43A8F6BD-5F1C-4F67-A637-46102B9D40C9}" name="Columna5131" dataDxfId="11281"/>
    <tableColumn id="5138" xr3:uid="{51E6C9C5-356E-4693-85BF-DAA4ABADAA57}" name="Columna5132" dataDxfId="11280"/>
    <tableColumn id="5139" xr3:uid="{5BA79B0F-7C47-4459-BB1B-6DABF9AB222B}" name="Columna5133" dataDxfId="11279"/>
    <tableColumn id="5140" xr3:uid="{8D34BEF7-B91C-44F8-92ED-BC63FCEE7D99}" name="Columna5134" dataDxfId="11278"/>
    <tableColumn id="5141" xr3:uid="{750D51FF-5F40-4254-801D-604F02593A6C}" name="Columna5135" dataDxfId="11277"/>
    <tableColumn id="5142" xr3:uid="{B80C807E-BABD-42DC-8D1D-523BDD08B66D}" name="Columna5136" dataDxfId="11276"/>
    <tableColumn id="5143" xr3:uid="{5A3884AF-9FD6-4EC9-8659-0F7F90EC9F85}" name="Columna5137" dataDxfId="11275"/>
    <tableColumn id="5144" xr3:uid="{ACF25BB5-87F3-41C1-B06E-28C63B136E8E}" name="Columna5138" dataDxfId="11274"/>
    <tableColumn id="5145" xr3:uid="{0850FCC4-7C97-4713-9353-09B1AA9512BE}" name="Columna5139" dataDxfId="11273"/>
    <tableColumn id="5146" xr3:uid="{767EF231-4246-49D3-A149-9A794C310530}" name="Columna5140" dataDxfId="11272"/>
    <tableColumn id="5147" xr3:uid="{34B51F2D-E233-4561-9250-46C5C9A30F8D}" name="Columna5141" dataDxfId="11271"/>
    <tableColumn id="5148" xr3:uid="{7D2DA8CA-E203-4AC1-AAE6-B44B5D894F6C}" name="Columna5142" dataDxfId="11270"/>
    <tableColumn id="5149" xr3:uid="{1ED4F6C9-3BB3-4BE2-91AF-CF653636CC65}" name="Columna5143" dataDxfId="11269"/>
    <tableColumn id="5150" xr3:uid="{5F425B52-F950-4582-9B0C-6CB6FB4C64F7}" name="Columna5144" dataDxfId="11268"/>
    <tableColumn id="5151" xr3:uid="{31AC8108-B5E4-422D-98C4-6D05FD2BFAD9}" name="Columna5145" dataDxfId="11267"/>
    <tableColumn id="5152" xr3:uid="{44456D75-CBCC-4B12-87CB-E1975EFBFE22}" name="Columna5146" dataDxfId="11266"/>
    <tableColumn id="5153" xr3:uid="{B3CCA9BD-99A0-4057-99F1-15404A437309}" name="Columna5147" dataDxfId="11265"/>
    <tableColumn id="5154" xr3:uid="{9C30DEE1-17CD-4C96-B00B-7251E290109F}" name="Columna5148" dataDxfId="11264"/>
    <tableColumn id="5155" xr3:uid="{4103F2E3-4124-4400-AF34-BF14982ECCE1}" name="Columna5149" dataDxfId="11263"/>
    <tableColumn id="5156" xr3:uid="{BDC79DBF-0FA0-4EC4-B017-5F12FA010D87}" name="Columna5150" dataDxfId="11262"/>
    <tableColumn id="5157" xr3:uid="{94B55FF7-3FA6-4CA0-8DE5-F58389F90A4E}" name="Columna5151" dataDxfId="11261"/>
    <tableColumn id="5158" xr3:uid="{F28FED0C-D942-46F2-90EA-BFA7DFCDF895}" name="Columna5152" dataDxfId="11260"/>
    <tableColumn id="5159" xr3:uid="{ADAFA8DC-D1C3-4027-9097-B359EA583E0D}" name="Columna5153" dataDxfId="11259"/>
    <tableColumn id="5160" xr3:uid="{EDFF2F0C-AF99-4DBE-87B5-38E77C5DED5C}" name="Columna5154" dataDxfId="11258"/>
    <tableColumn id="5161" xr3:uid="{7B8628FB-F8F1-49E8-9D9A-9236C41F7E7F}" name="Columna5155" dataDxfId="11257"/>
    <tableColumn id="5162" xr3:uid="{F896712C-FCE9-4999-A920-DF1837B0C221}" name="Columna5156" dataDxfId="11256"/>
    <tableColumn id="5163" xr3:uid="{05ADBADE-E76E-4721-8C5D-7099BB116851}" name="Columna5157" dataDxfId="11255"/>
    <tableColumn id="5164" xr3:uid="{05628860-44B0-44DA-A297-DD11FFC3EAAB}" name="Columna5158" dataDxfId="11254"/>
    <tableColumn id="5165" xr3:uid="{8777F11F-B9F3-4731-A6A4-DD21EF6A032F}" name="Columna5159" dataDxfId="11253"/>
    <tableColumn id="5166" xr3:uid="{1B07D091-42A0-400E-874D-1DD1406CBD9F}" name="Columna5160" dataDxfId="11252"/>
    <tableColumn id="5167" xr3:uid="{E824ED3A-8377-409D-BFD7-28F96EC6BB94}" name="Columna5161" dataDxfId="11251"/>
    <tableColumn id="5168" xr3:uid="{9B4B77C1-B079-44CE-8FA1-7A559031977C}" name="Columna5162" dataDxfId="11250"/>
    <tableColumn id="5169" xr3:uid="{33298EE2-370F-423E-8016-A3C0D5352310}" name="Columna5163" dataDxfId="11249"/>
    <tableColumn id="5170" xr3:uid="{7C421A6A-A0C5-4DF5-8225-31395C55C654}" name="Columna5164" dataDxfId="11248"/>
    <tableColumn id="5171" xr3:uid="{AA4F725C-CC9C-454F-A958-81AC5A2E8EA1}" name="Columna5165" dataDxfId="11247"/>
    <tableColumn id="5172" xr3:uid="{7F7A8214-A2AC-4455-AA5E-81AF0CF45600}" name="Columna5166" dataDxfId="11246"/>
    <tableColumn id="5173" xr3:uid="{70831DD2-7427-4466-87A8-6F6241DF1712}" name="Columna5167" dataDxfId="11245"/>
    <tableColumn id="5174" xr3:uid="{C92CBE9C-747A-41B8-B383-6E64FFCFF9E4}" name="Columna5168" dataDxfId="11244"/>
    <tableColumn id="5175" xr3:uid="{ADD93D13-AB01-4983-940C-E798B432E054}" name="Columna5169" dataDxfId="11243"/>
    <tableColumn id="5176" xr3:uid="{2F53BD5F-0145-4B74-92AE-D3F482D80DE3}" name="Columna5170" dataDxfId="11242"/>
    <tableColumn id="5177" xr3:uid="{848DFFD7-F86A-4CB4-87E0-9A72551496CA}" name="Columna5171" dataDxfId="11241"/>
    <tableColumn id="5178" xr3:uid="{4D5A1FE0-9CCB-47BD-9922-B870F1C89F8B}" name="Columna5172" dataDxfId="11240"/>
    <tableColumn id="5179" xr3:uid="{0D9652B9-303D-4A0F-AE63-7A43E0A918F5}" name="Columna5173" dataDxfId="11239"/>
    <tableColumn id="5180" xr3:uid="{DFF9FEB2-7349-4824-8689-A3D224006DA8}" name="Columna5174" dataDxfId="11238"/>
    <tableColumn id="5181" xr3:uid="{D1FFCBCF-D243-4A07-99B7-741F26E3F80B}" name="Columna5175" dataDxfId="11237"/>
    <tableColumn id="5182" xr3:uid="{DC726977-18EB-40C8-8AAC-E963F565D859}" name="Columna5176" dataDxfId="11236"/>
    <tableColumn id="5183" xr3:uid="{DD51A3F9-BF34-43B4-94CC-CF34B9DB0D59}" name="Columna5177" dataDxfId="11235"/>
    <tableColumn id="5184" xr3:uid="{C389932F-E0EC-444D-B4AA-FC6E52E3AD77}" name="Columna5178" dataDxfId="11234"/>
    <tableColumn id="5185" xr3:uid="{7C20014B-8889-4BF9-9557-7A0A73655D36}" name="Columna5179" dataDxfId="11233"/>
    <tableColumn id="5186" xr3:uid="{F07B7B57-B28F-42AE-A3B2-41FA5B7E7B1B}" name="Columna5180" dataDxfId="11232"/>
    <tableColumn id="5187" xr3:uid="{D4BF07C0-9451-48A6-8F87-C90B1AE92486}" name="Columna5181" dataDxfId="11231"/>
    <tableColumn id="5188" xr3:uid="{37682D80-AB08-4A1B-A7AB-A4990A6B1AC7}" name="Columna5182" dataDxfId="11230"/>
    <tableColumn id="5189" xr3:uid="{E73C8513-9384-429D-835C-86FBFF98AB8B}" name="Columna5183" dataDxfId="11229"/>
    <tableColumn id="5190" xr3:uid="{B209B3C4-FBBD-422C-89F8-5FD7FC9AA2A7}" name="Columna5184" dataDxfId="11228"/>
    <tableColumn id="5191" xr3:uid="{BFDE947D-A8E4-4DEF-80A7-07524A0C0AC8}" name="Columna5185" dataDxfId="11227"/>
    <tableColumn id="5192" xr3:uid="{783C1969-E3B7-49DD-9A50-49B3E10C2BC0}" name="Columna5186" dataDxfId="11226"/>
    <tableColumn id="5193" xr3:uid="{87A3C390-3AE1-47B2-9E9A-9202ABFB0F2B}" name="Columna5187" dataDxfId="11225"/>
    <tableColumn id="5194" xr3:uid="{4BEFC230-A1D2-4C35-A96F-7E8E3C0255B7}" name="Columna5188" dataDxfId="11224"/>
    <tableColumn id="5195" xr3:uid="{1A2B69E1-754A-4C8A-BCCA-53D0B7E058FD}" name="Columna5189" dataDxfId="11223"/>
    <tableColumn id="5196" xr3:uid="{FC9ED075-04B9-4D7E-BD7F-AEB17F7A5D45}" name="Columna5190" dataDxfId="11222"/>
    <tableColumn id="5197" xr3:uid="{F9130D1C-D493-441F-B25D-446BDA515D85}" name="Columna5191" dataDxfId="11221"/>
    <tableColumn id="5198" xr3:uid="{72124386-36A9-4DD1-8620-ACF27F0846DE}" name="Columna5192" dataDxfId="11220"/>
    <tableColumn id="5199" xr3:uid="{3C0BE974-4ED1-4004-B2DB-26A8FF17A5E4}" name="Columna5193" dataDxfId="11219"/>
    <tableColumn id="5200" xr3:uid="{EB7B57D0-9334-46CF-BFA4-54D20B48EE3B}" name="Columna5194" dataDxfId="11218"/>
    <tableColumn id="5201" xr3:uid="{93E3E08A-2B8F-4761-B010-4F7EDBFA07F9}" name="Columna5195" dataDxfId="11217"/>
    <tableColumn id="5202" xr3:uid="{31D31ECF-F853-48DC-8D1C-1BAEC6028009}" name="Columna5196" dataDxfId="11216"/>
    <tableColumn id="5203" xr3:uid="{CC522D04-D17C-406B-A245-F50245A28683}" name="Columna5197" dataDxfId="11215"/>
    <tableColumn id="5204" xr3:uid="{0FE8976B-83EB-4102-9CD3-4901AE1FC407}" name="Columna5198" dataDxfId="11214"/>
    <tableColumn id="5205" xr3:uid="{75830D91-05B1-49E6-A683-06DB12554B8E}" name="Columna5199" dataDxfId="11213"/>
    <tableColumn id="5206" xr3:uid="{26DB03D2-8812-45EA-814A-EEADB2BDAD3A}" name="Columna5200" dataDxfId="11212"/>
    <tableColumn id="5207" xr3:uid="{7948866E-F940-4582-8123-4DBF93D470EA}" name="Columna5201" dataDxfId="11211"/>
    <tableColumn id="5208" xr3:uid="{BD73EF0C-0A4A-4DAE-8399-DE44BF3A7750}" name="Columna5202" dataDxfId="11210"/>
    <tableColumn id="5209" xr3:uid="{F73AB8F8-615A-4299-8B4E-44584595AA1C}" name="Columna5203" dataDxfId="11209"/>
    <tableColumn id="5210" xr3:uid="{E149DED2-F17B-4D3C-874C-581C37E42C36}" name="Columna5204" dataDxfId="11208"/>
    <tableColumn id="5211" xr3:uid="{70BDA27D-1E30-4D39-8089-2A25CD6AFBE1}" name="Columna5205" dataDxfId="11207"/>
    <tableColumn id="5212" xr3:uid="{2BF93492-1CBB-43D2-B5F2-4943D7C20F4F}" name="Columna5206" dataDxfId="11206"/>
    <tableColumn id="5213" xr3:uid="{E689BDCA-187A-4975-885B-DFEF4A1EDFA9}" name="Columna5207" dataDxfId="11205"/>
    <tableColumn id="5214" xr3:uid="{E0D1AB7F-EFA8-413F-B510-53319047EDFD}" name="Columna5208" dataDxfId="11204"/>
    <tableColumn id="5215" xr3:uid="{257746EB-71A6-4728-9089-285F31172246}" name="Columna5209" dataDxfId="11203"/>
    <tableColumn id="5216" xr3:uid="{0CEECA6C-B1BD-43C6-A464-A921DB6C26A3}" name="Columna5210" dataDxfId="11202"/>
    <tableColumn id="5217" xr3:uid="{415D3753-0BAE-4363-A022-9BBB5DA61E61}" name="Columna5211" dataDxfId="11201"/>
    <tableColumn id="5218" xr3:uid="{2A8EB6BD-2AE2-4825-B47B-00B0CBE086A2}" name="Columna5212" dataDxfId="11200"/>
    <tableColumn id="5219" xr3:uid="{6E6955B3-E679-486F-A05C-A3863F9853C0}" name="Columna5213" dataDxfId="11199"/>
    <tableColumn id="5220" xr3:uid="{29115308-2294-4ED8-B6BA-8E980CD3446C}" name="Columna5214" dataDxfId="11198"/>
    <tableColumn id="5221" xr3:uid="{7D45F01D-783C-4B64-9CA9-6359226F5859}" name="Columna5215" dataDxfId="11197"/>
    <tableColumn id="5222" xr3:uid="{F51774C7-2CEA-4BE4-844A-E7ADE965ADBB}" name="Columna5216" dataDxfId="11196"/>
    <tableColumn id="5223" xr3:uid="{52664EDC-C39A-410E-815E-1276F81CFE46}" name="Columna5217" dataDxfId="11195"/>
    <tableColumn id="5224" xr3:uid="{29B705EC-C22C-4D12-823D-6310BCA417B5}" name="Columna5218" dataDxfId="11194"/>
    <tableColumn id="5225" xr3:uid="{5335CB66-DF50-49BF-8B2C-AA5AD99B8C58}" name="Columna5219" dataDxfId="11193"/>
    <tableColumn id="5226" xr3:uid="{3A5948F8-7484-4E88-91FF-B44956744347}" name="Columna5220" dataDxfId="11192"/>
    <tableColumn id="5227" xr3:uid="{489C99B4-F98E-43BC-B6CD-0F5384507B0B}" name="Columna5221" dataDxfId="11191"/>
    <tableColumn id="5228" xr3:uid="{5157C290-00A5-46EA-85ED-EEC3E9147FA6}" name="Columna5222" dataDxfId="11190"/>
    <tableColumn id="5229" xr3:uid="{371CC081-94EE-4541-9417-967035816A9D}" name="Columna5223" dataDxfId="11189"/>
    <tableColumn id="5230" xr3:uid="{175BCFBB-75B6-4C0D-9A17-1D10A0304490}" name="Columna5224" dataDxfId="11188"/>
    <tableColumn id="5231" xr3:uid="{5B22F8A4-5A1E-450E-B3C7-B9100A28C53B}" name="Columna5225" dataDxfId="11187"/>
    <tableColumn id="5232" xr3:uid="{88736B26-6136-4FCB-916A-2B27DFB2AC95}" name="Columna5226" dataDxfId="11186"/>
    <tableColumn id="5233" xr3:uid="{F5C54FC4-3952-418E-A51B-83D23FF4D64A}" name="Columna5227" dataDxfId="11185"/>
    <tableColumn id="5234" xr3:uid="{8F046347-B590-47D8-8152-5DED8F044CB3}" name="Columna5228" dataDxfId="11184"/>
    <tableColumn id="5235" xr3:uid="{F8AFEE42-C1B7-41EE-A6D6-5F0543731A9D}" name="Columna5229" dataDxfId="11183"/>
    <tableColumn id="5236" xr3:uid="{1580ABEC-023F-45BB-8421-03905E92B1B3}" name="Columna5230" dataDxfId="11182"/>
    <tableColumn id="5237" xr3:uid="{7BAC37FC-CAF3-4540-A30A-026D055CE429}" name="Columna5231" dataDxfId="11181"/>
    <tableColumn id="5238" xr3:uid="{E74B4300-2A3D-4799-8745-3811EB6B1943}" name="Columna5232" dataDxfId="11180"/>
    <tableColumn id="5239" xr3:uid="{C3DD26DB-BE0F-4167-A2C0-1B396FA7BEA8}" name="Columna5233" dataDxfId="11179"/>
    <tableColumn id="5240" xr3:uid="{87B7D545-A4B9-43B2-9FF4-011E3FAC8AC6}" name="Columna5234" dataDxfId="11178"/>
    <tableColumn id="5241" xr3:uid="{D8E32814-7697-43E9-BAEE-350A1CD527E8}" name="Columna5235" dataDxfId="11177"/>
    <tableColumn id="5242" xr3:uid="{E9C278D6-585F-4C94-A17F-ABBA8B3BD2B6}" name="Columna5236" dataDxfId="11176"/>
    <tableColumn id="5243" xr3:uid="{1F7C9430-11B1-4155-AFC1-482140772BC0}" name="Columna5237" dataDxfId="11175"/>
    <tableColumn id="5244" xr3:uid="{BCA8B782-2892-4ED8-9741-FAF98806EC49}" name="Columna5238" dataDxfId="11174"/>
    <tableColumn id="5245" xr3:uid="{417823A3-41B6-4F73-94BB-AA0CD43C51EC}" name="Columna5239" dataDxfId="11173"/>
    <tableColumn id="5246" xr3:uid="{A397E917-355F-4012-B708-99D854956463}" name="Columna5240" dataDxfId="11172"/>
    <tableColumn id="5247" xr3:uid="{1A9CA1EB-1F22-4CC5-BB9D-E6C0D0EE8A0D}" name="Columna5241" dataDxfId="11171"/>
    <tableColumn id="5248" xr3:uid="{2F60AF06-B2BF-402D-8C94-CFEBF9971F31}" name="Columna5242" dataDxfId="11170"/>
    <tableColumn id="5249" xr3:uid="{7D6EAC0D-57F8-4935-A621-E3ABBBA30681}" name="Columna5243" dataDxfId="11169"/>
    <tableColumn id="5250" xr3:uid="{82DB363C-A2B7-4A66-B568-8963815E3D13}" name="Columna5244" dataDxfId="11168"/>
    <tableColumn id="5251" xr3:uid="{3FB1CC06-6009-4DAB-A71C-1A5418222ED4}" name="Columna5245" dataDxfId="11167"/>
    <tableColumn id="5252" xr3:uid="{8E7CFC2B-D751-4B96-8F8E-13A0193001ED}" name="Columna5246" dataDxfId="11166"/>
    <tableColumn id="5253" xr3:uid="{5F9EFFB4-37D2-4FE1-86FB-6B8B9FE634B1}" name="Columna5247" dataDxfId="11165"/>
    <tableColumn id="5254" xr3:uid="{D38F539B-160D-41FC-8CE0-CAAA962EAEE5}" name="Columna5248" dataDxfId="11164"/>
    <tableColumn id="5255" xr3:uid="{E751240C-278C-40B5-948D-E97D9CDE8738}" name="Columna5249" dataDxfId="11163"/>
    <tableColumn id="5256" xr3:uid="{664B99B3-0C95-42E8-A0F6-7C226CF97CA5}" name="Columna5250" dataDxfId="11162"/>
    <tableColumn id="5257" xr3:uid="{4C8E477F-551C-46B4-BCDA-B9A6DF3B4D0F}" name="Columna5251" dataDxfId="11161"/>
    <tableColumn id="5258" xr3:uid="{DBAA0FC2-7F16-4297-AD5B-AEEBB8F52140}" name="Columna5252" dataDxfId="11160"/>
    <tableColumn id="5259" xr3:uid="{6C1D4BDB-56B7-4780-8CAB-A4B71436A089}" name="Columna5253" dataDxfId="11159"/>
    <tableColumn id="5260" xr3:uid="{C442DBB1-5C58-4DE8-9AC1-FA2F49056DC4}" name="Columna5254" dataDxfId="11158"/>
    <tableColumn id="5261" xr3:uid="{34202715-A8FA-4019-91D0-F4DD6E2EC02F}" name="Columna5255" dataDxfId="11157"/>
    <tableColumn id="5262" xr3:uid="{4D2E39B5-5637-4E47-8E00-D304D582238F}" name="Columna5256" dataDxfId="11156"/>
    <tableColumn id="5263" xr3:uid="{9BF7ECCD-3CA1-40B5-95E5-CA1C6EC2451B}" name="Columna5257" dataDxfId="11155"/>
    <tableColumn id="5264" xr3:uid="{D13340DD-EC6B-45D6-BC88-856E22B88020}" name="Columna5258" dataDxfId="11154"/>
    <tableColumn id="5265" xr3:uid="{3919B55C-CB1A-4D6E-ADBE-3FED9A268971}" name="Columna5259" dataDxfId="11153"/>
    <tableColumn id="5266" xr3:uid="{4F82FE3C-E1B0-499F-A2BD-12F8F6E5B993}" name="Columna5260" dataDxfId="11152"/>
    <tableColumn id="5267" xr3:uid="{43CA823A-20F7-4C1D-8239-C8AE3C2E4404}" name="Columna5261" dataDxfId="11151"/>
    <tableColumn id="5268" xr3:uid="{6F3D7156-9106-4F73-A93C-E7CAA3F2D9B4}" name="Columna5262" dataDxfId="11150"/>
    <tableColumn id="5269" xr3:uid="{445798F4-D36B-4840-ADB7-9932A516A605}" name="Columna5263" dataDxfId="11149"/>
    <tableColumn id="5270" xr3:uid="{169BF280-17AF-4B89-A122-F1B3A6A25131}" name="Columna5264" dataDxfId="11148"/>
    <tableColumn id="5271" xr3:uid="{452FB2B7-FC6E-4C60-8865-2774A606A4E0}" name="Columna5265" dataDxfId="11147"/>
    <tableColumn id="5272" xr3:uid="{0E5D7314-A33D-4CD5-8F1B-29A39D05A6D1}" name="Columna5266" dataDxfId="11146"/>
    <tableColumn id="5273" xr3:uid="{B5B7AE1E-E7DE-45DB-9292-C9678E2CE0EE}" name="Columna5267" dataDxfId="11145"/>
    <tableColumn id="5274" xr3:uid="{BCF54CDC-9942-4B7D-BE0C-762F4D784623}" name="Columna5268" dataDxfId="11144"/>
    <tableColumn id="5275" xr3:uid="{4413C187-27CD-4BAF-886A-BA1A02EF44CD}" name="Columna5269" dataDxfId="11143"/>
    <tableColumn id="5276" xr3:uid="{46EC5B96-5CD9-4488-8892-376D9A0A2D07}" name="Columna5270" dataDxfId="11142"/>
    <tableColumn id="5277" xr3:uid="{4523F8AF-F2CB-4F68-AB7A-01A1658EE6EB}" name="Columna5271" dataDxfId="11141"/>
    <tableColumn id="5278" xr3:uid="{B6A84686-DB23-4CB9-B4AA-EB7576877D67}" name="Columna5272" dataDxfId="11140"/>
    <tableColumn id="5279" xr3:uid="{B086BEC6-CB44-4D96-A562-3C9F6ABD57FF}" name="Columna5273" dataDxfId="11139"/>
    <tableColumn id="5280" xr3:uid="{D7E77D9B-9EA6-4C47-A3FB-F9D3F77C3B76}" name="Columna5274" dataDxfId="11138"/>
    <tableColumn id="5281" xr3:uid="{B0FC14F4-0382-4E2D-8B51-FA9D54205EDA}" name="Columna5275" dataDxfId="11137"/>
    <tableColumn id="5282" xr3:uid="{7DAF8604-E38C-46BF-B1BF-A599D7E31C83}" name="Columna5276" dataDxfId="11136"/>
    <tableColumn id="5283" xr3:uid="{389CB70F-81FA-4AC5-B282-2BFEDA789C49}" name="Columna5277" dataDxfId="11135"/>
    <tableColumn id="5284" xr3:uid="{CBB4AA72-8C31-479A-8C3E-6B21446A9B7E}" name="Columna5278" dataDxfId="11134"/>
    <tableColumn id="5285" xr3:uid="{084A1A9B-6460-4105-9D39-39DC48D4FD0A}" name="Columna5279" dataDxfId="11133"/>
    <tableColumn id="5286" xr3:uid="{683EFDC8-4201-48E2-98BD-C932F5FD13BD}" name="Columna5280" dataDxfId="11132"/>
    <tableColumn id="5287" xr3:uid="{D4E7738F-5AF8-4CB5-9263-268ED981C4A1}" name="Columna5281" dataDxfId="11131"/>
    <tableColumn id="5288" xr3:uid="{7D53536D-5313-43B0-878A-47E1F5F2A2CB}" name="Columna5282" dataDxfId="11130"/>
    <tableColumn id="5289" xr3:uid="{21EB8191-3918-4D2F-A0BE-2E30656A6B5D}" name="Columna5283" dataDxfId="11129"/>
    <tableColumn id="5290" xr3:uid="{E9EEF396-67E8-4D4B-90F7-57F2A95D5FA7}" name="Columna5284" dataDxfId="11128"/>
    <tableColumn id="5291" xr3:uid="{534DEE18-15FB-4122-B313-E60CD1CD395B}" name="Columna5285" dataDxfId="11127"/>
    <tableColumn id="5292" xr3:uid="{664D3252-C847-4CF4-AD69-41D830BFE693}" name="Columna5286" dataDxfId="11126"/>
    <tableColumn id="5293" xr3:uid="{44763A98-0B9C-4B90-AD4B-B79AB4E69A2B}" name="Columna5287" dataDxfId="11125"/>
    <tableColumn id="5294" xr3:uid="{60788B99-294D-46CC-890D-4BE85F556A49}" name="Columna5288" dataDxfId="11124"/>
    <tableColumn id="5295" xr3:uid="{F5DBD0AE-1591-4EBA-AC0F-69C969BF7929}" name="Columna5289" dataDxfId="11123"/>
    <tableColumn id="5296" xr3:uid="{69A47080-3D85-43DB-BDA5-C443BA8C8C6A}" name="Columna5290" dataDxfId="11122"/>
    <tableColumn id="5297" xr3:uid="{5B3FBEFC-A2EA-4F63-A3D1-D18E5F3CDFAE}" name="Columna5291" dataDxfId="11121"/>
    <tableColumn id="5298" xr3:uid="{AB329020-0B25-4F86-B3FA-12C4DF74C0E7}" name="Columna5292" dataDxfId="11120"/>
    <tableColumn id="5299" xr3:uid="{03714F3F-BE8D-49C1-84FF-5FB9EA2CBA59}" name="Columna5293" dataDxfId="11119"/>
    <tableColumn id="5300" xr3:uid="{D76FAC1A-536D-4C04-B7F6-8496CA87387D}" name="Columna5294" dataDxfId="11118"/>
    <tableColumn id="5301" xr3:uid="{BB6852AC-76D6-4ACC-8E5D-81B33B97A0EE}" name="Columna5295" dataDxfId="11117"/>
    <tableColumn id="5302" xr3:uid="{CE473C3C-AE22-4855-8D37-517444E50B0D}" name="Columna5296" dataDxfId="11116"/>
    <tableColumn id="5303" xr3:uid="{AEED9C33-A6DD-4FC0-BF9D-124AE345419C}" name="Columna5297" dataDxfId="11115"/>
    <tableColumn id="5304" xr3:uid="{360F3CBD-A991-4F07-903E-C028AB2306B1}" name="Columna5298" dataDxfId="11114"/>
    <tableColumn id="5305" xr3:uid="{6B9E1F8D-E9E2-41C5-8369-369A9E3400AE}" name="Columna5299" dataDxfId="11113"/>
    <tableColumn id="5306" xr3:uid="{B2A8FF56-B232-4DD8-9188-11AA9B4FF499}" name="Columna5300" dataDxfId="11112"/>
    <tableColumn id="5307" xr3:uid="{10BCC033-4129-4C88-8215-23CAAFA7AA71}" name="Columna5301" dataDxfId="11111"/>
    <tableColumn id="5308" xr3:uid="{3C5F3EE9-12B7-43E7-8CBD-0950559D3A97}" name="Columna5302" dataDxfId="11110"/>
    <tableColumn id="5309" xr3:uid="{FB69E771-2FA7-4DA0-9FBC-992BFF142DAA}" name="Columna5303" dataDxfId="11109"/>
    <tableColumn id="5310" xr3:uid="{027C3882-08B3-4435-9A67-D0A2928F22A2}" name="Columna5304" dataDxfId="11108"/>
    <tableColumn id="5311" xr3:uid="{D459A35C-CE94-4EF8-897F-A5B2008E3472}" name="Columna5305" dataDxfId="11107"/>
    <tableColumn id="5312" xr3:uid="{98A64524-2595-44F1-A3DD-84E1C6A0F33D}" name="Columna5306" dataDxfId="11106"/>
    <tableColumn id="5313" xr3:uid="{D6416DA4-25F2-403C-84E7-B58C59AB36C4}" name="Columna5307" dataDxfId="11105"/>
    <tableColumn id="5314" xr3:uid="{ABDDC7E4-D5E2-4E07-A87E-35927DC32273}" name="Columna5308" dataDxfId="11104"/>
    <tableColumn id="5315" xr3:uid="{3848730E-4EBB-4334-8FB6-6958397D57D5}" name="Columna5309" dataDxfId="11103"/>
    <tableColumn id="5316" xr3:uid="{652B141F-31A0-4B15-862C-0F002C59AFA2}" name="Columna5310" dataDxfId="11102"/>
    <tableColumn id="5317" xr3:uid="{7CA7E0B7-AFAF-44B0-9E5B-5A78F2D1404C}" name="Columna5311" dataDxfId="11101"/>
    <tableColumn id="5318" xr3:uid="{A9F012F3-6B67-40BB-88F3-F8B5C2DDDA54}" name="Columna5312" dataDxfId="11100"/>
    <tableColumn id="5319" xr3:uid="{3E64D764-F3EF-486D-9971-09010869EAFD}" name="Columna5313" dataDxfId="11099"/>
    <tableColumn id="5320" xr3:uid="{3B0A2A45-00CB-471E-AA92-F6F5CA0DA12E}" name="Columna5314" dataDxfId="11098"/>
    <tableColumn id="5321" xr3:uid="{B9F6D35E-7D0D-49C7-A23D-1F1497D59AD5}" name="Columna5315" dataDxfId="11097"/>
    <tableColumn id="5322" xr3:uid="{B8B433CA-CDC9-4975-8804-55593C68D0A4}" name="Columna5316" dataDxfId="11096"/>
    <tableColumn id="5323" xr3:uid="{A0C738CC-E9A6-48BB-9EE6-931E12688433}" name="Columna5317" dataDxfId="11095"/>
    <tableColumn id="5324" xr3:uid="{5D579F59-CD2A-4DFA-9818-F15FA86A8BFA}" name="Columna5318" dataDxfId="11094"/>
    <tableColumn id="5325" xr3:uid="{8F2575EA-76DA-4BE9-A889-99BE9D18BB20}" name="Columna5319" dataDxfId="11093"/>
    <tableColumn id="5326" xr3:uid="{7EF3EBAD-2B52-438C-A085-02871E6BAF9A}" name="Columna5320" dataDxfId="11092"/>
    <tableColumn id="5327" xr3:uid="{C0E811E2-710A-4BC5-B828-D92C6FA2CAFB}" name="Columna5321" dataDxfId="11091"/>
    <tableColumn id="5328" xr3:uid="{6C890E17-44F4-44A9-8587-DB720CE981DB}" name="Columna5322" dataDxfId="11090"/>
    <tableColumn id="5329" xr3:uid="{48C2F47D-323A-44C9-86AB-25B4AB95428F}" name="Columna5323" dataDxfId="11089"/>
    <tableColumn id="5330" xr3:uid="{E3539D42-D5FD-45A5-A50C-1A1002ABC32E}" name="Columna5324" dataDxfId="11088"/>
    <tableColumn id="5331" xr3:uid="{03DC34AC-4FB4-4DE9-A5CA-6FC6C66C9E46}" name="Columna5325" dataDxfId="11087"/>
    <tableColumn id="5332" xr3:uid="{38A08C5E-F127-4F5D-8C2B-021CBE3E66DC}" name="Columna5326" dataDxfId="11086"/>
    <tableColumn id="5333" xr3:uid="{1ECA3A08-DA15-46B8-BBBC-8ACB1AC37F83}" name="Columna5327" dataDxfId="11085"/>
    <tableColumn id="5334" xr3:uid="{E30CB831-50B1-4323-AA3F-934F490B7CFF}" name="Columna5328" dataDxfId="11084"/>
    <tableColumn id="5335" xr3:uid="{741AAEBF-2D95-4A30-BF09-A49189CFC9E4}" name="Columna5329" dataDxfId="11083"/>
    <tableColumn id="5336" xr3:uid="{910AA24F-F8A2-44AA-ACED-3193076BA1C7}" name="Columna5330" dataDxfId="11082"/>
    <tableColumn id="5337" xr3:uid="{12F0FF39-33AA-4B26-AAE0-8D03435EB6A2}" name="Columna5331" dataDxfId="11081"/>
    <tableColumn id="5338" xr3:uid="{71D5A380-EE7F-4C81-8B8F-B14124B55B70}" name="Columna5332" dataDxfId="11080"/>
    <tableColumn id="5339" xr3:uid="{8FFB4B93-03CE-4FD5-9481-1E461C4E4421}" name="Columna5333" dataDxfId="11079"/>
    <tableColumn id="5340" xr3:uid="{9EF82713-1597-4C15-8597-52F1D165D08D}" name="Columna5334" dataDxfId="11078"/>
    <tableColumn id="5341" xr3:uid="{274DB020-4CAD-45D8-B729-2183A6216024}" name="Columna5335" dataDxfId="11077"/>
    <tableColumn id="5342" xr3:uid="{71E6E152-49B0-4720-8CC8-293E0870D69E}" name="Columna5336" dataDxfId="11076"/>
    <tableColumn id="5343" xr3:uid="{048FCBD7-815D-46B5-9861-8C5A70437E19}" name="Columna5337" dataDxfId="11075"/>
    <tableColumn id="5344" xr3:uid="{3BE6A941-40B6-4EA1-B4F9-9C039CED9F48}" name="Columna5338" dataDxfId="11074"/>
    <tableColumn id="5345" xr3:uid="{C8F2B4AF-5E92-40C8-9522-D0FB7D7F82B0}" name="Columna5339" dataDxfId="11073"/>
    <tableColumn id="5346" xr3:uid="{80BBA5FA-80A6-43C0-B5FC-DD914E1B70E9}" name="Columna5340" dataDxfId="11072"/>
    <tableColumn id="5347" xr3:uid="{2DCBD09B-B9D3-4333-9807-99432E637B04}" name="Columna5341" dataDxfId="11071"/>
    <tableColumn id="5348" xr3:uid="{C034E376-C25C-47F0-88ED-58829D5CB98C}" name="Columna5342" dataDxfId="11070"/>
    <tableColumn id="5349" xr3:uid="{24915A47-39A5-4417-9CB8-C4BE20E8C1A0}" name="Columna5343" dataDxfId="11069"/>
    <tableColumn id="5350" xr3:uid="{6FF0CC04-57B0-4401-9AE7-758DE34B40BD}" name="Columna5344" dataDxfId="11068"/>
    <tableColumn id="5351" xr3:uid="{ECC843BE-D653-419C-B572-63C968645630}" name="Columna5345" dataDxfId="11067"/>
    <tableColumn id="5352" xr3:uid="{A51C2505-B0C8-4367-BDED-921A4CEFB862}" name="Columna5346" dataDxfId="11066"/>
    <tableColumn id="5353" xr3:uid="{F0FD6E73-3CB5-41E9-B92E-4A7FE9C9E6B3}" name="Columna5347" dataDxfId="11065"/>
    <tableColumn id="5354" xr3:uid="{11E3132E-E1AC-4552-833B-03B107F30371}" name="Columna5348" dataDxfId="11064"/>
    <tableColumn id="5355" xr3:uid="{9989CEB5-F2FE-4BAD-A9A4-651CCEED8860}" name="Columna5349" dataDxfId="11063"/>
    <tableColumn id="5356" xr3:uid="{A5BFC8F7-B348-4FAB-8F03-57D8F17F811B}" name="Columna5350" dataDxfId="11062"/>
    <tableColumn id="5357" xr3:uid="{84365348-F70B-4A4C-921F-46E830986449}" name="Columna5351" dataDxfId="11061"/>
    <tableColumn id="5358" xr3:uid="{1401A463-469E-4CB7-BF2E-4B922F024CCB}" name="Columna5352" dataDxfId="11060"/>
    <tableColumn id="5359" xr3:uid="{3A83DD9E-F211-4146-A7EB-A29C5D9A1111}" name="Columna5353" dataDxfId="11059"/>
    <tableColumn id="5360" xr3:uid="{F0456D7A-C4FC-4770-98D5-01D56D1B4856}" name="Columna5354" dataDxfId="11058"/>
    <tableColumn id="5361" xr3:uid="{69B97071-0F08-4CF1-A780-DDDE78AF7D6E}" name="Columna5355" dataDxfId="11057"/>
    <tableColumn id="5362" xr3:uid="{1F567488-62FD-4209-A595-A625BDB87DD6}" name="Columna5356" dataDxfId="11056"/>
    <tableColumn id="5363" xr3:uid="{0666BE8A-C68C-4CD4-834D-5A565E3277C5}" name="Columna5357" dataDxfId="11055"/>
    <tableColumn id="5364" xr3:uid="{436DADAC-D121-42B1-832A-F264F15DB9A4}" name="Columna5358" dataDxfId="11054"/>
    <tableColumn id="5365" xr3:uid="{4F0E98F7-52EA-41F9-AB05-7374B9CC053F}" name="Columna5359" dataDxfId="11053"/>
    <tableColumn id="5366" xr3:uid="{FE40A253-FE26-4E3E-AC56-CC743DB7FC18}" name="Columna5360" dataDxfId="11052"/>
    <tableColumn id="5367" xr3:uid="{CDE4E090-E1B8-4C05-82EA-300F9FD27A9F}" name="Columna5361" dataDxfId="11051"/>
    <tableColumn id="5368" xr3:uid="{49E15443-F8B1-4757-831E-D41FC5AE4877}" name="Columna5362" dataDxfId="11050"/>
    <tableColumn id="5369" xr3:uid="{E6EAEE08-3751-4206-879B-483191BB7084}" name="Columna5363" dataDxfId="11049"/>
    <tableColumn id="5370" xr3:uid="{28DA957C-E15C-4CAE-ADFA-FF5C23093076}" name="Columna5364" dataDxfId="11048"/>
    <tableColumn id="5371" xr3:uid="{6329334C-7737-45BB-A1AA-32893549C3D1}" name="Columna5365" dataDxfId="11047"/>
    <tableColumn id="5372" xr3:uid="{2132AA1E-70CB-4A71-B9E3-5A4048FE22DC}" name="Columna5366" dataDxfId="11046"/>
    <tableColumn id="5373" xr3:uid="{A9DE0939-51BD-4644-B55A-E12C896CD398}" name="Columna5367" dataDxfId="11045"/>
    <tableColumn id="5374" xr3:uid="{F8C94B13-7367-4317-B567-7F6F442BC520}" name="Columna5368" dataDxfId="11044"/>
    <tableColumn id="5375" xr3:uid="{739ED935-0B44-42E6-AF68-665794FD691E}" name="Columna5369" dataDxfId="11043"/>
    <tableColumn id="5376" xr3:uid="{8BF61CF8-AFF7-4307-AEE6-48191AED3628}" name="Columna5370" dataDxfId="11042"/>
    <tableColumn id="5377" xr3:uid="{192AA896-F546-49BB-9C20-6827511F073F}" name="Columna5371" dataDxfId="11041"/>
    <tableColumn id="5378" xr3:uid="{59F58844-7E83-4A42-997F-7A590FF90723}" name="Columna5372" dataDxfId="11040"/>
    <tableColumn id="5379" xr3:uid="{4957763D-1A42-4756-A61B-572D7D8CF429}" name="Columna5373" dataDxfId="11039"/>
    <tableColumn id="5380" xr3:uid="{69E2B79E-98C2-4895-92FA-91E4355A8319}" name="Columna5374" dataDxfId="11038"/>
    <tableColumn id="5381" xr3:uid="{A364FDBB-F5FD-44FC-903D-62A5D88B369B}" name="Columna5375" dataDxfId="11037"/>
    <tableColumn id="5382" xr3:uid="{C368FBF4-4CA0-446B-9542-65A24735C0B6}" name="Columna5376" dataDxfId="11036"/>
    <tableColumn id="5383" xr3:uid="{A267DCC5-884C-4A84-9E1E-269A708AABF5}" name="Columna5377" dataDxfId="11035"/>
    <tableColumn id="5384" xr3:uid="{64789904-1B7F-4A13-AF7F-709C87894D63}" name="Columna5378" dataDxfId="11034"/>
    <tableColumn id="5385" xr3:uid="{D1957696-DA5E-4E9C-B10A-FF28BB5A4A48}" name="Columna5379" dataDxfId="11033"/>
    <tableColumn id="5386" xr3:uid="{90BA9D2B-1FF2-4774-9340-D335EDA341D9}" name="Columna5380" dataDxfId="11032"/>
    <tableColumn id="5387" xr3:uid="{7148C19D-5D4E-4545-88A5-8C19E22F3501}" name="Columna5381" dataDxfId="11031"/>
    <tableColumn id="5388" xr3:uid="{5C6D2DE8-4FBB-4E5C-B575-2E30EF8132C1}" name="Columna5382" dataDxfId="11030"/>
    <tableColumn id="5389" xr3:uid="{137BB841-F856-42AA-BB9D-96C017BF635D}" name="Columna5383" dataDxfId="11029"/>
    <tableColumn id="5390" xr3:uid="{515CA6DF-9A5A-435E-8F58-4BD1A0F7A8AB}" name="Columna5384" dataDxfId="11028"/>
    <tableColumn id="5391" xr3:uid="{82E552ED-FE18-4B2F-ADC1-357F37593F0B}" name="Columna5385" dataDxfId="11027"/>
    <tableColumn id="5392" xr3:uid="{E72E0BD3-A35B-4654-8D1D-47307162A1B0}" name="Columna5386" dataDxfId="11026"/>
    <tableColumn id="5393" xr3:uid="{D00F2CC2-B971-477F-96E5-0D2BE34283F6}" name="Columna5387" dataDxfId="11025"/>
    <tableColumn id="5394" xr3:uid="{95CA7552-8AAD-4FEC-A289-D2DD16F70E8B}" name="Columna5388" dataDxfId="11024"/>
    <tableColumn id="5395" xr3:uid="{59112BCE-3BAB-48AD-950E-92A6CE3D9258}" name="Columna5389" dataDxfId="11023"/>
    <tableColumn id="5396" xr3:uid="{809F545C-762F-48CB-B183-5AC8BA59641D}" name="Columna5390" dataDxfId="11022"/>
    <tableColumn id="5397" xr3:uid="{DA3CDBE1-DDDF-4291-81D8-3D4EF8D443A9}" name="Columna5391" dataDxfId="11021"/>
    <tableColumn id="5398" xr3:uid="{23DF58A6-4637-40E5-993E-25F0A97B7D26}" name="Columna5392" dataDxfId="11020"/>
    <tableColumn id="5399" xr3:uid="{767C75A0-73AD-4A12-A47F-15B05CD6BEB5}" name="Columna5393" dataDxfId="11019"/>
    <tableColumn id="5400" xr3:uid="{37B39794-89BF-4DE1-9F01-15CB8AAC724B}" name="Columna5394" dataDxfId="11018"/>
    <tableColumn id="5401" xr3:uid="{EAD73C8A-2220-4377-9B12-9A255E3B0404}" name="Columna5395" dataDxfId="11017"/>
    <tableColumn id="5402" xr3:uid="{AB254005-14E2-4BA8-A155-25AD85F0D6D9}" name="Columna5396" dataDxfId="11016"/>
    <tableColumn id="5403" xr3:uid="{4C10326B-656E-4F21-B5E2-51A102299088}" name="Columna5397" dataDxfId="11015"/>
    <tableColumn id="5404" xr3:uid="{6DD7ADA1-160C-4C1C-BF09-AB42A3340BF4}" name="Columna5398" dataDxfId="11014"/>
    <tableColumn id="5405" xr3:uid="{5975F734-C555-46EA-B304-06FFCB2ACC15}" name="Columna5399" dataDxfId="11013"/>
    <tableColumn id="5406" xr3:uid="{932EBD32-544D-44EA-BF34-756A69997349}" name="Columna5400" dataDxfId="11012"/>
    <tableColumn id="5407" xr3:uid="{25CCBB65-CA8D-464F-ADA1-4D11CF0C5695}" name="Columna5401" dataDxfId="11011"/>
    <tableColumn id="5408" xr3:uid="{CFB83722-5C0B-4AD0-AD7E-828EDC456FC0}" name="Columna5402" dataDxfId="11010"/>
    <tableColumn id="5409" xr3:uid="{BDE3CF09-13CB-464C-B641-8530AFE81666}" name="Columna5403" dataDxfId="11009"/>
    <tableColumn id="5410" xr3:uid="{C1CCBE6F-0E6E-4FD5-B181-31B531680292}" name="Columna5404" dataDxfId="11008"/>
    <tableColumn id="5411" xr3:uid="{BF42572A-7997-4627-8EA9-AC532AA1935B}" name="Columna5405" dataDxfId="11007"/>
    <tableColumn id="5412" xr3:uid="{354D9928-95C7-4F8A-B146-866C588C2BC0}" name="Columna5406" dataDxfId="11006"/>
    <tableColumn id="5413" xr3:uid="{1346A9FC-2641-4B28-93EB-73FD40C506E3}" name="Columna5407" dataDxfId="11005"/>
    <tableColumn id="5414" xr3:uid="{6C300661-BF03-47B0-A39A-E282F99659A7}" name="Columna5408" dataDxfId="11004"/>
    <tableColumn id="5415" xr3:uid="{7EBC241C-9855-4D62-B1E2-A35EDAB6F22C}" name="Columna5409" dataDxfId="11003"/>
    <tableColumn id="5416" xr3:uid="{C6729BAB-2A35-4046-95C7-080DB4EAB475}" name="Columna5410" dataDxfId="11002"/>
    <tableColumn id="5417" xr3:uid="{8EE33AE8-C9A4-4A82-8B20-7B06C90AB536}" name="Columna5411" dataDxfId="11001"/>
    <tableColumn id="5418" xr3:uid="{FCDA0309-66CC-4BE4-BE69-276349231FA6}" name="Columna5412" dataDxfId="11000"/>
    <tableColumn id="5419" xr3:uid="{68CE1B95-8DAC-49B3-94ED-96B30B7B5FD9}" name="Columna5413" dataDxfId="10999"/>
    <tableColumn id="5420" xr3:uid="{7FE1629E-8C58-409A-AC0E-15C6260E40E2}" name="Columna5414" dataDxfId="10998"/>
    <tableColumn id="5421" xr3:uid="{FFC9675F-0C60-43FF-B34D-5117F2581ABC}" name="Columna5415" dataDxfId="10997"/>
    <tableColumn id="5422" xr3:uid="{8E5FBB08-692A-4A0E-8DF7-08F1068F0F50}" name="Columna5416" dataDxfId="10996"/>
    <tableColumn id="5423" xr3:uid="{01149F53-2E40-4110-BA8F-9BC0546B10D4}" name="Columna5417" dataDxfId="10995"/>
    <tableColumn id="5424" xr3:uid="{F42E389D-5437-4F3E-810D-F7E5203B1FEA}" name="Columna5418" dataDxfId="10994"/>
    <tableColumn id="5425" xr3:uid="{CC646EB5-54BD-4A5D-B2B3-91B9FCFF8D21}" name="Columna5419" dataDxfId="10993"/>
    <tableColumn id="5426" xr3:uid="{B2E73101-0494-48E7-AE27-51D571501E60}" name="Columna5420" dataDxfId="10992"/>
    <tableColumn id="5427" xr3:uid="{E8579DF3-64E3-46BC-9A0B-7AC217BF1E01}" name="Columna5421" dataDxfId="10991"/>
    <tableColumn id="5428" xr3:uid="{08EE50F0-01DC-4CC8-ADFC-F9D4F50CF5AC}" name="Columna5422" dataDxfId="10990"/>
    <tableColumn id="5429" xr3:uid="{F0D6486A-C113-4FDD-907B-68998AF3A87D}" name="Columna5423" dataDxfId="10989"/>
    <tableColumn id="5430" xr3:uid="{0DF388AE-87B9-4524-86C1-439C4287EBE5}" name="Columna5424" dataDxfId="10988"/>
    <tableColumn id="5431" xr3:uid="{8ED2CEAF-1F63-487B-8A56-A1B59ECEB573}" name="Columna5425" dataDxfId="10987"/>
    <tableColumn id="5432" xr3:uid="{7921856E-05D4-4938-A880-3F62EFDC00E5}" name="Columna5426" dataDxfId="10986"/>
    <tableColumn id="5433" xr3:uid="{61FB09C8-2AB4-472A-88F0-D965FE28E57B}" name="Columna5427" dataDxfId="10985"/>
    <tableColumn id="5434" xr3:uid="{165E6D3A-2511-4A0E-9CD7-866C8C705A1D}" name="Columna5428" dataDxfId="10984"/>
    <tableColumn id="5435" xr3:uid="{DC543FD4-93B8-4A20-8CC0-7F0106097458}" name="Columna5429" dataDxfId="10983"/>
    <tableColumn id="5436" xr3:uid="{960AC21C-FC63-4E69-B525-FE06A3F45265}" name="Columna5430" dataDxfId="10982"/>
    <tableColumn id="5437" xr3:uid="{2A1D593E-C79F-4C0B-8A0C-336992036063}" name="Columna5431" dataDxfId="10981"/>
    <tableColumn id="5438" xr3:uid="{94394124-21E7-410A-A90B-2FCBDC3BDECE}" name="Columna5432" dataDxfId="10980"/>
    <tableColumn id="5439" xr3:uid="{D34A2404-1F16-4B38-9172-C49ACFBCC582}" name="Columna5433" dataDxfId="10979"/>
    <tableColumn id="5440" xr3:uid="{E223B40F-82EF-4FF3-988F-93E229B67799}" name="Columna5434" dataDxfId="10978"/>
    <tableColumn id="5441" xr3:uid="{5B85AB4A-BB96-4A8B-8781-895E08B8A744}" name="Columna5435" dataDxfId="10977"/>
    <tableColumn id="5442" xr3:uid="{D93A7818-CF6C-488D-9C1F-E61894F29E85}" name="Columna5436" dataDxfId="10976"/>
    <tableColumn id="5443" xr3:uid="{6DBE15E4-2ED2-488D-ABA7-0C5E876A03CD}" name="Columna5437" dataDxfId="10975"/>
    <tableColumn id="5444" xr3:uid="{6F422D5A-9E82-4199-B058-68F7E3E83593}" name="Columna5438" dataDxfId="10974"/>
    <tableColumn id="5445" xr3:uid="{98FB4828-46F1-453B-9674-B2FBE253AA9F}" name="Columna5439" dataDxfId="10973"/>
    <tableColumn id="5446" xr3:uid="{270E729D-C267-4428-9E3B-F5C6BFEFB3DD}" name="Columna5440" dataDxfId="10972"/>
    <tableColumn id="5447" xr3:uid="{D8BEAC33-F69B-4CFE-972E-90573F67F9DF}" name="Columna5441" dataDxfId="10971"/>
    <tableColumn id="5448" xr3:uid="{CD58062A-CD77-4299-9B13-D88E39459001}" name="Columna5442" dataDxfId="10970"/>
    <tableColumn id="5449" xr3:uid="{C50FF1F3-B78F-46D6-AB5A-4ADA4C7E4E81}" name="Columna5443" dataDxfId="10969"/>
    <tableColumn id="5450" xr3:uid="{F3352A43-4CA8-433E-9748-03ABB08EC6E9}" name="Columna5444" dataDxfId="10968"/>
    <tableColumn id="5451" xr3:uid="{5311B106-DA3F-4B33-BD8D-7586826E43C9}" name="Columna5445" dataDxfId="10967"/>
    <tableColumn id="5452" xr3:uid="{16AC2CA1-8820-4D85-AF40-75844A4DFEDB}" name="Columna5446" dataDxfId="10966"/>
    <tableColumn id="5453" xr3:uid="{430D3311-73A4-49C6-815B-551B7E8F3628}" name="Columna5447" dataDxfId="10965"/>
    <tableColumn id="5454" xr3:uid="{4A26AC8C-697A-4D1A-B85F-6E5D050246E4}" name="Columna5448" dataDxfId="10964"/>
    <tableColumn id="5455" xr3:uid="{0EF14254-88ED-4925-A439-DFE14F87B59D}" name="Columna5449" dataDxfId="10963"/>
    <tableColumn id="5456" xr3:uid="{49681578-C302-45EA-BD14-5AF63DD6E6FC}" name="Columna5450" dataDxfId="10962"/>
    <tableColumn id="5457" xr3:uid="{AD6C87DC-4383-44D7-BDBE-1912807E9F5A}" name="Columna5451" dataDxfId="10961"/>
    <tableColumn id="5458" xr3:uid="{F2BBBD35-9E8B-434A-B5E0-31DFAA39017A}" name="Columna5452" dataDxfId="10960"/>
    <tableColumn id="5459" xr3:uid="{221B1B26-3102-4A24-B876-6BAB535D1C57}" name="Columna5453" dataDxfId="10959"/>
    <tableColumn id="5460" xr3:uid="{3F342105-9A78-4DC1-BDB5-AED5755AAE90}" name="Columna5454" dataDxfId="10958"/>
    <tableColumn id="5461" xr3:uid="{42EFFB7A-CC10-4622-A039-DBE8F07FE0BA}" name="Columna5455" dataDxfId="10957"/>
    <tableColumn id="5462" xr3:uid="{19C1541C-64BE-4115-90C8-D696838BDA97}" name="Columna5456" dataDxfId="10956"/>
    <tableColumn id="5463" xr3:uid="{B0BD0FE3-D6DA-4704-BA64-9B4D1E6EAABD}" name="Columna5457" dataDxfId="10955"/>
    <tableColumn id="5464" xr3:uid="{29A960BE-2E4B-452D-9746-C98DF9A766A8}" name="Columna5458" dataDxfId="10954"/>
    <tableColumn id="5465" xr3:uid="{9C0CBD07-AC16-4786-87A1-F87387CF737C}" name="Columna5459" dataDxfId="10953"/>
    <tableColumn id="5466" xr3:uid="{D95AC127-EEAC-437B-96C8-013B33D7F269}" name="Columna5460" dataDxfId="10952"/>
    <tableColumn id="5467" xr3:uid="{D5EA0CA6-939F-4363-86A6-D328870442F1}" name="Columna5461" dataDxfId="10951"/>
    <tableColumn id="5468" xr3:uid="{E22E4517-3E02-4BB3-8324-7DF8E1D8CE8F}" name="Columna5462" dataDxfId="10950"/>
    <tableColumn id="5469" xr3:uid="{A01B1DFD-04FD-47B2-AA8D-88D8E40C576A}" name="Columna5463" dataDxfId="10949"/>
    <tableColumn id="5470" xr3:uid="{0495A831-3992-400E-B3E6-408050536AEE}" name="Columna5464" dataDxfId="10948"/>
    <tableColumn id="5471" xr3:uid="{0FEA68E8-E4A3-487A-BBC6-7479AD63E8A2}" name="Columna5465" dataDxfId="10947"/>
    <tableColumn id="5472" xr3:uid="{09CA53CB-D142-4198-A1EB-77EFC0A59E6B}" name="Columna5466" dataDxfId="10946"/>
    <tableColumn id="5473" xr3:uid="{E7059CC4-6BD2-45EE-83C0-D255026558EF}" name="Columna5467" dataDxfId="10945"/>
    <tableColumn id="5474" xr3:uid="{0F6E9FB8-7975-49AC-A6EC-D01CBD78EA16}" name="Columna5468" dataDxfId="10944"/>
    <tableColumn id="5475" xr3:uid="{A4442757-1EF5-4AEB-ABB8-01B6F3074AC4}" name="Columna5469" dataDxfId="10943"/>
    <tableColumn id="5476" xr3:uid="{F43BB783-E61D-478D-8C5E-0EC363DD9232}" name="Columna5470" dataDxfId="10942"/>
    <tableColumn id="5477" xr3:uid="{592E46AF-91E3-4741-944B-05F73F458F19}" name="Columna5471" dataDxfId="10941"/>
    <tableColumn id="5478" xr3:uid="{09A22F4C-8ED1-4682-B424-0E98B7EA56CF}" name="Columna5472" dataDxfId="10940"/>
    <tableColumn id="5479" xr3:uid="{C747937F-8F3F-4735-B7B0-D40676B9A093}" name="Columna5473" dataDxfId="10939"/>
    <tableColumn id="5480" xr3:uid="{4F380FDA-42BC-4441-BD43-4638D70E9C8C}" name="Columna5474" dataDxfId="10938"/>
    <tableColumn id="5481" xr3:uid="{53CD116F-8594-4F82-B113-C7219DC198F1}" name="Columna5475" dataDxfId="10937"/>
    <tableColumn id="5482" xr3:uid="{E50A0F8E-7FD4-46E8-842E-C5BE1D3A74BC}" name="Columna5476" dataDxfId="10936"/>
    <tableColumn id="5483" xr3:uid="{5ED83957-6310-4B95-88D1-106F8A06AA4B}" name="Columna5477" dataDxfId="10935"/>
    <tableColumn id="5484" xr3:uid="{BD14A324-767C-42CE-A4DA-DE2768089FF4}" name="Columna5478" dataDxfId="10934"/>
    <tableColumn id="5485" xr3:uid="{2FDFA903-2F6B-40DF-8CE5-4E95DB2B07F7}" name="Columna5479" dataDxfId="10933"/>
    <tableColumn id="5486" xr3:uid="{D8687198-2C49-486A-BB7C-B8F16D82EB4A}" name="Columna5480" dataDxfId="10932"/>
    <tableColumn id="5487" xr3:uid="{3E666D12-6349-4628-9DC5-2366A149B82C}" name="Columna5481" dataDxfId="10931"/>
    <tableColumn id="5488" xr3:uid="{154FBE11-5E34-468F-8A2C-6E584C6E2FD3}" name="Columna5482" dataDxfId="10930"/>
    <tableColumn id="5489" xr3:uid="{66E6D0E0-1D73-429D-81B2-92974914DD58}" name="Columna5483" dataDxfId="10929"/>
    <tableColumn id="5490" xr3:uid="{166CBB25-54D0-4D36-8D6C-5741EE85DEFA}" name="Columna5484" dataDxfId="10928"/>
    <tableColumn id="5491" xr3:uid="{643FCC38-6FCE-47FA-977E-9BA8F29E51BA}" name="Columna5485" dataDxfId="10927"/>
    <tableColumn id="5492" xr3:uid="{A5335A41-FFC7-4A57-A647-74DF572F2652}" name="Columna5486" dataDxfId="10926"/>
    <tableColumn id="5493" xr3:uid="{CFAA79E6-96E2-4D9A-B902-293B80DA5C35}" name="Columna5487" dataDxfId="10925"/>
    <tableColumn id="5494" xr3:uid="{1567762A-1E42-4CC1-9A82-90B3EC2395A7}" name="Columna5488" dataDxfId="10924"/>
    <tableColumn id="5495" xr3:uid="{1B163A5D-88E2-42C6-809B-D9E511947E3A}" name="Columna5489" dataDxfId="10923"/>
    <tableColumn id="5496" xr3:uid="{0BA2DEE6-B770-4AA9-BBA9-BC84EDF2F17F}" name="Columna5490" dataDxfId="10922"/>
    <tableColumn id="5497" xr3:uid="{339B7012-D1D8-453B-8AAE-DE7CBC1CAB7B}" name="Columna5491" dataDxfId="10921"/>
    <tableColumn id="5498" xr3:uid="{1895DAC6-DE19-4D17-A856-33648B9A3584}" name="Columna5492" dataDxfId="10920"/>
    <tableColumn id="5499" xr3:uid="{3DE380B3-C0F1-4CD5-B2BE-101B18ADA855}" name="Columna5493" dataDxfId="10919"/>
    <tableColumn id="5500" xr3:uid="{1AE9B8E7-EF6A-4388-9DD2-47F88C81F2AB}" name="Columna5494" dataDxfId="10918"/>
    <tableColumn id="5501" xr3:uid="{062DA48B-29A5-4958-A2DD-91757CD94619}" name="Columna5495" dataDxfId="10917"/>
    <tableColumn id="5502" xr3:uid="{3CBD99DD-E0DA-486F-92D1-EB754F06961C}" name="Columna5496" dataDxfId="10916"/>
    <tableColumn id="5503" xr3:uid="{91AD238C-B1C9-44B8-B1A6-E299E86F67C3}" name="Columna5497" dataDxfId="10915"/>
    <tableColumn id="5504" xr3:uid="{58FE345A-0F15-4E55-882D-4A864E8FF479}" name="Columna5498" dataDxfId="10914"/>
    <tableColumn id="5505" xr3:uid="{210C4F4E-614E-4B12-9677-F507B2FC8E7F}" name="Columna5499" dataDxfId="10913"/>
    <tableColumn id="5506" xr3:uid="{FAD4156A-49F0-4710-93CD-8D8C9900A766}" name="Columna5500" dataDxfId="10912"/>
    <tableColumn id="5507" xr3:uid="{9ACC79CA-C9CB-4D27-A6B2-C19B0F09CAE0}" name="Columna5501" dataDxfId="10911"/>
    <tableColumn id="5508" xr3:uid="{75513E80-EBC1-4A78-92B1-A6EBDFC809F8}" name="Columna5502" dataDxfId="10910"/>
    <tableColumn id="5509" xr3:uid="{59A01153-5023-4E82-9484-3109665F3316}" name="Columna5503" dataDxfId="10909"/>
    <tableColumn id="5510" xr3:uid="{44DA9C5A-2440-4497-B115-B1040A55B90B}" name="Columna5504" dataDxfId="10908"/>
    <tableColumn id="5511" xr3:uid="{2B51BFCB-5F15-4487-8228-E6A2B000E50A}" name="Columna5505" dataDxfId="10907"/>
    <tableColumn id="5512" xr3:uid="{69F3F969-469E-4EBF-9FF9-0BE32BC0A8E0}" name="Columna5506" dataDxfId="10906"/>
    <tableColumn id="5513" xr3:uid="{9C15D0E9-2A7B-4F80-8E1A-2738394F967E}" name="Columna5507" dataDxfId="10905"/>
    <tableColumn id="5514" xr3:uid="{6EC272D4-40E2-4509-9E26-4CD6C16C78E9}" name="Columna5508" dataDxfId="10904"/>
    <tableColumn id="5515" xr3:uid="{47EE6BFA-5777-4B75-948D-0FD796B13BDE}" name="Columna5509" dataDxfId="10903"/>
    <tableColumn id="5516" xr3:uid="{685A7CB9-0C40-4B63-8CF5-66F579B3050A}" name="Columna5510" dataDxfId="10902"/>
    <tableColumn id="5517" xr3:uid="{15D8E77E-94DB-4C26-B3B9-000056F05AD0}" name="Columna5511" dataDxfId="10901"/>
    <tableColumn id="5518" xr3:uid="{B2C18EEE-E98A-4570-B41E-67316CEA464C}" name="Columna5512" dataDxfId="10900"/>
    <tableColumn id="5519" xr3:uid="{1F44BDC5-9432-478A-8268-D3EB69E8890E}" name="Columna5513" dataDxfId="10899"/>
    <tableColumn id="5520" xr3:uid="{5C31CC43-B00C-4B7F-81FC-FDE15089AEC5}" name="Columna5514" dataDxfId="10898"/>
    <tableColumn id="5521" xr3:uid="{A2CE044F-747B-49CC-98B6-05EB6030FB56}" name="Columna5515" dataDxfId="10897"/>
    <tableColumn id="5522" xr3:uid="{70E1A532-1EA9-417A-A70E-24481B63DAB0}" name="Columna5516" dataDxfId="10896"/>
    <tableColumn id="5523" xr3:uid="{E0592D17-5EA8-4986-B2AA-61F020ECAD76}" name="Columna5517" dataDxfId="10895"/>
    <tableColumn id="5524" xr3:uid="{9AEC5887-486F-43B2-A808-8BA9CF622EF5}" name="Columna5518" dataDxfId="10894"/>
    <tableColumn id="5525" xr3:uid="{1C114CDE-3C39-46C8-ADDE-EA38017ACAA6}" name="Columna5519" dataDxfId="10893"/>
    <tableColumn id="5526" xr3:uid="{540D1FA2-E0D9-4819-B4C9-79FC2CC164B2}" name="Columna5520" dataDxfId="10892"/>
    <tableColumn id="5527" xr3:uid="{D1D8E701-4C31-4DD0-85C1-C2FD75A440AA}" name="Columna5521" dataDxfId="10891"/>
    <tableColumn id="5528" xr3:uid="{206ED611-E638-4270-858E-D75F6D1AA186}" name="Columna5522" dataDxfId="10890"/>
    <tableColumn id="5529" xr3:uid="{345F13E6-54FC-479C-BA89-8F872A010814}" name="Columna5523" dataDxfId="10889"/>
    <tableColumn id="5530" xr3:uid="{0E33EDED-5E9E-4739-B5A8-DE209742AE71}" name="Columna5524" dataDxfId="10888"/>
    <tableColumn id="5531" xr3:uid="{992EBA31-3795-471E-8A64-A8DEA103C50E}" name="Columna5525" dataDxfId="10887"/>
    <tableColumn id="5532" xr3:uid="{196C3896-12A4-49EC-BF46-41FBFC955C74}" name="Columna5526" dataDxfId="10886"/>
    <tableColumn id="5533" xr3:uid="{37F5EAAE-F828-4200-B743-572003A5568E}" name="Columna5527" dataDxfId="10885"/>
    <tableColumn id="5534" xr3:uid="{FD5D1756-249C-470F-B05B-F6FCFC45525C}" name="Columna5528" dataDxfId="10884"/>
    <tableColumn id="5535" xr3:uid="{BBD713C3-8F54-44A2-A81B-E0DB86B83CD7}" name="Columna5529" dataDxfId="10883"/>
    <tableColumn id="5536" xr3:uid="{9A4DD559-1786-4E7F-9080-6B2F9DF84138}" name="Columna5530" dataDxfId="10882"/>
    <tableColumn id="5537" xr3:uid="{9A3F5580-ADAC-4F4D-8DBB-72AC7DE346C7}" name="Columna5531" dataDxfId="10881"/>
    <tableColumn id="5538" xr3:uid="{0B91C233-8CDB-4ED1-ADB1-923410471F17}" name="Columna5532" dataDxfId="10880"/>
    <tableColumn id="5539" xr3:uid="{C16767C8-A40C-426A-8BE0-382B95A2059F}" name="Columna5533" dataDxfId="10879"/>
    <tableColumn id="5540" xr3:uid="{6F719BEF-C2C6-4F71-A460-0589D538505C}" name="Columna5534" dataDxfId="10878"/>
    <tableColumn id="5541" xr3:uid="{5BC5FAC0-FFE3-4FB6-8A26-6D7CB3459263}" name="Columna5535" dataDxfId="10877"/>
    <tableColumn id="5542" xr3:uid="{F2241D84-2893-4DC6-B656-6D544C171150}" name="Columna5536" dataDxfId="10876"/>
    <tableColumn id="5543" xr3:uid="{054DAFDA-C442-46DF-ACFA-893549A1D86A}" name="Columna5537" dataDxfId="10875"/>
    <tableColumn id="5544" xr3:uid="{BCF28896-7876-4963-AF7B-FA917F012157}" name="Columna5538" dataDxfId="10874"/>
    <tableColumn id="5545" xr3:uid="{E9BD31DE-96F8-4958-8FD5-912CA72F64FF}" name="Columna5539" dataDxfId="10873"/>
    <tableColumn id="5546" xr3:uid="{9CDC1A31-8B5F-4A55-BCC1-3FFC884D4984}" name="Columna5540" dataDxfId="10872"/>
    <tableColumn id="5547" xr3:uid="{DFF323B8-1867-488E-97F3-4119EA40C3B5}" name="Columna5541" dataDxfId="10871"/>
    <tableColumn id="5548" xr3:uid="{CB9D9288-5D8B-41F9-920F-06C162788512}" name="Columna5542" dataDxfId="10870"/>
    <tableColumn id="5549" xr3:uid="{DF760074-6FC3-46EA-8BB1-A3D5AFBEFE6C}" name="Columna5543" dataDxfId="10869"/>
    <tableColumn id="5550" xr3:uid="{FD6CA7BB-C194-4FC3-A7BE-68C165F2788E}" name="Columna5544" dataDxfId="10868"/>
    <tableColumn id="5551" xr3:uid="{2009B9CB-9EB0-439C-9EAE-19A8D732E127}" name="Columna5545" dataDxfId="10867"/>
    <tableColumn id="5552" xr3:uid="{DB223DD4-1782-4E2A-A6A6-12738B17D9B2}" name="Columna5546" dataDxfId="10866"/>
    <tableColumn id="5553" xr3:uid="{D5EE639C-19F5-48A6-9672-706CDE8F38D4}" name="Columna5547" dataDxfId="10865"/>
    <tableColumn id="5554" xr3:uid="{F8705DFF-AB4D-47FF-8A95-C449D348A6D1}" name="Columna5548" dataDxfId="10864"/>
    <tableColumn id="5555" xr3:uid="{1F3B515D-E2A9-4E12-9D12-118C0BC181E1}" name="Columna5549" dataDxfId="10863"/>
    <tableColumn id="5556" xr3:uid="{221B4784-6FB1-4D6D-8A57-969F2D623D8D}" name="Columna5550" dataDxfId="10862"/>
    <tableColumn id="5557" xr3:uid="{24F0C888-4A82-4BE5-840F-118B85A76FB3}" name="Columna5551" dataDxfId="10861"/>
    <tableColumn id="5558" xr3:uid="{E3C50DC6-9D1A-4FC2-8AAB-9A40B86DEBDE}" name="Columna5552" dataDxfId="10860"/>
    <tableColumn id="5559" xr3:uid="{331FD01A-56C1-4363-98E2-E002EAEDD9AA}" name="Columna5553" dataDxfId="10859"/>
    <tableColumn id="5560" xr3:uid="{5554DD3E-A2CB-4ED6-AA8B-50B8318759DE}" name="Columna5554" dataDxfId="10858"/>
    <tableColumn id="5561" xr3:uid="{1723A70B-1C2C-4261-A900-32E81A472C1F}" name="Columna5555" dataDxfId="10857"/>
    <tableColumn id="5562" xr3:uid="{56C57D82-B068-4A7A-B711-F84B888A0822}" name="Columna5556" dataDxfId="10856"/>
    <tableColumn id="5563" xr3:uid="{3BC068AE-AC78-4749-9B63-8F8C93ABFB71}" name="Columna5557" dataDxfId="10855"/>
    <tableColumn id="5564" xr3:uid="{B47AE7A1-4CB9-4FDE-9892-7B407C778356}" name="Columna5558" dataDxfId="10854"/>
    <tableColumn id="5565" xr3:uid="{60C82DCC-B3B9-46A0-ABBE-96FFBAB16D07}" name="Columna5559" dataDxfId="10853"/>
    <tableColumn id="5566" xr3:uid="{C7B05C4A-FB6F-4824-B2F0-FC3F0E6B34AC}" name="Columna5560" dataDxfId="10852"/>
    <tableColumn id="5567" xr3:uid="{971BF1C4-B719-4EA2-A187-DBDC2E8002F7}" name="Columna5561" dataDxfId="10851"/>
    <tableColumn id="5568" xr3:uid="{77A8F6D6-C776-4059-ADA9-82BE5E37CE99}" name="Columna5562" dataDxfId="10850"/>
    <tableColumn id="5569" xr3:uid="{B2A653B6-FC13-4415-A5AB-79BF883DBE44}" name="Columna5563" dataDxfId="10849"/>
    <tableColumn id="5570" xr3:uid="{9A9F6F8B-4A5E-4093-A6B8-FC8FCDC1A58E}" name="Columna5564" dataDxfId="10848"/>
    <tableColumn id="5571" xr3:uid="{BCC2AD6B-472F-49E2-9C9F-35F2C4B141F2}" name="Columna5565" dataDxfId="10847"/>
    <tableColumn id="5572" xr3:uid="{CABCABED-9660-4C9A-9844-36CA68945E03}" name="Columna5566" dataDxfId="10846"/>
    <tableColumn id="5573" xr3:uid="{98F3F218-C265-4C6B-9F8A-C3BE2E453BB6}" name="Columna5567" dataDxfId="10845"/>
    <tableColumn id="5574" xr3:uid="{087CCA48-5C41-4C04-9B7A-2D4F05AF4069}" name="Columna5568" dataDxfId="10844"/>
    <tableColumn id="5575" xr3:uid="{54CB5316-8C00-47A5-A991-E680EFC454F0}" name="Columna5569" dataDxfId="10843"/>
    <tableColumn id="5576" xr3:uid="{512DB843-91CC-4A13-AB31-50657FC479AF}" name="Columna5570" dataDxfId="10842"/>
    <tableColumn id="5577" xr3:uid="{2B5CCE5B-11BC-4E18-8C6C-45BB37631FD5}" name="Columna5571" dataDxfId="10841"/>
    <tableColumn id="5578" xr3:uid="{FAC237B6-D102-4D7D-9705-77DDD0BCF484}" name="Columna5572" dataDxfId="10840"/>
    <tableColumn id="5579" xr3:uid="{B227C130-A131-4E00-B968-E2230E1A3AC6}" name="Columna5573" dataDxfId="10839"/>
    <tableColumn id="5580" xr3:uid="{503A961C-FFD4-4B5A-907D-BFE9864E806F}" name="Columna5574" dataDxfId="10838"/>
    <tableColumn id="5581" xr3:uid="{4576F42B-4BF8-49AD-8E26-754B513CA2F4}" name="Columna5575" dataDxfId="10837"/>
    <tableColumn id="5582" xr3:uid="{05FB8950-8217-495E-87B9-3E8E739E6C98}" name="Columna5576" dataDxfId="10836"/>
    <tableColumn id="5583" xr3:uid="{54DAD0D9-CB1B-46A2-8738-4BA726331B49}" name="Columna5577" dataDxfId="10835"/>
    <tableColumn id="5584" xr3:uid="{82D02432-FD8D-4679-9129-FADDA54DD949}" name="Columna5578" dataDxfId="10834"/>
    <tableColumn id="5585" xr3:uid="{2F69D1EC-437D-41B4-A994-8829D3910398}" name="Columna5579" dataDxfId="10833"/>
    <tableColumn id="5586" xr3:uid="{DA125329-4225-4223-A5AA-BE4F08F6CAE5}" name="Columna5580" dataDxfId="10832"/>
    <tableColumn id="5587" xr3:uid="{90A9BB67-B3FC-4044-AFE9-E98FD5F70CC7}" name="Columna5581" dataDxfId="10831"/>
    <tableColumn id="5588" xr3:uid="{A0891410-F345-4A8E-A5E3-038FD91566E3}" name="Columna5582" dataDxfId="10830"/>
    <tableColumn id="5589" xr3:uid="{1F0AB2C2-7398-426E-97AC-C6203D638293}" name="Columna5583" dataDxfId="10829"/>
    <tableColumn id="5590" xr3:uid="{1D2CF974-C757-4573-AA75-8130A1F7C783}" name="Columna5584" dataDxfId="10828"/>
    <tableColumn id="5591" xr3:uid="{7E600031-1759-495E-94F3-1C57FEFA08BD}" name="Columna5585" dataDxfId="10827"/>
    <tableColumn id="5592" xr3:uid="{F5A7818B-021D-409D-822B-30C237EE5909}" name="Columna5586" dataDxfId="10826"/>
    <tableColumn id="5593" xr3:uid="{E92EA399-1BAD-48D2-A7A2-827F6CB8C4FB}" name="Columna5587" dataDxfId="10825"/>
    <tableColumn id="5594" xr3:uid="{60F82902-A567-4755-BF7E-F12B37C43B80}" name="Columna5588" dataDxfId="10824"/>
    <tableColumn id="5595" xr3:uid="{4F385F02-E796-402B-877A-09D218E2FAA4}" name="Columna5589" dataDxfId="10823"/>
    <tableColumn id="5596" xr3:uid="{B2CB4EB6-A72A-478B-9D6B-79C01B849AA8}" name="Columna5590" dataDxfId="10822"/>
    <tableColumn id="5597" xr3:uid="{EFE3EFF7-6C36-43A2-90BC-4DAB54E1F1B5}" name="Columna5591" dataDxfId="10821"/>
    <tableColumn id="5598" xr3:uid="{1C3A1DBD-FC79-4C03-9EF3-D381AA92A911}" name="Columna5592" dataDxfId="10820"/>
    <tableColumn id="5599" xr3:uid="{490DAFEA-2A22-44B1-AF6B-18E54A9AA672}" name="Columna5593" dataDxfId="10819"/>
    <tableColumn id="5600" xr3:uid="{512DDF48-FD61-4DAB-9236-DB85F4F486BB}" name="Columna5594" dataDxfId="10818"/>
    <tableColumn id="5601" xr3:uid="{318E8A30-CA07-4909-B9CD-C303ABE7A30E}" name="Columna5595" dataDxfId="10817"/>
    <tableColumn id="5602" xr3:uid="{B7D3A180-45DF-4227-BAF5-D5CA70495D17}" name="Columna5596" dataDxfId="10816"/>
    <tableColumn id="5603" xr3:uid="{374393A2-DB18-46ED-9741-AE0A39CE9E4B}" name="Columna5597" dataDxfId="10815"/>
    <tableColumn id="5604" xr3:uid="{68541C5D-C7F8-4C3D-A12A-CFA8860FBED9}" name="Columna5598" dataDxfId="10814"/>
    <tableColumn id="5605" xr3:uid="{CA20A129-25B1-4647-BBD4-1B2AF296C9A5}" name="Columna5599" dataDxfId="10813"/>
    <tableColumn id="5606" xr3:uid="{C2B03341-A181-45FF-8364-9C2483260C82}" name="Columna5600" dataDxfId="10812"/>
    <tableColumn id="5607" xr3:uid="{C85E2099-9282-47B9-9A78-66A49AE500A0}" name="Columna5601" dataDxfId="10811"/>
    <tableColumn id="5608" xr3:uid="{AEE1B9CD-B68E-452F-BC2F-4B20190BD251}" name="Columna5602" dataDxfId="10810"/>
    <tableColumn id="5609" xr3:uid="{0E361442-2C5D-4678-8813-A988A09E0D2A}" name="Columna5603" dataDxfId="10809"/>
    <tableColumn id="5610" xr3:uid="{439EF992-EBA2-4289-A3ED-056F4CDCCBD3}" name="Columna5604" dataDxfId="10808"/>
    <tableColumn id="5611" xr3:uid="{563D40CF-CB8C-45CF-A293-37CA384CCF85}" name="Columna5605" dataDxfId="10807"/>
    <tableColumn id="5612" xr3:uid="{FA81F1A8-855E-4EC4-B1E1-C8B492397170}" name="Columna5606" dataDxfId="10806"/>
    <tableColumn id="5613" xr3:uid="{CB011E39-F573-495C-9692-8BAF7309E5D6}" name="Columna5607" dataDxfId="10805"/>
    <tableColumn id="5614" xr3:uid="{3F992F82-C017-4D0D-8AC7-5CF2D1C09853}" name="Columna5608" dataDxfId="10804"/>
    <tableColumn id="5615" xr3:uid="{721C7D80-4AB6-4A6E-B377-3FE302139397}" name="Columna5609" dataDxfId="10803"/>
    <tableColumn id="5616" xr3:uid="{E42061EC-BA2C-4990-AAAB-CC3EC5FCEEBE}" name="Columna5610" dataDxfId="10802"/>
    <tableColumn id="5617" xr3:uid="{5D832DC3-AE38-4AB2-A706-4E2CB6DA201A}" name="Columna5611" dataDxfId="10801"/>
    <tableColumn id="5618" xr3:uid="{194EFB09-45D8-493C-9FD3-6916ADBFF290}" name="Columna5612" dataDxfId="10800"/>
    <tableColumn id="5619" xr3:uid="{4E10A1F1-FA85-4F8A-9F0F-80526126CAD7}" name="Columna5613" dataDxfId="10799"/>
    <tableColumn id="5620" xr3:uid="{7BD9CD70-AD3A-4B83-B87F-0C554DD5C2A0}" name="Columna5614" dataDxfId="10798"/>
    <tableColumn id="5621" xr3:uid="{C4A934F2-82A9-43EE-90CB-0083E88F2D39}" name="Columna5615" dataDxfId="10797"/>
    <tableColumn id="5622" xr3:uid="{16288BF2-6A5B-42BC-9C06-D6E768F284E0}" name="Columna5616" dataDxfId="10796"/>
    <tableColumn id="5623" xr3:uid="{EEAF8E9B-96CB-460A-B0B6-A16252DA61A6}" name="Columna5617" dataDxfId="10795"/>
    <tableColumn id="5624" xr3:uid="{A66D5CAC-2DB3-4E6A-900F-9AAA03CAC42F}" name="Columna5618" dataDxfId="10794"/>
    <tableColumn id="5625" xr3:uid="{4E96BCBA-7076-4A9C-8C23-97BD5B77A4CF}" name="Columna5619" dataDxfId="10793"/>
    <tableColumn id="5626" xr3:uid="{F61020BB-88BF-4A8C-AAC3-DDCD21230A95}" name="Columna5620" dataDxfId="10792"/>
    <tableColumn id="5627" xr3:uid="{831548A1-B74B-46D2-9D21-A7EA48F34FB2}" name="Columna5621" dataDxfId="10791"/>
    <tableColumn id="5628" xr3:uid="{97749EB3-C900-4D25-BBF0-1247CEC38F30}" name="Columna5622" dataDxfId="10790"/>
    <tableColumn id="5629" xr3:uid="{547E2717-A0FF-4245-9678-EC2C0E1B0ECA}" name="Columna5623" dataDxfId="10789"/>
    <tableColumn id="5630" xr3:uid="{C2BD6B8C-796C-4AFD-9D27-1B3A73C0BB37}" name="Columna5624" dataDxfId="10788"/>
    <tableColumn id="5631" xr3:uid="{E4C4816E-2927-4BEE-9D33-5E848AA9ADAE}" name="Columna5625" dataDxfId="10787"/>
    <tableColumn id="5632" xr3:uid="{38D092F8-C6AF-4CC6-8ABD-5A80504F7B91}" name="Columna5626" dataDxfId="10786"/>
    <tableColumn id="5633" xr3:uid="{5C75B745-EB38-4787-941D-06603D92794C}" name="Columna5627" dataDxfId="10785"/>
    <tableColumn id="5634" xr3:uid="{BF373F87-FC10-4533-AEEE-86DEAB156C57}" name="Columna5628" dataDxfId="10784"/>
    <tableColumn id="5635" xr3:uid="{D5F9E572-E881-46E2-B888-F13C336F9579}" name="Columna5629" dataDxfId="10783"/>
    <tableColumn id="5636" xr3:uid="{8144B629-DDE1-4DBA-A099-903D60A20215}" name="Columna5630" dataDxfId="10782"/>
    <tableColumn id="5637" xr3:uid="{22216885-52B9-4B4A-8595-ECA8B6A05896}" name="Columna5631" dataDxfId="10781"/>
    <tableColumn id="5638" xr3:uid="{D67589A9-A1CB-4049-8B76-07410976108E}" name="Columna5632" dataDxfId="10780"/>
    <tableColumn id="5639" xr3:uid="{B23426A5-36E1-4002-BD0F-6CC400FA1E56}" name="Columna5633" dataDxfId="10779"/>
    <tableColumn id="5640" xr3:uid="{1F7D7678-7B4F-45CB-95A0-B33EFFF762FE}" name="Columna5634" dataDxfId="10778"/>
    <tableColumn id="5641" xr3:uid="{922AF4FA-A605-4225-B15D-BFB2B2CD5967}" name="Columna5635" dataDxfId="10777"/>
    <tableColumn id="5642" xr3:uid="{27EC4E03-ADD3-4B8B-9318-54940093236B}" name="Columna5636" dataDxfId="10776"/>
    <tableColumn id="5643" xr3:uid="{34D72AA8-B112-4045-96A9-F3B93D4F96C0}" name="Columna5637" dataDxfId="10775"/>
    <tableColumn id="5644" xr3:uid="{96F18F8A-F77F-4858-BD0E-341EC86079BC}" name="Columna5638" dataDxfId="10774"/>
    <tableColumn id="5645" xr3:uid="{A968CBB1-8937-4459-ABFF-A675A11B2B01}" name="Columna5639" dataDxfId="10773"/>
    <tableColumn id="5646" xr3:uid="{82AA086E-435F-4627-A814-ED4B8ACF183D}" name="Columna5640" dataDxfId="10772"/>
    <tableColumn id="5647" xr3:uid="{93CB2132-2F3F-4F58-BB4C-A4CF8C9855AF}" name="Columna5641" dataDxfId="10771"/>
    <tableColumn id="5648" xr3:uid="{C985E7B7-FCD1-4069-885E-7053EE8D9C7A}" name="Columna5642" dataDxfId="10770"/>
    <tableColumn id="5649" xr3:uid="{9481D584-7117-4C50-AD6B-0D87371C4CFC}" name="Columna5643" dataDxfId="10769"/>
    <tableColumn id="5650" xr3:uid="{ABF46560-7FC9-40DA-8CB3-BCE38C95FADF}" name="Columna5644" dataDxfId="10768"/>
    <tableColumn id="5651" xr3:uid="{668C771E-7328-42AE-8350-428324AF2F12}" name="Columna5645" dataDxfId="10767"/>
    <tableColumn id="5652" xr3:uid="{FE7E4039-5E13-4484-A342-3A291CBEC35E}" name="Columna5646" dataDxfId="10766"/>
    <tableColumn id="5653" xr3:uid="{05263DED-BDAC-4546-A698-245CE57D9BA3}" name="Columna5647" dataDxfId="10765"/>
    <tableColumn id="5654" xr3:uid="{4A77908E-FA65-48D8-95F5-7CBA00337C7D}" name="Columna5648" dataDxfId="10764"/>
    <tableColumn id="5655" xr3:uid="{46DB0F16-663D-4441-8AE5-10C7EE167CC8}" name="Columna5649" dataDxfId="10763"/>
    <tableColumn id="5656" xr3:uid="{A6264D83-3C8A-4984-8C56-64D896F5561B}" name="Columna5650" dataDxfId="10762"/>
    <tableColumn id="5657" xr3:uid="{207665FB-367E-4C72-81D6-B84C680E9793}" name="Columna5651" dataDxfId="10761"/>
    <tableColumn id="5658" xr3:uid="{5F39EE9D-FE34-4508-A7BF-3CF9B9B617D2}" name="Columna5652" dataDxfId="10760"/>
    <tableColumn id="5659" xr3:uid="{A416975F-90EA-43A7-8AD5-21840DB6C9A8}" name="Columna5653" dataDxfId="10759"/>
    <tableColumn id="5660" xr3:uid="{17AF1203-585E-4CD1-AAF0-AF474C66C8A7}" name="Columna5654" dataDxfId="10758"/>
    <tableColumn id="5661" xr3:uid="{93A76E95-F5DF-4746-BC0D-B393AD446DC4}" name="Columna5655" dataDxfId="10757"/>
    <tableColumn id="5662" xr3:uid="{40FD3D0D-0FC5-4FF4-A2DF-833E3DA79617}" name="Columna5656" dataDxfId="10756"/>
    <tableColumn id="5663" xr3:uid="{7216ED5F-84E4-49CE-B24E-405E758869F1}" name="Columna5657" dataDxfId="10755"/>
    <tableColumn id="5664" xr3:uid="{9CC59180-61FE-4C76-82FE-A216C5EDD8BD}" name="Columna5658" dataDxfId="10754"/>
    <tableColumn id="5665" xr3:uid="{58D4DF5E-E0EA-48F7-A8A3-23A398DFD2F5}" name="Columna5659" dataDxfId="10753"/>
    <tableColumn id="5666" xr3:uid="{E59ABF4C-4A8C-4E63-A1F0-7DF6CBC8BE78}" name="Columna5660" dataDxfId="10752"/>
    <tableColumn id="5667" xr3:uid="{2621763F-BE1C-4ECE-B636-C5B4EF8FAE78}" name="Columna5661" dataDxfId="10751"/>
    <tableColumn id="5668" xr3:uid="{77583BB7-3622-406A-B352-6D75C7F7EB3E}" name="Columna5662" dataDxfId="10750"/>
    <tableColumn id="5669" xr3:uid="{2F2CD206-E893-483D-B0B8-759269AA801D}" name="Columna5663" dataDxfId="10749"/>
    <tableColumn id="5670" xr3:uid="{B9F6B86C-A373-474E-9A9A-DDE943DCC804}" name="Columna5664" dataDxfId="10748"/>
    <tableColumn id="5671" xr3:uid="{FA4354E7-EE82-49DA-A22A-34B2196C9BAD}" name="Columna5665" dataDxfId="10747"/>
    <tableColumn id="5672" xr3:uid="{F195E1A8-1A7B-4344-BF88-1D0F2FA03999}" name="Columna5666" dataDxfId="10746"/>
    <tableColumn id="5673" xr3:uid="{58CE8D61-2294-45CD-922C-DE519B4BBA97}" name="Columna5667" dataDxfId="10745"/>
    <tableColumn id="5674" xr3:uid="{46950CD4-DB41-4A2B-9923-9DF2184DCD2E}" name="Columna5668" dataDxfId="10744"/>
    <tableColumn id="5675" xr3:uid="{0EF52325-0EE1-409C-AD24-29CD2EE34DD8}" name="Columna5669" dataDxfId="10743"/>
    <tableColumn id="5676" xr3:uid="{D0EDF4D4-D86A-435E-9F47-9677F5C38DC2}" name="Columna5670" dataDxfId="10742"/>
    <tableColumn id="5677" xr3:uid="{74DBFFCC-12E9-44B6-B24D-F435A151E6CC}" name="Columna5671" dataDxfId="10741"/>
    <tableColumn id="5678" xr3:uid="{F73F4254-C5CA-41AF-87C0-C5A8D7BAEFBF}" name="Columna5672" dataDxfId="10740"/>
    <tableColumn id="5679" xr3:uid="{811492DF-5B2B-44D0-907B-E53C4359DBD6}" name="Columna5673" dataDxfId="10739"/>
    <tableColumn id="5680" xr3:uid="{03675BF3-8CA5-4C3A-9854-2A8485120409}" name="Columna5674" dataDxfId="10738"/>
    <tableColumn id="5681" xr3:uid="{34BFE02F-D6D5-4BA0-B116-4E21296EEF6E}" name="Columna5675" dataDxfId="10737"/>
    <tableColumn id="5682" xr3:uid="{DCA36C93-32F2-4803-AEC2-B7E449A983F0}" name="Columna5676" dataDxfId="10736"/>
    <tableColumn id="5683" xr3:uid="{842E7BFE-1807-4E6E-9FE4-39372A39AB87}" name="Columna5677" dataDxfId="10735"/>
    <tableColumn id="5684" xr3:uid="{185CF705-718E-4A0A-B5A3-25C43D6BFFBC}" name="Columna5678" dataDxfId="10734"/>
    <tableColumn id="5685" xr3:uid="{EE54926B-5792-4ABB-85DE-9320F18A2262}" name="Columna5679" dataDxfId="10733"/>
    <tableColumn id="5686" xr3:uid="{9CF2A8DE-11BB-4B6D-B731-B6B667683B50}" name="Columna5680" dataDxfId="10732"/>
    <tableColumn id="5687" xr3:uid="{6143D4A0-15C1-4D98-9BB1-931226153957}" name="Columna5681" dataDxfId="10731"/>
    <tableColumn id="5688" xr3:uid="{DD6EFE23-4CE4-48C2-B194-573636F26792}" name="Columna5682" dataDxfId="10730"/>
    <tableColumn id="5689" xr3:uid="{BCD7CBBF-9A54-4D0A-A174-73C68199E10A}" name="Columna5683" dataDxfId="10729"/>
    <tableColumn id="5690" xr3:uid="{84949013-BD48-4C69-8960-8776382F32D2}" name="Columna5684" dataDxfId="10728"/>
    <tableColumn id="5691" xr3:uid="{419EDCDA-0E3A-48F8-AB64-78DFD9FE09AF}" name="Columna5685" dataDxfId="10727"/>
    <tableColumn id="5692" xr3:uid="{9B402333-41F3-4AB1-9F45-1904FBDA59E1}" name="Columna5686" dataDxfId="10726"/>
    <tableColumn id="5693" xr3:uid="{A046CDD3-049F-450B-8196-15ACA49F0A22}" name="Columna5687" dataDxfId="10725"/>
    <tableColumn id="5694" xr3:uid="{32905370-2AE4-402E-B1E5-DCD897C39143}" name="Columna5688" dataDxfId="10724"/>
    <tableColumn id="5695" xr3:uid="{0F8E9F4E-D24F-4A36-AF36-E47AE516269A}" name="Columna5689" dataDxfId="10723"/>
    <tableColumn id="5696" xr3:uid="{D65BC40A-5886-4854-9D2B-FB765889177B}" name="Columna5690" dataDxfId="10722"/>
    <tableColumn id="5697" xr3:uid="{777160B7-1A6B-4F65-9F88-79B36920D541}" name="Columna5691" dataDxfId="10721"/>
    <tableColumn id="5698" xr3:uid="{DC80CA10-5118-4209-B961-47B7350D2D8E}" name="Columna5692" dataDxfId="10720"/>
    <tableColumn id="5699" xr3:uid="{3E39D31A-5BFD-42B9-98BB-D50D37AD9FC7}" name="Columna5693" dataDxfId="10719"/>
    <tableColumn id="5700" xr3:uid="{03D5773E-8DCE-4574-B080-94DF6BEE6477}" name="Columna5694" dataDxfId="10718"/>
    <tableColumn id="5701" xr3:uid="{F3637251-5153-448D-A259-17A14550181F}" name="Columna5695" dataDxfId="10717"/>
    <tableColumn id="5702" xr3:uid="{E6958D63-4FA4-4603-A04E-3CA0145282A9}" name="Columna5696" dataDxfId="10716"/>
    <tableColumn id="5703" xr3:uid="{5A794198-4ABA-4EDB-A5A2-990F6DD480EA}" name="Columna5697" dataDxfId="10715"/>
    <tableColumn id="5704" xr3:uid="{AFC2C961-465A-4BE8-960D-2329DFF81746}" name="Columna5698" dataDxfId="10714"/>
    <tableColumn id="5705" xr3:uid="{A86CD4C5-9192-4D8F-B520-53FFE2381A2F}" name="Columna5699" dataDxfId="10713"/>
    <tableColumn id="5706" xr3:uid="{785CFC5F-A151-46D0-9DCE-A8598B592510}" name="Columna5700" dataDxfId="10712"/>
    <tableColumn id="5707" xr3:uid="{98428D4E-0E81-44AB-AC2E-2EB8AE173655}" name="Columna5701" dataDxfId="10711"/>
    <tableColumn id="5708" xr3:uid="{497F115B-8655-481B-88BA-80E579F59568}" name="Columna5702" dataDxfId="10710"/>
    <tableColumn id="5709" xr3:uid="{5674D225-4FDB-43BF-8EB2-CFC48A9CC156}" name="Columna5703" dataDxfId="10709"/>
    <tableColumn id="5710" xr3:uid="{0E5E0ED5-5AAD-427B-B163-C881816BD41A}" name="Columna5704" dataDxfId="10708"/>
    <tableColumn id="5711" xr3:uid="{8684DB3C-8BED-4EB4-85E9-E8F1B8F5BD2D}" name="Columna5705" dataDxfId="10707"/>
    <tableColumn id="5712" xr3:uid="{DFF86AC5-4708-4EB3-BFA7-EFF699D23B06}" name="Columna5706" dataDxfId="10706"/>
    <tableColumn id="5713" xr3:uid="{D6107D67-0754-4B28-BF50-BAD7ECE6B1E5}" name="Columna5707" dataDxfId="10705"/>
    <tableColumn id="5714" xr3:uid="{FFF5AB68-E406-47D3-A331-3BFCD6AA0F8A}" name="Columna5708" dataDxfId="10704"/>
    <tableColumn id="5715" xr3:uid="{24DD4704-6344-4BC8-A6B4-5E43E33C9F72}" name="Columna5709" dataDxfId="10703"/>
    <tableColumn id="5716" xr3:uid="{5A7A7DBB-0CB7-44E9-81E6-69DF6519E80A}" name="Columna5710" dataDxfId="10702"/>
    <tableColumn id="5717" xr3:uid="{3DCD2035-A28F-42E4-9461-841D3AB82229}" name="Columna5711" dataDxfId="10701"/>
    <tableColumn id="5718" xr3:uid="{8D177EFA-D5E2-4202-B800-D00249ACBDEB}" name="Columna5712" dataDxfId="10700"/>
    <tableColumn id="5719" xr3:uid="{E2872748-8959-49C6-B6CE-BBC73AED0FFB}" name="Columna5713" dataDxfId="10699"/>
    <tableColumn id="5720" xr3:uid="{A797D35D-440F-42E4-BC77-CEFADE446087}" name="Columna5714" dataDxfId="10698"/>
    <tableColumn id="5721" xr3:uid="{55038599-31D2-413C-882F-4B4507F0AF81}" name="Columna5715" dataDxfId="10697"/>
    <tableColumn id="5722" xr3:uid="{465603D1-82A1-4A87-86E0-54CCF486CA18}" name="Columna5716" dataDxfId="10696"/>
    <tableColumn id="5723" xr3:uid="{81F0160D-9819-4F2F-8A80-84F6802383C4}" name="Columna5717" dataDxfId="10695"/>
    <tableColumn id="5724" xr3:uid="{419258B6-D57D-429D-9AC0-4DE0BC14DE57}" name="Columna5718" dataDxfId="10694"/>
    <tableColumn id="5725" xr3:uid="{B3AE15D5-254E-42D9-A1FC-E6B6227825C0}" name="Columna5719" dataDxfId="10693"/>
    <tableColumn id="5726" xr3:uid="{93A5DA66-886B-4710-A663-D05AE0B8B6D8}" name="Columna5720" dataDxfId="10692"/>
    <tableColumn id="5727" xr3:uid="{77D6AF82-6186-4241-ACBB-B053E5F6BE97}" name="Columna5721" dataDxfId="10691"/>
    <tableColumn id="5728" xr3:uid="{8F5FD43D-AD12-41BE-A2B0-2D0E09093309}" name="Columna5722" dataDxfId="10690"/>
    <tableColumn id="5729" xr3:uid="{24668D42-45ED-4090-91DA-FF36ED74720A}" name="Columna5723" dataDxfId="10689"/>
    <tableColumn id="5730" xr3:uid="{D0187529-6F23-4E23-8D29-FCE17C5DE5E2}" name="Columna5724" dataDxfId="10688"/>
    <tableColumn id="5731" xr3:uid="{8C900E45-29B5-4FE1-9D83-AD9F2238104B}" name="Columna5725" dataDxfId="10687"/>
    <tableColumn id="5732" xr3:uid="{884BDB1A-D981-4D7A-8631-9EA975DB07A2}" name="Columna5726" dataDxfId="10686"/>
    <tableColumn id="5733" xr3:uid="{A12A037B-D70A-4259-8A24-57160DC0183A}" name="Columna5727" dataDxfId="10685"/>
    <tableColumn id="5734" xr3:uid="{E148AA85-E027-46DC-98BF-67EE3112C860}" name="Columna5728" dataDxfId="10684"/>
    <tableColumn id="5735" xr3:uid="{E73ECF95-4095-4E60-96B2-83A21FDFA1BB}" name="Columna5729" dataDxfId="10683"/>
    <tableColumn id="5736" xr3:uid="{3740576B-A50C-48D2-BF11-3270841A877E}" name="Columna5730" dataDxfId="10682"/>
    <tableColumn id="5737" xr3:uid="{839CB83B-915F-4749-81FE-7743D31448A9}" name="Columna5731" dataDxfId="10681"/>
    <tableColumn id="5738" xr3:uid="{FF8A14AA-F942-471D-95C9-755AB4D34312}" name="Columna5732" dataDxfId="10680"/>
    <tableColumn id="5739" xr3:uid="{23428637-C387-4B54-95F9-43140BDD061F}" name="Columna5733" dataDxfId="10679"/>
    <tableColumn id="5740" xr3:uid="{698A01FD-D34C-48CB-8890-AE21263EEA96}" name="Columna5734" dataDxfId="10678"/>
    <tableColumn id="5741" xr3:uid="{75A54898-9E9F-4325-97C4-17EBCD4D03E9}" name="Columna5735" dataDxfId="10677"/>
    <tableColumn id="5742" xr3:uid="{C576D05C-9A95-4DAA-A8C9-D68F44AFE658}" name="Columna5736" dataDxfId="10676"/>
    <tableColumn id="5743" xr3:uid="{3BAB3412-A86E-47BF-A21A-3FD9CDCCBAFF}" name="Columna5737" dataDxfId="10675"/>
    <tableColumn id="5744" xr3:uid="{A00FEFEA-47B9-40D8-827D-327D7E89A3AF}" name="Columna5738" dataDxfId="10674"/>
    <tableColumn id="5745" xr3:uid="{BC7198F2-E831-4FF7-BE5B-C6210A21C657}" name="Columna5739" dataDxfId="10673"/>
    <tableColumn id="5746" xr3:uid="{EF8DF8D8-D5CC-4709-AD20-050AD24DEA36}" name="Columna5740" dataDxfId="10672"/>
    <tableColumn id="5747" xr3:uid="{78EA41BE-3F56-417B-9D95-4EEB379950FA}" name="Columna5741" dataDxfId="10671"/>
    <tableColumn id="5748" xr3:uid="{467B2D9D-1EA0-4946-A341-B1B746CD5D0B}" name="Columna5742" dataDxfId="10670"/>
    <tableColumn id="5749" xr3:uid="{222129EA-42ED-4767-8A05-9E934615C627}" name="Columna5743" dataDxfId="10669"/>
    <tableColumn id="5750" xr3:uid="{F176F01C-E031-41B3-9469-5FBA7B7F7585}" name="Columna5744" dataDxfId="10668"/>
    <tableColumn id="5751" xr3:uid="{26C5A7E8-C16F-45D7-8E18-A89434183FE4}" name="Columna5745" dataDxfId="10667"/>
    <tableColumn id="5752" xr3:uid="{B69F54E3-0E87-476F-ABB2-C9BF3EC2AE73}" name="Columna5746" dataDxfId="10666"/>
    <tableColumn id="5753" xr3:uid="{470231F4-C986-4A99-8286-2ECC386A438A}" name="Columna5747" dataDxfId="10665"/>
    <tableColumn id="5754" xr3:uid="{C933AC80-CF26-4215-A0C8-5A06CB595520}" name="Columna5748" dataDxfId="10664"/>
    <tableColumn id="5755" xr3:uid="{ABBB5148-E776-427B-967C-483A2365CCC6}" name="Columna5749" dataDxfId="10663"/>
    <tableColumn id="5756" xr3:uid="{A5661F63-4E29-4CFD-9BF6-70D886AA1876}" name="Columna5750" dataDxfId="10662"/>
    <tableColumn id="5757" xr3:uid="{25D32C7C-556A-43C9-B4D7-6EBD817D852B}" name="Columna5751" dataDxfId="10661"/>
    <tableColumn id="5758" xr3:uid="{B1B7F7FB-1DF4-4AA3-A1AF-1D5AA13D58AB}" name="Columna5752" dataDxfId="10660"/>
    <tableColumn id="5759" xr3:uid="{46229BDD-D58A-4595-99C0-DDCD87AF8C67}" name="Columna5753" dataDxfId="10659"/>
    <tableColumn id="5760" xr3:uid="{1FA90F25-44AA-4F9B-A258-2EA89882F4C4}" name="Columna5754" dataDxfId="10658"/>
    <tableColumn id="5761" xr3:uid="{8C3472A6-8C18-41E1-893D-1F3EFE0B7242}" name="Columna5755" dataDxfId="10657"/>
    <tableColumn id="5762" xr3:uid="{C08D1565-7B50-4090-8C63-132D5922B737}" name="Columna5756" dataDxfId="10656"/>
    <tableColumn id="5763" xr3:uid="{2A0658F4-432F-43E8-93BE-9EA753CEDBE0}" name="Columna5757" dataDxfId="10655"/>
    <tableColumn id="5764" xr3:uid="{A01983BE-D220-4F12-981B-3A7E16DCA1BC}" name="Columna5758" dataDxfId="10654"/>
    <tableColumn id="5765" xr3:uid="{D47985C2-CBC7-49E9-B1C9-315748A5632B}" name="Columna5759" dataDxfId="10653"/>
    <tableColumn id="5766" xr3:uid="{9F348C5D-E4E0-4E40-9458-65FF1C1BB0D5}" name="Columna5760" dataDxfId="10652"/>
    <tableColumn id="5767" xr3:uid="{2C7B9F67-3D4B-4293-8E42-19796B70DDC5}" name="Columna5761" dataDxfId="10651"/>
    <tableColumn id="5768" xr3:uid="{50FF9888-1285-4AE9-AD78-77B04F691E0B}" name="Columna5762" dataDxfId="10650"/>
    <tableColumn id="5769" xr3:uid="{9A34ADC5-8B4E-4177-A42B-B3D1F6FA653B}" name="Columna5763" dataDxfId="10649"/>
    <tableColumn id="5770" xr3:uid="{75C65586-6C76-434B-97E4-682A5618F6DC}" name="Columna5764" dataDxfId="10648"/>
    <tableColumn id="5771" xr3:uid="{5DF7E06B-F4B2-432C-A892-58DC5FE90F17}" name="Columna5765" dataDxfId="10647"/>
    <tableColumn id="5772" xr3:uid="{DD86DD91-83D7-4239-A43F-1ACA61DECE2A}" name="Columna5766" dataDxfId="10646"/>
    <tableColumn id="5773" xr3:uid="{BE45149B-3457-4BB5-929D-0E43E6D9D2C3}" name="Columna5767" dataDxfId="10645"/>
    <tableColumn id="5774" xr3:uid="{2824CB61-1DA1-42DD-9DAE-1930801D5EC4}" name="Columna5768" dataDxfId="10644"/>
    <tableColumn id="5775" xr3:uid="{C56E03C9-BEB9-4042-AB14-1F111725A179}" name="Columna5769" dataDxfId="10643"/>
    <tableColumn id="5776" xr3:uid="{06FA6D2A-B78B-4E28-B0FE-C83A4B0DAB90}" name="Columna5770" dataDxfId="10642"/>
    <tableColumn id="5777" xr3:uid="{087514EA-A4FA-4A72-80D5-709FC61FF14C}" name="Columna5771" dataDxfId="10641"/>
    <tableColumn id="5778" xr3:uid="{A62DC0C9-D1CE-412E-95B5-F52856825BC9}" name="Columna5772" dataDxfId="10640"/>
    <tableColumn id="5779" xr3:uid="{D3FB2F9A-84EB-4375-9801-84449E43BDC2}" name="Columna5773" dataDxfId="10639"/>
    <tableColumn id="5780" xr3:uid="{377DF181-7916-447E-AA53-C93FBE4798FC}" name="Columna5774" dataDxfId="10638"/>
    <tableColumn id="5781" xr3:uid="{DD1F0B24-524F-4F14-80C4-B4495D11A4CF}" name="Columna5775" dataDxfId="10637"/>
    <tableColumn id="5782" xr3:uid="{217A714A-A2D7-4F29-844F-64D275F81B86}" name="Columna5776" dataDxfId="10636"/>
    <tableColumn id="5783" xr3:uid="{5FF29759-261C-49DA-A120-059FA0B923DD}" name="Columna5777" dataDxfId="10635"/>
    <tableColumn id="5784" xr3:uid="{736CEA10-0AD5-4592-8BC9-099A420D43B9}" name="Columna5778" dataDxfId="10634"/>
    <tableColumn id="5785" xr3:uid="{98FEF492-0D27-4BE7-BA39-B99D5998C8DA}" name="Columna5779" dataDxfId="10633"/>
    <tableColumn id="5786" xr3:uid="{EF18C46F-4B58-4E2F-88E8-135CF8A667D6}" name="Columna5780" dataDxfId="10632"/>
    <tableColumn id="5787" xr3:uid="{97ABBCE0-7E32-4554-84BB-5D57283B6DFF}" name="Columna5781" dataDxfId="10631"/>
    <tableColumn id="5788" xr3:uid="{EAA09CDF-4F2C-4275-B5BC-B7F1DE1580E2}" name="Columna5782" dataDxfId="10630"/>
    <tableColumn id="5789" xr3:uid="{9122C0AB-7014-4C08-B338-63584EFFF829}" name="Columna5783" dataDxfId="10629"/>
    <tableColumn id="5790" xr3:uid="{CC87E431-8746-46D4-82B7-9B9F9114C148}" name="Columna5784" dataDxfId="10628"/>
    <tableColumn id="5791" xr3:uid="{426147A5-3A97-4661-A25B-84611CB47042}" name="Columna5785" dataDxfId="10627"/>
    <tableColumn id="5792" xr3:uid="{8A099B27-3098-4F7F-BBDE-308FA51D769A}" name="Columna5786" dataDxfId="10626"/>
    <tableColumn id="5793" xr3:uid="{06AFE4CD-11FC-4E5B-AC59-FF8C8DA7FDA8}" name="Columna5787" dataDxfId="10625"/>
    <tableColumn id="5794" xr3:uid="{6257CDA4-8CA3-4978-BDBD-F9A8FF90C299}" name="Columna5788" dataDxfId="10624"/>
    <tableColumn id="5795" xr3:uid="{511F0A3C-9957-4B24-A596-1DB4F3174801}" name="Columna5789" dataDxfId="10623"/>
    <tableColumn id="5796" xr3:uid="{D5B6C89B-1EDA-409C-9D99-5A0708968F7C}" name="Columna5790" dataDxfId="10622"/>
    <tableColumn id="5797" xr3:uid="{2EE5484A-F8D8-4BA8-9980-DA8F54F41538}" name="Columna5791" dataDxfId="10621"/>
    <tableColumn id="5798" xr3:uid="{AA1640D5-6F66-4CDA-87D5-7D90F4B0B1D8}" name="Columna5792" dataDxfId="10620"/>
    <tableColumn id="5799" xr3:uid="{AB7300CB-0C82-46FD-8D41-7D98A5681B1E}" name="Columna5793" dataDxfId="10619"/>
    <tableColumn id="5800" xr3:uid="{4D46EFBA-8A97-41E4-8237-1ADA8DEFB805}" name="Columna5794" dataDxfId="10618"/>
    <tableColumn id="5801" xr3:uid="{CA657E12-D4DF-46AD-B1AB-998709084CF5}" name="Columna5795" dataDxfId="10617"/>
    <tableColumn id="5802" xr3:uid="{80289277-7852-4EEC-A634-62E16CCC4F95}" name="Columna5796" dataDxfId="10616"/>
    <tableColumn id="5803" xr3:uid="{474C04B2-9E8C-4B28-93F2-975FDC2FB30C}" name="Columna5797" dataDxfId="10615"/>
    <tableColumn id="5804" xr3:uid="{CD6C88DF-633B-4850-B2EC-DDF0FEB27348}" name="Columna5798" dataDxfId="10614"/>
    <tableColumn id="5805" xr3:uid="{6042F708-2C8C-4507-9A71-47D8BDEA4518}" name="Columna5799" dataDxfId="10613"/>
    <tableColumn id="5806" xr3:uid="{81CBD839-18CA-4A84-8112-CEEC7892003D}" name="Columna5800" dataDxfId="10612"/>
    <tableColumn id="5807" xr3:uid="{C880EC07-A625-4579-BA06-FE6A1A6D8E7C}" name="Columna5801" dataDxfId="10611"/>
    <tableColumn id="5808" xr3:uid="{D54006FB-73D8-4E6B-9EAE-8F5E6C0367CD}" name="Columna5802" dataDxfId="10610"/>
    <tableColumn id="5809" xr3:uid="{76E45C27-06BB-4EE6-8CFF-63C9D1FF8C33}" name="Columna5803" dataDxfId="10609"/>
    <tableColumn id="5810" xr3:uid="{DDF95C02-25AB-401C-969F-46B8245C688B}" name="Columna5804" dataDxfId="10608"/>
    <tableColumn id="5811" xr3:uid="{CA7EDBCF-77EC-486F-9672-5744FA090900}" name="Columna5805" dataDxfId="10607"/>
    <tableColumn id="5812" xr3:uid="{DB4EDA40-3CFA-456F-B6FE-734E73833FC3}" name="Columna5806" dataDxfId="10606"/>
    <tableColumn id="5813" xr3:uid="{327C8A05-6184-4028-A2F9-B7DE8B3742D8}" name="Columna5807" dataDxfId="10605"/>
    <tableColumn id="5814" xr3:uid="{CF945F09-D870-4CA1-9238-FDDDC8DBD79F}" name="Columna5808" dataDxfId="10604"/>
    <tableColumn id="5815" xr3:uid="{38431473-3F93-4DDA-8A93-E996D8DEE568}" name="Columna5809" dataDxfId="10603"/>
    <tableColumn id="5816" xr3:uid="{E7D9BAB8-36A2-49D0-9C58-F6CE58149905}" name="Columna5810" dataDxfId="10602"/>
    <tableColumn id="5817" xr3:uid="{EEA5FA82-A703-4265-B235-467E105CFF88}" name="Columna5811" dataDxfId="10601"/>
    <tableColumn id="5818" xr3:uid="{BEE41A61-656C-4AD2-AFA9-669290AE0C0D}" name="Columna5812" dataDxfId="10600"/>
    <tableColumn id="5819" xr3:uid="{10ECF684-60CE-4A64-A8E3-0A23C21D28BF}" name="Columna5813" dataDxfId="10599"/>
    <tableColumn id="5820" xr3:uid="{1ED89424-E6F5-4F16-A6B9-1ED3F6171BC5}" name="Columna5814" dataDxfId="10598"/>
    <tableColumn id="5821" xr3:uid="{D9F3488F-7B48-4A86-BDB9-9A9F77765EED}" name="Columna5815" dataDxfId="10597"/>
    <tableColumn id="5822" xr3:uid="{DD6EBFD5-D97A-427B-8BDE-9A90AB926162}" name="Columna5816" dataDxfId="10596"/>
    <tableColumn id="5823" xr3:uid="{4505B345-C27C-4B08-A3DA-CBEEC7368E97}" name="Columna5817" dataDxfId="10595"/>
    <tableColumn id="5824" xr3:uid="{C841430B-A301-4A65-9748-DB8D97E1CFF6}" name="Columna5818" dataDxfId="10594"/>
    <tableColumn id="5825" xr3:uid="{4FE2C2F6-8DB2-433A-9FDE-2C8D4B0BEF65}" name="Columna5819" dataDxfId="10593"/>
    <tableColumn id="5826" xr3:uid="{7B486FD6-F901-494D-A0CA-F0C912726EBA}" name="Columna5820" dataDxfId="10592"/>
    <tableColumn id="5827" xr3:uid="{30F90505-3E1A-4278-A44B-0E016C5AFF7A}" name="Columna5821" dataDxfId="10591"/>
    <tableColumn id="5828" xr3:uid="{A5EC19A4-9B2D-49CF-9D55-81E479787C7D}" name="Columna5822" dataDxfId="10590"/>
    <tableColumn id="5829" xr3:uid="{7A2D119E-9690-4848-88DF-BA936828E816}" name="Columna5823" dataDxfId="10589"/>
    <tableColumn id="5830" xr3:uid="{6DF0C9CB-E3EC-4EBB-9122-B36328A61E6C}" name="Columna5824" dataDxfId="10588"/>
    <tableColumn id="5831" xr3:uid="{1AC7F0CF-B94C-432D-8BCB-DE15D7837093}" name="Columna5825" dataDxfId="10587"/>
    <tableColumn id="5832" xr3:uid="{9EFEEB8F-5D8D-457E-BAEF-2CDA965B59F7}" name="Columna5826" dataDxfId="10586"/>
    <tableColumn id="5833" xr3:uid="{C1E769D3-F137-4833-975A-2348EB77E282}" name="Columna5827" dataDxfId="10585"/>
    <tableColumn id="5834" xr3:uid="{9A164E3A-B406-4333-B4C7-2701EC2ABBFB}" name="Columna5828" dataDxfId="10584"/>
    <tableColumn id="5835" xr3:uid="{2E54F1FA-7D53-416F-85CE-4A87704229BB}" name="Columna5829" dataDxfId="10583"/>
    <tableColumn id="5836" xr3:uid="{386DE62B-36D0-4B85-B7C1-6875AB1AEDBD}" name="Columna5830" dataDxfId="10582"/>
    <tableColumn id="5837" xr3:uid="{C7CDF09C-B388-40B8-9574-06FAD86A80E0}" name="Columna5831" dataDxfId="10581"/>
    <tableColumn id="5838" xr3:uid="{A08993A6-8EC3-4BEF-ACB7-46E3D5E624BA}" name="Columna5832" dataDxfId="10580"/>
    <tableColumn id="5839" xr3:uid="{A7381D21-DF48-436B-A2B4-34EB0F47F742}" name="Columna5833" dataDxfId="10579"/>
    <tableColumn id="5840" xr3:uid="{5267C525-C748-4C13-9521-CB7D409483B9}" name="Columna5834" dataDxfId="10578"/>
    <tableColumn id="5841" xr3:uid="{1287B899-9042-449A-A2C5-8742269E7AA1}" name="Columna5835" dataDxfId="10577"/>
    <tableColumn id="5842" xr3:uid="{0ED0257C-BFDB-4A45-8909-38D14A51EBF4}" name="Columna5836" dataDxfId="10576"/>
    <tableColumn id="5843" xr3:uid="{8D08F8DA-E8F6-4FBD-ACCB-CF65E836792D}" name="Columna5837" dataDxfId="10575"/>
    <tableColumn id="5844" xr3:uid="{898522D2-BF56-446D-9E0E-5BB5C64AE62C}" name="Columna5838" dataDxfId="10574"/>
    <tableColumn id="5845" xr3:uid="{9E33D3A4-1CB4-4DDA-B82B-E8EC6121B008}" name="Columna5839" dataDxfId="10573"/>
    <tableColumn id="5846" xr3:uid="{B641A4C4-3139-4CB8-8B4F-01B4217D6E51}" name="Columna5840" dataDxfId="10572"/>
    <tableColumn id="5847" xr3:uid="{398F1ADE-0286-4060-84D2-8B129A454803}" name="Columna5841" dataDxfId="10571"/>
    <tableColumn id="5848" xr3:uid="{8F85E1FB-3DE9-425B-B6A3-2E89CCC2CE30}" name="Columna5842" dataDxfId="10570"/>
    <tableColumn id="5849" xr3:uid="{EB7162CA-6338-4048-8A22-25AFDDDB9A6E}" name="Columna5843" dataDxfId="10569"/>
    <tableColumn id="5850" xr3:uid="{5D8C7BFC-2898-4773-9418-027B4D124F84}" name="Columna5844" dataDxfId="10568"/>
    <tableColumn id="5851" xr3:uid="{2BC7B3DD-7DFB-4A69-9B6B-D4AFAC927A6F}" name="Columna5845" dataDxfId="10567"/>
    <tableColumn id="5852" xr3:uid="{FA922AF9-BFBA-497F-A82B-9EC0709463CE}" name="Columna5846" dataDxfId="10566"/>
    <tableColumn id="5853" xr3:uid="{AC4C9D41-A3E2-48CE-A391-48839EC48F78}" name="Columna5847" dataDxfId="10565"/>
    <tableColumn id="5854" xr3:uid="{FF0BC54F-072E-4D12-B4F5-6740F080D0F9}" name="Columna5848" dataDxfId="10564"/>
    <tableColumn id="5855" xr3:uid="{BB2CC094-AE27-4738-83E1-A17FA1E57939}" name="Columna5849" dataDxfId="10563"/>
    <tableColumn id="5856" xr3:uid="{5D3EE7D0-4E5D-41F3-B862-E2982F938B5E}" name="Columna5850" dataDxfId="10562"/>
    <tableColumn id="5857" xr3:uid="{056726E6-45F5-4DA2-B0A6-58B1488B9663}" name="Columna5851" dataDxfId="10561"/>
    <tableColumn id="5858" xr3:uid="{92367785-6AD4-4B49-B907-23EAD16532AD}" name="Columna5852" dataDxfId="10560"/>
    <tableColumn id="5859" xr3:uid="{D945CD38-7D15-4F53-8065-AE18F480CAF8}" name="Columna5853" dataDxfId="10559"/>
    <tableColumn id="5860" xr3:uid="{2D25E5EE-63A6-4D7B-AC57-1439A0BBF1B3}" name="Columna5854" dataDxfId="10558"/>
    <tableColumn id="5861" xr3:uid="{477365F3-E9AB-4211-BD19-45617DDB42AC}" name="Columna5855" dataDxfId="10557"/>
    <tableColumn id="5862" xr3:uid="{EC4EC9BA-8107-49B8-8EA0-3605E80A868D}" name="Columna5856" dataDxfId="10556"/>
    <tableColumn id="5863" xr3:uid="{1BB6B54A-C655-4608-9B4D-E09F3835554D}" name="Columna5857" dataDxfId="10555"/>
    <tableColumn id="5864" xr3:uid="{18992203-E52C-4E3A-867D-14320EE9557F}" name="Columna5858" dataDxfId="10554"/>
    <tableColumn id="5865" xr3:uid="{4D0ADEE9-BFEC-4DE6-8E66-EFB048D042E5}" name="Columna5859" dataDxfId="10553"/>
    <tableColumn id="5866" xr3:uid="{B63CE663-FE64-4EA1-B380-763243A4DC1E}" name="Columna5860" dataDxfId="10552"/>
    <tableColumn id="5867" xr3:uid="{96B67057-E9C6-49BF-9814-678E5E9D7818}" name="Columna5861" dataDxfId="10551"/>
    <tableColumn id="5868" xr3:uid="{800BDC58-1C7F-48AE-A0CE-B9EFBB4151ED}" name="Columna5862" dataDxfId="10550"/>
    <tableColumn id="5869" xr3:uid="{77858725-C39B-49FD-A3BA-8FCF6240EE94}" name="Columna5863" dataDxfId="10549"/>
    <tableColumn id="5870" xr3:uid="{D5186105-D836-4908-9754-4AE7568E651C}" name="Columna5864" dataDxfId="10548"/>
    <tableColumn id="5871" xr3:uid="{0E3CFFDE-98DA-44A9-A7F8-66FB1F6B2679}" name="Columna5865" dataDxfId="10547"/>
    <tableColumn id="5872" xr3:uid="{CA29E151-05EE-4C54-9632-A86E8ACC7E50}" name="Columna5866" dataDxfId="10546"/>
    <tableColumn id="5873" xr3:uid="{784DB05E-5B52-4F81-AC0E-D06E897BA448}" name="Columna5867" dataDxfId="10545"/>
    <tableColumn id="5874" xr3:uid="{CEB03215-D6C8-4822-A4ED-90D5D710C921}" name="Columna5868" dataDxfId="10544"/>
    <tableColumn id="5875" xr3:uid="{0603034D-59CC-4C7E-B834-90FE11708F2A}" name="Columna5869" dataDxfId="10543"/>
    <tableColumn id="5876" xr3:uid="{5A76B05E-E18F-4E92-A280-B4224137B093}" name="Columna5870" dataDxfId="10542"/>
    <tableColumn id="5877" xr3:uid="{4B18F705-6209-4B9D-A432-351E35B21604}" name="Columna5871" dataDxfId="10541"/>
    <tableColumn id="5878" xr3:uid="{CDD68922-B266-46EC-B408-C6C4A66E3081}" name="Columna5872" dataDxfId="10540"/>
    <tableColumn id="5879" xr3:uid="{77EBA7D2-86F5-4B67-86EF-4FFE7B1F8F03}" name="Columna5873" dataDxfId="10539"/>
    <tableColumn id="5880" xr3:uid="{B701E77A-AAC1-4DDC-A4C3-848B3E549056}" name="Columna5874" dataDxfId="10538"/>
    <tableColumn id="5881" xr3:uid="{3E8B65DC-C43A-4F52-86A0-69642FEB7061}" name="Columna5875" dataDxfId="10537"/>
    <tableColumn id="5882" xr3:uid="{67E3F895-740F-4FB7-86D2-BEA11BFAEF96}" name="Columna5876" dataDxfId="10536"/>
    <tableColumn id="5883" xr3:uid="{28183E32-3A84-4500-A0A5-EA60002AE9D0}" name="Columna5877" dataDxfId="10535"/>
    <tableColumn id="5884" xr3:uid="{FDA5C90C-F788-4DDF-83A0-9E9E623482A0}" name="Columna5878" dataDxfId="10534"/>
    <tableColumn id="5885" xr3:uid="{D47DF8B4-08B0-4481-8C7C-E40F056826FB}" name="Columna5879" dataDxfId="10533"/>
    <tableColumn id="5886" xr3:uid="{8959D4F5-C285-4CCC-8601-67B0848127B2}" name="Columna5880" dataDxfId="10532"/>
    <tableColumn id="5887" xr3:uid="{88B9BF8E-3E1A-4605-BE74-6B40860C5DFA}" name="Columna5881" dataDxfId="10531"/>
    <tableColumn id="5888" xr3:uid="{EF8E0490-397A-43D6-906C-0669FC115C1B}" name="Columna5882" dataDxfId="10530"/>
    <tableColumn id="5889" xr3:uid="{1A883EDE-1E03-4B1B-AAA6-556DF4E6A19B}" name="Columna5883" dataDxfId="10529"/>
    <tableColumn id="5890" xr3:uid="{5552FBCE-DF75-4807-B3E3-5FF3C7B3150B}" name="Columna5884" dataDxfId="10528"/>
    <tableColumn id="5891" xr3:uid="{7B521DDC-CCD1-4476-AADE-27C60CE36A5F}" name="Columna5885" dataDxfId="10527"/>
    <tableColumn id="5892" xr3:uid="{C37A392A-36F3-40E5-B395-538D3286DAF1}" name="Columna5886" dataDxfId="10526"/>
    <tableColumn id="5893" xr3:uid="{A6B4A349-CF4E-413C-9783-20D2F404F8DE}" name="Columna5887" dataDxfId="10525"/>
    <tableColumn id="5894" xr3:uid="{F900E59A-6F5E-40E4-ACC6-17C0A6DCC22E}" name="Columna5888" dataDxfId="10524"/>
    <tableColumn id="5895" xr3:uid="{8B133894-FF90-44A6-95CD-316D653B48B3}" name="Columna5889" dataDxfId="10523"/>
    <tableColumn id="5896" xr3:uid="{9F73C27C-18F0-4E8A-8D49-D4F50D3B6632}" name="Columna5890" dataDxfId="10522"/>
    <tableColumn id="5897" xr3:uid="{F78F00CD-CC46-4EA3-8F41-3D56915B7EB3}" name="Columna5891" dataDxfId="10521"/>
    <tableColumn id="5898" xr3:uid="{85B129EF-1DB8-45FD-92F9-399A17931EDD}" name="Columna5892" dataDxfId="10520"/>
    <tableColumn id="5899" xr3:uid="{358D4F8D-249C-4E84-871D-3B3ACF75EBD1}" name="Columna5893" dataDxfId="10519"/>
    <tableColumn id="5900" xr3:uid="{EF73E99C-A45C-4569-BBCE-5B6D6DE6B0BB}" name="Columna5894" dataDxfId="10518"/>
    <tableColumn id="5901" xr3:uid="{1974956E-7D70-46DA-BFD8-BDD1EAA35973}" name="Columna5895" dataDxfId="10517"/>
    <tableColumn id="5902" xr3:uid="{468DB3E4-01FC-4D95-828A-64F7D4CF8C96}" name="Columna5896" dataDxfId="10516"/>
    <tableColumn id="5903" xr3:uid="{5E492E6C-5742-462F-821F-49D16AC190A8}" name="Columna5897" dataDxfId="10515"/>
    <tableColumn id="5904" xr3:uid="{B12D78C6-79A2-4A2F-8B33-4E066C245A84}" name="Columna5898" dataDxfId="10514"/>
    <tableColumn id="5905" xr3:uid="{D429E85E-1D80-487B-ADEA-2256E7F1B11A}" name="Columna5899" dataDxfId="10513"/>
    <tableColumn id="5906" xr3:uid="{B1867EB6-9255-41F2-854B-C6D7CB6FDC45}" name="Columna5900" dataDxfId="10512"/>
    <tableColumn id="5907" xr3:uid="{BC344F04-9837-4260-B2D1-FB13A0743387}" name="Columna5901" dataDxfId="10511"/>
    <tableColumn id="5908" xr3:uid="{041526CC-421D-4BCC-9726-CB666B2535BD}" name="Columna5902" dataDxfId="10510"/>
    <tableColumn id="5909" xr3:uid="{7255CFE9-E0E6-497F-BA28-6A9473652540}" name="Columna5903" dataDxfId="10509"/>
    <tableColumn id="5910" xr3:uid="{4BE80C43-832F-4732-B848-2512562F360E}" name="Columna5904" dataDxfId="10508"/>
    <tableColumn id="5911" xr3:uid="{867D021B-AE44-4C8C-A214-0679996E27F0}" name="Columna5905" dataDxfId="10507"/>
    <tableColumn id="5912" xr3:uid="{5A23632F-3A0B-4359-ADF9-DBBE261E3FC0}" name="Columna5906" dataDxfId="10506"/>
    <tableColumn id="5913" xr3:uid="{D1715E8F-C060-4E0A-A9BB-2205C40EB032}" name="Columna5907" dataDxfId="10505"/>
    <tableColumn id="5914" xr3:uid="{50B11D08-D5BC-4832-86D4-B8E31F699D41}" name="Columna5908" dataDxfId="10504"/>
    <tableColumn id="5915" xr3:uid="{54CC44B6-9F10-4C04-BDFF-7A00EA867ED4}" name="Columna5909" dataDxfId="10503"/>
    <tableColumn id="5916" xr3:uid="{95C28D6C-1BFF-4BED-8D84-53EF23EA9B9B}" name="Columna5910" dataDxfId="10502"/>
    <tableColumn id="5917" xr3:uid="{CFCDEF9F-2B53-4AAD-AF84-D2204DC08D59}" name="Columna5911" dataDxfId="10501"/>
    <tableColumn id="5918" xr3:uid="{D38EF2B0-4652-4916-90D2-AE4787D6DF21}" name="Columna5912" dataDxfId="10500"/>
    <tableColumn id="5919" xr3:uid="{B0ED6DE1-A3F8-40AC-BF36-52708E52F84D}" name="Columna5913" dataDxfId="10499"/>
    <tableColumn id="5920" xr3:uid="{18C301E7-999B-4F43-8C55-8A2A031D64AB}" name="Columna5914" dataDxfId="10498"/>
    <tableColumn id="5921" xr3:uid="{E7B3206F-D877-44DB-B372-739A532EB094}" name="Columna5915" dataDxfId="10497"/>
    <tableColumn id="5922" xr3:uid="{4C4630F6-BB90-410C-A3C2-CD164DAA5F63}" name="Columna5916" dataDxfId="10496"/>
    <tableColumn id="5923" xr3:uid="{E10B4282-B6F2-49CC-9ACA-FD6C8B29C99C}" name="Columna5917" dataDxfId="10495"/>
    <tableColumn id="5924" xr3:uid="{151E1C13-FD43-47E1-88AF-74BBEF30984C}" name="Columna5918" dataDxfId="10494"/>
    <tableColumn id="5925" xr3:uid="{DBA0FBE7-9D3C-4EB1-8969-41C2BE57B001}" name="Columna5919" dataDxfId="10493"/>
    <tableColumn id="5926" xr3:uid="{BF97E293-6B4E-40AC-A630-99070A8D4B6E}" name="Columna5920" dataDxfId="10492"/>
    <tableColumn id="5927" xr3:uid="{C527A9B6-F414-4A0C-AB09-06AF6CE096EC}" name="Columna5921" dataDxfId="10491"/>
    <tableColumn id="5928" xr3:uid="{8546AE33-5737-4C7A-9865-3B859B5A4BDF}" name="Columna5922" dataDxfId="10490"/>
    <tableColumn id="5929" xr3:uid="{CED4E1D9-3A23-4CCC-822B-3B91E96B7369}" name="Columna5923" dataDxfId="10489"/>
    <tableColumn id="5930" xr3:uid="{05076CCF-5BEA-4668-ACCC-D955C2E930A9}" name="Columna5924" dataDxfId="10488"/>
    <tableColumn id="5931" xr3:uid="{773D9E84-F857-4111-8CE9-94A19FC72DB4}" name="Columna5925" dataDxfId="10487"/>
    <tableColumn id="5932" xr3:uid="{BADBC5DC-4D73-4A91-A9B5-E8053D0CD492}" name="Columna5926" dataDxfId="10486"/>
    <tableColumn id="5933" xr3:uid="{729701C8-DEBA-41CB-8F0B-2AA466EB2835}" name="Columna5927" dataDxfId="10485"/>
    <tableColumn id="5934" xr3:uid="{D6E078B8-F3F4-4E13-B0AF-5CC42C37216C}" name="Columna5928" dataDxfId="10484"/>
    <tableColumn id="5935" xr3:uid="{EE11C66D-760D-4A9B-99FA-441AA815E7FB}" name="Columna5929" dataDxfId="10483"/>
    <tableColumn id="5936" xr3:uid="{419497AB-A6F9-416A-99B2-953B4911F8D1}" name="Columna5930" dataDxfId="10482"/>
    <tableColumn id="5937" xr3:uid="{359187AF-B8F1-4773-A666-00A7BF5F3894}" name="Columna5931" dataDxfId="10481"/>
    <tableColumn id="5938" xr3:uid="{C841F1B9-1A1B-40C6-8DDD-26A048699B5A}" name="Columna5932" dataDxfId="10480"/>
    <tableColumn id="5939" xr3:uid="{A5E1EA5D-AE16-44B0-94BA-D3CC6AED1B76}" name="Columna5933" dataDxfId="10479"/>
    <tableColumn id="5940" xr3:uid="{6D754558-5156-43A5-8A36-13B949628EDF}" name="Columna5934" dataDxfId="10478"/>
    <tableColumn id="5941" xr3:uid="{6BAB10F2-BF4D-4332-B2F7-9891C4F5DEA9}" name="Columna5935" dataDxfId="10477"/>
    <tableColumn id="5942" xr3:uid="{55523D7C-7253-43D3-8671-03495F716EB2}" name="Columna5936" dataDxfId="10476"/>
    <tableColumn id="5943" xr3:uid="{C9A94E3F-3680-4B00-B0C3-DA171E525640}" name="Columna5937" dataDxfId="10475"/>
    <tableColumn id="5944" xr3:uid="{DDD00549-F227-40FF-BC0F-38AB3B6D974B}" name="Columna5938" dataDxfId="10474"/>
    <tableColumn id="5945" xr3:uid="{BD5EE74E-3DD6-4D5D-855C-D4F228FD9BD6}" name="Columna5939" dataDxfId="10473"/>
    <tableColumn id="5946" xr3:uid="{16B4A8D0-8760-4EAE-A06E-6AF6DA41EA3A}" name="Columna5940" dataDxfId="10472"/>
    <tableColumn id="5947" xr3:uid="{B21EB5FE-2D85-43DF-A2D5-321EDCEF0559}" name="Columna5941" dataDxfId="10471"/>
    <tableColumn id="5948" xr3:uid="{2DF4A894-6094-498A-87D4-B79B2E608319}" name="Columna5942" dataDxfId="10470"/>
    <tableColumn id="5949" xr3:uid="{6D2228C4-6AE7-4F7D-8A19-57E06FC69A6A}" name="Columna5943" dataDxfId="10469"/>
    <tableColumn id="5950" xr3:uid="{574C94E2-B5F9-4088-940B-382D0F594C03}" name="Columna5944" dataDxfId="10468"/>
    <tableColumn id="5951" xr3:uid="{87EBDCEA-F910-40F6-BA93-1F6F94F045A3}" name="Columna5945" dataDxfId="10467"/>
    <tableColumn id="5952" xr3:uid="{2DCD8CC4-4DD5-4171-9614-DDBC2EC49DD4}" name="Columna5946" dataDxfId="10466"/>
    <tableColumn id="5953" xr3:uid="{82BB0B46-C44A-4661-849C-04B43BDF4F5F}" name="Columna5947" dataDxfId="10465"/>
    <tableColumn id="5954" xr3:uid="{0E698A90-B622-48F5-9EDE-B9195D5913B8}" name="Columna5948" dataDxfId="10464"/>
    <tableColumn id="5955" xr3:uid="{EC16A7B3-D5CD-4E33-A8F5-B237C06845FD}" name="Columna5949" dataDxfId="10463"/>
    <tableColumn id="5956" xr3:uid="{157D0830-9287-46A6-B61B-CB0E898D8ECA}" name="Columna5950" dataDxfId="10462"/>
    <tableColumn id="5957" xr3:uid="{122BC699-F7DB-4478-8291-CA0D7B25142B}" name="Columna5951" dataDxfId="10461"/>
    <tableColumn id="5958" xr3:uid="{57E26B88-8B71-4096-812E-2AE064E01D87}" name="Columna5952" dataDxfId="10460"/>
    <tableColumn id="5959" xr3:uid="{7D12B827-3C39-41FF-9C74-4C5931B05520}" name="Columna5953" dataDxfId="10459"/>
    <tableColumn id="5960" xr3:uid="{161E5434-3B53-45AA-8952-80811ECD687D}" name="Columna5954" dataDxfId="10458"/>
    <tableColumn id="5961" xr3:uid="{1FBEE165-E1A9-4701-94B6-CD464345D3F1}" name="Columna5955" dataDxfId="10457"/>
    <tableColumn id="5962" xr3:uid="{5D765D69-F6FA-4792-8450-5C42FEB8E690}" name="Columna5956" dataDxfId="10456"/>
    <tableColumn id="5963" xr3:uid="{6DDB3DD0-F2ED-4C0F-94F1-7771F6030DF2}" name="Columna5957" dataDxfId="10455"/>
    <tableColumn id="5964" xr3:uid="{6A9C80E0-4D04-4A32-8870-B62195E01F50}" name="Columna5958" dataDxfId="10454"/>
    <tableColumn id="5965" xr3:uid="{E0D09C04-EEA8-4C71-8E27-6AC1A3FA5C3E}" name="Columna5959" dataDxfId="10453"/>
    <tableColumn id="5966" xr3:uid="{48537D8A-9ACE-4C1F-82ED-54AE39A60034}" name="Columna5960" dataDxfId="10452"/>
    <tableColumn id="5967" xr3:uid="{8845D9B8-0CB7-4B5E-B499-884FA54EF862}" name="Columna5961" dataDxfId="10451"/>
    <tableColumn id="5968" xr3:uid="{164837C1-39CF-4D0E-BAF5-0257187C3812}" name="Columna5962" dataDxfId="10450"/>
    <tableColumn id="5969" xr3:uid="{DF8C247C-72E8-4603-8F8E-06D9C9DFBF01}" name="Columna5963" dataDxfId="10449"/>
    <tableColumn id="5970" xr3:uid="{478744AE-955F-4DCB-A4F5-7F581773B973}" name="Columna5964" dataDxfId="10448"/>
    <tableColumn id="5971" xr3:uid="{A759BA99-D231-4064-92BD-E68E09BF50DD}" name="Columna5965" dataDxfId="10447"/>
    <tableColumn id="5972" xr3:uid="{C110F977-4304-48DA-9364-551F915F9CE3}" name="Columna5966" dataDxfId="10446"/>
    <tableColumn id="5973" xr3:uid="{D8ACB102-1770-421A-B9B9-FAE664470F05}" name="Columna5967" dataDxfId="10445"/>
    <tableColumn id="5974" xr3:uid="{2EBCEC82-ACAA-44FF-A044-AAA863A516F5}" name="Columna5968" dataDxfId="10444"/>
    <tableColumn id="5975" xr3:uid="{F78663DF-3A31-41CA-BC28-2895763A81DB}" name="Columna5969" dataDxfId="10443"/>
    <tableColumn id="5976" xr3:uid="{BB4AEED9-0743-4FBB-9C24-052E3D595894}" name="Columna5970" dataDxfId="10442"/>
    <tableColumn id="5977" xr3:uid="{D84F7106-4438-48A6-B9EE-1C834177F84E}" name="Columna5971" dataDxfId="10441"/>
    <tableColumn id="5978" xr3:uid="{94E581B9-0A22-4823-95AB-3B84014E9C9C}" name="Columna5972" dataDxfId="10440"/>
    <tableColumn id="5979" xr3:uid="{1FE5EE14-7932-4971-B382-8F6090024C2E}" name="Columna5973" dataDxfId="10439"/>
    <tableColumn id="5980" xr3:uid="{371FE27E-B97C-4B1C-AD76-72F9E7AB9F6C}" name="Columna5974" dataDxfId="10438"/>
    <tableColumn id="5981" xr3:uid="{36513406-78C2-4EDA-AC2C-1E5D7FC8E747}" name="Columna5975" dataDxfId="10437"/>
    <tableColumn id="5982" xr3:uid="{626CCEE7-2189-4B51-8FA9-FBA721B1D182}" name="Columna5976" dataDxfId="10436"/>
    <tableColumn id="5983" xr3:uid="{CE92197D-03A8-4B3B-8D4C-46C561944A0D}" name="Columna5977" dataDxfId="10435"/>
    <tableColumn id="5984" xr3:uid="{97A55B7A-951D-4986-86A0-9048E1CD74B5}" name="Columna5978" dataDxfId="10434"/>
    <tableColumn id="5985" xr3:uid="{C3784BBD-B849-45D6-81B0-1AF1385DDC7D}" name="Columna5979" dataDxfId="10433"/>
    <tableColumn id="5986" xr3:uid="{64FAE7EF-1417-4954-ACEA-70428C19D7F7}" name="Columna5980" dataDxfId="10432"/>
    <tableColumn id="5987" xr3:uid="{22E63FB5-1608-4FB5-A3ED-0FA2A23079F1}" name="Columna5981" dataDxfId="10431"/>
    <tableColumn id="5988" xr3:uid="{3A6597D0-33AE-4AC8-A477-D82E2BBE71C8}" name="Columna5982" dataDxfId="10430"/>
    <tableColumn id="5989" xr3:uid="{1D7579F4-48A1-489F-8253-3068522432FF}" name="Columna5983" dataDxfId="10429"/>
    <tableColumn id="5990" xr3:uid="{69468387-C1E8-4D78-A816-74F91AF66BAC}" name="Columna5984" dataDxfId="10428"/>
    <tableColumn id="5991" xr3:uid="{1595D3D9-5ACF-4381-BA8E-0EB83DC83F1B}" name="Columna5985" dataDxfId="10427"/>
    <tableColumn id="5992" xr3:uid="{F10A6175-2D3A-431A-B5D1-5FA74062FB3B}" name="Columna5986" dataDxfId="10426"/>
    <tableColumn id="5993" xr3:uid="{0DF340DA-9ED0-489D-BA48-A471E5D3A4B1}" name="Columna5987" dataDxfId="10425"/>
    <tableColumn id="5994" xr3:uid="{9F226505-DAA8-42A3-B6CF-DFACDA2081AE}" name="Columna5988" dataDxfId="10424"/>
    <tableColumn id="5995" xr3:uid="{B92FF34A-0182-4C78-AEB5-092D1E3B90F8}" name="Columna5989" dataDxfId="10423"/>
    <tableColumn id="5996" xr3:uid="{127FF1AD-8C61-4BC9-BAD2-BE1E3D0A5BED}" name="Columna5990" dataDxfId="10422"/>
    <tableColumn id="5997" xr3:uid="{44153B00-A1E5-40EF-B292-3B47D55D5BDD}" name="Columna5991" dataDxfId="10421"/>
    <tableColumn id="5998" xr3:uid="{3AA3F387-DBF5-49DB-B226-57B76273B260}" name="Columna5992" dataDxfId="10420"/>
    <tableColumn id="5999" xr3:uid="{84FCB74D-9481-41B8-9EFE-25AD5C3B753D}" name="Columna5993" dataDxfId="10419"/>
    <tableColumn id="6000" xr3:uid="{8F6686F2-01D7-4A96-AE0A-B90177FF960C}" name="Columna5994" dataDxfId="10418"/>
    <tableColumn id="6001" xr3:uid="{8EF5C395-17FB-4815-BCC0-23A250ED2A3A}" name="Columna5995" dataDxfId="10417"/>
    <tableColumn id="6002" xr3:uid="{F9325240-0E0A-47A0-93C2-5FFD402F2D42}" name="Columna5996" dataDxfId="10416"/>
    <tableColumn id="6003" xr3:uid="{E52FC5C0-1101-4FF2-8CCE-94FE201BD779}" name="Columna5997" dataDxfId="10415"/>
    <tableColumn id="6004" xr3:uid="{AE5C6F98-DD4D-4584-8659-7119AD12C7E6}" name="Columna5998" dataDxfId="10414"/>
    <tableColumn id="6005" xr3:uid="{619B73DB-D2BC-4577-AC51-55FE2DDB721B}" name="Columna5999" dataDxfId="10413"/>
    <tableColumn id="6006" xr3:uid="{F63A3F52-093D-4DB5-B6D8-E28776F61CB4}" name="Columna6000" dataDxfId="10412"/>
    <tableColumn id="6007" xr3:uid="{7674C7EA-838A-46CE-87A6-D227D059BF6B}" name="Columna6001" dataDxfId="10411"/>
    <tableColumn id="6008" xr3:uid="{7CBCEBA3-CD0B-4889-A637-C76F919360CF}" name="Columna6002" dataDxfId="10410"/>
    <tableColumn id="6009" xr3:uid="{4BAF557B-FE3C-4664-A78D-1058FE2B8D8F}" name="Columna6003" dataDxfId="10409"/>
    <tableColumn id="6010" xr3:uid="{78C2853B-AC42-4BDE-95AA-7B1A28384EE4}" name="Columna6004" dataDxfId="10408"/>
    <tableColumn id="6011" xr3:uid="{BDF0DF68-73E9-4170-AAEF-D841C0702835}" name="Columna6005" dataDxfId="10407"/>
    <tableColumn id="6012" xr3:uid="{A53BDB5A-89E8-416F-AE6A-4A483908B96F}" name="Columna6006" dataDxfId="10406"/>
    <tableColumn id="6013" xr3:uid="{1A62BDE5-E0CF-42C8-9635-FF5362DA6197}" name="Columna6007" dataDxfId="10405"/>
    <tableColumn id="6014" xr3:uid="{0B44583A-923E-4B6E-971B-117130FF330C}" name="Columna6008" dataDxfId="10404"/>
    <tableColumn id="6015" xr3:uid="{0C50660C-E732-4C97-9748-3A583DFAC6B4}" name="Columna6009" dataDxfId="10403"/>
    <tableColumn id="6016" xr3:uid="{066B0B89-073E-49F4-8FDE-D2435EBBBDB0}" name="Columna6010" dataDxfId="10402"/>
    <tableColumn id="6017" xr3:uid="{B26149D3-EE8A-4AB0-BB42-2566DF8F0B84}" name="Columna6011" dataDxfId="10401"/>
    <tableColumn id="6018" xr3:uid="{CDDF5C35-244E-45F9-9EED-17E842FF8B85}" name="Columna6012" dataDxfId="10400"/>
    <tableColumn id="6019" xr3:uid="{C3B917FF-A512-4B90-B469-09692B7816C4}" name="Columna6013" dataDxfId="10399"/>
    <tableColumn id="6020" xr3:uid="{36001667-2247-44E1-B71D-92EFBBB3339C}" name="Columna6014" dataDxfId="10398"/>
    <tableColumn id="6021" xr3:uid="{DD004066-FA75-4FE9-A028-9FEEDF1F52FA}" name="Columna6015" dataDxfId="10397"/>
    <tableColumn id="6022" xr3:uid="{64E16471-CC01-4E9A-9CA6-9006E4D6C02D}" name="Columna6016" dataDxfId="10396"/>
    <tableColumn id="6023" xr3:uid="{5005E772-9CC8-449A-AE24-40176ED8987D}" name="Columna6017" dataDxfId="10395"/>
    <tableColumn id="6024" xr3:uid="{FED5C089-7416-47C8-B172-FB5B50C941D6}" name="Columna6018" dataDxfId="10394"/>
    <tableColumn id="6025" xr3:uid="{4BCE3854-F62B-4D90-921F-C3229479876F}" name="Columna6019" dataDxfId="10393"/>
    <tableColumn id="6026" xr3:uid="{63440A6C-813B-411F-B744-FE2DF645A10D}" name="Columna6020" dataDxfId="10392"/>
    <tableColumn id="6027" xr3:uid="{D1ED35E8-8D68-4CA8-8521-0FD09F2141A5}" name="Columna6021" dataDxfId="10391"/>
    <tableColumn id="6028" xr3:uid="{AF324166-D7C8-4AF6-AB7A-904B64D6CAA8}" name="Columna6022" dataDxfId="10390"/>
    <tableColumn id="6029" xr3:uid="{7CCA25D6-6A25-4F63-A5AF-6CFC8E01A3AF}" name="Columna6023" dataDxfId="10389"/>
    <tableColumn id="6030" xr3:uid="{24473875-6770-44E7-AEF4-74B12CDF44CC}" name="Columna6024" dataDxfId="10388"/>
    <tableColumn id="6031" xr3:uid="{32C28917-D1F7-4C34-8DF0-873E8BF8D822}" name="Columna6025" dataDxfId="10387"/>
    <tableColumn id="6032" xr3:uid="{872959F4-DFBD-40DE-B581-8C8B9949B0F0}" name="Columna6026" dataDxfId="10386"/>
    <tableColumn id="6033" xr3:uid="{68BE010B-84D5-475D-9839-E402E2E560A2}" name="Columna6027" dataDxfId="10385"/>
    <tableColumn id="6034" xr3:uid="{63B9B4B8-D854-4E5B-9E2A-3A55F74B43F1}" name="Columna6028" dataDxfId="10384"/>
    <tableColumn id="6035" xr3:uid="{F85D471B-0091-440B-94E5-FC722C85B30C}" name="Columna6029" dataDxfId="10383"/>
    <tableColumn id="6036" xr3:uid="{8F08EB9C-DC60-4836-A08B-2E2CB44AEB65}" name="Columna6030" dataDxfId="10382"/>
    <tableColumn id="6037" xr3:uid="{5726596F-8717-467F-86CA-17868B904C51}" name="Columna6031" dataDxfId="10381"/>
    <tableColumn id="6038" xr3:uid="{814CAD62-5EDE-4FCD-BABA-51A7963C1BBA}" name="Columna6032" dataDxfId="10380"/>
    <tableColumn id="6039" xr3:uid="{4A2CAF66-7E3F-46A0-9845-5441179E8C08}" name="Columna6033" dataDxfId="10379"/>
    <tableColumn id="6040" xr3:uid="{0B8885C5-D3AB-48E7-8B3A-87DDAFBAB380}" name="Columna6034" dataDxfId="10378"/>
    <tableColumn id="6041" xr3:uid="{8EEF7594-9F06-4689-A800-F89102F35A84}" name="Columna6035" dataDxfId="10377"/>
    <tableColumn id="6042" xr3:uid="{F06B30BD-3798-4067-A296-2A6F1CEAA4A0}" name="Columna6036" dataDxfId="10376"/>
    <tableColumn id="6043" xr3:uid="{866B6F66-F10D-456F-B4A7-72F207FC9CD3}" name="Columna6037" dataDxfId="10375"/>
    <tableColumn id="6044" xr3:uid="{79B8B9F9-F184-403B-AD8D-422797BE327D}" name="Columna6038" dataDxfId="10374"/>
    <tableColumn id="6045" xr3:uid="{FC0B323B-E919-4F36-8842-B7D45CDDD81C}" name="Columna6039" dataDxfId="10373"/>
    <tableColumn id="6046" xr3:uid="{E49ADB33-A4F9-4CDB-8E75-8F61C937E409}" name="Columna6040" dataDxfId="10372"/>
    <tableColumn id="6047" xr3:uid="{D553BA7E-5FA8-4F44-B906-F99CE1BF6F06}" name="Columna6041" dataDxfId="10371"/>
    <tableColumn id="6048" xr3:uid="{0C165E03-E7F8-4339-B0C7-3011D7C01645}" name="Columna6042" dataDxfId="10370"/>
    <tableColumn id="6049" xr3:uid="{B9D1A265-913A-4B9C-82D0-2C613AF83983}" name="Columna6043" dataDxfId="10369"/>
    <tableColumn id="6050" xr3:uid="{039ED3F7-7D40-45A8-96C0-423B4EB61B1A}" name="Columna6044" dataDxfId="10368"/>
    <tableColumn id="6051" xr3:uid="{CCBA2345-2A80-4B0F-BC9D-CA03B92B05A6}" name="Columna6045" dataDxfId="10367"/>
    <tableColumn id="6052" xr3:uid="{E56FF04F-8606-41BD-AF2C-CB5A67539C36}" name="Columna6046" dataDxfId="10366"/>
    <tableColumn id="6053" xr3:uid="{6C7AB478-CE7B-4E75-9935-63CF5CE50393}" name="Columna6047" dataDxfId="10365"/>
    <tableColumn id="6054" xr3:uid="{55E611BE-6443-456F-B39A-6B1D5AFD50F2}" name="Columna6048" dataDxfId="10364"/>
    <tableColumn id="6055" xr3:uid="{65F9D5D7-D22E-4450-8CE5-7D8B733878EE}" name="Columna6049" dataDxfId="10363"/>
    <tableColumn id="6056" xr3:uid="{BD34205F-5959-4BD3-9A2D-EE73E8C75A3D}" name="Columna6050" dataDxfId="10362"/>
    <tableColumn id="6057" xr3:uid="{C94E589E-094A-4D98-AE19-E4D65EA16ACE}" name="Columna6051" dataDxfId="10361"/>
    <tableColumn id="6058" xr3:uid="{4E4335AA-1FF2-4C13-936B-493B990E9190}" name="Columna6052" dataDxfId="10360"/>
    <tableColumn id="6059" xr3:uid="{BB36588A-BEF8-4FB2-A8BA-E7F49628D53D}" name="Columna6053" dataDxfId="10359"/>
    <tableColumn id="6060" xr3:uid="{D9DFAB2E-C54A-4F49-8F68-8F6A977E5521}" name="Columna6054" dataDxfId="10358"/>
    <tableColumn id="6061" xr3:uid="{1FFAC484-046A-4285-A63B-5CFAA1446CB4}" name="Columna6055" dataDxfId="10357"/>
    <tableColumn id="6062" xr3:uid="{18416B72-6550-4458-9C2C-76620AF0CDFD}" name="Columna6056" dataDxfId="10356"/>
    <tableColumn id="6063" xr3:uid="{F7A51DD5-8F63-4263-AF29-0661E3EB536B}" name="Columna6057" dataDxfId="10355"/>
    <tableColumn id="6064" xr3:uid="{02AD54FB-5025-45DB-A14D-5148AEE02868}" name="Columna6058" dataDxfId="10354"/>
    <tableColumn id="6065" xr3:uid="{6EC102DF-4C27-4875-B302-09196098F33D}" name="Columna6059" dataDxfId="10353"/>
    <tableColumn id="6066" xr3:uid="{855ABBE8-E93E-460E-8536-3E9569069489}" name="Columna6060" dataDxfId="10352"/>
    <tableColumn id="6067" xr3:uid="{E09771D6-9497-403B-907E-DF37788C1D62}" name="Columna6061" dataDxfId="10351"/>
    <tableColumn id="6068" xr3:uid="{F15BB448-721D-4F72-9E1E-A13F759BB001}" name="Columna6062" dataDxfId="10350"/>
    <tableColumn id="6069" xr3:uid="{1EB9F39D-18C8-4ACB-8311-E1A0D4DFD670}" name="Columna6063" dataDxfId="10349"/>
    <tableColumn id="6070" xr3:uid="{8614A1BF-0725-45D1-9DAA-4C33438938A9}" name="Columna6064" dataDxfId="10348"/>
    <tableColumn id="6071" xr3:uid="{B19650C2-CCCC-47AE-8787-D12D9FCA21BA}" name="Columna6065" dataDxfId="10347"/>
    <tableColumn id="6072" xr3:uid="{1FD3642D-BABE-4995-A2D2-60C1D64BABCC}" name="Columna6066" dataDxfId="10346"/>
    <tableColumn id="6073" xr3:uid="{7CADC5FF-1E22-4A11-A39B-BA572DD3B17D}" name="Columna6067" dataDxfId="10345"/>
    <tableColumn id="6074" xr3:uid="{CF3640D2-D940-4B58-8CBC-11261B9CBD90}" name="Columna6068" dataDxfId="10344"/>
    <tableColumn id="6075" xr3:uid="{2F0340E9-C7A8-4792-A53E-DF665834B95B}" name="Columna6069" dataDxfId="10343"/>
    <tableColumn id="6076" xr3:uid="{41270883-9303-4125-8F44-3A23B89121A0}" name="Columna6070" dataDxfId="10342"/>
    <tableColumn id="6077" xr3:uid="{EE673346-F7C9-499D-9735-92B9380BF183}" name="Columna6071" dataDxfId="10341"/>
    <tableColumn id="6078" xr3:uid="{D473EC1F-3BF4-45C7-8CB0-6FD5A2323256}" name="Columna6072" dataDxfId="10340"/>
    <tableColumn id="6079" xr3:uid="{14635084-1CA6-457D-AFB5-F37C65667130}" name="Columna6073" dataDxfId="10339"/>
    <tableColumn id="6080" xr3:uid="{F325F128-2D8A-4291-BFF7-028E37B47256}" name="Columna6074" dataDxfId="10338"/>
    <tableColumn id="6081" xr3:uid="{7BF55B45-36B7-4882-97E0-926B09F116C8}" name="Columna6075" dataDxfId="10337"/>
    <tableColumn id="6082" xr3:uid="{173DB191-5E23-47C5-AEE9-4250B2A7C0E2}" name="Columna6076" dataDxfId="10336"/>
    <tableColumn id="6083" xr3:uid="{8E1D4FC9-7524-4D2C-9EAC-13936E45A8DA}" name="Columna6077" dataDxfId="10335"/>
    <tableColumn id="6084" xr3:uid="{7697C53D-6400-4BC4-A753-8492612D3FB4}" name="Columna6078" dataDxfId="10334"/>
    <tableColumn id="6085" xr3:uid="{4081BF02-8443-4E7B-8625-AE65C24BB0B1}" name="Columna6079" dataDxfId="10333"/>
    <tableColumn id="6086" xr3:uid="{34D56696-2099-443B-A5EE-66F6BE739DAE}" name="Columna6080" dataDxfId="10332"/>
    <tableColumn id="6087" xr3:uid="{EE246709-82E4-43A5-A9E2-D88D885D6B8C}" name="Columna6081" dataDxfId="10331"/>
    <tableColumn id="6088" xr3:uid="{E036A3FC-7EA8-4CFC-8268-718E62626091}" name="Columna6082" dataDxfId="10330"/>
    <tableColumn id="6089" xr3:uid="{567E5330-A2C3-44F0-9CC0-E6D090D06222}" name="Columna6083" dataDxfId="10329"/>
    <tableColumn id="6090" xr3:uid="{FAE6E6E8-1AB7-47C0-B580-1D03D0A0783F}" name="Columna6084" dataDxfId="10328"/>
    <tableColumn id="6091" xr3:uid="{38817952-7DBC-48C1-BA9B-6951CCC3C01B}" name="Columna6085" dataDxfId="10327"/>
    <tableColumn id="6092" xr3:uid="{4E99994F-2355-47FE-9AEC-304AB9F0771F}" name="Columna6086" dataDxfId="10326"/>
    <tableColumn id="6093" xr3:uid="{698D81DB-8179-4FC2-B0F1-F2161FA82591}" name="Columna6087" dataDxfId="10325"/>
    <tableColumn id="6094" xr3:uid="{5787B75B-31F8-4F77-8334-8903977D40AE}" name="Columna6088" dataDxfId="10324"/>
    <tableColumn id="6095" xr3:uid="{E3AFC11B-EF07-4E99-A421-99652D03D04D}" name="Columna6089" dataDxfId="10323"/>
    <tableColumn id="6096" xr3:uid="{D579B52D-43DB-48D8-B142-95BF05DA3436}" name="Columna6090" dataDxfId="10322"/>
    <tableColumn id="6097" xr3:uid="{9C3A3F83-F87A-4164-A5D8-864583040A71}" name="Columna6091" dataDxfId="10321"/>
    <tableColumn id="6098" xr3:uid="{63097A0C-426B-4FDD-AE53-F474D7BEBC99}" name="Columna6092" dataDxfId="10320"/>
    <tableColumn id="6099" xr3:uid="{80533F6C-6C37-4E17-9B46-D1774C04085F}" name="Columna6093" dataDxfId="10319"/>
    <tableColumn id="6100" xr3:uid="{2284219C-858E-423E-B614-74E7CB17DCA9}" name="Columna6094" dataDxfId="10318"/>
    <tableColumn id="6101" xr3:uid="{69FEFC89-4C72-4C30-95FB-20EC49607FE2}" name="Columna6095" dataDxfId="10317"/>
    <tableColumn id="6102" xr3:uid="{F55EDBF1-9821-4A33-85D7-E87856B2425D}" name="Columna6096" dataDxfId="10316"/>
    <tableColumn id="6103" xr3:uid="{DA248DAE-6D0A-41CF-8C9B-ABD184CA2BD3}" name="Columna6097" dataDxfId="10315"/>
    <tableColumn id="6104" xr3:uid="{1A7C9C11-DDA1-41BA-8B02-D5958BE78A88}" name="Columna6098" dataDxfId="10314"/>
    <tableColumn id="6105" xr3:uid="{B242BFC4-FB2E-4869-99DC-0EC07F8298AD}" name="Columna6099" dataDxfId="10313"/>
    <tableColumn id="6106" xr3:uid="{A271B600-717E-4CE5-AE5C-9CFF688EBC2D}" name="Columna6100" dataDxfId="10312"/>
    <tableColumn id="6107" xr3:uid="{F0FB7CEA-DB52-4A16-B6A1-68EA96B55527}" name="Columna6101" dataDxfId="10311"/>
    <tableColumn id="6108" xr3:uid="{51D12740-DB14-4EEC-B13A-B7639154AD3D}" name="Columna6102" dataDxfId="10310"/>
    <tableColumn id="6109" xr3:uid="{F33984C7-4B45-4991-B46C-8A4561E1989B}" name="Columna6103" dataDxfId="10309"/>
    <tableColumn id="6110" xr3:uid="{F58A7BB9-AC1B-4651-A85E-6ACE435C460B}" name="Columna6104" dataDxfId="10308"/>
    <tableColumn id="6111" xr3:uid="{F066C054-E2E7-4B7D-982D-294F539DDD25}" name="Columna6105" dataDxfId="10307"/>
    <tableColumn id="6112" xr3:uid="{01A61257-8793-4587-9CBE-9693E386A510}" name="Columna6106" dataDxfId="10306"/>
    <tableColumn id="6113" xr3:uid="{85763514-262A-4290-ADD8-45FEC1D92718}" name="Columna6107" dataDxfId="10305"/>
    <tableColumn id="6114" xr3:uid="{17564894-70EB-4F87-A2FB-DF8C4A1B3A44}" name="Columna6108" dataDxfId="10304"/>
    <tableColumn id="6115" xr3:uid="{55BBFBB4-CA37-4618-A6FB-ED47CC7C1A66}" name="Columna6109" dataDxfId="10303"/>
    <tableColumn id="6116" xr3:uid="{6A8F3CA7-B930-485C-9AEF-D142B3F09F40}" name="Columna6110" dataDxfId="10302"/>
    <tableColumn id="6117" xr3:uid="{D5128738-8FFE-40E7-9C32-344F8496D1BE}" name="Columna6111" dataDxfId="10301"/>
    <tableColumn id="6118" xr3:uid="{BB188969-811E-4DCB-A82E-754D0B0CAFC2}" name="Columna6112" dataDxfId="10300"/>
    <tableColumn id="6119" xr3:uid="{6F27A36C-31AF-45A9-9C55-2488B3107DE4}" name="Columna6113" dataDxfId="10299"/>
    <tableColumn id="6120" xr3:uid="{4C35CA7E-7C8A-4F96-BA52-1395696BB861}" name="Columna6114" dataDxfId="10298"/>
    <tableColumn id="6121" xr3:uid="{E877762A-1DF1-4068-A3A4-C8C3C2545481}" name="Columna6115" dataDxfId="10297"/>
    <tableColumn id="6122" xr3:uid="{DED9C910-C528-4359-9D83-B2112DFE21CD}" name="Columna6116" dataDxfId="10296"/>
    <tableColumn id="6123" xr3:uid="{56F47884-0406-4840-A109-0EBC1975D52D}" name="Columna6117" dataDxfId="10295"/>
    <tableColumn id="6124" xr3:uid="{CF5863CF-2A12-4991-8E1B-DB032DA594E5}" name="Columna6118" dataDxfId="10294"/>
    <tableColumn id="6125" xr3:uid="{55EB369E-D572-41C5-9DB6-5A29C0FD8AE7}" name="Columna6119" dataDxfId="10293"/>
    <tableColumn id="6126" xr3:uid="{7F0F3F0E-93DB-46A4-B43F-1586384C46E4}" name="Columna6120" dataDxfId="10292"/>
    <tableColumn id="6127" xr3:uid="{FB8502FC-D33A-4299-9C06-774D87C2C702}" name="Columna6121" dataDxfId="10291"/>
    <tableColumn id="6128" xr3:uid="{34AC7BB1-0DA1-4CE1-A6DF-4483A9A6993F}" name="Columna6122" dataDxfId="10290"/>
    <tableColumn id="6129" xr3:uid="{2553F61F-43A1-44A9-85F3-B035CEF92741}" name="Columna6123" dataDxfId="10289"/>
    <tableColumn id="6130" xr3:uid="{7EA78333-1A67-4B0E-A311-C15C2050D97C}" name="Columna6124" dataDxfId="10288"/>
    <tableColumn id="6131" xr3:uid="{9DCFC915-E047-4D8C-962E-06F925C56B95}" name="Columna6125" dataDxfId="10287"/>
    <tableColumn id="6132" xr3:uid="{6EBA0AF7-F6A0-406D-BF1D-5EBB59A68AF2}" name="Columna6126" dataDxfId="10286"/>
    <tableColumn id="6133" xr3:uid="{58897CC7-777A-4004-9284-E920CB3DC071}" name="Columna6127" dataDxfId="10285"/>
    <tableColumn id="6134" xr3:uid="{98541276-7FC1-4199-9AE0-C69E360F8BA4}" name="Columna6128" dataDxfId="10284"/>
    <tableColumn id="6135" xr3:uid="{069BA87B-AE20-411B-A6BC-D1162D98D67C}" name="Columna6129" dataDxfId="10283"/>
    <tableColumn id="6136" xr3:uid="{D87B8935-3388-40B0-B7C7-63D3F51B5A1B}" name="Columna6130" dataDxfId="10282"/>
    <tableColumn id="6137" xr3:uid="{BFE074F0-FBD9-48D2-8B7F-702D0FFBD7FD}" name="Columna6131" dataDxfId="10281"/>
    <tableColumn id="6138" xr3:uid="{EFEADA3C-5CE1-4078-A590-CF370A1237EC}" name="Columna6132" dataDxfId="10280"/>
    <tableColumn id="6139" xr3:uid="{DC05E9AF-F76B-40E2-B364-B95F6966D170}" name="Columna6133" dataDxfId="10279"/>
    <tableColumn id="6140" xr3:uid="{1188057A-FC78-4522-9240-700455A17BC0}" name="Columna6134" dataDxfId="10278"/>
    <tableColumn id="6141" xr3:uid="{6C7E4EAB-E1FF-4CBE-ADBB-4197F9008CA0}" name="Columna6135" dataDxfId="10277"/>
    <tableColumn id="6142" xr3:uid="{520E3116-CCC6-446B-BC66-292C50E8FB25}" name="Columna6136" dataDxfId="10276"/>
    <tableColumn id="6143" xr3:uid="{43C9D866-BAEF-42ED-B842-E4F2FA62F622}" name="Columna6137" dataDxfId="10275"/>
    <tableColumn id="6144" xr3:uid="{2E50B5D7-00E6-45D2-9D74-5D8BA30180CC}" name="Columna6138" dataDxfId="10274"/>
    <tableColumn id="6145" xr3:uid="{3E9EC086-7C3E-48C5-86E6-7D865361C394}" name="Columna6139" dataDxfId="10273"/>
    <tableColumn id="6146" xr3:uid="{DA40644B-5BF6-4A89-910F-49119DC1E409}" name="Columna6140" dataDxfId="10272"/>
    <tableColumn id="6147" xr3:uid="{01A9836C-4B2C-4B60-BD47-DF1319157929}" name="Columna6141" dataDxfId="10271"/>
    <tableColumn id="6148" xr3:uid="{1CA32EAD-FFC5-45DE-A4B3-4CCBFA15D210}" name="Columna6142" dataDxfId="10270"/>
    <tableColumn id="6149" xr3:uid="{A01F9690-D9A9-462C-B38E-8BC35950E2C3}" name="Columna6143" dataDxfId="10269"/>
    <tableColumn id="6150" xr3:uid="{44B6D4C8-0D3C-43F9-88E3-70AB0CDCFAC1}" name="Columna6144" dataDxfId="10268"/>
    <tableColumn id="6151" xr3:uid="{310CEECB-3D1B-4C84-AF3D-03456B2CB539}" name="Columna6145" dataDxfId="10267"/>
    <tableColumn id="6152" xr3:uid="{9C07AFA6-2FDD-496B-9699-D0DA6390805B}" name="Columna6146" dataDxfId="10266"/>
    <tableColumn id="6153" xr3:uid="{5D22C2AD-70FD-442A-84D6-D7ABC266FE03}" name="Columna6147" dataDxfId="10265"/>
    <tableColumn id="6154" xr3:uid="{2248AA3F-C586-40FC-9604-0D14B1DFE697}" name="Columna6148" dataDxfId="10264"/>
    <tableColumn id="6155" xr3:uid="{A718876E-2167-4811-9D80-E4221C9011CE}" name="Columna6149" dataDxfId="10263"/>
    <tableColumn id="6156" xr3:uid="{BB766FFF-8F8D-4CCB-9E07-22A2FE300259}" name="Columna6150" dataDxfId="10262"/>
    <tableColumn id="6157" xr3:uid="{520514A3-4683-4DED-B9C0-F796292AE2E7}" name="Columna6151" dataDxfId="10261"/>
    <tableColumn id="6158" xr3:uid="{D2457F1B-E583-4E8B-AEE2-754C498BBC20}" name="Columna6152" dataDxfId="10260"/>
    <tableColumn id="6159" xr3:uid="{AC25DBC1-D6DC-4E1B-A50D-C4866A7B58DC}" name="Columna6153" dataDxfId="10259"/>
    <tableColumn id="6160" xr3:uid="{8EFA3000-0D9A-4166-9774-84113017B3F7}" name="Columna6154" dataDxfId="10258"/>
    <tableColumn id="6161" xr3:uid="{687CCAFC-6E26-4CA4-831F-9EDC85DEAFA0}" name="Columna6155" dataDxfId="10257"/>
    <tableColumn id="6162" xr3:uid="{6BBB4144-4863-438B-91BC-773E108200A7}" name="Columna6156" dataDxfId="10256"/>
    <tableColumn id="6163" xr3:uid="{0A178B28-5D09-4B5F-84EB-5B3187815425}" name="Columna6157" dataDxfId="10255"/>
    <tableColumn id="6164" xr3:uid="{E4CE5464-568F-43CE-983D-F0773D3BEAE2}" name="Columna6158" dataDxfId="10254"/>
    <tableColumn id="6165" xr3:uid="{81465C5A-E43C-40CC-A64F-7F483FCCABB1}" name="Columna6159" dataDxfId="10253"/>
    <tableColumn id="6166" xr3:uid="{A601FA18-0355-4EE5-A56B-D5AA0E714FD9}" name="Columna6160" dataDxfId="10252"/>
    <tableColumn id="6167" xr3:uid="{DA51C836-8121-432B-BF3B-7B8C49771502}" name="Columna6161" dataDxfId="10251"/>
    <tableColumn id="6168" xr3:uid="{148C5ABB-501F-44ED-A82A-26355AE12B33}" name="Columna6162" dataDxfId="10250"/>
    <tableColumn id="6169" xr3:uid="{75A0A5DD-8E6F-479B-90E3-07E0C52ADB35}" name="Columna6163" dataDxfId="10249"/>
    <tableColumn id="6170" xr3:uid="{B3D198FE-BA3A-4369-9522-777BF63C5E5D}" name="Columna6164" dataDxfId="10248"/>
    <tableColumn id="6171" xr3:uid="{7433F622-7BCD-4772-88F6-41A785D29033}" name="Columna6165" dataDxfId="10247"/>
    <tableColumn id="6172" xr3:uid="{887A620C-FC13-44EF-A39A-2AF663697328}" name="Columna6166" dataDxfId="10246"/>
    <tableColumn id="6173" xr3:uid="{60CCCF42-BF71-492C-8568-DEECCC826760}" name="Columna6167" dataDxfId="10245"/>
    <tableColumn id="6174" xr3:uid="{A759FBFA-D198-4D41-A9D6-2C1914458EA9}" name="Columna6168" dataDxfId="10244"/>
    <tableColumn id="6175" xr3:uid="{7DAD364A-870A-478F-8B9F-24433FCAA384}" name="Columna6169" dataDxfId="10243"/>
    <tableColumn id="6176" xr3:uid="{735FF48B-20A2-4032-8911-0FD991F78133}" name="Columna6170" dataDxfId="10242"/>
    <tableColumn id="6177" xr3:uid="{EF191D2A-93CC-4172-B859-85E50B8B2B50}" name="Columna6171" dataDxfId="10241"/>
    <tableColumn id="6178" xr3:uid="{B830AF75-0D66-4DD3-AEBD-53C1DEC605AD}" name="Columna6172" dataDxfId="10240"/>
    <tableColumn id="6179" xr3:uid="{1047602E-CDA5-47C9-ADA6-D76F1C58C383}" name="Columna6173" dataDxfId="10239"/>
    <tableColumn id="6180" xr3:uid="{B06B2C34-F5A4-4445-8DA4-E240358D2367}" name="Columna6174" dataDxfId="10238"/>
    <tableColumn id="6181" xr3:uid="{FC5F8FCA-EFCC-4BF3-AADC-E3F20806E1BD}" name="Columna6175" dataDxfId="10237"/>
    <tableColumn id="6182" xr3:uid="{3E434C68-7BCF-4215-8BFC-0BD1E339C3DF}" name="Columna6176" dataDxfId="10236"/>
    <tableColumn id="6183" xr3:uid="{A0760442-948C-4406-BF6A-13B71A7CB57A}" name="Columna6177" dataDxfId="10235"/>
    <tableColumn id="6184" xr3:uid="{E15247B5-34B6-4E7E-A157-4749F76774D8}" name="Columna6178" dataDxfId="10234"/>
    <tableColumn id="6185" xr3:uid="{6F16C978-4F45-4D6B-B17A-E050F8626912}" name="Columna6179" dataDxfId="10233"/>
    <tableColumn id="6186" xr3:uid="{87CE4125-2446-40B2-8DA0-6D1E0979AD85}" name="Columna6180" dataDxfId="10232"/>
    <tableColumn id="6187" xr3:uid="{3E5862D9-CC67-40AF-9D5E-4BAE3BC3B571}" name="Columna6181" dataDxfId="10231"/>
    <tableColumn id="6188" xr3:uid="{F9BF09B7-0C71-461B-AC9C-32E3FD2C1420}" name="Columna6182" dataDxfId="10230"/>
    <tableColumn id="6189" xr3:uid="{58ED78BE-DBA3-4330-BB67-EDA8E0F1B1AD}" name="Columna6183" dataDxfId="10229"/>
    <tableColumn id="6190" xr3:uid="{A9CC31B7-898E-4058-B25B-7CDF9257928F}" name="Columna6184" dataDxfId="10228"/>
    <tableColumn id="6191" xr3:uid="{1206B2D6-988C-4289-BA35-7EA22A691DE6}" name="Columna6185" dataDxfId="10227"/>
    <tableColumn id="6192" xr3:uid="{13B542CF-DA7D-437C-92B9-FAF90889B971}" name="Columna6186" dataDxfId="10226"/>
    <tableColumn id="6193" xr3:uid="{DB1D835B-349C-4A45-9149-E5BCFB078360}" name="Columna6187" dataDxfId="10225"/>
    <tableColumn id="6194" xr3:uid="{3E8026A1-30A7-4AD9-BEEC-1C8A51ABCADD}" name="Columna6188" dataDxfId="10224"/>
    <tableColumn id="6195" xr3:uid="{4970EEA8-EEB2-4847-8BC2-AD9EB063798F}" name="Columna6189" dataDxfId="10223"/>
    <tableColumn id="6196" xr3:uid="{FB228836-9543-4AFE-BD3A-217551C6D6BF}" name="Columna6190" dataDxfId="10222"/>
    <tableColumn id="6197" xr3:uid="{589E7A35-1A78-4934-9514-9C214E097C9C}" name="Columna6191" dataDxfId="10221"/>
    <tableColumn id="6198" xr3:uid="{765FD73A-5E18-4B9F-9904-2F8DA9E4793F}" name="Columna6192" dataDxfId="10220"/>
    <tableColumn id="6199" xr3:uid="{5A92EA81-82AA-4028-A386-EFC417ACB5E5}" name="Columna6193" dataDxfId="10219"/>
    <tableColumn id="6200" xr3:uid="{EB113BCB-C0B0-4EFC-A8C3-A00AF7653BF2}" name="Columna6194" dataDxfId="10218"/>
    <tableColumn id="6201" xr3:uid="{456F24D1-2DFA-436A-BFED-4D617911D144}" name="Columna6195" dataDxfId="10217"/>
    <tableColumn id="6202" xr3:uid="{D4922637-A869-4DA4-ABDD-A0D534F8EE6C}" name="Columna6196" dataDxfId="10216"/>
    <tableColumn id="6203" xr3:uid="{26DEC5AE-BDA8-46E8-B405-A4895A986359}" name="Columna6197" dataDxfId="10215"/>
    <tableColumn id="6204" xr3:uid="{F6F4DAF5-1B37-4EC6-8BFC-193B0D313EC8}" name="Columna6198" dataDxfId="10214"/>
    <tableColumn id="6205" xr3:uid="{21ECB7A7-DE3D-4C52-AAA3-B3BBC1A8D865}" name="Columna6199" dataDxfId="10213"/>
    <tableColumn id="6206" xr3:uid="{D06EC31C-C49B-4FE1-AC08-13AB2122262A}" name="Columna6200" dataDxfId="10212"/>
    <tableColumn id="6207" xr3:uid="{2105DA35-08AD-468B-8A62-99D7D309EF0E}" name="Columna6201" dataDxfId="10211"/>
    <tableColumn id="6208" xr3:uid="{82EE93AA-D3E7-411E-896D-957B3044EC0B}" name="Columna6202" dataDxfId="10210"/>
    <tableColumn id="6209" xr3:uid="{E0F9CD94-DEA8-486A-9AB4-949A8E326770}" name="Columna6203" dataDxfId="10209"/>
    <tableColumn id="6210" xr3:uid="{A97DDBFC-99DC-45A8-938C-E72D7712441A}" name="Columna6204" dataDxfId="10208"/>
    <tableColumn id="6211" xr3:uid="{12521503-406E-449F-B13C-D283935C6C39}" name="Columna6205" dataDxfId="10207"/>
    <tableColumn id="6212" xr3:uid="{71D25E80-8CBE-45FA-B18F-1A251A3A9BD7}" name="Columna6206" dataDxfId="10206"/>
    <tableColumn id="6213" xr3:uid="{3E3FEEDE-BF9C-457F-82B7-9168A68A138D}" name="Columna6207" dataDxfId="10205"/>
    <tableColumn id="6214" xr3:uid="{216DBF18-287A-45B9-ADD2-A2E87DD87A36}" name="Columna6208" dataDxfId="10204"/>
    <tableColumn id="6215" xr3:uid="{F0C4C1B1-F96D-4CAE-865D-86FE36439248}" name="Columna6209" dataDxfId="10203"/>
    <tableColumn id="6216" xr3:uid="{68BD21E4-2411-4206-BFDA-1D2B53E3F79D}" name="Columna6210" dataDxfId="10202"/>
    <tableColumn id="6217" xr3:uid="{929101C4-1E1F-4E4E-BDCB-BEE94AD87221}" name="Columna6211" dataDxfId="10201"/>
    <tableColumn id="6218" xr3:uid="{60661AB7-FD92-40E6-83B9-DD90C3E6684A}" name="Columna6212" dataDxfId="10200"/>
    <tableColumn id="6219" xr3:uid="{0D67521A-ADC2-4229-8769-77B2FA7819F7}" name="Columna6213" dataDxfId="10199"/>
    <tableColumn id="6220" xr3:uid="{C4905CDC-3177-4CD0-AAD3-471BDDA8592A}" name="Columna6214" dataDxfId="10198"/>
    <tableColumn id="6221" xr3:uid="{E727C8F5-BAC7-44F8-B274-89A155C91C36}" name="Columna6215" dataDxfId="10197"/>
    <tableColumn id="6222" xr3:uid="{A273D97A-D9AF-40FC-BB30-C3CDFEB802BA}" name="Columna6216" dataDxfId="10196"/>
    <tableColumn id="6223" xr3:uid="{DCDA5350-A744-4BFE-A1A0-94099EEAB766}" name="Columna6217" dataDxfId="10195"/>
    <tableColumn id="6224" xr3:uid="{71A3D669-4C1A-4C7C-B7F3-C42747F66993}" name="Columna6218" dataDxfId="10194"/>
    <tableColumn id="6225" xr3:uid="{3A774107-B737-4BD8-BEA8-49C5289E9E3C}" name="Columna6219" dataDxfId="10193"/>
    <tableColumn id="6226" xr3:uid="{F8447804-59A1-47B8-A17D-40AA3B14F82F}" name="Columna6220" dataDxfId="10192"/>
    <tableColumn id="6227" xr3:uid="{17B4B27B-C9A4-499E-B48B-A4A327FA0A6F}" name="Columna6221" dataDxfId="10191"/>
    <tableColumn id="6228" xr3:uid="{E1C80E6E-E52D-4325-B97D-1A5EA1EAA04B}" name="Columna6222" dataDxfId="10190"/>
    <tableColumn id="6229" xr3:uid="{5F7CCB42-1269-4261-BA61-99D26FDE16C1}" name="Columna6223" dataDxfId="10189"/>
    <tableColumn id="6230" xr3:uid="{402A7A95-E322-4040-8C3B-5DA20217748B}" name="Columna6224" dataDxfId="10188"/>
    <tableColumn id="6231" xr3:uid="{1DC64984-813B-43D3-94B3-70BB70682A3C}" name="Columna6225" dataDxfId="10187"/>
    <tableColumn id="6232" xr3:uid="{C69DAC23-7540-4AA7-9DAD-95AF64D9E0B5}" name="Columna6226" dataDxfId="10186"/>
    <tableColumn id="6233" xr3:uid="{6F355C11-8649-45CA-B662-B273EB35060F}" name="Columna6227" dataDxfId="10185"/>
    <tableColumn id="6234" xr3:uid="{2C355663-F8DF-4C82-BDDC-56BEF9068F60}" name="Columna6228" dataDxfId="10184"/>
    <tableColumn id="6235" xr3:uid="{FD25D73B-A071-49B5-BA08-B9C4F2EFA90A}" name="Columna6229" dataDxfId="10183"/>
    <tableColumn id="6236" xr3:uid="{F59FC12F-68F8-4797-85A9-50C3E735C1EB}" name="Columna6230" dataDxfId="10182"/>
    <tableColumn id="6237" xr3:uid="{EC8C2AA5-5E38-470B-BF89-BA307B45D684}" name="Columna6231" dataDxfId="10181"/>
    <tableColumn id="6238" xr3:uid="{DC586247-06F2-467D-87B6-A4F18FC058C4}" name="Columna6232" dataDxfId="10180"/>
    <tableColumn id="6239" xr3:uid="{37311C96-9A63-4DA5-A1F0-568F957A553A}" name="Columna6233" dataDxfId="10179"/>
    <tableColumn id="6240" xr3:uid="{DBC5F990-7715-4B4C-9236-01E8BC4F8595}" name="Columna6234" dataDxfId="10178"/>
    <tableColumn id="6241" xr3:uid="{40BF1FBF-159F-4927-9009-1ACECBE2F610}" name="Columna6235" dataDxfId="10177"/>
    <tableColumn id="6242" xr3:uid="{CCDC3DBB-4C07-44A0-98FE-9B34578479CF}" name="Columna6236" dataDxfId="10176"/>
    <tableColumn id="6243" xr3:uid="{4667EC2B-50FB-4126-AFE3-D3C95450920E}" name="Columna6237" dataDxfId="10175"/>
    <tableColumn id="6244" xr3:uid="{1A1866BB-CC46-4ED6-AF9E-E1A386C548B7}" name="Columna6238" dataDxfId="10174"/>
    <tableColumn id="6245" xr3:uid="{171247D9-E9DE-45F6-AD0F-0DD271ECDA46}" name="Columna6239" dataDxfId="10173"/>
    <tableColumn id="6246" xr3:uid="{8D6E8F4C-5CAB-4761-9836-37E6A6E73A4B}" name="Columna6240" dataDxfId="10172"/>
    <tableColumn id="6247" xr3:uid="{1F1E46CB-9EBB-4A5E-ADCA-AABA3058A085}" name="Columna6241" dataDxfId="10171"/>
    <tableColumn id="6248" xr3:uid="{E8F8F89B-02B4-4163-9866-684109614A25}" name="Columna6242" dataDxfId="10170"/>
    <tableColumn id="6249" xr3:uid="{3665D2F7-2C9B-4ABB-B7AD-ABF84B5510F1}" name="Columna6243" dataDxfId="10169"/>
    <tableColumn id="6250" xr3:uid="{D1D8DEF5-578A-43E2-B416-9FE31EFEC93A}" name="Columna6244" dataDxfId="10168"/>
    <tableColumn id="6251" xr3:uid="{36D182BB-3783-4099-8A25-6CB074D84336}" name="Columna6245" dataDxfId="10167"/>
    <tableColumn id="6252" xr3:uid="{9A44683A-9D6B-4BAD-B0D1-66676F42BCF7}" name="Columna6246" dataDxfId="10166"/>
    <tableColumn id="6253" xr3:uid="{E3B772F4-255A-4C01-9C6E-D91965BB0DD3}" name="Columna6247" dataDxfId="10165"/>
    <tableColumn id="6254" xr3:uid="{FE13E240-1F77-45E5-801C-DF4185BE2C54}" name="Columna6248" dataDxfId="10164"/>
    <tableColumn id="6255" xr3:uid="{F04DE588-8C24-416C-80DC-0FA316F66B06}" name="Columna6249" dataDxfId="10163"/>
    <tableColumn id="6256" xr3:uid="{DE9166B1-29CC-4F03-807E-C101F86455AF}" name="Columna6250" dataDxfId="10162"/>
    <tableColumn id="6257" xr3:uid="{256C2DBF-BF6D-468D-8A98-A8F975F36E60}" name="Columna6251" dataDxfId="10161"/>
    <tableColumn id="6258" xr3:uid="{4479CEF8-28DC-4760-A9F7-64995D498E21}" name="Columna6252" dataDxfId="10160"/>
    <tableColumn id="6259" xr3:uid="{E8714CAE-C911-4D72-B908-89D8D15937B1}" name="Columna6253" dataDxfId="10159"/>
    <tableColumn id="6260" xr3:uid="{AF544BCB-0B21-4904-AE35-A88F261B70D1}" name="Columna6254" dataDxfId="10158"/>
    <tableColumn id="6261" xr3:uid="{13A4AAB1-F57C-480C-A924-4B9ABCD12505}" name="Columna6255" dataDxfId="10157"/>
    <tableColumn id="6262" xr3:uid="{04FADA6E-E04B-4738-A820-3A0A1B3C2169}" name="Columna6256" dataDxfId="10156"/>
    <tableColumn id="6263" xr3:uid="{3871BB30-73FE-436A-8B21-5F25C73684F9}" name="Columna6257" dataDxfId="10155"/>
    <tableColumn id="6264" xr3:uid="{5A3EA930-FF58-4928-86A6-FC2D8F53FE68}" name="Columna6258" dataDxfId="10154"/>
    <tableColumn id="6265" xr3:uid="{715AFEA9-830F-47F9-8DEB-556A03BE05C0}" name="Columna6259" dataDxfId="10153"/>
    <tableColumn id="6266" xr3:uid="{63510766-6ADC-4A2E-87E8-251F78F745B2}" name="Columna6260" dataDxfId="10152"/>
    <tableColumn id="6267" xr3:uid="{040E2F04-70AB-44A4-A206-1A996BF20E01}" name="Columna6261" dataDxfId="10151"/>
    <tableColumn id="6268" xr3:uid="{5E172EE1-9055-4A31-B2FD-6093B83F77D5}" name="Columna6262" dataDxfId="10150"/>
    <tableColumn id="6269" xr3:uid="{B2085DF0-9C1A-4726-A291-AB4F9E0121AE}" name="Columna6263" dataDxfId="10149"/>
    <tableColumn id="6270" xr3:uid="{F247ACA1-0D1B-4D47-B72A-6FFE2F683EA0}" name="Columna6264" dataDxfId="10148"/>
    <tableColumn id="6271" xr3:uid="{91F7C477-5644-410F-B135-D69C442592B6}" name="Columna6265" dataDxfId="10147"/>
    <tableColumn id="6272" xr3:uid="{A14020E1-BC18-4B34-82FE-E98A4ECE1672}" name="Columna6266" dataDxfId="10146"/>
    <tableColumn id="6273" xr3:uid="{C165E43D-A8F9-4492-BA82-896E732F5806}" name="Columna6267" dataDxfId="10145"/>
    <tableColumn id="6274" xr3:uid="{66207EBA-F8D9-4C85-BFA1-AEC5ADA7974B}" name="Columna6268" dataDxfId="10144"/>
    <tableColumn id="6275" xr3:uid="{59BC3AE3-3B92-4A77-94CD-4D6D36F2845C}" name="Columna6269" dataDxfId="10143"/>
    <tableColumn id="6276" xr3:uid="{DCD9A0BE-47CD-4362-ACE6-EC4A2B240D0A}" name="Columna6270" dataDxfId="10142"/>
    <tableColumn id="6277" xr3:uid="{1E90A28B-11A0-4632-A939-ACE12D95C21C}" name="Columna6271" dataDxfId="10141"/>
    <tableColumn id="6278" xr3:uid="{73FC6204-C428-4D5A-9D21-0D77DE0FBD24}" name="Columna6272" dataDxfId="10140"/>
    <tableColumn id="6279" xr3:uid="{62299EF7-EB28-48F3-A1A9-75CA0D11A68F}" name="Columna6273" dataDxfId="10139"/>
    <tableColumn id="6280" xr3:uid="{9F44F246-0BF0-4661-A9B1-8E1E8305217B}" name="Columna6274" dataDxfId="10138"/>
    <tableColumn id="6281" xr3:uid="{B00C0777-7FEC-4405-A368-B9D451F0B975}" name="Columna6275" dataDxfId="10137"/>
    <tableColumn id="6282" xr3:uid="{43C01709-FBEB-4B57-9C71-D9B2C224F67A}" name="Columna6276" dataDxfId="10136"/>
    <tableColumn id="6283" xr3:uid="{00696D9A-C476-4252-80A6-658627421EE3}" name="Columna6277" dataDxfId="10135"/>
    <tableColumn id="6284" xr3:uid="{39CD61A0-1101-4D8B-A807-636473AC35A7}" name="Columna6278" dataDxfId="10134"/>
    <tableColumn id="6285" xr3:uid="{3218A404-BE60-4475-BBF4-C8D794ED3503}" name="Columna6279" dataDxfId="10133"/>
    <tableColumn id="6286" xr3:uid="{4C39CED1-573A-4539-9D6E-A28744038FD9}" name="Columna6280" dataDxfId="10132"/>
    <tableColumn id="6287" xr3:uid="{EE2CF234-AD00-44BE-A25D-6E36600E89B5}" name="Columna6281" dataDxfId="10131"/>
    <tableColumn id="6288" xr3:uid="{029435AE-E73F-464D-962D-7DD0F810ED39}" name="Columna6282" dataDxfId="10130"/>
    <tableColumn id="6289" xr3:uid="{6D4EBFFD-D511-438B-86B3-61AC876C1D3B}" name="Columna6283" dataDxfId="10129"/>
    <tableColumn id="6290" xr3:uid="{FB621F90-6EB6-41B0-AB83-74DE0E59EF6B}" name="Columna6284" dataDxfId="10128"/>
    <tableColumn id="6291" xr3:uid="{80AA0EB1-A4F3-46CA-B09B-26DEA380782A}" name="Columna6285" dataDxfId="10127"/>
    <tableColumn id="6292" xr3:uid="{83ED565A-D7D6-4B19-BDCF-49DD3B3C9F20}" name="Columna6286" dataDxfId="10126"/>
    <tableColumn id="6293" xr3:uid="{6D694C22-2074-4119-9B42-3994A03C01EB}" name="Columna6287" dataDxfId="10125"/>
    <tableColumn id="6294" xr3:uid="{82911B3A-EAEA-442D-AA7D-94F8E31DB06D}" name="Columna6288" dataDxfId="10124"/>
    <tableColumn id="6295" xr3:uid="{6FF497BE-CDB7-464A-9156-4E3C9409B17F}" name="Columna6289" dataDxfId="10123"/>
    <tableColumn id="6296" xr3:uid="{49D6475A-65F7-4146-B097-588B16CB21F3}" name="Columna6290" dataDxfId="10122"/>
    <tableColumn id="6297" xr3:uid="{D043ED3A-E8A3-461A-B75D-94C12744342C}" name="Columna6291" dataDxfId="10121"/>
    <tableColumn id="6298" xr3:uid="{2A50B25B-7FC9-49F3-A299-1FB20AE376EA}" name="Columna6292" dataDxfId="10120"/>
    <tableColumn id="6299" xr3:uid="{63C8CDD3-6562-4C7B-8A47-C02212518F71}" name="Columna6293" dataDxfId="10119"/>
    <tableColumn id="6300" xr3:uid="{69E5A82D-07DE-43AF-B371-F95B3915B0AE}" name="Columna6294" dataDxfId="10118"/>
    <tableColumn id="6301" xr3:uid="{6BFDD5F2-EC36-4BB0-99AC-1C58D506BF64}" name="Columna6295" dataDxfId="10117"/>
    <tableColumn id="6302" xr3:uid="{ED853264-7E63-4652-8036-490E336740AB}" name="Columna6296" dataDxfId="10116"/>
    <tableColumn id="6303" xr3:uid="{5F834852-EBE0-42FB-97F8-077C214B86DB}" name="Columna6297" dataDxfId="10115"/>
    <tableColumn id="6304" xr3:uid="{F12EC1FB-0FF8-485F-AC75-23A64961BFD8}" name="Columna6298" dataDxfId="10114"/>
    <tableColumn id="6305" xr3:uid="{55BD078A-7284-42C6-B947-981D3E303338}" name="Columna6299" dataDxfId="10113"/>
    <tableColumn id="6306" xr3:uid="{F2227F55-2531-4B81-B5DD-0F39C10E4AF6}" name="Columna6300" dataDxfId="10112"/>
    <tableColumn id="6307" xr3:uid="{172204A7-C10F-46B3-8BD0-3D30DB5DC52F}" name="Columna6301" dataDxfId="10111"/>
    <tableColumn id="6308" xr3:uid="{2575F36B-6AB7-4B78-9DB1-DE9C4F6DF057}" name="Columna6302" dataDxfId="10110"/>
    <tableColumn id="6309" xr3:uid="{36BCE124-003E-4734-B74A-9731291547DB}" name="Columna6303" dataDxfId="10109"/>
    <tableColumn id="6310" xr3:uid="{3512E6F8-D660-462C-AE03-87A68E563252}" name="Columna6304" dataDxfId="10108"/>
    <tableColumn id="6311" xr3:uid="{BE41042E-6BF1-43C9-B44A-27E6E184AC27}" name="Columna6305" dataDxfId="10107"/>
    <tableColumn id="6312" xr3:uid="{EABEDEDF-7AD8-4DF3-93AE-EE554FD91F6A}" name="Columna6306" dataDxfId="10106"/>
    <tableColumn id="6313" xr3:uid="{BF64B499-DF00-4037-A06C-3E4B182AA3D4}" name="Columna6307" dataDxfId="10105"/>
    <tableColumn id="6314" xr3:uid="{9C9EEFD3-F6D6-43ED-AF17-34DD0C59B312}" name="Columna6308" dataDxfId="10104"/>
    <tableColumn id="6315" xr3:uid="{626F4EDB-1A0C-48F7-91C7-2C315A5B4450}" name="Columna6309" dataDxfId="10103"/>
    <tableColumn id="6316" xr3:uid="{20B108B1-D905-42BF-B41C-76211D55C712}" name="Columna6310" dataDxfId="10102"/>
    <tableColumn id="6317" xr3:uid="{377C4899-5045-41FC-BDC2-81AA0F95FF75}" name="Columna6311" dataDxfId="10101"/>
    <tableColumn id="6318" xr3:uid="{EFFD9A7F-F10D-46C3-B3F2-920FF9D1B6BB}" name="Columna6312" dataDxfId="10100"/>
    <tableColumn id="6319" xr3:uid="{0CB206F6-9F33-4BB5-83D3-3D2214228B24}" name="Columna6313" dataDxfId="10099"/>
    <tableColumn id="6320" xr3:uid="{417C96F9-C25D-4242-81A9-D576787463B5}" name="Columna6314" dataDxfId="10098"/>
    <tableColumn id="6321" xr3:uid="{7DC0EA41-30A8-4EBB-9C42-AF0AACD5B45E}" name="Columna6315" dataDxfId="10097"/>
    <tableColumn id="6322" xr3:uid="{A99B134A-2124-4586-A329-B73AD5764D55}" name="Columna6316" dataDxfId="10096"/>
    <tableColumn id="6323" xr3:uid="{51684595-BB33-433D-9177-C38A5C8102F1}" name="Columna6317" dataDxfId="10095"/>
    <tableColumn id="6324" xr3:uid="{10F6C729-8FE1-4789-BDAD-FA9E6230879B}" name="Columna6318" dataDxfId="10094"/>
    <tableColumn id="6325" xr3:uid="{AAC7CDD6-8F18-40D9-97DC-4DED84D22C43}" name="Columna6319" dataDxfId="10093"/>
    <tableColumn id="6326" xr3:uid="{CECA94C7-7196-4F9E-A3A7-D4AF05E891D4}" name="Columna6320" dataDxfId="10092"/>
    <tableColumn id="6327" xr3:uid="{285FF7AC-ED58-457C-86AB-9FA95F85A999}" name="Columna6321" dataDxfId="10091"/>
    <tableColumn id="6328" xr3:uid="{0F1C59B5-8FE9-4713-A1F1-556518B9F44E}" name="Columna6322" dataDxfId="10090"/>
    <tableColumn id="6329" xr3:uid="{226B6DDE-F418-4D9C-A510-3D9BAECC8C01}" name="Columna6323" dataDxfId="10089"/>
    <tableColumn id="6330" xr3:uid="{A3D34A8B-DA63-4B65-8FBB-A60EF4D554DE}" name="Columna6324" dataDxfId="10088"/>
    <tableColumn id="6331" xr3:uid="{61164EFC-ED2C-4C2A-A6B5-5121D6CDA1EC}" name="Columna6325" dataDxfId="10087"/>
    <tableColumn id="6332" xr3:uid="{CBA79606-A030-45A0-895A-251796F9E41D}" name="Columna6326" dataDxfId="10086"/>
    <tableColumn id="6333" xr3:uid="{4A93E2A3-9F8F-4B8F-B4E0-30F1596CDB9F}" name="Columna6327" dataDxfId="10085"/>
    <tableColumn id="6334" xr3:uid="{B21C24F2-D2A2-4099-9E33-59536CCA0876}" name="Columna6328" dataDxfId="10084"/>
    <tableColumn id="6335" xr3:uid="{937C7EDB-32CC-4A13-B411-BBD737CF2B24}" name="Columna6329" dataDxfId="10083"/>
    <tableColumn id="6336" xr3:uid="{F207C0DD-C9D8-42D5-974E-B2EDDCDE422B}" name="Columna6330" dataDxfId="10082"/>
    <tableColumn id="6337" xr3:uid="{D25519FD-3567-483D-91B6-EB3FF76062CB}" name="Columna6331" dataDxfId="10081"/>
    <tableColumn id="6338" xr3:uid="{2F60F83D-858F-4AD3-B102-DBEEC9674CA5}" name="Columna6332" dataDxfId="10080"/>
    <tableColumn id="6339" xr3:uid="{7BE7D396-5C90-4A04-BFF0-77DDF9C8ADDD}" name="Columna6333" dataDxfId="10079"/>
    <tableColumn id="6340" xr3:uid="{610E93A4-3792-44F0-BEAF-0B55F065540F}" name="Columna6334" dataDxfId="10078"/>
    <tableColumn id="6341" xr3:uid="{9D350685-1913-4B0F-A35A-060A8575DE41}" name="Columna6335" dataDxfId="10077"/>
    <tableColumn id="6342" xr3:uid="{071AECA0-902A-409A-8302-7EE6BEB8292E}" name="Columna6336" dataDxfId="10076"/>
    <tableColumn id="6343" xr3:uid="{096E5AA6-9A6F-46C7-A269-9CA824172389}" name="Columna6337" dataDxfId="10075"/>
    <tableColumn id="6344" xr3:uid="{07BB4AA5-D063-4228-BFB1-7542100E025D}" name="Columna6338" dataDxfId="10074"/>
    <tableColumn id="6345" xr3:uid="{A61C1BFE-D75B-428C-83AA-91C94BC6F9BA}" name="Columna6339" dataDxfId="10073"/>
    <tableColumn id="6346" xr3:uid="{D9A2D3D5-B088-4162-AD4B-E616CC599379}" name="Columna6340" dataDxfId="10072"/>
    <tableColumn id="6347" xr3:uid="{D655493C-AFF6-48D0-A1B8-2C0CEA87D0D1}" name="Columna6341" dataDxfId="10071"/>
    <tableColumn id="6348" xr3:uid="{F1A5378E-7D30-4AB3-94F3-315551F38F69}" name="Columna6342" dataDxfId="10070"/>
    <tableColumn id="6349" xr3:uid="{31E3B8F7-0F38-423B-A36A-AC106AABF389}" name="Columna6343" dataDxfId="10069"/>
    <tableColumn id="6350" xr3:uid="{004453C6-2A91-43FB-9B7E-7EA65AFF2409}" name="Columna6344" dataDxfId="10068"/>
    <tableColumn id="6351" xr3:uid="{ED514751-5331-4E25-B207-0D4BC4917540}" name="Columna6345" dataDxfId="10067"/>
    <tableColumn id="6352" xr3:uid="{98806CED-1F97-4EFC-B136-D64EE7641A28}" name="Columna6346" dataDxfId="10066"/>
    <tableColumn id="6353" xr3:uid="{4BFAEE3B-5BEB-440D-88AE-173D61A5428A}" name="Columna6347" dataDxfId="10065"/>
    <tableColumn id="6354" xr3:uid="{BF918B82-4AEF-4076-81BE-28D4C4146478}" name="Columna6348" dataDxfId="10064"/>
    <tableColumn id="6355" xr3:uid="{932BB557-8802-42B0-8A3D-F784221F51DC}" name="Columna6349" dataDxfId="10063"/>
    <tableColumn id="6356" xr3:uid="{FCF3BB82-F61F-44C9-BA96-292C9CB236FC}" name="Columna6350" dataDxfId="10062"/>
    <tableColumn id="6357" xr3:uid="{D3C7652C-A27A-4672-B603-A231B25844EA}" name="Columna6351" dataDxfId="10061"/>
    <tableColumn id="6358" xr3:uid="{F04E7069-CFC3-47A8-9575-FA3F6F4DE87F}" name="Columna6352" dataDxfId="10060"/>
    <tableColumn id="6359" xr3:uid="{851616E1-9000-4A35-8A48-2A3BA94B00A6}" name="Columna6353" dataDxfId="10059"/>
    <tableColumn id="6360" xr3:uid="{0C623A73-4A01-4A6F-B20A-8112F163D95D}" name="Columna6354" dataDxfId="10058"/>
    <tableColumn id="6361" xr3:uid="{8BF377D3-3A5F-46CE-946D-2FDA6C6B9C3E}" name="Columna6355" dataDxfId="10057"/>
    <tableColumn id="6362" xr3:uid="{1F82EED2-447F-419D-8AAC-1ED103C2E480}" name="Columna6356" dataDxfId="10056"/>
    <tableColumn id="6363" xr3:uid="{9166190F-EDAF-416A-97B8-50DC6BE8CC1C}" name="Columna6357" dataDxfId="10055"/>
    <tableColumn id="6364" xr3:uid="{B4264EA7-2983-47EE-82CD-A7DE01946939}" name="Columna6358" dataDxfId="10054"/>
    <tableColumn id="6365" xr3:uid="{8045C051-0153-47DC-AB18-2FD5274DA86E}" name="Columna6359" dataDxfId="10053"/>
    <tableColumn id="6366" xr3:uid="{03FC730C-F696-435A-B6DA-24A8D1C212E3}" name="Columna6360" dataDxfId="10052"/>
    <tableColumn id="6367" xr3:uid="{F7B6C446-26AD-4CE5-9A5F-A2A485FB9F36}" name="Columna6361" dataDxfId="10051"/>
    <tableColumn id="6368" xr3:uid="{9757E003-7A8A-46B5-841B-61C7B1A88DF4}" name="Columna6362" dataDxfId="10050"/>
    <tableColumn id="6369" xr3:uid="{9B39BB89-0420-426C-928F-337E80F285B4}" name="Columna6363" dataDxfId="10049"/>
    <tableColumn id="6370" xr3:uid="{7175D593-9C8B-45C0-AC6C-1CA455E3B398}" name="Columna6364" dataDxfId="10048"/>
    <tableColumn id="6371" xr3:uid="{4341D71F-BBC4-4989-A9E8-1EFDCFF16381}" name="Columna6365" dataDxfId="10047"/>
    <tableColumn id="6372" xr3:uid="{5451E248-F3BF-473F-BF30-247D3B56F69E}" name="Columna6366" dataDxfId="10046"/>
    <tableColumn id="6373" xr3:uid="{65F4B0BE-F99B-465B-9F45-913D688824C6}" name="Columna6367" dataDxfId="10045"/>
    <tableColumn id="6374" xr3:uid="{DEAAB610-F0B5-493C-9A89-6D835C385576}" name="Columna6368" dataDxfId="10044"/>
    <tableColumn id="6375" xr3:uid="{91CFE407-7EA9-40A9-9D61-0BB298E9D745}" name="Columna6369" dataDxfId="10043"/>
    <tableColumn id="6376" xr3:uid="{17FCA2FB-3294-4BC3-B06E-426B1EB06364}" name="Columna6370" dataDxfId="10042"/>
    <tableColumn id="6377" xr3:uid="{618645C8-474C-4652-8E83-7AACB3D7CF00}" name="Columna6371" dataDxfId="10041"/>
    <tableColumn id="6378" xr3:uid="{B54C7278-8107-4356-BA60-57823EBABFD8}" name="Columna6372" dataDxfId="10040"/>
    <tableColumn id="6379" xr3:uid="{5FF8B916-F34F-450A-BB5F-9DAA26B75DBA}" name="Columna6373" dataDxfId="10039"/>
    <tableColumn id="6380" xr3:uid="{18FFE634-8FB0-42F1-835B-4CD7EEC24F26}" name="Columna6374" dataDxfId="10038"/>
    <tableColumn id="6381" xr3:uid="{F6FA7ADC-642C-4311-98D1-D485A371F661}" name="Columna6375" dataDxfId="10037"/>
    <tableColumn id="6382" xr3:uid="{C2AE6BDA-45F0-4802-BAB8-09300D454673}" name="Columna6376" dataDxfId="10036"/>
    <tableColumn id="6383" xr3:uid="{BC432D46-10F2-4345-BE18-396AD8B747E1}" name="Columna6377" dataDxfId="10035"/>
    <tableColumn id="6384" xr3:uid="{69831F3A-DA3C-45AB-944B-D131C9BB4CC9}" name="Columna6378" dataDxfId="10034"/>
    <tableColumn id="6385" xr3:uid="{A84CD703-1F3E-49BD-B456-A77D4BBB376F}" name="Columna6379" dataDxfId="10033"/>
    <tableColumn id="6386" xr3:uid="{AB89AB71-3783-43FD-8ED8-A45CF5377D05}" name="Columna6380" dataDxfId="10032"/>
    <tableColumn id="6387" xr3:uid="{724E5F3B-9D07-4AAA-A644-5155F2DA56B3}" name="Columna6381" dataDxfId="10031"/>
    <tableColumn id="6388" xr3:uid="{994D36EF-4863-40DD-807E-68AF8B71E696}" name="Columna6382" dataDxfId="10030"/>
    <tableColumn id="6389" xr3:uid="{93EC2042-04CE-4065-91CC-772714FF7982}" name="Columna6383" dataDxfId="10029"/>
    <tableColumn id="6390" xr3:uid="{1FCC23DE-AD82-45D1-9ED6-01449E6D0901}" name="Columna6384" dataDxfId="10028"/>
    <tableColumn id="6391" xr3:uid="{70CFBC44-8176-42AC-84AC-5D079F58D530}" name="Columna6385" dataDxfId="10027"/>
    <tableColumn id="6392" xr3:uid="{CB3E467A-F796-4FBB-AEA3-C844C77B2C1C}" name="Columna6386" dataDxfId="10026"/>
    <tableColumn id="6393" xr3:uid="{6D3E11A3-19F0-4364-923C-DE85D14FE5C2}" name="Columna6387" dataDxfId="10025"/>
    <tableColumn id="6394" xr3:uid="{82745561-21B3-40C4-8173-345B5E9C332F}" name="Columna6388" dataDxfId="10024"/>
    <tableColumn id="6395" xr3:uid="{ABCBD834-995F-40CA-90DC-4D30F5A53427}" name="Columna6389" dataDxfId="10023"/>
    <tableColumn id="6396" xr3:uid="{AE3E3B21-94FF-4B90-A0F0-DACE414F0610}" name="Columna6390" dataDxfId="10022"/>
    <tableColumn id="6397" xr3:uid="{549F71C8-9554-4E0C-BCD3-1D90A7728917}" name="Columna6391" dataDxfId="10021"/>
    <tableColumn id="6398" xr3:uid="{3E193C3D-49BD-4AF5-A0B1-C638A5CE92FB}" name="Columna6392" dataDxfId="10020"/>
    <tableColumn id="6399" xr3:uid="{171481C1-4DA6-4917-AA0D-A231107BEB8B}" name="Columna6393" dataDxfId="10019"/>
    <tableColumn id="6400" xr3:uid="{172A321B-2CA0-4163-95C1-E2F3BDE6F4A9}" name="Columna6394" dataDxfId="10018"/>
    <tableColumn id="6401" xr3:uid="{C93D34F9-7EB7-4ADF-8218-2528CC05A684}" name="Columna6395" dataDxfId="10017"/>
    <tableColumn id="6402" xr3:uid="{235E84D6-36D5-45C0-9C4D-599299EBAE6D}" name="Columna6396" dataDxfId="10016"/>
    <tableColumn id="6403" xr3:uid="{E1C866DC-79C7-49B2-8F72-C5D6A928F4BE}" name="Columna6397" dataDxfId="10015"/>
    <tableColumn id="6404" xr3:uid="{1EB4E2F2-6193-46D1-9E2D-374A7E166D6C}" name="Columna6398" dataDxfId="10014"/>
    <tableColumn id="6405" xr3:uid="{61FD417F-F6DB-4A8E-BC64-C1F607AEF61B}" name="Columna6399" dataDxfId="10013"/>
    <tableColumn id="6406" xr3:uid="{3394F3A5-6DF5-45C2-8F04-DF646145DF96}" name="Columna6400" dataDxfId="10012"/>
    <tableColumn id="6407" xr3:uid="{692390F7-B434-4F3A-AD6F-B824E76BD3DB}" name="Columna6401" dataDxfId="10011"/>
    <tableColumn id="6408" xr3:uid="{78110C6C-F82F-4206-93F9-D5E939CDDB19}" name="Columna6402" dataDxfId="10010"/>
    <tableColumn id="6409" xr3:uid="{37C7AF8B-60B8-4D89-85E1-36DB2B01C9EA}" name="Columna6403" dataDxfId="10009"/>
    <tableColumn id="6410" xr3:uid="{5BD5DA89-3A4D-4C38-B1D7-2D61304EF2D9}" name="Columna6404" dataDxfId="10008"/>
    <tableColumn id="6411" xr3:uid="{3BD61A7D-728B-43EA-BE49-9935FA65ECA2}" name="Columna6405" dataDxfId="10007"/>
    <tableColumn id="6412" xr3:uid="{B42D4F81-D41E-4D0A-8C61-84EB01B65D0F}" name="Columna6406" dataDxfId="10006"/>
    <tableColumn id="6413" xr3:uid="{C013415C-22F6-4304-8F2F-983F1318F7A2}" name="Columna6407" dataDxfId="10005"/>
    <tableColumn id="6414" xr3:uid="{A72D6FE0-7B63-4F7D-9E61-F862DF739C56}" name="Columna6408" dataDxfId="10004"/>
    <tableColumn id="6415" xr3:uid="{27E1EC55-F1AA-4864-8923-08AFDFB9A39C}" name="Columna6409" dataDxfId="10003"/>
    <tableColumn id="6416" xr3:uid="{241E7752-C622-4DB4-91FA-200C2C6F22B0}" name="Columna6410" dataDxfId="10002"/>
    <tableColumn id="6417" xr3:uid="{F2AAD87B-8E7C-4564-99A0-D3725FA7A14E}" name="Columna6411" dataDxfId="10001"/>
    <tableColumn id="6418" xr3:uid="{203F3F2C-CB60-4005-BE3D-4B913B3A16A0}" name="Columna6412" dataDxfId="10000"/>
    <tableColumn id="6419" xr3:uid="{BF65BFBD-9510-4B9A-82A6-DE27B7D4A0F5}" name="Columna6413" dataDxfId="9999"/>
    <tableColumn id="6420" xr3:uid="{3E12393A-0DA1-4ABC-8272-B501AAC97B4C}" name="Columna6414" dataDxfId="9998"/>
    <tableColumn id="6421" xr3:uid="{E4A00037-212C-407A-B923-21270B79CCF3}" name="Columna6415" dataDxfId="9997"/>
    <tableColumn id="6422" xr3:uid="{46311C71-6EAD-40F9-ADEC-8D2986CB0EBA}" name="Columna6416" dataDxfId="9996"/>
    <tableColumn id="6423" xr3:uid="{F26FDAAC-EFF5-4750-B41D-D70D26BDF15B}" name="Columna6417" dataDxfId="9995"/>
    <tableColumn id="6424" xr3:uid="{9EF086CF-C0D1-4841-BBD9-68891385F952}" name="Columna6418" dataDxfId="9994"/>
    <tableColumn id="6425" xr3:uid="{3EB31BF9-82C7-4517-A50A-E95081A99A56}" name="Columna6419" dataDxfId="9993"/>
    <tableColumn id="6426" xr3:uid="{0F57F536-8192-40FE-9E4A-547A43725BF3}" name="Columna6420" dataDxfId="9992"/>
    <tableColumn id="6427" xr3:uid="{6082C4A4-8C01-4E2B-9C7F-CDF013B8D852}" name="Columna6421" dataDxfId="9991"/>
    <tableColumn id="6428" xr3:uid="{F6862804-3B53-45BD-808A-0E7ED59987CE}" name="Columna6422" dataDxfId="9990"/>
    <tableColumn id="6429" xr3:uid="{C03FAFE1-3539-4421-B90D-A3D2BBA9E79F}" name="Columna6423" dataDxfId="9989"/>
    <tableColumn id="6430" xr3:uid="{0F716154-AA70-4663-996E-80D9403F310F}" name="Columna6424" dataDxfId="9988"/>
    <tableColumn id="6431" xr3:uid="{B927E0EC-441F-4EB2-829E-3B6A5C55DF48}" name="Columna6425" dataDxfId="9987"/>
    <tableColumn id="6432" xr3:uid="{6BBA1A09-8C4C-4099-9F53-ABCC287C4723}" name="Columna6426" dataDxfId="9986"/>
    <tableColumn id="6433" xr3:uid="{084A9348-8EC6-44F9-8E9A-66650AEB5F79}" name="Columna6427" dataDxfId="9985"/>
    <tableColumn id="6434" xr3:uid="{BB82F1A5-0F9E-47C4-B923-9165EECC6269}" name="Columna6428" dataDxfId="9984"/>
    <tableColumn id="6435" xr3:uid="{A87C7276-ED5E-44B0-A86B-D7EC6FED3D4E}" name="Columna6429" dataDxfId="9983"/>
    <tableColumn id="6436" xr3:uid="{25F992AF-125A-44E6-8D79-9C3021AE0B27}" name="Columna6430" dataDxfId="9982"/>
    <tableColumn id="6437" xr3:uid="{00580FEC-9BA4-4A3D-A601-FFC38D70C817}" name="Columna6431" dataDxfId="9981"/>
    <tableColumn id="6438" xr3:uid="{FE9185CF-3612-4BC0-BE92-EA3A626B1D49}" name="Columna6432" dataDxfId="9980"/>
    <tableColumn id="6439" xr3:uid="{55816D96-0E44-451C-BEAE-6B02F1431522}" name="Columna6433" dataDxfId="9979"/>
    <tableColumn id="6440" xr3:uid="{A2EEE1E6-36D9-43AD-9707-95C9845700E6}" name="Columna6434" dataDxfId="9978"/>
    <tableColumn id="6441" xr3:uid="{26DC8E5A-3FAA-4291-ABCA-713108BD54B6}" name="Columna6435" dataDxfId="9977"/>
    <tableColumn id="6442" xr3:uid="{9ADC407A-2D80-4DC0-B3C1-D71D3D84142B}" name="Columna6436" dataDxfId="9976"/>
    <tableColumn id="6443" xr3:uid="{E576598A-0A6C-4D89-BE8E-CDB54AC5ECE9}" name="Columna6437" dataDxfId="9975"/>
    <tableColumn id="6444" xr3:uid="{DD2ECB2E-833C-408B-8270-B906378B1500}" name="Columna6438" dataDxfId="9974"/>
    <tableColumn id="6445" xr3:uid="{80914902-C527-452D-8769-D7BB70081CDE}" name="Columna6439" dataDxfId="9973"/>
    <tableColumn id="6446" xr3:uid="{F5548250-A2FE-4D03-818B-AF220D92C86A}" name="Columna6440" dataDxfId="9972"/>
    <tableColumn id="6447" xr3:uid="{186D13EE-6972-4BE9-A030-03086E4097FE}" name="Columna6441" dataDxfId="9971"/>
    <tableColumn id="6448" xr3:uid="{1021212B-E832-4FDA-84B3-ED79307B440A}" name="Columna6442" dataDxfId="9970"/>
    <tableColumn id="6449" xr3:uid="{A7EF5DB7-6BA8-41E8-BFF5-B8A3DD0E0B50}" name="Columna6443" dataDxfId="9969"/>
    <tableColumn id="6450" xr3:uid="{27FA09D1-4910-496E-9205-4AA43085FD7F}" name="Columna6444" dataDxfId="9968"/>
    <tableColumn id="6451" xr3:uid="{C83AB079-D728-4B5D-8448-20B12669D47C}" name="Columna6445" dataDxfId="9967"/>
    <tableColumn id="6452" xr3:uid="{3AFCF4B5-BC49-428E-B8B3-FF6741D6E4EC}" name="Columna6446" dataDxfId="9966"/>
    <tableColumn id="6453" xr3:uid="{A2129451-3ED0-41FC-8C20-06B97C7CC84D}" name="Columna6447" dataDxfId="9965"/>
    <tableColumn id="6454" xr3:uid="{02218D68-F58A-42C1-9A16-BA9BE744F3D7}" name="Columna6448" dataDxfId="9964"/>
    <tableColumn id="6455" xr3:uid="{81B2ABF9-F4EA-4C93-85F5-BF2804B40D7C}" name="Columna6449" dataDxfId="9963"/>
    <tableColumn id="6456" xr3:uid="{214B2E09-BF4C-42E5-BAAC-C648A36CA7A5}" name="Columna6450" dataDxfId="9962"/>
    <tableColumn id="6457" xr3:uid="{2E2FC13F-775D-4437-8E87-FB0942807A6D}" name="Columna6451" dataDxfId="9961"/>
    <tableColumn id="6458" xr3:uid="{B2B2BB3F-8B64-4D01-9C8C-A36B056D7CC0}" name="Columna6452" dataDxfId="9960"/>
    <tableColumn id="6459" xr3:uid="{5F006816-CFC5-442D-8BAD-07B4221EDF95}" name="Columna6453" dataDxfId="9959"/>
    <tableColumn id="6460" xr3:uid="{85657A43-6E7E-4A10-86F3-FCC2F202E984}" name="Columna6454" dataDxfId="9958"/>
    <tableColumn id="6461" xr3:uid="{1302325B-308D-4AF2-96F1-E1DDF4E6877D}" name="Columna6455" dataDxfId="9957"/>
    <tableColumn id="6462" xr3:uid="{19779D89-BCD8-48C1-BE56-4D84EF757AA6}" name="Columna6456" dataDxfId="9956"/>
    <tableColumn id="6463" xr3:uid="{11FB5C74-9388-47E1-989F-97934C51C618}" name="Columna6457" dataDxfId="9955"/>
    <tableColumn id="6464" xr3:uid="{532F740C-AEC8-4557-B3D9-12B84D28AB6C}" name="Columna6458" dataDxfId="9954"/>
    <tableColumn id="6465" xr3:uid="{EF8B479B-C63B-4532-AB1D-29BDFCCB32DD}" name="Columna6459" dataDxfId="9953"/>
    <tableColumn id="6466" xr3:uid="{85B55100-8774-49EE-B116-D23C6F1649CC}" name="Columna6460" dataDxfId="9952"/>
    <tableColumn id="6467" xr3:uid="{D8C8F352-0C39-44A7-9F27-17604885FCC8}" name="Columna6461" dataDxfId="9951"/>
    <tableColumn id="6468" xr3:uid="{FA852DB0-3B79-4FC5-BDF0-03B6C7781A0C}" name="Columna6462" dataDxfId="9950"/>
    <tableColumn id="6469" xr3:uid="{48190802-1069-4178-85EF-C17611F80B2A}" name="Columna6463" dataDxfId="9949"/>
    <tableColumn id="6470" xr3:uid="{76275E5A-CA53-4AD1-9096-C8641CF940E9}" name="Columna6464" dataDxfId="9948"/>
    <tableColumn id="6471" xr3:uid="{7C847975-18C7-4125-AF0D-B304152DEE78}" name="Columna6465" dataDxfId="9947"/>
    <tableColumn id="6472" xr3:uid="{0488E7BA-D1C1-4C83-B4C8-E5D4A1D0D201}" name="Columna6466" dataDxfId="9946"/>
    <tableColumn id="6473" xr3:uid="{8BB4B380-8937-4FAC-A011-9716D8D3DB21}" name="Columna6467" dataDxfId="9945"/>
    <tableColumn id="6474" xr3:uid="{131583DF-6FF2-41EE-BB79-A50B45CFCA20}" name="Columna6468" dataDxfId="9944"/>
    <tableColumn id="6475" xr3:uid="{209F24C3-B860-46F8-8E91-60A5FB44E8DA}" name="Columna6469" dataDxfId="9943"/>
    <tableColumn id="6476" xr3:uid="{45E9F048-C436-4734-BC6A-41515EE29766}" name="Columna6470" dataDxfId="9942"/>
    <tableColumn id="6477" xr3:uid="{2A8EE120-9D1B-4405-8741-6C3FBF82D28C}" name="Columna6471" dataDxfId="9941"/>
    <tableColumn id="6478" xr3:uid="{375B94CE-BEA3-46CB-8C80-98104D612D77}" name="Columna6472" dataDxfId="9940"/>
    <tableColumn id="6479" xr3:uid="{291F2C07-F83F-47E6-B841-F1F05DA2163E}" name="Columna6473" dataDxfId="9939"/>
    <tableColumn id="6480" xr3:uid="{CEAA9043-E8B6-469C-8B11-7B0FF70AE539}" name="Columna6474" dataDxfId="9938"/>
    <tableColumn id="6481" xr3:uid="{21B67E79-8BAD-4A01-9639-BC67C0116FAA}" name="Columna6475" dataDxfId="9937"/>
    <tableColumn id="6482" xr3:uid="{7D3E104C-8838-492F-87B4-D9942EA03AD6}" name="Columna6476" dataDxfId="9936"/>
    <tableColumn id="6483" xr3:uid="{3056DEEB-5AC2-4EB3-B3BE-F9802BA96D49}" name="Columna6477" dataDxfId="9935"/>
    <tableColumn id="6484" xr3:uid="{0AB62BC2-DC14-40A9-8D18-CBE2CFBB2FB8}" name="Columna6478" dataDxfId="9934"/>
    <tableColumn id="6485" xr3:uid="{647D5CE7-9D0C-4BC4-A66A-AB528F9CDD2A}" name="Columna6479" dataDxfId="9933"/>
    <tableColumn id="6486" xr3:uid="{488EC8E3-E14B-45B2-8CC4-49A801880EAF}" name="Columna6480" dataDxfId="9932"/>
    <tableColumn id="6487" xr3:uid="{CB0AE2A4-E2FF-4D04-BD75-B98EEAA86021}" name="Columna6481" dataDxfId="9931"/>
    <tableColumn id="6488" xr3:uid="{D71116ED-8E97-4113-979F-D6AE863299EA}" name="Columna6482" dataDxfId="9930"/>
    <tableColumn id="6489" xr3:uid="{47A74ABB-59DE-45D8-A00A-556B1172050F}" name="Columna6483" dataDxfId="9929"/>
    <tableColumn id="6490" xr3:uid="{13ECDC7F-A504-4EA0-98F5-5C3DA672410E}" name="Columna6484" dataDxfId="9928"/>
    <tableColumn id="6491" xr3:uid="{931AF058-F8F3-4A94-9E2F-BC0692D38F0A}" name="Columna6485" dataDxfId="9927"/>
    <tableColumn id="6492" xr3:uid="{EC7626D0-F97A-4C1D-AFCE-8ACD1301A883}" name="Columna6486" dataDxfId="9926"/>
    <tableColumn id="6493" xr3:uid="{D79834FA-63D5-44EE-8B85-5E73D4B828CA}" name="Columna6487" dataDxfId="9925"/>
    <tableColumn id="6494" xr3:uid="{D3D41987-4B08-4EED-91F2-D79DC9A74735}" name="Columna6488" dataDxfId="9924"/>
    <tableColumn id="6495" xr3:uid="{F3B7C688-CBC5-417F-BB56-AA4D1868D31A}" name="Columna6489" dataDxfId="9923"/>
    <tableColumn id="6496" xr3:uid="{1614A72E-5EBF-4B5B-97CC-D8213D59DB34}" name="Columna6490" dataDxfId="9922"/>
    <tableColumn id="6497" xr3:uid="{5D69B7D1-F1C2-46AD-9B8A-22EE0BE96812}" name="Columna6491" dataDxfId="9921"/>
    <tableColumn id="6498" xr3:uid="{1254AFD6-5071-4DB3-843C-D4BA40EA6EFB}" name="Columna6492" dataDxfId="9920"/>
    <tableColumn id="6499" xr3:uid="{31DB9D37-F072-443E-BEEF-262B757FE3BD}" name="Columna6493" dataDxfId="9919"/>
    <tableColumn id="6500" xr3:uid="{A8D72A16-5653-4506-AD4F-D2D7D583FAC7}" name="Columna6494" dataDxfId="9918"/>
    <tableColumn id="6501" xr3:uid="{D39607A8-0A3F-4348-A330-2944387D0689}" name="Columna6495" dataDxfId="9917"/>
    <tableColumn id="6502" xr3:uid="{7D7B4614-C444-44DE-B6CB-7E6C4FD32A4B}" name="Columna6496" dataDxfId="9916"/>
    <tableColumn id="6503" xr3:uid="{B15BCA4A-D7E3-4195-B4CC-B64CB867A47C}" name="Columna6497" dataDxfId="9915"/>
    <tableColumn id="6504" xr3:uid="{22042112-DC98-412A-971B-29FD8200B856}" name="Columna6498" dataDxfId="9914"/>
    <tableColumn id="6505" xr3:uid="{788C1D20-D697-4237-AFA5-083663D4CCDA}" name="Columna6499" dataDxfId="9913"/>
    <tableColumn id="6506" xr3:uid="{0512B307-E73D-4566-8033-A4D603C16B6A}" name="Columna6500" dataDxfId="9912"/>
    <tableColumn id="6507" xr3:uid="{ACBD865B-15ED-4FBB-8057-E9B70A0FC234}" name="Columna6501" dataDxfId="9911"/>
    <tableColumn id="6508" xr3:uid="{CA374D1B-0410-4A80-9F5E-8CC785114836}" name="Columna6502" dataDxfId="9910"/>
    <tableColumn id="6509" xr3:uid="{75D65E43-6CBC-4001-B4AF-2B8866EC6CCE}" name="Columna6503" dataDxfId="9909"/>
    <tableColumn id="6510" xr3:uid="{859CD8EF-5BA6-4B72-8B66-BB26E2406D1A}" name="Columna6504" dataDxfId="9908"/>
    <tableColumn id="6511" xr3:uid="{751BCE22-0FB1-4E5C-9409-25217CDE2DD2}" name="Columna6505" dataDxfId="9907"/>
    <tableColumn id="6512" xr3:uid="{CD968B0C-C933-4028-A9E2-932344CD5FB0}" name="Columna6506" dataDxfId="9906"/>
    <tableColumn id="6513" xr3:uid="{13C7B424-4AF0-4395-8042-B5EFE87F0E2B}" name="Columna6507" dataDxfId="9905"/>
    <tableColumn id="6514" xr3:uid="{57BFBB2A-D56A-4350-ADBF-0A94217FFC79}" name="Columna6508" dataDxfId="9904"/>
    <tableColumn id="6515" xr3:uid="{424AF6D0-EEA8-49A4-8E57-6C0E5A4AB4D2}" name="Columna6509" dataDxfId="9903"/>
    <tableColumn id="6516" xr3:uid="{A623AC12-006B-42B7-A206-D3886BA33D97}" name="Columna6510" dataDxfId="9902"/>
    <tableColumn id="6517" xr3:uid="{5DB7570E-21D4-4EBF-97C7-DD4C335A1E67}" name="Columna6511" dataDxfId="9901"/>
    <tableColumn id="6518" xr3:uid="{5F853496-BCA1-4153-AB83-57C82A19F7AD}" name="Columna6512" dataDxfId="9900"/>
    <tableColumn id="6519" xr3:uid="{8282FEBF-3137-4331-B0F8-E0247314BC1D}" name="Columna6513" dataDxfId="9899"/>
    <tableColumn id="6520" xr3:uid="{B0EF2F18-E119-465A-8250-2D1071569F4A}" name="Columna6514" dataDxfId="9898"/>
    <tableColumn id="6521" xr3:uid="{9EC0E934-D2B2-43ED-8F2A-08149897F011}" name="Columna6515" dataDxfId="9897"/>
    <tableColumn id="6522" xr3:uid="{265CBE30-E9C8-45C5-BDAC-B3C32AB75CB7}" name="Columna6516" dataDxfId="9896"/>
    <tableColumn id="6523" xr3:uid="{4BF9A7FF-A7FE-44DC-9500-773D9563B2DF}" name="Columna6517" dataDxfId="9895"/>
    <tableColumn id="6524" xr3:uid="{48461FBC-721D-40DF-9306-7175F7DEA32A}" name="Columna6518" dataDxfId="9894"/>
    <tableColumn id="6525" xr3:uid="{416A980F-1BFA-4EE4-AEE7-6F851E3ABA82}" name="Columna6519" dataDxfId="9893"/>
    <tableColumn id="6526" xr3:uid="{5C746508-E141-46F5-BE0C-FB880FDCA5C7}" name="Columna6520" dataDxfId="9892"/>
    <tableColumn id="6527" xr3:uid="{4C4B2D7E-E35E-4280-BE23-3EE20180C4F4}" name="Columna6521" dataDxfId="9891"/>
    <tableColumn id="6528" xr3:uid="{7494AB83-765C-4EB5-A05C-714AD62B860D}" name="Columna6522" dataDxfId="9890"/>
    <tableColumn id="6529" xr3:uid="{B73AF8A6-C9AF-4B1F-9F81-2119FF7589D2}" name="Columna6523" dataDxfId="9889"/>
    <tableColumn id="6530" xr3:uid="{395F82F0-2981-4A1C-8040-DB3125936118}" name="Columna6524" dataDxfId="9888"/>
    <tableColumn id="6531" xr3:uid="{60D05939-F262-469E-9BE6-275B39D243C6}" name="Columna6525" dataDxfId="9887"/>
    <tableColumn id="6532" xr3:uid="{C2A75E5E-4E2A-4F9C-81C0-ACBDAED81CFF}" name="Columna6526" dataDxfId="9886"/>
    <tableColumn id="6533" xr3:uid="{DB007CC9-A6A3-43B2-993B-69D3C3B8E92D}" name="Columna6527" dataDxfId="9885"/>
    <tableColumn id="6534" xr3:uid="{89E2F2AC-943E-4907-8D2C-6F4249F74EDE}" name="Columna6528" dataDxfId="9884"/>
    <tableColumn id="6535" xr3:uid="{F9262763-7713-4A03-AA24-EBEE26F2FB42}" name="Columna6529" dataDxfId="9883"/>
    <tableColumn id="6536" xr3:uid="{5A4B0E3A-77D9-4467-B0AF-E4767F2793A1}" name="Columna6530" dataDxfId="9882"/>
    <tableColumn id="6537" xr3:uid="{9AA0A95D-84A7-4752-97A1-B6D35BA625C7}" name="Columna6531" dataDxfId="9881"/>
    <tableColumn id="6538" xr3:uid="{99EDE846-AFEF-4248-B214-150FAA350F52}" name="Columna6532" dataDxfId="9880"/>
    <tableColumn id="6539" xr3:uid="{FB01EC66-E1A0-4B34-A693-CE192206057C}" name="Columna6533" dataDxfId="9879"/>
    <tableColumn id="6540" xr3:uid="{F92806C6-8C44-43DF-B507-DB12CF93DF4E}" name="Columna6534" dataDxfId="9878"/>
    <tableColumn id="6541" xr3:uid="{9F0F309F-FE5E-4BE8-9BC9-7D23377DE12C}" name="Columna6535" dataDxfId="9877"/>
    <tableColumn id="6542" xr3:uid="{DCDA8B4D-3F86-4692-9FD3-B58D9DE7729D}" name="Columna6536" dataDxfId="9876"/>
    <tableColumn id="6543" xr3:uid="{378E559A-6CF0-4869-98F0-4370709C0A04}" name="Columna6537" dataDxfId="9875"/>
    <tableColumn id="6544" xr3:uid="{03456927-FC11-4EBB-9721-D35952C5B9F9}" name="Columna6538" dataDxfId="9874"/>
    <tableColumn id="6545" xr3:uid="{C2A3D327-6B95-4682-883E-0757099281E2}" name="Columna6539" dataDxfId="9873"/>
    <tableColumn id="6546" xr3:uid="{A04B6E57-6D2A-47BC-859D-520D074322E6}" name="Columna6540" dataDxfId="9872"/>
    <tableColumn id="6547" xr3:uid="{044128E4-4DC8-4381-BDB8-487643648724}" name="Columna6541" dataDxfId="9871"/>
    <tableColumn id="6548" xr3:uid="{C08FEE4B-E2F5-472D-A1B0-1FDE9F7ACA59}" name="Columna6542" dataDxfId="9870"/>
    <tableColumn id="6549" xr3:uid="{4F433239-9EF6-4E5E-9DCB-FE54B34E0C78}" name="Columna6543" dataDxfId="9869"/>
    <tableColumn id="6550" xr3:uid="{C089D92F-4EC8-4234-BCA2-50F950C8E9F7}" name="Columna6544" dataDxfId="9868"/>
    <tableColumn id="6551" xr3:uid="{02B69531-0801-4F61-992D-05EA2D66CD1B}" name="Columna6545" dataDxfId="9867"/>
    <tableColumn id="6552" xr3:uid="{78B94C85-AC95-486C-8B85-DF1174FAE479}" name="Columna6546" dataDxfId="9866"/>
    <tableColumn id="6553" xr3:uid="{93813942-8D1F-436E-8727-CA58EF83904D}" name="Columna6547" dataDxfId="9865"/>
    <tableColumn id="6554" xr3:uid="{74116F52-2BE0-464D-92E6-CE34A2B7B753}" name="Columna6548" dataDxfId="9864"/>
    <tableColumn id="6555" xr3:uid="{64CA5ED0-2F59-4648-B20F-1E01C05B81AF}" name="Columna6549" dataDxfId="9863"/>
    <tableColumn id="6556" xr3:uid="{8C839052-7C90-4C77-B2D6-E3A8E156DA07}" name="Columna6550" dataDxfId="9862"/>
    <tableColumn id="6557" xr3:uid="{CD9CAC1B-3729-46ED-B777-4637F8E1032C}" name="Columna6551" dataDxfId="9861"/>
    <tableColumn id="6558" xr3:uid="{E9AB9F89-BFEA-49C4-9F9E-B70EEA276B31}" name="Columna6552" dataDxfId="9860"/>
    <tableColumn id="6559" xr3:uid="{73AD489F-97C3-4F83-8B0D-22FC3D84DF89}" name="Columna6553" dataDxfId="9859"/>
    <tableColumn id="6560" xr3:uid="{00FA0997-631C-4720-A8CF-46D6A385C2C0}" name="Columna6554" dataDxfId="9858"/>
    <tableColumn id="6561" xr3:uid="{6A404ACF-36FA-4FBC-BC4F-3325345B1A0F}" name="Columna6555" dataDxfId="9857"/>
    <tableColumn id="6562" xr3:uid="{71A98AE4-E2B4-4CFB-98A2-81AD1BC4FD3F}" name="Columna6556" dataDxfId="9856"/>
    <tableColumn id="6563" xr3:uid="{0D48C901-EF20-42A2-B87A-EF18D00274A5}" name="Columna6557" dataDxfId="9855"/>
    <tableColumn id="6564" xr3:uid="{41D73E54-BC00-4DC1-9E5A-0DFF9375ABBA}" name="Columna6558" dataDxfId="9854"/>
    <tableColumn id="6565" xr3:uid="{249691D8-6045-4E21-B4DC-66BE2368ABD9}" name="Columna6559" dataDxfId="9853"/>
    <tableColumn id="6566" xr3:uid="{85C6742F-A9F0-4DE2-8796-EF3AB18C4BC6}" name="Columna6560" dataDxfId="9852"/>
    <tableColumn id="6567" xr3:uid="{EC7F5D84-98D7-471A-9BF0-8C10A19F285E}" name="Columna6561" dataDxfId="9851"/>
    <tableColumn id="6568" xr3:uid="{D16A36E5-6482-45CD-AF23-72E4B82EC384}" name="Columna6562" dataDxfId="9850"/>
    <tableColumn id="6569" xr3:uid="{CDF65610-7CD9-4B9D-8182-7112EF56C1A6}" name="Columna6563" dataDxfId="9849"/>
    <tableColumn id="6570" xr3:uid="{1DC4995A-D7D5-4AE3-B66C-CF01C2D1C8E5}" name="Columna6564" dataDxfId="9848"/>
    <tableColumn id="6571" xr3:uid="{02FC066D-CCDD-4932-B359-0810CA2133EF}" name="Columna6565" dataDxfId="9847"/>
    <tableColumn id="6572" xr3:uid="{BB354133-C7F7-4455-8880-5C9AB3737D2E}" name="Columna6566" dataDxfId="9846"/>
    <tableColumn id="6573" xr3:uid="{43224003-A7D8-4A8E-A059-EA78ABEA4B05}" name="Columna6567" dataDxfId="9845"/>
    <tableColumn id="6574" xr3:uid="{834D965D-A5C3-45D5-B979-0B676D536792}" name="Columna6568" dataDxfId="9844"/>
    <tableColumn id="6575" xr3:uid="{AC51053B-7EE2-40AD-86D0-1AF1AD57B19D}" name="Columna6569" dataDxfId="9843"/>
    <tableColumn id="6576" xr3:uid="{E36E81E8-D5B4-4D92-8D8E-FD4BFAA14082}" name="Columna6570" dataDxfId="9842"/>
    <tableColumn id="6577" xr3:uid="{2A3AC3B1-C9FC-499B-A4E0-F7729B1A78D6}" name="Columna6571" dataDxfId="9841"/>
    <tableColumn id="6578" xr3:uid="{D115C044-BF96-40F1-A31B-7A22689B3F24}" name="Columna6572" dataDxfId="9840"/>
    <tableColumn id="6579" xr3:uid="{8EA1F446-9DAA-47C4-A45F-485A9E9A9EC9}" name="Columna6573" dataDxfId="9839"/>
    <tableColumn id="6580" xr3:uid="{07C5F70F-5D68-47C2-94E6-8C847ED8C6FA}" name="Columna6574" dataDxfId="9838"/>
    <tableColumn id="6581" xr3:uid="{3CAB4629-5B9B-4FBD-90E7-FA0FF06C6D9A}" name="Columna6575" dataDxfId="9837"/>
    <tableColumn id="6582" xr3:uid="{5093BC33-05CF-4252-953D-AF472CB3D936}" name="Columna6576" dataDxfId="9836"/>
    <tableColumn id="6583" xr3:uid="{7CE09269-D449-4E30-99B9-748021CF0889}" name="Columna6577" dataDxfId="9835"/>
    <tableColumn id="6584" xr3:uid="{90074454-AA6D-4893-8672-EDC8C5AC9848}" name="Columna6578" dataDxfId="9834"/>
    <tableColumn id="6585" xr3:uid="{BC0AC7B1-E485-4CFC-B15E-09792EF0068F}" name="Columna6579" dataDxfId="9833"/>
    <tableColumn id="6586" xr3:uid="{5F62957E-DF12-4870-AFEF-633DD99C6319}" name="Columna6580" dataDxfId="9832"/>
    <tableColumn id="6587" xr3:uid="{BC2BBAC1-5E9F-4F47-AFC6-DDF5C5493A35}" name="Columna6581" dataDxfId="9831"/>
    <tableColumn id="6588" xr3:uid="{5B4A19AA-1929-4A71-93DE-C76DE0024724}" name="Columna6582" dataDxfId="9830"/>
    <tableColumn id="6589" xr3:uid="{50CF095C-E5E0-49FF-8AC4-EF3BC66605C4}" name="Columna6583" dataDxfId="9829"/>
    <tableColumn id="6590" xr3:uid="{F43648AA-9612-4B32-AF9A-AD9896C5DF9B}" name="Columna6584" dataDxfId="9828"/>
    <tableColumn id="6591" xr3:uid="{DA4D9261-1E53-4C75-98CD-40ED664591E6}" name="Columna6585" dataDxfId="9827"/>
    <tableColumn id="6592" xr3:uid="{183D3154-69D1-4696-80A1-77C30E52E1EB}" name="Columna6586" dataDxfId="9826"/>
    <tableColumn id="6593" xr3:uid="{666F1619-B299-42D0-A881-1E6A7F853213}" name="Columna6587" dataDxfId="9825"/>
    <tableColumn id="6594" xr3:uid="{BED2BC8F-3A84-4708-8960-14900A0FAA44}" name="Columna6588" dataDxfId="9824"/>
    <tableColumn id="6595" xr3:uid="{112DCB95-889B-45DD-A8F7-BEBE92628C00}" name="Columna6589" dataDxfId="9823"/>
    <tableColumn id="6596" xr3:uid="{B291CA1E-DE2E-4EF5-AA36-5ECFBFE2D4DA}" name="Columna6590" dataDxfId="9822"/>
    <tableColumn id="6597" xr3:uid="{4A67D01A-46C5-439A-B433-796E40172F7C}" name="Columna6591" dataDxfId="9821"/>
    <tableColumn id="6598" xr3:uid="{EA8BCCC6-6197-4919-B902-C4ED9C236374}" name="Columna6592" dataDxfId="9820"/>
    <tableColumn id="6599" xr3:uid="{7EF56F86-51DA-4643-A232-CAB545BF4504}" name="Columna6593" dataDxfId="9819"/>
    <tableColumn id="6600" xr3:uid="{86BC9D6A-3E52-4D97-B6CC-435B06EEE1A2}" name="Columna6594" dataDxfId="9818"/>
    <tableColumn id="6601" xr3:uid="{2511BC50-0DF3-4AFF-B243-9D64033B7BDC}" name="Columna6595" dataDxfId="9817"/>
    <tableColumn id="6602" xr3:uid="{19566855-1DFF-4E1C-B3B1-447F451F384F}" name="Columna6596" dataDxfId="9816"/>
    <tableColumn id="6603" xr3:uid="{0EF447B6-6DD9-4C49-BFA0-FF8C424AC1DA}" name="Columna6597" dataDxfId="9815"/>
    <tableColumn id="6604" xr3:uid="{AD3B9691-8EF7-438C-B1F3-23FC87FE02EA}" name="Columna6598" dataDxfId="9814"/>
    <tableColumn id="6605" xr3:uid="{A8EDDF45-7477-4439-9ACC-D245A4C5AAAC}" name="Columna6599" dataDxfId="9813"/>
    <tableColumn id="6606" xr3:uid="{69324428-DF9A-4226-A088-33912BE50760}" name="Columna6600" dataDxfId="9812"/>
    <tableColumn id="6607" xr3:uid="{E26D9CD6-4D58-490F-8E05-A456CFBFAC84}" name="Columna6601" dataDxfId="9811"/>
    <tableColumn id="6608" xr3:uid="{CF7F00F2-B26D-4E98-9086-A416FBBA0095}" name="Columna6602" dataDxfId="9810"/>
    <tableColumn id="6609" xr3:uid="{B9EF0585-BCBA-454B-99FC-D169308AEF34}" name="Columna6603" dataDxfId="9809"/>
    <tableColumn id="6610" xr3:uid="{5DC99C9D-FCC0-4122-ACF3-EE5CEC7D44A6}" name="Columna6604" dataDxfId="9808"/>
    <tableColumn id="6611" xr3:uid="{17DF7436-F535-456D-A20C-54EF14B8ED33}" name="Columna6605" dataDxfId="9807"/>
    <tableColumn id="6612" xr3:uid="{BFA9ED31-D19C-4BA5-8CE7-BDBF247DE268}" name="Columna6606" dataDxfId="9806"/>
    <tableColumn id="6613" xr3:uid="{4E0357E0-E53A-4967-9362-4477F1D0D83A}" name="Columna6607" dataDxfId="9805"/>
    <tableColumn id="6614" xr3:uid="{AC4A2792-9EAA-4D19-862F-1263E06216C5}" name="Columna6608" dataDxfId="9804"/>
    <tableColumn id="6615" xr3:uid="{0C407F4B-1631-4859-A23C-5B65EA042209}" name="Columna6609" dataDxfId="9803"/>
    <tableColumn id="6616" xr3:uid="{392189B7-56E8-4742-9C17-5618644452A3}" name="Columna6610" dataDxfId="9802"/>
    <tableColumn id="6617" xr3:uid="{46763740-A08C-45F8-A2C1-8123022E9918}" name="Columna6611" dataDxfId="9801"/>
    <tableColumn id="6618" xr3:uid="{3B2D57CF-F429-4B67-90CB-3E2D41A87854}" name="Columna6612" dataDxfId="9800"/>
    <tableColumn id="6619" xr3:uid="{865252E3-9EDE-4B8D-B1A1-1A598A039EC5}" name="Columna6613" dataDxfId="9799"/>
    <tableColumn id="6620" xr3:uid="{B2657FE1-8828-4F27-8940-0FF8C99FA998}" name="Columna6614" dataDxfId="9798"/>
    <tableColumn id="6621" xr3:uid="{07F613F0-A923-4765-B7FC-5A8A56803AAB}" name="Columna6615" dataDxfId="9797"/>
    <tableColumn id="6622" xr3:uid="{E821C2B5-407B-4B92-839E-DFEF0AF04F4C}" name="Columna6616" dataDxfId="9796"/>
    <tableColumn id="6623" xr3:uid="{3CFB9142-3407-43DA-BCD7-2C3FA5DD3680}" name="Columna6617" dataDxfId="9795"/>
    <tableColumn id="6624" xr3:uid="{7ACF84A4-F405-49E2-9FA7-40D01916BFD1}" name="Columna6618" dataDxfId="9794"/>
    <tableColumn id="6625" xr3:uid="{1641018E-6D35-448F-AB16-508B18E5BA09}" name="Columna6619" dataDxfId="9793"/>
    <tableColumn id="6626" xr3:uid="{9799AFC1-E3C9-4677-A704-CA736BC40D54}" name="Columna6620" dataDxfId="9792"/>
    <tableColumn id="6627" xr3:uid="{017DE718-AC40-4790-8C35-9A159062D6FC}" name="Columna6621" dataDxfId="9791"/>
    <tableColumn id="6628" xr3:uid="{94F89E6B-2D93-43DC-878D-8769EE5BB174}" name="Columna6622" dataDxfId="9790"/>
    <tableColumn id="6629" xr3:uid="{1DD184B1-4747-40E8-9E32-0DC9F427B1EF}" name="Columna6623" dataDxfId="9789"/>
    <tableColumn id="6630" xr3:uid="{BDDD14E4-4799-4A3B-9C5A-41C114D2C668}" name="Columna6624" dataDxfId="9788"/>
    <tableColumn id="6631" xr3:uid="{8DFD3873-5DE9-4D25-ABB4-D8E42F32D005}" name="Columna6625" dataDxfId="9787"/>
    <tableColumn id="6632" xr3:uid="{79370F0D-59DA-4569-B5B6-FE365EA7C6C7}" name="Columna6626" dataDxfId="9786"/>
    <tableColumn id="6633" xr3:uid="{B76973F2-21A1-4601-8D4D-D3C94D19CC85}" name="Columna6627" dataDxfId="9785"/>
    <tableColumn id="6634" xr3:uid="{0CCC793B-8583-48EF-8CB7-0BCDE37E3268}" name="Columna6628" dataDxfId="9784"/>
    <tableColumn id="6635" xr3:uid="{68170BCD-115D-4137-968A-4CF06718E209}" name="Columna6629" dataDxfId="9783"/>
    <tableColumn id="6636" xr3:uid="{441A630E-01D4-4291-8F27-B82CD7ADAA8E}" name="Columna6630" dataDxfId="9782"/>
    <tableColumn id="6637" xr3:uid="{8558611E-ECEC-4FB5-A2D0-14732D9FCAD9}" name="Columna6631" dataDxfId="9781"/>
    <tableColumn id="6638" xr3:uid="{FC4651F3-BF02-49AA-927B-7A5E19247ED1}" name="Columna6632" dataDxfId="9780"/>
    <tableColumn id="6639" xr3:uid="{86B3867F-14A3-4E5B-BA30-517F76F3F58C}" name="Columna6633" dataDxfId="9779"/>
    <tableColumn id="6640" xr3:uid="{B1D5AD06-9148-4C44-9A61-AAC25F31C8DF}" name="Columna6634" dataDxfId="9778"/>
    <tableColumn id="6641" xr3:uid="{A4763218-7D66-4D48-ACBB-1E813875760D}" name="Columna6635" dataDxfId="9777"/>
    <tableColumn id="6642" xr3:uid="{C7DD0F6D-F169-40C2-9F6E-A3A53AAD7FD9}" name="Columna6636" dataDxfId="9776"/>
    <tableColumn id="6643" xr3:uid="{9BFC4760-8FC0-4BC2-BB0D-94F9C3B5DE6C}" name="Columna6637" dataDxfId="9775"/>
    <tableColumn id="6644" xr3:uid="{2508E15D-9DD8-4D14-938E-2F88F8B35C01}" name="Columna6638" dataDxfId="9774"/>
    <tableColumn id="6645" xr3:uid="{69D282E2-0860-43E3-A360-8802B9F6A44A}" name="Columna6639" dataDxfId="9773"/>
    <tableColumn id="6646" xr3:uid="{4E512648-4C21-47F2-BBFB-D04F7A7349E2}" name="Columna6640" dataDxfId="9772"/>
    <tableColumn id="6647" xr3:uid="{96977D5B-2037-4D4E-85A4-EE2CF9083390}" name="Columna6641" dataDxfId="9771"/>
    <tableColumn id="6648" xr3:uid="{1B408DF2-856B-452B-AAB2-F9FDBB091AC5}" name="Columna6642" dataDxfId="9770"/>
    <tableColumn id="6649" xr3:uid="{0860825A-CCCF-43D0-B4ED-85D618507197}" name="Columna6643" dataDxfId="9769"/>
    <tableColumn id="6650" xr3:uid="{E3A908BC-CD64-435D-A6DC-C9A81054576F}" name="Columna6644" dataDxfId="9768"/>
    <tableColumn id="6651" xr3:uid="{3CED26FE-7B25-4E13-9F71-A1D4CE40EBFC}" name="Columna6645" dataDxfId="9767"/>
    <tableColumn id="6652" xr3:uid="{156400C7-BE1B-466F-BDF7-19205A804493}" name="Columna6646" dataDxfId="9766"/>
    <tableColumn id="6653" xr3:uid="{10C48523-AAA1-4C4F-87DA-5ADA6FD3A062}" name="Columna6647" dataDxfId="9765"/>
    <tableColumn id="6654" xr3:uid="{6F972271-4805-4406-925B-8BBAC049C932}" name="Columna6648" dataDxfId="9764"/>
    <tableColumn id="6655" xr3:uid="{7E5894D0-D6CC-4C95-9168-2A9B5123BF59}" name="Columna6649" dataDxfId="9763"/>
    <tableColumn id="6656" xr3:uid="{3C20FEC3-210C-4A63-A4D0-4F4913243253}" name="Columna6650" dataDxfId="9762"/>
    <tableColumn id="6657" xr3:uid="{23ADF54C-850D-406F-B68B-780D28ABD8E9}" name="Columna6651" dataDxfId="9761"/>
    <tableColumn id="6658" xr3:uid="{0A990D97-9AE2-40CA-A6C7-8C09C7C7A5DE}" name="Columna6652" dataDxfId="9760"/>
    <tableColumn id="6659" xr3:uid="{EADED06A-2460-4241-8EB4-59F31EF4617E}" name="Columna6653" dataDxfId="9759"/>
    <tableColumn id="6660" xr3:uid="{669831D5-5378-4767-8BAB-8733BE9CAC43}" name="Columna6654" dataDxfId="9758"/>
    <tableColumn id="6661" xr3:uid="{22D711C4-FA44-4DD4-A65A-1D75190C5143}" name="Columna6655" dataDxfId="9757"/>
    <tableColumn id="6662" xr3:uid="{DAF2D62A-0FDE-472E-8F4F-D9642C437B9D}" name="Columna6656" dataDxfId="9756"/>
    <tableColumn id="6663" xr3:uid="{A8278030-AA22-4614-B59D-37D07DC6F6BE}" name="Columna6657" dataDxfId="9755"/>
    <tableColumn id="6664" xr3:uid="{6C3CAB3F-3979-459E-A0DC-7EBA16D37A85}" name="Columna6658" dataDxfId="9754"/>
    <tableColumn id="6665" xr3:uid="{0A18B055-F94B-4748-B1F7-51B27E692737}" name="Columna6659" dataDxfId="9753"/>
    <tableColumn id="6666" xr3:uid="{B1AADD53-2CDD-43AF-82CA-201C1FC69535}" name="Columna6660" dataDxfId="9752"/>
    <tableColumn id="6667" xr3:uid="{D2D6C340-B1C0-45E8-B8A7-A6A5B6566D1B}" name="Columna6661" dataDxfId="9751"/>
    <tableColumn id="6668" xr3:uid="{8CE1DADF-2C06-4841-A071-0E1D7374BE3C}" name="Columna6662" dataDxfId="9750"/>
    <tableColumn id="6669" xr3:uid="{EEAF92A1-640D-45AF-9D9C-EF10809A2AF2}" name="Columna6663" dataDxfId="9749"/>
    <tableColumn id="6670" xr3:uid="{FBA27C0F-6C2A-49BD-A666-186FFC43B47F}" name="Columna6664" dataDxfId="9748"/>
    <tableColumn id="6671" xr3:uid="{603BA523-4A82-428D-B8B3-B9BEC056AD72}" name="Columna6665" dataDxfId="9747"/>
    <tableColumn id="6672" xr3:uid="{4A2E15B0-E5BA-432E-9A95-369E57D5BAD3}" name="Columna6666" dataDxfId="9746"/>
    <tableColumn id="6673" xr3:uid="{CF313672-4CA7-41EA-9872-77CE5B6FFCEC}" name="Columna6667" dataDxfId="9745"/>
    <tableColumn id="6674" xr3:uid="{C5EBCB08-1416-4553-AB63-2C1621B7ADE9}" name="Columna6668" dataDxfId="9744"/>
    <tableColumn id="6675" xr3:uid="{93D72537-5BB6-4696-BF0C-4B34A4E7F317}" name="Columna6669" dataDxfId="9743"/>
    <tableColumn id="6676" xr3:uid="{10FFBBCA-DB2A-4EC4-85F6-CE9150AD57BC}" name="Columna6670" dataDxfId="9742"/>
    <tableColumn id="6677" xr3:uid="{6D0F914E-FA22-4A2D-8536-8FB9A57E9EE3}" name="Columna6671" dataDxfId="9741"/>
    <tableColumn id="6678" xr3:uid="{B64A720F-F58B-45B2-A8F4-DC071CD45241}" name="Columna6672" dataDxfId="9740"/>
    <tableColumn id="6679" xr3:uid="{FCC1D076-1102-45CD-82B1-E67ABF35A840}" name="Columna6673" dataDxfId="9739"/>
    <tableColumn id="6680" xr3:uid="{180562D0-B2FE-4BDB-984E-AA6F6CDCFAFC}" name="Columna6674" dataDxfId="9738"/>
    <tableColumn id="6681" xr3:uid="{F78D7AD4-4E04-4FFA-B334-EB70EE06D22F}" name="Columna6675" dataDxfId="9737"/>
    <tableColumn id="6682" xr3:uid="{6120AB95-B895-430C-9C71-2368FE46620B}" name="Columna6676" dataDxfId="9736"/>
    <tableColumn id="6683" xr3:uid="{0C6D27FB-89A1-41E6-B857-EF674F518AB9}" name="Columna6677" dataDxfId="9735"/>
    <tableColumn id="6684" xr3:uid="{34199A35-0E8E-42B8-ADAE-AFE2D65F32AD}" name="Columna6678" dataDxfId="9734"/>
    <tableColumn id="6685" xr3:uid="{CCAAF647-D6C0-4DAC-AE72-B359527B0CA4}" name="Columna6679" dataDxfId="9733"/>
    <tableColumn id="6686" xr3:uid="{CD6FDE11-E746-45EA-9C5F-744887A69CC6}" name="Columna6680" dataDxfId="9732"/>
    <tableColumn id="6687" xr3:uid="{1AB84E3D-AAF5-424F-8813-91733112F98A}" name="Columna6681" dataDxfId="9731"/>
    <tableColumn id="6688" xr3:uid="{686B12C1-659E-475F-9902-10F95FC6C007}" name="Columna6682" dataDxfId="9730"/>
    <tableColumn id="6689" xr3:uid="{5DBEEA42-52C3-468B-9554-C5FBBD13D8D0}" name="Columna6683" dataDxfId="9729"/>
    <tableColumn id="6690" xr3:uid="{96926777-6C93-4189-8933-2D7CA28A5241}" name="Columna6684" dataDxfId="9728"/>
    <tableColumn id="6691" xr3:uid="{EC1B86B2-B1C0-4D0C-8629-5401B928DD53}" name="Columna6685" dataDxfId="9727"/>
    <tableColumn id="6692" xr3:uid="{4C2F4125-A973-4327-856D-D092B4E8F1F2}" name="Columna6686" dataDxfId="9726"/>
    <tableColumn id="6693" xr3:uid="{2BDFEE1C-D988-4F4C-BFAA-A8F32E4CC0D1}" name="Columna6687" dataDxfId="9725"/>
    <tableColumn id="6694" xr3:uid="{906FFCC4-3BE2-4D92-91E1-937B673A2D80}" name="Columna6688" dataDxfId="9724"/>
    <tableColumn id="6695" xr3:uid="{115F0E20-3224-4838-B25D-204F8B50341E}" name="Columna6689" dataDxfId="9723"/>
    <tableColumn id="6696" xr3:uid="{32B599C6-E703-414F-B605-DDD84B93E1D9}" name="Columna6690" dataDxfId="9722"/>
    <tableColumn id="6697" xr3:uid="{96AD5138-8C0B-4601-8ED9-5CD60FF11D4F}" name="Columna6691" dataDxfId="9721"/>
    <tableColumn id="6698" xr3:uid="{0B47365B-2308-44CD-AFD2-0A01BCD7650C}" name="Columna6692" dataDxfId="9720"/>
    <tableColumn id="6699" xr3:uid="{F3017575-3715-43E9-9D9A-68BD189CDA41}" name="Columna6693" dataDxfId="9719"/>
    <tableColumn id="6700" xr3:uid="{B5037928-700F-41B5-B8BD-16D345DE9C48}" name="Columna6694" dataDxfId="9718"/>
    <tableColumn id="6701" xr3:uid="{99842939-3AEF-4542-B3BA-F05FBE451CA6}" name="Columna6695" dataDxfId="9717"/>
    <tableColumn id="6702" xr3:uid="{6ADD12E2-A569-4146-8FAE-D88B09437D55}" name="Columna6696" dataDxfId="9716"/>
    <tableColumn id="6703" xr3:uid="{85DBB9EF-FD8C-4CD6-A275-ADD1280754EB}" name="Columna6697" dataDxfId="9715"/>
    <tableColumn id="6704" xr3:uid="{25932380-2D45-4D69-B6BD-14D6F30F117F}" name="Columna6698" dataDxfId="9714"/>
    <tableColumn id="6705" xr3:uid="{42305C87-2247-47F2-97A9-5C1C9C4DA942}" name="Columna6699" dataDxfId="9713"/>
    <tableColumn id="6706" xr3:uid="{174FD0A7-DAF9-48FD-A901-95CD8606B15F}" name="Columna6700" dataDxfId="9712"/>
    <tableColumn id="6707" xr3:uid="{C3FF3961-7BE0-4F16-8AE0-5C6D2C626717}" name="Columna6701" dataDxfId="9711"/>
    <tableColumn id="6708" xr3:uid="{71B5D395-5FC3-4843-AAF6-8F006CB1251F}" name="Columna6702" dataDxfId="9710"/>
    <tableColumn id="6709" xr3:uid="{862A0FE0-BA08-4619-B0C8-2D621E892D6A}" name="Columna6703" dataDxfId="9709"/>
    <tableColumn id="6710" xr3:uid="{B34CA968-B85A-416A-8BE3-B7D38F893FAF}" name="Columna6704" dataDxfId="9708"/>
    <tableColumn id="6711" xr3:uid="{2708CAFD-F948-4075-B1E7-406640360B4F}" name="Columna6705" dataDxfId="9707"/>
    <tableColumn id="6712" xr3:uid="{171E9BF3-D9E9-46D0-B179-D114B361D62D}" name="Columna6706" dataDxfId="9706"/>
    <tableColumn id="6713" xr3:uid="{16F74739-3452-4876-BA68-F839B71D92ED}" name="Columna6707" dataDxfId="9705"/>
    <tableColumn id="6714" xr3:uid="{A57B97EE-2214-4B82-83BE-85C13BAF6FB5}" name="Columna6708" dataDxfId="9704"/>
    <tableColumn id="6715" xr3:uid="{C5896B0E-CEA1-470C-AD28-BD6E1EC899B0}" name="Columna6709" dataDxfId="9703"/>
    <tableColumn id="6716" xr3:uid="{A727CE18-0EED-4529-A8B2-7AF947AC83A1}" name="Columna6710" dataDxfId="9702"/>
    <tableColumn id="6717" xr3:uid="{C83962BB-5BFD-41B6-8F46-DA182E82980E}" name="Columna6711" dataDxfId="9701"/>
    <tableColumn id="6718" xr3:uid="{0AC380EF-8D2C-482F-970E-503CE28DC982}" name="Columna6712" dataDxfId="9700"/>
    <tableColumn id="6719" xr3:uid="{57BA92E7-DCF4-4596-BAA9-89FDED17A997}" name="Columna6713" dataDxfId="9699"/>
    <tableColumn id="6720" xr3:uid="{7238434B-4A01-4DBE-85A0-1561FBA3AD9F}" name="Columna6714" dataDxfId="9698"/>
    <tableColumn id="6721" xr3:uid="{F95A2960-E5C6-4B25-9C65-15CBF8E85728}" name="Columna6715" dataDxfId="9697"/>
    <tableColumn id="6722" xr3:uid="{C425703C-41CE-446B-B472-59AB5CD6C6EC}" name="Columna6716" dataDxfId="9696"/>
    <tableColumn id="6723" xr3:uid="{FF5721FE-693D-4A55-8F88-2D7BA7CA97FA}" name="Columna6717" dataDxfId="9695"/>
    <tableColumn id="6724" xr3:uid="{FE94C283-6B42-41DB-89E1-FEB531F4B591}" name="Columna6718" dataDxfId="9694"/>
    <tableColumn id="6725" xr3:uid="{F468D7B4-B7FA-4A7A-B92F-58427A1FBFD1}" name="Columna6719" dataDxfId="9693"/>
    <tableColumn id="6726" xr3:uid="{CCFD8705-4798-476D-9C8A-B54731A5AED2}" name="Columna6720" dataDxfId="9692"/>
    <tableColumn id="6727" xr3:uid="{C45E5CA6-1F04-4534-AABF-FA7AF4A603F7}" name="Columna6721" dataDxfId="9691"/>
    <tableColumn id="6728" xr3:uid="{B568682A-82FE-459A-8183-E79F8B9BB76F}" name="Columna6722" dataDxfId="9690"/>
    <tableColumn id="6729" xr3:uid="{66950A24-ED91-48EE-B518-28DE7D3FE0E9}" name="Columna6723" dataDxfId="9689"/>
    <tableColumn id="6730" xr3:uid="{1B614CCD-4A9F-4906-9C9E-0C86DC0ECC03}" name="Columna6724" dataDxfId="9688"/>
    <tableColumn id="6731" xr3:uid="{2CFB159D-BC8F-4A23-B453-0D43497BCE4A}" name="Columna6725" dataDxfId="9687"/>
    <tableColumn id="6732" xr3:uid="{DDFEC592-38A8-44AD-8CEC-F4D86EE25520}" name="Columna6726" dataDxfId="9686"/>
    <tableColumn id="6733" xr3:uid="{0D3FB70A-E7B1-4DF4-A306-40AF8490FD71}" name="Columna6727" dataDxfId="9685"/>
    <tableColumn id="6734" xr3:uid="{3C0BE566-DF93-413B-BFF8-847E0E745CE5}" name="Columna6728" dataDxfId="9684"/>
    <tableColumn id="6735" xr3:uid="{A7F530E9-3CF6-4B68-BBC6-BAB1671DAACF}" name="Columna6729" dataDxfId="9683"/>
    <tableColumn id="6736" xr3:uid="{E84FD0C3-D499-438F-A570-8F5DD2AEA03F}" name="Columna6730" dataDxfId="9682"/>
    <tableColumn id="6737" xr3:uid="{96A163AF-7EB2-46EF-B98A-CDD3630766FC}" name="Columna6731" dataDxfId="9681"/>
    <tableColumn id="6738" xr3:uid="{7B41593F-1A5F-4581-8174-A3A0AFC2BE7B}" name="Columna6732" dataDxfId="9680"/>
    <tableColumn id="6739" xr3:uid="{721A76C2-5C10-4D57-9F27-3E5ECFD66403}" name="Columna6733" dataDxfId="9679"/>
    <tableColumn id="6740" xr3:uid="{D4221D82-FE05-4D37-820F-C1FCC7D4D58B}" name="Columna6734" dataDxfId="9678"/>
    <tableColumn id="6741" xr3:uid="{D956B7F1-DA9D-4A4A-AA9E-28B9FAEEC242}" name="Columna6735" dataDxfId="9677"/>
    <tableColumn id="6742" xr3:uid="{54BE05FA-D3CE-4A6D-8BB9-47380320D7B9}" name="Columna6736" dataDxfId="9676"/>
    <tableColumn id="6743" xr3:uid="{A19486B9-E644-4CF8-89EF-C1E9B2A57CAB}" name="Columna6737" dataDxfId="9675"/>
    <tableColumn id="6744" xr3:uid="{15096CA3-C4C9-4F4D-83FB-9E725631570F}" name="Columna6738" dataDxfId="9674"/>
    <tableColumn id="6745" xr3:uid="{98B88E8E-440B-4BC1-81A5-8CEC67A813F2}" name="Columna6739" dataDxfId="9673"/>
    <tableColumn id="6746" xr3:uid="{C29F17B8-49D9-4982-9E67-8495E4F9C1AE}" name="Columna6740" dataDxfId="9672"/>
    <tableColumn id="6747" xr3:uid="{78354618-B56F-4872-9DAB-8602237D3392}" name="Columna6741" dataDxfId="9671"/>
    <tableColumn id="6748" xr3:uid="{04FF9E0E-94D9-4879-A4C7-68ADE1F578BA}" name="Columna6742" dataDxfId="9670"/>
    <tableColumn id="6749" xr3:uid="{9EBDA09F-9BAC-49F2-9869-AE002BABB237}" name="Columna6743" dataDxfId="9669"/>
    <tableColumn id="6750" xr3:uid="{BD50E57A-CE48-433C-A3F3-C5D9C0EF108B}" name="Columna6744" dataDxfId="9668"/>
    <tableColumn id="6751" xr3:uid="{6A0EF054-7DC8-47D9-A145-AED5260F77B9}" name="Columna6745" dataDxfId="9667"/>
    <tableColumn id="6752" xr3:uid="{85F840DA-17B2-4A4E-B301-47EFA72E5602}" name="Columna6746" dataDxfId="9666"/>
    <tableColumn id="6753" xr3:uid="{6B00CC76-51A8-47D1-93D7-FB0EEF5817AD}" name="Columna6747" dataDxfId="9665"/>
    <tableColumn id="6754" xr3:uid="{77DF0B97-4B40-43AC-B13A-53A45028AE80}" name="Columna6748" dataDxfId="9664"/>
    <tableColumn id="6755" xr3:uid="{6DBEF569-9C9F-4B2F-8C9A-486E37DF82EF}" name="Columna6749" dataDxfId="9663"/>
    <tableColumn id="6756" xr3:uid="{D4884E55-85FA-4FBC-81FD-74FA958345A4}" name="Columna6750" dataDxfId="9662"/>
    <tableColumn id="6757" xr3:uid="{8363E210-D97A-4279-9811-C68019DDE424}" name="Columna6751" dataDxfId="9661"/>
    <tableColumn id="6758" xr3:uid="{76DBF5CA-16D6-4A32-91F2-3AE36ABAA108}" name="Columna6752" dataDxfId="9660"/>
    <tableColumn id="6759" xr3:uid="{154C7C4B-FF3D-4627-BC59-9B64AA0A05F2}" name="Columna6753" dataDxfId="9659"/>
    <tableColumn id="6760" xr3:uid="{27EA5191-C3D9-4D35-B993-8A8D8F83C578}" name="Columna6754" dataDxfId="9658"/>
    <tableColumn id="6761" xr3:uid="{C98A654B-F8B2-401B-9227-C63AB291F531}" name="Columna6755" dataDxfId="9657"/>
    <tableColumn id="6762" xr3:uid="{F27C0964-065A-4F40-9254-C291A5C28C07}" name="Columna6756" dataDxfId="9656"/>
    <tableColumn id="6763" xr3:uid="{3C14DF3B-8CAA-4C74-B773-940EAA14F57C}" name="Columna6757" dataDxfId="9655"/>
    <tableColumn id="6764" xr3:uid="{B9299DD9-2791-407C-9E57-44A23A50D852}" name="Columna6758" dataDxfId="9654"/>
    <tableColumn id="6765" xr3:uid="{1B5F47CE-E0C3-43F4-A612-4181D51E83F7}" name="Columna6759" dataDxfId="9653"/>
    <tableColumn id="6766" xr3:uid="{F01CB6B4-620C-426C-AC5D-D0D12712BFC8}" name="Columna6760" dataDxfId="9652"/>
    <tableColumn id="6767" xr3:uid="{4678DBE2-B14F-41CD-82A4-EB0CC37C1A6A}" name="Columna6761" dataDxfId="9651"/>
    <tableColumn id="6768" xr3:uid="{1F3A65EC-1100-4DAF-9287-A0AE1F07E9B8}" name="Columna6762" dataDxfId="9650"/>
    <tableColumn id="6769" xr3:uid="{A93E9ED9-A1A8-421C-BA73-B456D11ED2FB}" name="Columna6763" dataDxfId="9649"/>
    <tableColumn id="6770" xr3:uid="{650F61D7-289C-4339-8B2B-0D4BC8DA6CAF}" name="Columna6764" dataDxfId="9648"/>
    <tableColumn id="6771" xr3:uid="{02DE36C4-2DB1-41A4-9F20-3FD7038DD5A9}" name="Columna6765" dataDxfId="9647"/>
    <tableColumn id="6772" xr3:uid="{7AF42E8D-7CC2-4CC4-9CC7-831C7FC765B7}" name="Columna6766" dataDxfId="9646"/>
    <tableColumn id="6773" xr3:uid="{26FB8FC9-C4BB-43D9-845E-F5D7588E0B67}" name="Columna6767" dataDxfId="9645"/>
    <tableColumn id="6774" xr3:uid="{E989A6AE-7CE5-4B7C-8AF6-AF73AC5A5480}" name="Columna6768" dataDxfId="9644"/>
    <tableColumn id="6775" xr3:uid="{BEC6B43E-4393-4A5E-9DEE-8D2CB9FF7813}" name="Columna6769" dataDxfId="9643"/>
    <tableColumn id="6776" xr3:uid="{9D57D8C2-AEB7-47DE-BBE7-29DADF2B69D9}" name="Columna6770" dataDxfId="9642"/>
    <tableColumn id="6777" xr3:uid="{0F6AF476-4D09-482C-8842-060385394AA5}" name="Columna6771" dataDxfId="9641"/>
    <tableColumn id="6778" xr3:uid="{516B5912-35B2-488C-AE41-1F246ED73729}" name="Columna6772" dataDxfId="9640"/>
    <tableColumn id="6779" xr3:uid="{6AA57406-C472-45BF-BF78-264C336F320E}" name="Columna6773" dataDxfId="9639"/>
    <tableColumn id="6780" xr3:uid="{5EA04C3C-BCF4-484E-8E4C-D91F1FCBC32B}" name="Columna6774" dataDxfId="9638"/>
    <tableColumn id="6781" xr3:uid="{0945D4E8-49F1-4E7C-BF01-48DAB7BD3669}" name="Columna6775" dataDxfId="9637"/>
    <tableColumn id="6782" xr3:uid="{D0180A68-2F3B-4EC3-96DE-737E8AEB7947}" name="Columna6776" dataDxfId="9636"/>
    <tableColumn id="6783" xr3:uid="{7FCA283D-A91D-4379-B03C-A325F4867FDE}" name="Columna6777" dataDxfId="9635"/>
    <tableColumn id="6784" xr3:uid="{7416A79E-BE28-4BEE-A806-4D27EC62AB36}" name="Columna6778" dataDxfId="9634"/>
    <tableColumn id="6785" xr3:uid="{CC5B01B8-E644-42A1-BD82-B702327745A4}" name="Columna6779" dataDxfId="9633"/>
    <tableColumn id="6786" xr3:uid="{4A11B88F-3180-483D-AAA9-43A2CD6B25D4}" name="Columna6780" dataDxfId="9632"/>
    <tableColumn id="6787" xr3:uid="{829C7E7B-1CE8-4F57-A937-1CD3C6073009}" name="Columna6781" dataDxfId="9631"/>
    <tableColumn id="6788" xr3:uid="{A0EE23C2-C505-4647-B23D-5B57F29D3EA4}" name="Columna6782" dataDxfId="9630"/>
    <tableColumn id="6789" xr3:uid="{EB827451-3475-4F34-8A3D-84123BB6F202}" name="Columna6783" dataDxfId="9629"/>
    <tableColumn id="6790" xr3:uid="{FC56F6C1-4ABB-488B-8850-747A400A9F14}" name="Columna6784" dataDxfId="9628"/>
    <tableColumn id="6791" xr3:uid="{9F53AC16-DB7D-4925-8214-AAF954E35E24}" name="Columna6785" dataDxfId="9627"/>
    <tableColumn id="6792" xr3:uid="{B2768C56-665F-40BC-ACFA-4D04CC7E45E6}" name="Columna6786" dataDxfId="9626"/>
    <tableColumn id="6793" xr3:uid="{D045E820-EDFE-497C-AFB5-9639A33CBA76}" name="Columna6787" dataDxfId="9625"/>
    <tableColumn id="6794" xr3:uid="{5954CE7A-829C-42B2-ADAD-E2E4163FC7B4}" name="Columna6788" dataDxfId="9624"/>
    <tableColumn id="6795" xr3:uid="{26F69FE0-3A1A-420D-A955-F193DFF65E4D}" name="Columna6789" dataDxfId="9623"/>
    <tableColumn id="6796" xr3:uid="{3B9B6D20-97A1-458E-BC77-93910C6BA091}" name="Columna6790" dataDxfId="9622"/>
    <tableColumn id="6797" xr3:uid="{66A83502-DC11-425C-95C5-47631EA7E9E8}" name="Columna6791" dataDxfId="9621"/>
    <tableColumn id="6798" xr3:uid="{83D75E90-C787-467F-A965-30CDFCF6427C}" name="Columna6792" dataDxfId="9620"/>
    <tableColumn id="6799" xr3:uid="{C4D8F7DE-2FBC-45BC-A191-B6F5E18B97FB}" name="Columna6793" dataDxfId="9619"/>
    <tableColumn id="6800" xr3:uid="{C8748901-01B6-4B1B-89A9-3064B7ABC9DF}" name="Columna6794" dataDxfId="9618"/>
    <tableColumn id="6801" xr3:uid="{31AC5173-97E5-45AA-9D9F-2B6901D12030}" name="Columna6795" dataDxfId="9617"/>
    <tableColumn id="6802" xr3:uid="{84BF84F1-C0C9-413E-A638-965B95AC811D}" name="Columna6796" dataDxfId="9616"/>
    <tableColumn id="6803" xr3:uid="{AFFE779A-2EED-4F75-9ABF-468DBEC44530}" name="Columna6797" dataDxfId="9615"/>
    <tableColumn id="6804" xr3:uid="{787A8D28-1B31-4275-BF21-509371777088}" name="Columna6798" dataDxfId="9614"/>
    <tableColumn id="6805" xr3:uid="{421A910B-DE33-44B2-AA19-149B85669E64}" name="Columna6799" dataDxfId="9613"/>
    <tableColumn id="6806" xr3:uid="{69B7378C-3172-4C9C-B745-E24DFDFF67EC}" name="Columna6800" dataDxfId="9612"/>
    <tableColumn id="6807" xr3:uid="{29E1F182-27C2-447F-AD1C-ABD5202EB481}" name="Columna6801" dataDxfId="9611"/>
    <tableColumn id="6808" xr3:uid="{960D4CA4-22DF-4E28-A413-752564176EB8}" name="Columna6802" dataDxfId="9610"/>
    <tableColumn id="6809" xr3:uid="{7F79A00C-225D-4F43-9AB9-C395BD695FC0}" name="Columna6803" dataDxfId="9609"/>
    <tableColumn id="6810" xr3:uid="{3BD14B5A-4CE1-4956-86B1-E33A0A2B2A40}" name="Columna6804" dataDxfId="9608"/>
    <tableColumn id="6811" xr3:uid="{F003D5FF-9386-4A5D-B00F-DEDC6275E3CD}" name="Columna6805" dataDxfId="9607"/>
    <tableColumn id="6812" xr3:uid="{4EA39C13-DDA3-4CDC-ACEC-1138159679F4}" name="Columna6806" dataDxfId="9606"/>
    <tableColumn id="6813" xr3:uid="{5737AC27-6658-46EE-B4E4-809745ECCDD9}" name="Columna6807" dataDxfId="9605"/>
    <tableColumn id="6814" xr3:uid="{792BB2EE-B1C3-4EC3-97E6-55FCB3156CF8}" name="Columna6808" dataDxfId="9604"/>
    <tableColumn id="6815" xr3:uid="{02574F33-D22B-4E1C-A77C-BAEF58166C1B}" name="Columna6809" dataDxfId="9603"/>
    <tableColumn id="6816" xr3:uid="{3153EE66-CAFF-4B8B-8417-C339391C923C}" name="Columna6810" dataDxfId="9602"/>
    <tableColumn id="6817" xr3:uid="{81D5E9DB-3A9F-4C83-A170-312887FAAB3E}" name="Columna6811" dataDxfId="9601"/>
    <tableColumn id="6818" xr3:uid="{3C42C053-AA18-449E-A24B-5A45FF4F51D4}" name="Columna6812" dataDxfId="9600"/>
    <tableColumn id="6819" xr3:uid="{C8FBF787-1A54-450F-A5AA-0006796422BD}" name="Columna6813" dataDxfId="9599"/>
    <tableColumn id="6820" xr3:uid="{7707D908-BFD4-4CF9-A723-80038BA4C44B}" name="Columna6814" dataDxfId="9598"/>
    <tableColumn id="6821" xr3:uid="{0C7E644B-3DE8-4C3E-9745-BE9572C8C2BD}" name="Columna6815" dataDxfId="9597"/>
    <tableColumn id="6822" xr3:uid="{9F4ABD02-CD10-4906-940B-7F3E2E7056EA}" name="Columna6816" dataDxfId="9596"/>
    <tableColumn id="6823" xr3:uid="{39531BCC-16CC-430F-9E86-643CE5813421}" name="Columna6817" dataDxfId="9595"/>
    <tableColumn id="6824" xr3:uid="{529FC19A-49B6-48C7-B201-1C13E398809C}" name="Columna6818" dataDxfId="9594"/>
    <tableColumn id="6825" xr3:uid="{A5AB67F2-0248-48EF-938E-F131A3A3E241}" name="Columna6819" dataDxfId="9593"/>
    <tableColumn id="6826" xr3:uid="{53A1C6B5-D979-49C7-AFB1-42B8057AEEC8}" name="Columna6820" dataDxfId="9592"/>
    <tableColumn id="6827" xr3:uid="{46652063-F956-4425-BDB8-13C5B8CC4DCE}" name="Columna6821" dataDxfId="9591"/>
    <tableColumn id="6828" xr3:uid="{5D9CCD47-C0B4-4E26-88CA-522620A3FCDB}" name="Columna6822" dataDxfId="9590"/>
    <tableColumn id="6829" xr3:uid="{D05746FE-C3DD-415E-B4C8-DDE1D9AB12D7}" name="Columna6823" dataDxfId="9589"/>
    <tableColumn id="6830" xr3:uid="{B0DB8756-6463-40AD-A339-16A4A96568FB}" name="Columna6824" dataDxfId="9588"/>
    <tableColumn id="6831" xr3:uid="{E2CF16C7-9E84-4C0B-9817-2CACDA4A60C9}" name="Columna6825" dataDxfId="9587"/>
    <tableColumn id="6832" xr3:uid="{D3EFF89F-9608-483F-955E-AB55D26BCB5D}" name="Columna6826" dataDxfId="9586"/>
    <tableColumn id="6833" xr3:uid="{FF095412-FE53-4938-B296-AD2EC620D203}" name="Columna6827" dataDxfId="9585"/>
    <tableColumn id="6834" xr3:uid="{36D3456C-1293-4A64-8C43-0A1659CA34A5}" name="Columna6828" dataDxfId="9584"/>
    <tableColumn id="6835" xr3:uid="{78F98808-9FA8-40E4-9A0E-D5F6EBF7B4AD}" name="Columna6829" dataDxfId="9583"/>
    <tableColumn id="6836" xr3:uid="{FB59E3DE-B89E-48D2-8865-5799EBF91B1B}" name="Columna6830" dataDxfId="9582"/>
    <tableColumn id="6837" xr3:uid="{731CA7F6-D9DD-46C9-86E0-394D09F84098}" name="Columna6831" dataDxfId="9581"/>
    <tableColumn id="6838" xr3:uid="{5E12C27F-4D1F-4EA1-BCAE-FDD1E31CDA66}" name="Columna6832" dataDxfId="9580"/>
    <tableColumn id="6839" xr3:uid="{A3AF68F7-176D-4D60-A698-7017E80CF458}" name="Columna6833" dataDxfId="9579"/>
    <tableColumn id="6840" xr3:uid="{A77E2FB1-05E0-4223-AA8F-A0AC844DF934}" name="Columna6834" dataDxfId="9578"/>
    <tableColumn id="6841" xr3:uid="{F598AA97-6511-4D60-9C56-003BFBE122E8}" name="Columna6835" dataDxfId="9577"/>
    <tableColumn id="6842" xr3:uid="{D97D824B-906A-43C2-8D2A-DACA27E4B79C}" name="Columna6836" dataDxfId="9576"/>
    <tableColumn id="6843" xr3:uid="{B0A83A38-E500-496B-9F2A-60AD5491B583}" name="Columna6837" dataDxfId="9575"/>
    <tableColumn id="6844" xr3:uid="{863C8A62-AAB0-4A48-BCE6-121C170B013E}" name="Columna6838" dataDxfId="9574"/>
    <tableColumn id="6845" xr3:uid="{0B34840A-9B68-4459-9523-62E3D8A6F728}" name="Columna6839" dataDxfId="9573"/>
    <tableColumn id="6846" xr3:uid="{C67B92D9-4166-4A7A-AF7F-102B2C2603AB}" name="Columna6840" dataDxfId="9572"/>
    <tableColumn id="6847" xr3:uid="{440A4239-57D9-4F8F-B9AB-CEB7565D17EB}" name="Columna6841" dataDxfId="9571"/>
    <tableColumn id="6848" xr3:uid="{7CFAB038-9B5C-4E8E-A00D-13BF06B40158}" name="Columna6842" dataDxfId="9570"/>
    <tableColumn id="6849" xr3:uid="{98680995-5199-4798-A9B0-5D5003DDE784}" name="Columna6843" dataDxfId="9569"/>
    <tableColumn id="6850" xr3:uid="{F67718EB-44CF-4EF2-9F64-D0F7718C8565}" name="Columna6844" dataDxfId="9568"/>
    <tableColumn id="6851" xr3:uid="{4D67D447-3969-4B27-8D23-6C793190B17C}" name="Columna6845" dataDxfId="9567"/>
    <tableColumn id="6852" xr3:uid="{782502AD-E9E2-4300-9E38-C02D77D66F83}" name="Columna6846" dataDxfId="9566"/>
    <tableColumn id="6853" xr3:uid="{CA09EE6F-D9EA-4992-88F4-83F38B3966CB}" name="Columna6847" dataDxfId="9565"/>
    <tableColumn id="6854" xr3:uid="{41EA19AB-B7C7-4DC2-9BF1-95D9C1E734C7}" name="Columna6848" dataDxfId="9564"/>
    <tableColumn id="6855" xr3:uid="{3F3FB424-A6C4-414F-8CB0-CF624CDF34A1}" name="Columna6849" dataDxfId="9563"/>
    <tableColumn id="6856" xr3:uid="{149B4FAC-AD1B-439A-B8DB-D54A42893F2F}" name="Columna6850" dataDxfId="9562"/>
    <tableColumn id="6857" xr3:uid="{1DB2CDCC-5D1E-4D74-842C-52567C3B58F2}" name="Columna6851" dataDxfId="9561"/>
    <tableColumn id="6858" xr3:uid="{944C9C06-D8FB-4AE8-B8EA-807E92D0B6A6}" name="Columna6852" dataDxfId="9560"/>
    <tableColumn id="6859" xr3:uid="{74C8B0E9-6092-45A1-B4A9-C754C17F6E03}" name="Columna6853" dataDxfId="9559"/>
    <tableColumn id="6860" xr3:uid="{7501A531-C475-4BF3-87EB-0CD10FE5D5F2}" name="Columna6854" dataDxfId="9558"/>
    <tableColumn id="6861" xr3:uid="{FA56B7E5-4995-4122-B092-6916459029EA}" name="Columna6855" dataDxfId="9557"/>
    <tableColumn id="6862" xr3:uid="{3CA9E8C9-5A5C-44AA-AA59-9688BEF3B434}" name="Columna6856" dataDxfId="9556"/>
    <tableColumn id="6863" xr3:uid="{9AC8D55B-B682-4D66-A19B-EFC51BF9FE8D}" name="Columna6857" dataDxfId="9555"/>
    <tableColumn id="6864" xr3:uid="{E1B7BCFF-929D-4F53-AAC6-2A512887085D}" name="Columna6858" dataDxfId="9554"/>
    <tableColumn id="6865" xr3:uid="{FBAB6BAC-E494-499C-87F0-9E9621ED0C21}" name="Columna6859" dataDxfId="9553"/>
    <tableColumn id="6866" xr3:uid="{7139F892-3785-4E08-AF0E-636EB7F74E84}" name="Columna6860" dataDxfId="9552"/>
    <tableColumn id="6867" xr3:uid="{FD46B335-3DE9-4C8B-A59B-76ABA12BE4A0}" name="Columna6861" dataDxfId="9551"/>
    <tableColumn id="6868" xr3:uid="{31D13CEE-4990-482B-8E13-BC8E326FDD30}" name="Columna6862" dataDxfId="9550"/>
    <tableColumn id="6869" xr3:uid="{002523CD-5249-4E82-9F78-1775E9AC4593}" name="Columna6863" dataDxfId="9549"/>
    <tableColumn id="6870" xr3:uid="{B87EBB3F-9B1A-4770-A6CD-E1F43A4189B0}" name="Columna6864" dataDxfId="9548"/>
    <tableColumn id="6871" xr3:uid="{54C807C7-378A-4CB4-8D4C-A24D1061C921}" name="Columna6865" dataDxfId="9547"/>
    <tableColumn id="6872" xr3:uid="{57D68997-D5ED-4BCB-A752-AF70045F2CC9}" name="Columna6866" dataDxfId="9546"/>
    <tableColumn id="6873" xr3:uid="{25CF93EC-0BF0-415A-B222-F41E11653FD6}" name="Columna6867" dataDxfId="9545"/>
    <tableColumn id="6874" xr3:uid="{B36E7B3F-6BFE-4965-86B0-33461751D048}" name="Columna6868" dataDxfId="9544"/>
    <tableColumn id="6875" xr3:uid="{8CD41689-265B-44D3-94E3-E2E0B601E8CB}" name="Columna6869" dataDxfId="9543"/>
    <tableColumn id="6876" xr3:uid="{7FD9C904-24A4-4389-AE37-E22266098BAE}" name="Columna6870" dataDxfId="9542"/>
    <tableColumn id="6877" xr3:uid="{5CA69BAA-815A-45CE-9CBC-43503F05F908}" name="Columna6871" dataDxfId="9541"/>
    <tableColumn id="6878" xr3:uid="{52A8C0B7-FD1C-423E-9D0D-4581C81AFBCE}" name="Columna6872" dataDxfId="9540"/>
    <tableColumn id="6879" xr3:uid="{D6C6E05A-B33C-4177-AA18-EE6595B33DA5}" name="Columna6873" dataDxfId="9539"/>
    <tableColumn id="6880" xr3:uid="{1D02844C-2DC7-49A5-BEA0-EBE3B8AF1C8A}" name="Columna6874" dataDxfId="9538"/>
    <tableColumn id="6881" xr3:uid="{457D50D4-C549-4E70-BFB9-C524A6829D61}" name="Columna6875" dataDxfId="9537"/>
    <tableColumn id="6882" xr3:uid="{8F3C60FF-5128-4593-9F52-9E714EAD636F}" name="Columna6876" dataDxfId="9536"/>
    <tableColumn id="6883" xr3:uid="{773FF7DD-9CCF-4A8E-8886-10E03F133AE9}" name="Columna6877" dataDxfId="9535"/>
    <tableColumn id="6884" xr3:uid="{521FA648-E85D-4DBE-9141-E4E0AD230E70}" name="Columna6878" dataDxfId="9534"/>
    <tableColumn id="6885" xr3:uid="{F47122A4-D2BB-4E19-A271-C2F9460440CA}" name="Columna6879" dataDxfId="9533"/>
    <tableColumn id="6886" xr3:uid="{A3A6BA09-3E60-4B53-B9A8-4D440B129BFC}" name="Columna6880" dataDxfId="9532"/>
    <tableColumn id="6887" xr3:uid="{4DFA5B60-DC69-4F53-9F95-52A601F25505}" name="Columna6881" dataDxfId="9531"/>
    <tableColumn id="6888" xr3:uid="{68625788-C3F1-4AA5-A5A0-662554476E39}" name="Columna6882" dataDxfId="9530"/>
    <tableColumn id="6889" xr3:uid="{C037BE59-B8C9-415D-85EB-32D41563C664}" name="Columna6883" dataDxfId="9529"/>
    <tableColumn id="6890" xr3:uid="{E8C7CDFC-EB42-4256-AE14-7B217563ADC3}" name="Columna6884" dataDxfId="9528"/>
    <tableColumn id="6891" xr3:uid="{05BECCEA-8CC6-4831-89A4-AB9B79C82F8E}" name="Columna6885" dataDxfId="9527"/>
    <tableColumn id="6892" xr3:uid="{55DCA7CE-3B65-43A7-8ADF-D64C9EBDFCF7}" name="Columna6886" dataDxfId="9526"/>
    <tableColumn id="6893" xr3:uid="{D2BA249B-BD1C-4C36-9EA2-595331092D78}" name="Columna6887" dataDxfId="9525"/>
    <tableColumn id="6894" xr3:uid="{39A3408C-00A3-450C-9BDA-79037DD089EC}" name="Columna6888" dataDxfId="9524"/>
    <tableColumn id="6895" xr3:uid="{265121A9-9705-4090-9D54-FEF48CB5C670}" name="Columna6889" dataDxfId="9523"/>
    <tableColumn id="6896" xr3:uid="{98980B43-7F94-459E-9844-3BEB21188DB5}" name="Columna6890" dataDxfId="9522"/>
    <tableColumn id="6897" xr3:uid="{81674731-4994-435B-93C0-36257654E9E8}" name="Columna6891" dataDxfId="9521"/>
    <tableColumn id="6898" xr3:uid="{0E748E7D-E536-45DD-8FB3-C48BE5599B93}" name="Columna6892" dataDxfId="9520"/>
    <tableColumn id="6899" xr3:uid="{CB8F4858-EF3F-4910-9062-EA493FC620E6}" name="Columna6893" dataDxfId="9519"/>
    <tableColumn id="6900" xr3:uid="{BF763A6F-6ED0-4B26-89DF-41683F31D5E0}" name="Columna6894" dataDxfId="9518"/>
    <tableColumn id="6901" xr3:uid="{440AFCEB-3553-4A44-9365-165FB2C9C4B0}" name="Columna6895" dataDxfId="9517"/>
    <tableColumn id="6902" xr3:uid="{7A35CF4D-7EF5-47BC-B4F6-D0F92A13C091}" name="Columna6896" dataDxfId="9516"/>
    <tableColumn id="6903" xr3:uid="{F4C47854-75D6-41F8-B914-B3110FD92EA7}" name="Columna6897" dataDxfId="9515"/>
    <tableColumn id="6904" xr3:uid="{C05F2639-EF80-46FA-8151-CD0A79B4ACFE}" name="Columna6898" dataDxfId="9514"/>
    <tableColumn id="6905" xr3:uid="{D12E05E2-BD7A-44F8-B2E2-74DDA1F4BA75}" name="Columna6899" dataDxfId="9513"/>
    <tableColumn id="6906" xr3:uid="{ABBC8500-6FC0-4B66-A5DA-ED21791EF3BF}" name="Columna6900" dataDxfId="9512"/>
    <tableColumn id="6907" xr3:uid="{48FC16E9-55BD-4517-A93E-0EC44D481AB3}" name="Columna6901" dataDxfId="9511"/>
    <tableColumn id="6908" xr3:uid="{790EF382-A6CD-42A2-A480-61797226878D}" name="Columna6902" dataDxfId="9510"/>
    <tableColumn id="6909" xr3:uid="{518F2DF3-789E-4F0E-BA3B-6DEBAF03AD2D}" name="Columna6903" dataDxfId="9509"/>
    <tableColumn id="6910" xr3:uid="{146743DB-29D2-406D-AA8E-1AA96276DBA1}" name="Columna6904" dataDxfId="9508"/>
    <tableColumn id="6911" xr3:uid="{5ECF8746-C044-4D84-A591-5FBBA2624317}" name="Columna6905" dataDxfId="9507"/>
    <tableColumn id="6912" xr3:uid="{AE7B3E26-9AF7-4B79-8B4D-F60D531C5E41}" name="Columna6906" dataDxfId="9506"/>
    <tableColumn id="6913" xr3:uid="{D26B60AB-CF3B-4E65-8F18-A97C6D2AC898}" name="Columna6907" dataDxfId="9505"/>
    <tableColumn id="6914" xr3:uid="{ABA39A8D-D59C-4D8A-AEF2-E9A02CDDC61E}" name="Columna6908" dataDxfId="9504"/>
    <tableColumn id="6915" xr3:uid="{CD33B1B4-9C65-4107-B70C-E0B9CAB0FEE3}" name="Columna6909" dataDxfId="9503"/>
    <tableColumn id="6916" xr3:uid="{3A575CC6-0EFE-416E-A02B-2C324AF21C47}" name="Columna6910" dataDxfId="9502"/>
    <tableColumn id="6917" xr3:uid="{34E4D49F-90FE-4EEF-9E8E-4F71F63763DF}" name="Columna6911" dataDxfId="9501"/>
    <tableColumn id="6918" xr3:uid="{0AACAB34-386D-489F-B6F3-C67E21D2144C}" name="Columna6912" dataDxfId="9500"/>
    <tableColumn id="6919" xr3:uid="{09387CD0-9539-4A2B-B616-8C98A25328C0}" name="Columna6913" dataDxfId="9499"/>
    <tableColumn id="6920" xr3:uid="{949DE7CE-7B9E-4FFA-9EDF-6DCCF48C527F}" name="Columna6914" dataDxfId="9498"/>
    <tableColumn id="6921" xr3:uid="{B11BE81E-5B06-4EB5-8C70-57E9E9BA9606}" name="Columna6915" dataDxfId="9497"/>
    <tableColumn id="6922" xr3:uid="{7E42A2F9-7C55-4D7F-9556-69D2D940960D}" name="Columna6916" dataDxfId="9496"/>
    <tableColumn id="6923" xr3:uid="{80D2DB3C-A5DA-441D-A68E-9DDB94DDEA1A}" name="Columna6917" dataDxfId="9495"/>
    <tableColumn id="6924" xr3:uid="{9770B24E-B04F-4636-8FC3-757365D827A9}" name="Columna6918" dataDxfId="9494"/>
    <tableColumn id="6925" xr3:uid="{164ABF92-724E-4EDC-83F9-2E26EDBE8B5C}" name="Columna6919" dataDxfId="9493"/>
    <tableColumn id="6926" xr3:uid="{55C3EFC1-57D4-4CC8-B2DF-72CEE5D16EA4}" name="Columna6920" dataDxfId="9492"/>
    <tableColumn id="6927" xr3:uid="{03FE626B-9213-4489-AD32-4F9038DBCCD2}" name="Columna6921" dataDxfId="9491"/>
    <tableColumn id="6928" xr3:uid="{9E485D00-39AF-41A0-98D9-0D13F1977F2A}" name="Columna6922" dataDxfId="9490"/>
    <tableColumn id="6929" xr3:uid="{0EE73B1B-B5DA-409C-B9C6-A0B38E23B1E6}" name="Columna6923" dataDxfId="9489"/>
    <tableColumn id="6930" xr3:uid="{F57B7512-1DD4-4465-8A28-AB5A465656DD}" name="Columna6924" dataDxfId="9488"/>
    <tableColumn id="6931" xr3:uid="{AA531B3C-82F4-463C-AE5D-9DC1537E0B59}" name="Columna6925" dataDxfId="9487"/>
    <tableColumn id="6932" xr3:uid="{6D1F5E8E-9EFF-4644-8E5A-D0B9F9E5CBCE}" name="Columna6926" dataDxfId="9486"/>
    <tableColumn id="6933" xr3:uid="{CCBA8E77-EB78-4541-8BCF-CBE4A294B97C}" name="Columna6927" dataDxfId="9485"/>
    <tableColumn id="6934" xr3:uid="{57B7043D-3CEC-48A8-A37C-FF995247FB8C}" name="Columna6928" dataDxfId="9484"/>
    <tableColumn id="6935" xr3:uid="{107C6673-D20A-4682-A271-96DCA5B081B3}" name="Columna6929" dataDxfId="9483"/>
    <tableColumn id="6936" xr3:uid="{1594488D-86F4-43C4-8A3D-1927F3DE4C8A}" name="Columna6930" dataDxfId="9482"/>
    <tableColumn id="6937" xr3:uid="{C86B55AF-0FBA-48CF-BD60-E88C00962DA2}" name="Columna6931" dataDxfId="9481"/>
    <tableColumn id="6938" xr3:uid="{4D384319-7456-4062-956B-D956A0D7EECD}" name="Columna6932" dataDxfId="9480"/>
    <tableColumn id="6939" xr3:uid="{8A1B456E-9747-48E9-89BC-1306C5655CB1}" name="Columna6933" dataDxfId="9479"/>
    <tableColumn id="6940" xr3:uid="{2B34FAA0-B265-45BE-930C-D12FE8DF2C59}" name="Columna6934" dataDxfId="9478"/>
    <tableColumn id="6941" xr3:uid="{4AB9D538-F619-4A5C-98DA-46514FE13322}" name="Columna6935" dataDxfId="9477"/>
    <tableColumn id="6942" xr3:uid="{25E7D1F4-AC63-4502-82B5-A52F8846E25E}" name="Columna6936" dataDxfId="9476"/>
    <tableColumn id="6943" xr3:uid="{936DC747-4AD6-4127-9BD4-63BF0C566131}" name="Columna6937" dataDxfId="9475"/>
    <tableColumn id="6944" xr3:uid="{6CEB8986-AE00-42C6-95C3-D0C090684EFA}" name="Columna6938" dataDxfId="9474"/>
    <tableColumn id="6945" xr3:uid="{974F0DA7-8CB7-47CC-9CDB-97AD37F97F74}" name="Columna6939" dataDxfId="9473"/>
    <tableColumn id="6946" xr3:uid="{BDC57C85-5A36-46F2-B40B-0A294011127D}" name="Columna6940" dataDxfId="9472"/>
    <tableColumn id="6947" xr3:uid="{7FF49D5E-85BC-4B26-B775-C4A976A5CD9C}" name="Columna6941" dataDxfId="9471"/>
    <tableColumn id="6948" xr3:uid="{1C2E5104-CB34-4D81-8A83-F18618E0E93E}" name="Columna6942" dataDxfId="9470"/>
    <tableColumn id="6949" xr3:uid="{264C7DD0-4184-4B45-8E3E-1E8B2B3AC59D}" name="Columna6943" dataDxfId="9469"/>
    <tableColumn id="6950" xr3:uid="{7FE5F8B2-A6A0-4867-A0B3-A5379243BC9B}" name="Columna6944" dataDxfId="9468"/>
    <tableColumn id="6951" xr3:uid="{9BC1E877-C16D-4FE4-9362-E4DB9D8AC5EB}" name="Columna6945" dataDxfId="9467"/>
    <tableColumn id="6952" xr3:uid="{6A8ED676-5B57-4240-969E-8821B970154A}" name="Columna6946" dataDxfId="9466"/>
    <tableColumn id="6953" xr3:uid="{43446604-9A81-45D1-B282-9EB3991B1B6C}" name="Columna6947" dataDxfId="9465"/>
    <tableColumn id="6954" xr3:uid="{7075D811-CC99-4F5E-8715-627D07974D17}" name="Columna6948" dataDxfId="9464"/>
    <tableColumn id="6955" xr3:uid="{3006A050-049E-4AD6-A10B-90DFEEF1EE10}" name="Columna6949" dataDxfId="9463"/>
    <tableColumn id="6956" xr3:uid="{285A3F46-9979-4066-9484-DB6391522AFD}" name="Columna6950" dataDxfId="9462"/>
    <tableColumn id="6957" xr3:uid="{B33F0BC8-52B9-4129-AA93-A72B7B3F1564}" name="Columna6951" dataDxfId="9461"/>
    <tableColumn id="6958" xr3:uid="{15F4FEB0-E4A0-4D28-AC3F-47ABC3840DB8}" name="Columna6952" dataDxfId="9460"/>
    <tableColumn id="6959" xr3:uid="{83A4EDBF-8A6F-4948-BA9F-B944BBD81B55}" name="Columna6953" dataDxfId="9459"/>
    <tableColumn id="6960" xr3:uid="{E4FD8FE2-B6F8-40B6-B234-81192628F8C4}" name="Columna6954" dataDxfId="9458"/>
    <tableColumn id="6961" xr3:uid="{98ADDB94-DC7F-4A4C-A58B-AD4677B3B30A}" name="Columna6955" dataDxfId="9457"/>
    <tableColumn id="6962" xr3:uid="{34E9C103-D81D-493B-9C81-CD867D3265CB}" name="Columna6956" dataDxfId="9456"/>
    <tableColumn id="6963" xr3:uid="{AC2CDB96-426A-4FBE-8C1E-4D4A5AD0A1E9}" name="Columna6957" dataDxfId="9455"/>
    <tableColumn id="6964" xr3:uid="{F80730E2-AE49-4501-9497-78D9FBF41B82}" name="Columna6958" dataDxfId="9454"/>
    <tableColumn id="6965" xr3:uid="{954F6D89-13D0-496A-BF15-2827DF3FE0F2}" name="Columna6959" dataDxfId="9453"/>
    <tableColumn id="6966" xr3:uid="{83DA6021-5E06-497B-9B27-EE15044E91B0}" name="Columna6960" dataDxfId="9452"/>
    <tableColumn id="6967" xr3:uid="{1BCF6DD6-C94F-4FAE-8DEA-B4F158E2EF9B}" name="Columna6961" dataDxfId="9451"/>
    <tableColumn id="6968" xr3:uid="{02BBB3B8-E933-4876-ABBC-DE1F50A79929}" name="Columna6962" dataDxfId="9450"/>
    <tableColumn id="6969" xr3:uid="{1CE8C943-47F1-4E1D-BF84-0A4AC2865461}" name="Columna6963" dataDxfId="9449"/>
    <tableColumn id="6970" xr3:uid="{8B6F2E9E-7AEF-43FC-BDD7-CF5A09DC10A7}" name="Columna6964" dataDxfId="9448"/>
    <tableColumn id="6971" xr3:uid="{CF39DF84-132B-45DA-8583-038D09CDA7C5}" name="Columna6965" dataDxfId="9447"/>
    <tableColumn id="6972" xr3:uid="{78519104-0C60-46B7-8B7D-051E5726EDD8}" name="Columna6966" dataDxfId="9446"/>
    <tableColumn id="6973" xr3:uid="{2D4BDE2D-8BEE-41F9-911B-7B86960166FA}" name="Columna6967" dataDxfId="9445"/>
    <tableColumn id="6974" xr3:uid="{06C09A64-2279-4138-B357-A4FE40359D19}" name="Columna6968" dataDxfId="9444"/>
    <tableColumn id="6975" xr3:uid="{27E0042E-5C14-4D13-8650-35D0F53C2C08}" name="Columna6969" dataDxfId="9443"/>
    <tableColumn id="6976" xr3:uid="{99391F38-A10E-4B3A-93D0-4D87DF07B054}" name="Columna6970" dataDxfId="9442"/>
    <tableColumn id="6977" xr3:uid="{A0653766-6F75-49DF-BD84-AAA9A235A642}" name="Columna6971" dataDxfId="9441"/>
    <tableColumn id="6978" xr3:uid="{359BD6DE-9960-4604-B0A1-8FC51B35CB5D}" name="Columna6972" dataDxfId="9440"/>
    <tableColumn id="6979" xr3:uid="{E0C2AE2E-7665-4307-B9AA-3000D87870D6}" name="Columna6973" dataDxfId="9439"/>
    <tableColumn id="6980" xr3:uid="{48C5AD86-7C64-4020-891D-7799FAEA5EA7}" name="Columna6974" dataDxfId="9438"/>
    <tableColumn id="6981" xr3:uid="{BF4461A5-B9C0-4407-A878-C27FA3AA797D}" name="Columna6975" dataDxfId="9437"/>
    <tableColumn id="6982" xr3:uid="{3AF5117F-DFEB-44C5-9DB1-1A5B759A9F50}" name="Columna6976" dataDxfId="9436"/>
    <tableColumn id="6983" xr3:uid="{7E0122E1-349E-4B8C-B1A6-AE53923F95AC}" name="Columna6977" dataDxfId="9435"/>
    <tableColumn id="6984" xr3:uid="{DD07200C-DAB2-4351-ABA4-3534DBD7D735}" name="Columna6978" dataDxfId="9434"/>
    <tableColumn id="6985" xr3:uid="{5623558B-895B-4001-9E35-89C8EB83196C}" name="Columna6979" dataDxfId="9433"/>
    <tableColumn id="6986" xr3:uid="{E9BE8637-7432-4A3C-88B8-5D021C87FBE7}" name="Columna6980" dataDxfId="9432"/>
    <tableColumn id="6987" xr3:uid="{D7936CD6-887F-4645-9CFF-8017A945368B}" name="Columna6981" dataDxfId="9431"/>
    <tableColumn id="6988" xr3:uid="{F4392BA6-92E8-45EB-9B19-7DBB08EF11CD}" name="Columna6982" dataDxfId="9430"/>
    <tableColumn id="6989" xr3:uid="{7F5A479D-E83D-47A2-A046-0A671DC58B50}" name="Columna6983" dataDxfId="9429"/>
    <tableColumn id="6990" xr3:uid="{7B9719C4-EA57-4E19-9130-E0E5CA6B228D}" name="Columna6984" dataDxfId="9428"/>
    <tableColumn id="6991" xr3:uid="{97C1BC52-763C-49E8-B302-51986012CA8B}" name="Columna6985" dataDxfId="9427"/>
    <tableColumn id="6992" xr3:uid="{08A8DBA2-2AAE-4982-9184-C0E52246ABAC}" name="Columna6986" dataDxfId="9426"/>
    <tableColumn id="6993" xr3:uid="{D3154757-7381-4709-B34D-F4C3AC65EB48}" name="Columna6987" dataDxfId="9425"/>
    <tableColumn id="6994" xr3:uid="{86DDE3BE-FCBF-4DC9-AB43-A9B086E1E639}" name="Columna6988" dataDxfId="9424"/>
    <tableColumn id="6995" xr3:uid="{BECAD11C-12D0-46A3-BF83-7511DAD7B63E}" name="Columna6989" dataDxfId="9423"/>
    <tableColumn id="6996" xr3:uid="{228AA7A6-0336-459D-994E-22439E10653C}" name="Columna6990" dataDxfId="9422"/>
    <tableColumn id="6997" xr3:uid="{5854B2CF-29A0-4D36-A227-BF91CA6E1ABA}" name="Columna6991" dataDxfId="9421"/>
    <tableColumn id="6998" xr3:uid="{928BA8E8-3C96-4290-8005-3C85BBD8D0F4}" name="Columna6992" dataDxfId="9420"/>
    <tableColumn id="6999" xr3:uid="{12B2580B-5D43-46E5-AF56-6C39FC234CAC}" name="Columna6993" dataDxfId="9419"/>
    <tableColumn id="7000" xr3:uid="{8D5D504B-BF87-4E48-A822-29CD8556B54A}" name="Columna6994" dataDxfId="9418"/>
    <tableColumn id="7001" xr3:uid="{EFCFC0B9-099A-4990-AF96-79183FB84623}" name="Columna6995" dataDxfId="9417"/>
    <tableColumn id="7002" xr3:uid="{9B4EBEC6-E187-4AFE-8865-8C6F1156D2AC}" name="Columna6996" dataDxfId="9416"/>
    <tableColumn id="7003" xr3:uid="{C6B148B0-E80E-4951-AAFE-AD168F9EC04A}" name="Columna6997" dataDxfId="9415"/>
    <tableColumn id="7004" xr3:uid="{4399E3D6-A119-4FFD-BABF-00B88E09E7ED}" name="Columna6998" dataDxfId="9414"/>
    <tableColumn id="7005" xr3:uid="{DE081BF9-7737-48B6-97F1-60121DB17659}" name="Columna6999" dataDxfId="9413"/>
    <tableColumn id="7006" xr3:uid="{41FF9BE7-F701-4ED8-A487-28FBE67B5DD7}" name="Columna7000" dataDxfId="9412"/>
    <tableColumn id="7007" xr3:uid="{3E661567-B219-4900-972A-4EDE8459CB6D}" name="Columna7001" dataDxfId="9411"/>
    <tableColumn id="7008" xr3:uid="{0A0BEC3A-AF43-47F2-A755-599C1ACC4C60}" name="Columna7002" dataDxfId="9410"/>
    <tableColumn id="7009" xr3:uid="{E1898DAD-F043-4370-85F6-1DFDFC17F202}" name="Columna7003" dataDxfId="9409"/>
    <tableColumn id="7010" xr3:uid="{D547D8AD-7EF2-43D6-8622-8D82329F350D}" name="Columna7004" dataDxfId="9408"/>
    <tableColumn id="7011" xr3:uid="{99DF69D9-13FB-490D-8D91-31897199FC06}" name="Columna7005" dataDxfId="9407"/>
    <tableColumn id="7012" xr3:uid="{375CE35D-0C89-49EF-BB68-12C744948673}" name="Columna7006" dataDxfId="9406"/>
    <tableColumn id="7013" xr3:uid="{EFFA4CB2-FD8F-4DB4-990D-D646CC8FDC8A}" name="Columna7007" dataDxfId="9405"/>
    <tableColumn id="7014" xr3:uid="{AEA2034F-2B0E-4951-AD1A-1085C4678159}" name="Columna7008" dataDxfId="9404"/>
    <tableColumn id="7015" xr3:uid="{1346D778-7A68-48AD-8BA7-6FB5A638F231}" name="Columna7009" dataDxfId="9403"/>
    <tableColumn id="7016" xr3:uid="{1240A566-94DC-47CD-99E7-AE615E6069C3}" name="Columna7010" dataDxfId="9402"/>
    <tableColumn id="7017" xr3:uid="{39C67528-37F2-49E7-ADBC-1C3D831A6AB6}" name="Columna7011" dataDxfId="9401"/>
    <tableColumn id="7018" xr3:uid="{4C4F2069-57C0-4C8C-99DB-9083638E786E}" name="Columna7012" dataDxfId="9400"/>
    <tableColumn id="7019" xr3:uid="{38A6E4AB-167A-4EDB-B5A3-FE83CAC0097D}" name="Columna7013" dataDxfId="9399"/>
    <tableColumn id="7020" xr3:uid="{5CFE2B5A-DEBD-4DF7-A53C-6E0E09CFFE64}" name="Columna7014" dataDxfId="9398"/>
    <tableColumn id="7021" xr3:uid="{7240B4F3-6977-4F3B-B7FC-CCCDCEBC42AD}" name="Columna7015" dataDxfId="9397"/>
    <tableColumn id="7022" xr3:uid="{6172088F-3002-44C5-91DB-B3002E5E7F1A}" name="Columna7016" dataDxfId="9396"/>
    <tableColumn id="7023" xr3:uid="{136F6269-5C8F-46A7-83AF-2971BCFB6BCC}" name="Columna7017" dataDxfId="9395"/>
    <tableColumn id="7024" xr3:uid="{D43D73D0-C629-4BD8-8B9C-D13B08A1B750}" name="Columna7018" dataDxfId="9394"/>
    <tableColumn id="7025" xr3:uid="{5FB1A065-03BE-442C-9571-769274D847AC}" name="Columna7019" dataDxfId="9393"/>
    <tableColumn id="7026" xr3:uid="{DFC08F56-1B0D-4917-ACE8-FE3D770CB6DE}" name="Columna7020" dataDxfId="9392"/>
    <tableColumn id="7027" xr3:uid="{718AD962-CD23-4BC8-AD2E-ADB07AFA3A5A}" name="Columna7021" dataDxfId="9391"/>
    <tableColumn id="7028" xr3:uid="{38966ABF-E5BE-4C25-8DFE-E7D78F9387E2}" name="Columna7022" dataDxfId="9390"/>
    <tableColumn id="7029" xr3:uid="{71AB532A-30FE-41C6-81BE-052F56213892}" name="Columna7023" dataDxfId="9389"/>
    <tableColumn id="7030" xr3:uid="{78D1BEFC-5041-40D2-8F45-6560FE15CA12}" name="Columna7024" dataDxfId="9388"/>
    <tableColumn id="7031" xr3:uid="{854C498C-9281-4DEB-BE41-4B9BDFC25C66}" name="Columna7025" dataDxfId="9387"/>
    <tableColumn id="7032" xr3:uid="{E013AC66-7085-41C1-9B6C-7F401A653E69}" name="Columna7026" dataDxfId="9386"/>
    <tableColumn id="7033" xr3:uid="{4567F3A9-FAD1-4353-9A3F-604F322046B5}" name="Columna7027" dataDxfId="9385"/>
    <tableColumn id="7034" xr3:uid="{79CC03B3-34B3-434B-B8C7-2E97FFEFA358}" name="Columna7028" dataDxfId="9384"/>
    <tableColumn id="7035" xr3:uid="{E2587DEE-6D37-4218-8DC4-87395E4F8E9A}" name="Columna7029" dataDxfId="9383"/>
    <tableColumn id="7036" xr3:uid="{DAC1B9A9-E5CC-41DC-9CE6-C13EDF79F960}" name="Columna7030" dataDxfId="9382"/>
    <tableColumn id="7037" xr3:uid="{199CD5B0-048A-4A57-8831-37CA084ECDA9}" name="Columna7031" dataDxfId="9381"/>
    <tableColumn id="7038" xr3:uid="{F0A4A4B6-7F0C-46F4-AB8F-CBEE8AC5FF22}" name="Columna7032" dataDxfId="9380"/>
    <tableColumn id="7039" xr3:uid="{082C5323-C116-4B9A-890A-F145C85BB073}" name="Columna7033" dataDxfId="9379"/>
    <tableColumn id="7040" xr3:uid="{8AF78C23-429D-4C02-9047-357B3E817A43}" name="Columna7034" dataDxfId="9378"/>
    <tableColumn id="7041" xr3:uid="{1368134A-1E01-4235-9BB4-D6327F906C00}" name="Columna7035" dataDxfId="9377"/>
    <tableColumn id="7042" xr3:uid="{611968E9-0C82-4E1A-9CEF-E03FF4A5D8E5}" name="Columna7036" dataDxfId="9376"/>
    <tableColumn id="7043" xr3:uid="{A06379EC-4C3F-440A-AE63-7DEAFE618708}" name="Columna7037" dataDxfId="9375"/>
    <tableColumn id="7044" xr3:uid="{B1096E15-3CB7-41EE-ADC4-1EF11EE86ED5}" name="Columna7038" dataDxfId="9374"/>
    <tableColumn id="7045" xr3:uid="{2D622DD2-5E01-4239-B9B4-F83F645CC42F}" name="Columna7039" dataDxfId="9373"/>
    <tableColumn id="7046" xr3:uid="{6CD35D77-AF1A-4C01-B007-13E030948C74}" name="Columna7040" dataDxfId="9372"/>
    <tableColumn id="7047" xr3:uid="{850B81CE-242F-4EAB-A11A-2BE6A7A8E6F1}" name="Columna7041" dataDxfId="9371"/>
    <tableColumn id="7048" xr3:uid="{6A10F016-FA8C-4A0D-9863-35232C90EF01}" name="Columna7042" dataDxfId="9370"/>
    <tableColumn id="7049" xr3:uid="{61BC0BD6-AF41-4E45-BA51-126B4B755D90}" name="Columna7043" dataDxfId="9369"/>
    <tableColumn id="7050" xr3:uid="{FFFDC22B-2802-421C-BADA-552087EEC901}" name="Columna7044" dataDxfId="9368"/>
    <tableColumn id="7051" xr3:uid="{13111762-9DC1-434C-83DF-99810131BF66}" name="Columna7045" dataDxfId="9367"/>
    <tableColumn id="7052" xr3:uid="{BEA99924-A558-486B-98C9-439306090262}" name="Columna7046" dataDxfId="9366"/>
    <tableColumn id="7053" xr3:uid="{8B275AFC-4998-47D0-BB46-0B787D94B14D}" name="Columna7047" dataDxfId="9365"/>
    <tableColumn id="7054" xr3:uid="{80620DAA-6EAF-443B-9702-93D44E798B92}" name="Columna7048" dataDxfId="9364"/>
    <tableColumn id="7055" xr3:uid="{D2E775A1-FB6E-49CC-B4EA-8BA9C16228FC}" name="Columna7049" dataDxfId="9363"/>
    <tableColumn id="7056" xr3:uid="{A404DCA7-9326-4AE4-9DD8-61492E34F19A}" name="Columna7050" dataDxfId="9362"/>
    <tableColumn id="7057" xr3:uid="{8BC5DAF1-B8F8-4481-B324-D8763726A135}" name="Columna7051" dataDxfId="9361"/>
    <tableColumn id="7058" xr3:uid="{CF0C1921-E377-4C55-9EC5-22A6A3856C1D}" name="Columna7052" dataDxfId="9360"/>
    <tableColumn id="7059" xr3:uid="{48B56B0B-C6BC-4629-8E31-6C11852B5D5E}" name="Columna7053" dataDxfId="9359"/>
    <tableColumn id="7060" xr3:uid="{C7A3C17B-7C61-40CE-8698-EFF24BE40767}" name="Columna7054" dataDxfId="9358"/>
    <tableColumn id="7061" xr3:uid="{81CFB071-AB3C-40C9-B506-772D4C46BBD0}" name="Columna7055" dataDxfId="9357"/>
    <tableColumn id="7062" xr3:uid="{F019DDE4-5B4D-4C31-909B-8BD3A2413B08}" name="Columna7056" dataDxfId="9356"/>
    <tableColumn id="7063" xr3:uid="{7614E85C-9D80-4462-9567-0F1918E1E699}" name="Columna7057" dataDxfId="9355"/>
    <tableColumn id="7064" xr3:uid="{2221AC1A-C812-4BC4-ABE8-1740C5C9E53F}" name="Columna7058" dataDxfId="9354"/>
    <tableColumn id="7065" xr3:uid="{BE51A1CD-C40A-4461-97CE-AAAFF4042E91}" name="Columna7059" dataDxfId="9353"/>
    <tableColumn id="7066" xr3:uid="{1E3DDA35-EA35-44BA-8D67-C8ACEE42A64E}" name="Columna7060" dataDxfId="9352"/>
    <tableColumn id="7067" xr3:uid="{831E0795-C1C4-4612-AFD8-4BBBA882BE63}" name="Columna7061" dataDxfId="9351"/>
    <tableColumn id="7068" xr3:uid="{6ACAECAB-F6D7-4E17-B6C7-19AC2D6E9990}" name="Columna7062" dataDxfId="9350"/>
    <tableColumn id="7069" xr3:uid="{4DBE8B48-9675-417C-BF54-84D76A453BF7}" name="Columna7063" dataDxfId="9349"/>
    <tableColumn id="7070" xr3:uid="{881C92A0-398E-4CFD-B045-803E5E5DE8E9}" name="Columna7064" dataDxfId="9348"/>
    <tableColumn id="7071" xr3:uid="{01D5033D-F0E0-47C8-B145-1BA0140CB897}" name="Columna7065" dataDxfId="9347"/>
    <tableColumn id="7072" xr3:uid="{F34DA67C-5940-47BE-BFB5-8769268FBD79}" name="Columna7066" dataDxfId="9346"/>
    <tableColumn id="7073" xr3:uid="{87972E88-9792-444D-A4C9-07BB355DEB12}" name="Columna7067" dataDxfId="9345"/>
    <tableColumn id="7074" xr3:uid="{5C53A6E9-BC95-4F6F-ACE0-CD129CBCAC7B}" name="Columna7068" dataDxfId="9344"/>
    <tableColumn id="7075" xr3:uid="{68EE2C79-2C79-463B-96B4-136EEE959A40}" name="Columna7069" dataDxfId="9343"/>
    <tableColumn id="7076" xr3:uid="{BA214381-1CA9-4008-ACD5-A16AA6D8ECBD}" name="Columna7070" dataDxfId="9342"/>
    <tableColumn id="7077" xr3:uid="{E3F66F90-2881-49FB-B878-1848A828F417}" name="Columna7071" dataDxfId="9341"/>
    <tableColumn id="7078" xr3:uid="{028CB436-CCFD-4FBA-9A12-81B85336707A}" name="Columna7072" dataDxfId="9340"/>
    <tableColumn id="7079" xr3:uid="{8A9BACB0-81FC-4D84-B8D3-DC7A6AA47A8D}" name="Columna7073" dataDxfId="9339"/>
    <tableColumn id="7080" xr3:uid="{C15D1609-A6D5-4380-A15F-9132E50CCB18}" name="Columna7074" dataDxfId="9338"/>
    <tableColumn id="7081" xr3:uid="{814E6225-0E26-4013-8E05-A08590D932FB}" name="Columna7075" dataDxfId="9337"/>
    <tableColumn id="7082" xr3:uid="{28374572-BAA6-4C3F-90E4-2B77D8C83FCC}" name="Columna7076" dataDxfId="9336"/>
    <tableColumn id="7083" xr3:uid="{751ED331-F6AA-4735-9D28-C14B2C2B65AF}" name="Columna7077" dataDxfId="9335"/>
    <tableColumn id="7084" xr3:uid="{48857482-0861-4E78-BEED-927DD5DC33D5}" name="Columna7078" dataDxfId="9334"/>
    <tableColumn id="7085" xr3:uid="{32BF40E5-8D0C-4F0D-9C6E-A1A419CCF276}" name="Columna7079" dataDxfId="9333"/>
    <tableColumn id="7086" xr3:uid="{8AC75D9D-BB3B-4FC5-933F-EAF0D4D7E7F1}" name="Columna7080" dataDxfId="9332"/>
    <tableColumn id="7087" xr3:uid="{806373DE-6503-473A-BB2D-AAF69F77D022}" name="Columna7081" dataDxfId="9331"/>
    <tableColumn id="7088" xr3:uid="{6026A94F-FC14-472E-A8B8-6F7DE08CFF43}" name="Columna7082" dataDxfId="9330"/>
    <tableColumn id="7089" xr3:uid="{083071AA-B2EF-4511-8641-7550D3AD8BE0}" name="Columna7083" dataDxfId="9329"/>
    <tableColumn id="7090" xr3:uid="{632558E3-A195-45A2-BC65-A9CCD754CDCB}" name="Columna7084" dataDxfId="9328"/>
    <tableColumn id="7091" xr3:uid="{0AC7225E-6EC4-41FE-AB55-C3B0C483B834}" name="Columna7085" dataDxfId="9327"/>
    <tableColumn id="7092" xr3:uid="{37FF56EC-B4B6-4CDD-BACB-DC98EEE8DC6C}" name="Columna7086" dataDxfId="9326"/>
    <tableColumn id="7093" xr3:uid="{D3199FDA-05BD-495B-8683-88DBE97D8286}" name="Columna7087" dataDxfId="9325"/>
    <tableColumn id="7094" xr3:uid="{6DFDBAAD-B09C-4EEB-A4D1-87FD42E5DA51}" name="Columna7088" dataDxfId="9324"/>
    <tableColumn id="7095" xr3:uid="{2F081D3B-20B3-440A-8BBD-FA26CEA804FB}" name="Columna7089" dataDxfId="9323"/>
    <tableColumn id="7096" xr3:uid="{5AEDB8E9-940D-4D18-8A8F-260BA6146EF0}" name="Columna7090" dataDxfId="9322"/>
    <tableColumn id="7097" xr3:uid="{B1457911-1DBB-4C01-8432-73B7564FA18A}" name="Columna7091" dataDxfId="9321"/>
    <tableColumn id="7098" xr3:uid="{8BAFE817-E832-4C51-8398-2C37DB277CCD}" name="Columna7092" dataDxfId="9320"/>
    <tableColumn id="7099" xr3:uid="{B2B9F63C-EC7F-412A-AC6A-A01A5F5A09B5}" name="Columna7093" dataDxfId="9319"/>
    <tableColumn id="7100" xr3:uid="{9DD02591-D3AC-4176-BC1C-00B0CD524690}" name="Columna7094" dataDxfId="9318"/>
    <tableColumn id="7101" xr3:uid="{086CA231-E83A-4AFC-98F1-A41A8CA5074C}" name="Columna7095" dataDxfId="9317"/>
    <tableColumn id="7102" xr3:uid="{7F2F557E-212B-4242-B3DE-CF882BBBEC65}" name="Columna7096" dataDxfId="9316"/>
    <tableColumn id="7103" xr3:uid="{94B12C02-E2B6-4D9C-8CE1-5C2BA945008E}" name="Columna7097" dataDxfId="9315"/>
    <tableColumn id="7104" xr3:uid="{1268932F-78AA-4E47-8389-54F48EA4CEDA}" name="Columna7098" dataDxfId="9314"/>
    <tableColumn id="7105" xr3:uid="{2B2EC339-16B3-4C70-8E67-5A484885A690}" name="Columna7099" dataDxfId="9313"/>
    <tableColumn id="7106" xr3:uid="{8E056B28-5979-40DD-B71C-604210E85AE5}" name="Columna7100" dataDxfId="9312"/>
    <tableColumn id="7107" xr3:uid="{C4853004-9B30-49F3-8E4C-D5556AB0A0F8}" name="Columna7101" dataDxfId="9311"/>
    <tableColumn id="7108" xr3:uid="{E1A12763-CECD-46FE-A088-9A42E1417EAB}" name="Columna7102" dataDxfId="9310"/>
    <tableColumn id="7109" xr3:uid="{41D8E514-BD0E-4D39-822B-B59F997A937E}" name="Columna7103" dataDxfId="9309"/>
    <tableColumn id="7110" xr3:uid="{4010DC71-62A1-4222-9C93-383AD1A1D7AA}" name="Columna7104" dataDxfId="9308"/>
    <tableColumn id="7111" xr3:uid="{9D558E22-EE44-4AB1-A4F6-C7A070848786}" name="Columna7105" dataDxfId="9307"/>
    <tableColumn id="7112" xr3:uid="{E73D022C-3DDC-4C70-B98A-A83DB79D094C}" name="Columna7106" dataDxfId="9306"/>
    <tableColumn id="7113" xr3:uid="{9F2A2421-63F5-4882-9AB8-E37802F10308}" name="Columna7107" dataDxfId="9305"/>
    <tableColumn id="7114" xr3:uid="{1980500E-5984-48F2-855B-DBFA56D07C53}" name="Columna7108" dataDxfId="9304"/>
    <tableColumn id="7115" xr3:uid="{BBB55464-CC2C-4AAC-9448-29EC112EF6EA}" name="Columna7109" dataDxfId="9303"/>
    <tableColumn id="7116" xr3:uid="{CE1E73B2-418B-426D-9E85-20A7FE0F8346}" name="Columna7110" dataDxfId="9302"/>
    <tableColumn id="7117" xr3:uid="{151007E2-F2B9-4680-AD0A-C34E74395DE1}" name="Columna7111" dataDxfId="9301"/>
    <tableColumn id="7118" xr3:uid="{46D04191-5C25-4E7D-B661-ACB9A311500C}" name="Columna7112" dataDxfId="9300"/>
    <tableColumn id="7119" xr3:uid="{C74060C9-C4F9-433D-9F79-84467AE84EC9}" name="Columna7113" dataDxfId="9299"/>
    <tableColumn id="7120" xr3:uid="{515B4D58-0BF2-4717-9EC0-C0BE33328697}" name="Columna7114" dataDxfId="9298"/>
    <tableColumn id="7121" xr3:uid="{1A187C9A-BDF1-44ED-87F0-8D6C2B1DDB8D}" name="Columna7115" dataDxfId="9297"/>
    <tableColumn id="7122" xr3:uid="{B6597ACE-54E2-41E1-A8AD-4A34B6D62068}" name="Columna7116" dataDxfId="9296"/>
    <tableColumn id="7123" xr3:uid="{FFB05C18-D67F-41F7-AEE6-9343A7A1C9D1}" name="Columna7117" dataDxfId="9295"/>
    <tableColumn id="7124" xr3:uid="{B8ADA170-29C2-4032-A583-164E344E5B3C}" name="Columna7118" dataDxfId="9294"/>
    <tableColumn id="7125" xr3:uid="{46ADA736-6619-4A63-8CFE-26C865BCEDDF}" name="Columna7119" dataDxfId="9293"/>
    <tableColumn id="7126" xr3:uid="{4C03F4A8-C8FB-460A-8042-961FC172F2F1}" name="Columna7120" dataDxfId="9292"/>
    <tableColumn id="7127" xr3:uid="{651EA0F2-C36D-462B-BBAF-E76F0F7EA31F}" name="Columna7121" dataDxfId="9291"/>
    <tableColumn id="7128" xr3:uid="{4F2BA200-1692-468A-B9E9-37787855F8BB}" name="Columna7122" dataDxfId="9290"/>
    <tableColumn id="7129" xr3:uid="{69C41F90-0628-40FA-B509-CE17FCCFF74F}" name="Columna7123" dataDxfId="9289"/>
    <tableColumn id="7130" xr3:uid="{B16B1246-766B-4032-969E-1ADFCED308D9}" name="Columna7124" dataDxfId="9288"/>
    <tableColumn id="7131" xr3:uid="{2742EC3D-4DE5-4CCF-828A-B8938EC7DD86}" name="Columna7125" dataDxfId="9287"/>
    <tableColumn id="7132" xr3:uid="{47735482-9100-495B-AAD7-1A39C9222054}" name="Columna7126" dataDxfId="9286"/>
    <tableColumn id="7133" xr3:uid="{C869620A-1A53-4714-8276-7E68E0CB5F8A}" name="Columna7127" dataDxfId="9285"/>
    <tableColumn id="7134" xr3:uid="{EF5FA9B7-24D0-4EA4-A1C5-23F8546A68E8}" name="Columna7128" dataDxfId="9284"/>
    <tableColumn id="7135" xr3:uid="{D44FE83E-9376-426B-B99E-1B50D580C291}" name="Columna7129" dataDxfId="9283"/>
    <tableColumn id="7136" xr3:uid="{D41BBB17-EB18-4545-B5FC-67662644F70F}" name="Columna7130" dataDxfId="9282"/>
    <tableColumn id="7137" xr3:uid="{C2C16B8A-8184-4594-843C-7AFE796C0355}" name="Columna7131" dataDxfId="9281"/>
    <tableColumn id="7138" xr3:uid="{2F747DDC-60C5-480E-BA8D-C15C49628316}" name="Columna7132" dataDxfId="9280"/>
    <tableColumn id="7139" xr3:uid="{B5A2F887-AB92-4406-80F8-FD22A863ADF0}" name="Columna7133" dataDxfId="9279"/>
    <tableColumn id="7140" xr3:uid="{D6C158F4-3293-436E-9085-3843FD5629D9}" name="Columna7134" dataDxfId="9278"/>
    <tableColumn id="7141" xr3:uid="{9AA72D51-82E8-4371-854A-19580E1F2984}" name="Columna7135" dataDxfId="9277"/>
    <tableColumn id="7142" xr3:uid="{E3EEBEE4-984C-4503-9697-871DE6739789}" name="Columna7136" dataDxfId="9276"/>
    <tableColumn id="7143" xr3:uid="{7A068508-FE48-4319-9B81-F405650373D6}" name="Columna7137" dataDxfId="9275"/>
    <tableColumn id="7144" xr3:uid="{71E660D5-7B76-4619-BC53-7027312A2CF2}" name="Columna7138" dataDxfId="9274"/>
    <tableColumn id="7145" xr3:uid="{8863D51E-F1EC-4586-8ED5-041BF9D4AF77}" name="Columna7139" dataDxfId="9273"/>
    <tableColumn id="7146" xr3:uid="{638B8C2A-A8A5-42EE-8A73-EA09958AAC41}" name="Columna7140" dataDxfId="9272"/>
    <tableColumn id="7147" xr3:uid="{E8748ED8-5696-4B7F-A727-F5F175E7FBE3}" name="Columna7141" dataDxfId="9271"/>
    <tableColumn id="7148" xr3:uid="{C928C013-4B6F-4BAD-ADD9-05AAFD3A681B}" name="Columna7142" dataDxfId="9270"/>
    <tableColumn id="7149" xr3:uid="{A9DC9831-503C-4F17-B3A6-26C9B3386846}" name="Columna7143" dataDxfId="9269"/>
    <tableColumn id="7150" xr3:uid="{CE7BCE83-E344-4A79-B469-DF22806090D1}" name="Columna7144" dataDxfId="9268"/>
    <tableColumn id="7151" xr3:uid="{3595C233-5646-410E-BBD9-C3268844D65F}" name="Columna7145" dataDxfId="9267"/>
    <tableColumn id="7152" xr3:uid="{96CF80EF-03E1-4EBB-9614-ED30EFEA84BD}" name="Columna7146" dataDxfId="9266"/>
    <tableColumn id="7153" xr3:uid="{793ED38C-EC16-4FBF-9E5A-5172D3E54474}" name="Columna7147" dataDxfId="9265"/>
    <tableColumn id="7154" xr3:uid="{548777DE-3AE6-430D-8CF4-ACCFC65712A1}" name="Columna7148" dataDxfId="9264"/>
    <tableColumn id="7155" xr3:uid="{76E7C721-EA81-4842-A55F-B18D0BC010CC}" name="Columna7149" dataDxfId="9263"/>
    <tableColumn id="7156" xr3:uid="{FF83D54B-555A-4AD0-8574-2431DEDDE2EC}" name="Columna7150" dataDxfId="9262"/>
    <tableColumn id="7157" xr3:uid="{E7D6A639-22FC-4395-819E-8C8B2E976E20}" name="Columna7151" dataDxfId="9261"/>
    <tableColumn id="7158" xr3:uid="{7D510BB1-32F3-4DD7-8844-0AA11FFD3414}" name="Columna7152" dataDxfId="9260"/>
    <tableColumn id="7159" xr3:uid="{34EE47B5-CBD7-45B2-844D-2053C15BA4C7}" name="Columna7153" dataDxfId="9259"/>
    <tableColumn id="7160" xr3:uid="{D6C313D2-422C-436E-AB2A-EAE427C1D0DA}" name="Columna7154" dataDxfId="9258"/>
    <tableColumn id="7161" xr3:uid="{A19EDCAE-F5B5-401C-AE48-A8891139C58C}" name="Columna7155" dataDxfId="9257"/>
    <tableColumn id="7162" xr3:uid="{497DDC60-A075-4A52-AD68-3F8520DE183A}" name="Columna7156" dataDxfId="9256"/>
    <tableColumn id="7163" xr3:uid="{92AB358F-41F3-4960-8909-B1222C1E1DC4}" name="Columna7157" dataDxfId="9255"/>
    <tableColumn id="7164" xr3:uid="{522FEEF1-97D7-4D45-82AF-B8EBAC5F7F38}" name="Columna7158" dataDxfId="9254"/>
    <tableColumn id="7165" xr3:uid="{2A069E07-8095-47C8-97D5-681578B50EF7}" name="Columna7159" dataDxfId="9253"/>
    <tableColumn id="7166" xr3:uid="{6DF1DAFF-7DD7-47D1-AF59-F8960DD2DDEE}" name="Columna7160" dataDxfId="9252"/>
    <tableColumn id="7167" xr3:uid="{4349086D-AE42-44A1-A890-64E97C427517}" name="Columna7161" dataDxfId="9251"/>
    <tableColumn id="7168" xr3:uid="{73E0038A-49E6-4C2C-884A-A588794251B8}" name="Columna7162" dataDxfId="9250"/>
    <tableColumn id="7169" xr3:uid="{BC7759A5-1537-4D6B-85D9-48D8EDA7F8C0}" name="Columna7163" dataDxfId="9249"/>
    <tableColumn id="7170" xr3:uid="{24EBE6B8-7CA3-442C-8A7D-38E3836A4BD6}" name="Columna7164" dataDxfId="9248"/>
    <tableColumn id="7171" xr3:uid="{7C817ECF-5F9D-4E88-8987-4142E5D91D9E}" name="Columna7165" dataDxfId="9247"/>
    <tableColumn id="7172" xr3:uid="{AE2E2954-B308-473B-918A-5C377B242C50}" name="Columna7166" dataDxfId="9246"/>
    <tableColumn id="7173" xr3:uid="{4E6AC5ED-A29F-4667-8EDE-4F508249FA4D}" name="Columna7167" dataDxfId="9245"/>
    <tableColumn id="7174" xr3:uid="{153AE6EC-12DA-4CF4-AA00-9A76F4FB400E}" name="Columna7168" dataDxfId="9244"/>
    <tableColumn id="7175" xr3:uid="{80466320-5FB5-4A2B-9EF2-A4001072EC88}" name="Columna7169" dataDxfId="9243"/>
    <tableColumn id="7176" xr3:uid="{63D33F26-7F73-4846-AE62-F7BAB522FEE3}" name="Columna7170" dataDxfId="9242"/>
    <tableColumn id="7177" xr3:uid="{17510D94-1B3B-4524-B1E5-ED25B93B2B8A}" name="Columna7171" dataDxfId="9241"/>
    <tableColumn id="7178" xr3:uid="{FC772A62-D430-4E33-A7F4-CBCF4E32CB11}" name="Columna7172" dataDxfId="9240"/>
    <tableColumn id="7179" xr3:uid="{25F3887C-866A-4712-A6D7-C67A7A98399D}" name="Columna7173" dataDxfId="9239"/>
    <tableColumn id="7180" xr3:uid="{B90F79FD-3E01-4366-834D-EC248B2E76A9}" name="Columna7174" dataDxfId="9238"/>
    <tableColumn id="7181" xr3:uid="{918BFE2B-3487-47CC-96D8-32478672538A}" name="Columna7175" dataDxfId="9237"/>
    <tableColumn id="7182" xr3:uid="{7B2E515F-7C69-49E0-BF8F-4BC5252A78E5}" name="Columna7176" dataDxfId="9236"/>
    <tableColumn id="7183" xr3:uid="{0B7620CA-0266-4439-94DE-FB1F387E7399}" name="Columna7177" dataDxfId="9235"/>
    <tableColumn id="7184" xr3:uid="{3CF6CD34-E9BA-4FA7-8625-148F7DD8FAA2}" name="Columna7178" dataDxfId="9234"/>
    <tableColumn id="7185" xr3:uid="{C4C36C38-B497-4854-8795-2C37B908D6D4}" name="Columna7179" dataDxfId="9233"/>
    <tableColumn id="7186" xr3:uid="{1BE01C88-EE7F-460E-BB40-51A1BDA35BAD}" name="Columna7180" dataDxfId="9232"/>
    <tableColumn id="7187" xr3:uid="{56EE302C-589B-4C1E-9837-207A5B88851B}" name="Columna7181" dataDxfId="9231"/>
    <tableColumn id="7188" xr3:uid="{0E5A973A-28E6-4D4F-A99A-15BD34679029}" name="Columna7182" dataDxfId="9230"/>
    <tableColumn id="7189" xr3:uid="{03BB727B-B9A2-47CF-BDCF-B22AB74B46FD}" name="Columna7183" dataDxfId="9229"/>
    <tableColumn id="7190" xr3:uid="{4B4F4493-8F53-4983-A705-E9076F3C8702}" name="Columna7184" dataDxfId="9228"/>
    <tableColumn id="7191" xr3:uid="{12EEFE8D-9CD7-45AB-B307-E500222F8307}" name="Columna7185" dataDxfId="9227"/>
    <tableColumn id="7192" xr3:uid="{A4B705C4-7C3B-41E2-B4B2-A4CDD4B41CA3}" name="Columna7186" dataDxfId="9226"/>
    <tableColumn id="7193" xr3:uid="{F3A1D67A-3003-44CA-A376-70391908A713}" name="Columna7187" dataDxfId="9225"/>
    <tableColumn id="7194" xr3:uid="{0366058A-E386-4470-B65D-1EDEDF42B463}" name="Columna7188" dataDxfId="9224"/>
    <tableColumn id="7195" xr3:uid="{14E2FEE4-08F4-4E8C-AC39-CEE90DCAB25D}" name="Columna7189" dataDxfId="9223"/>
    <tableColumn id="7196" xr3:uid="{3AF4B5F2-10F8-4D12-98D3-DCA9B43285EA}" name="Columna7190" dataDxfId="9222"/>
    <tableColumn id="7197" xr3:uid="{6231EDB8-6C37-45C6-A6B8-F7D15B0D4A7C}" name="Columna7191" dataDxfId="9221"/>
    <tableColumn id="7198" xr3:uid="{AFD76EEF-5008-40CA-A466-2B93A4A76B8B}" name="Columna7192" dataDxfId="9220"/>
    <tableColumn id="7199" xr3:uid="{D27A2723-4087-4F17-9B60-09D6E31A97A4}" name="Columna7193" dataDxfId="9219"/>
    <tableColumn id="7200" xr3:uid="{E9FB81EF-525B-47FD-BC6D-62DEC4158AA1}" name="Columna7194" dataDxfId="9218"/>
    <tableColumn id="7201" xr3:uid="{DB44D47E-447C-4478-85F9-A5AF275D8DC4}" name="Columna7195" dataDxfId="9217"/>
    <tableColumn id="7202" xr3:uid="{9C30CABD-ACF1-4BEC-B26D-F481807CDB32}" name="Columna7196" dataDxfId="9216"/>
    <tableColumn id="7203" xr3:uid="{217D830E-FBCA-4F0C-8BAC-CD6926B1DC74}" name="Columna7197" dataDxfId="9215"/>
    <tableColumn id="7204" xr3:uid="{FD3631DA-52D1-44F3-AFE9-9CE84C6F8619}" name="Columna7198" dataDxfId="9214"/>
    <tableColumn id="7205" xr3:uid="{59AF0AFE-3AD5-4E24-9F79-007C12083114}" name="Columna7199" dataDxfId="9213"/>
    <tableColumn id="7206" xr3:uid="{D5CDE87E-40DE-47C6-9DB0-0DFBC9DC8178}" name="Columna7200" dataDxfId="9212"/>
    <tableColumn id="7207" xr3:uid="{1F195FAD-4BC5-4AEE-A6DF-A54AD3DCB99A}" name="Columna7201" dataDxfId="9211"/>
    <tableColumn id="7208" xr3:uid="{B05379CB-97E8-41FB-9891-84DB4687ECE8}" name="Columna7202" dataDxfId="9210"/>
    <tableColumn id="7209" xr3:uid="{DB8F3A70-086C-4BBF-A28D-14473EB02CAA}" name="Columna7203" dataDxfId="9209"/>
    <tableColumn id="7210" xr3:uid="{E736DC27-2ED5-4C7F-8D13-FDFAA9562AA8}" name="Columna7204" dataDxfId="9208"/>
    <tableColumn id="7211" xr3:uid="{C5D8098E-9DC9-4B17-B6CD-8EB29F3578A4}" name="Columna7205" dataDxfId="9207"/>
    <tableColumn id="7212" xr3:uid="{993432CF-813C-4B25-96FD-05FBD208326E}" name="Columna7206" dataDxfId="9206"/>
    <tableColumn id="7213" xr3:uid="{B96FDE7B-A0D6-4ADB-9D7F-F925A77C1496}" name="Columna7207" dataDxfId="9205"/>
    <tableColumn id="7214" xr3:uid="{2DC2E593-7968-4741-BC5F-CD7BF6AB9485}" name="Columna7208" dataDxfId="9204"/>
    <tableColumn id="7215" xr3:uid="{D39D68C4-2FF6-4CF8-B7AF-FAC45F87F2F8}" name="Columna7209" dataDxfId="9203"/>
    <tableColumn id="7216" xr3:uid="{F833A5C9-F8E4-437F-9F1F-455C5B9E6939}" name="Columna7210" dataDxfId="9202"/>
    <tableColumn id="7217" xr3:uid="{8E707D66-693A-486F-9FBD-294C903D94EC}" name="Columna7211" dataDxfId="9201"/>
    <tableColumn id="7218" xr3:uid="{92A2B8A0-13AE-45AA-AD51-D7EE65E957D8}" name="Columna7212" dataDxfId="9200"/>
    <tableColumn id="7219" xr3:uid="{D8F934A9-4D83-4B67-B94B-5759403171B5}" name="Columna7213" dataDxfId="9199"/>
    <tableColumn id="7220" xr3:uid="{07F64D2D-6FA3-48C4-8888-47BAFB26DF6E}" name="Columna7214" dataDxfId="9198"/>
    <tableColumn id="7221" xr3:uid="{AD3E5236-86A4-4922-B6B8-CA01D1356DFB}" name="Columna7215" dataDxfId="9197"/>
    <tableColumn id="7222" xr3:uid="{3E3D3386-2E75-45F2-8F33-BE1BA115555A}" name="Columna7216" dataDxfId="9196"/>
    <tableColumn id="7223" xr3:uid="{CE7FD33B-742F-459F-BF73-29EB7EDDA851}" name="Columna7217" dataDxfId="9195"/>
    <tableColumn id="7224" xr3:uid="{7AEDAB37-955D-4EA7-8B2C-7021EF6B1FE5}" name="Columna7218" dataDxfId="9194"/>
    <tableColumn id="7225" xr3:uid="{E1C91D19-1BA4-411F-BBEB-CE410D7C6011}" name="Columna7219" dataDxfId="9193"/>
    <tableColumn id="7226" xr3:uid="{519A2D60-522F-484C-9FB8-FDB46295C644}" name="Columna7220" dataDxfId="9192"/>
    <tableColumn id="7227" xr3:uid="{6CD1A4C7-4A5B-49B1-94C0-E4E9F6A061EE}" name="Columna7221" dataDxfId="9191"/>
    <tableColumn id="7228" xr3:uid="{AA3C372F-81C8-43DE-9CBF-658A480C4E2F}" name="Columna7222" dataDxfId="9190"/>
    <tableColumn id="7229" xr3:uid="{0DB7703D-640B-4888-9241-1489145794C4}" name="Columna7223" dataDxfId="9189"/>
    <tableColumn id="7230" xr3:uid="{F80ADF80-E260-4879-83A8-C21B157ACDEB}" name="Columna7224" dataDxfId="9188"/>
    <tableColumn id="7231" xr3:uid="{4AF0DB98-7B8D-4D6A-9ACA-3242F97DA735}" name="Columna7225" dataDxfId="9187"/>
    <tableColumn id="7232" xr3:uid="{D52F338F-24AA-4D88-BD75-930936BE505B}" name="Columna7226" dataDxfId="9186"/>
    <tableColumn id="7233" xr3:uid="{1D5E69B1-54DB-44A1-AEF6-92A4929DE2E7}" name="Columna7227" dataDxfId="9185"/>
    <tableColumn id="7234" xr3:uid="{679743F0-D811-41E3-8E37-6F9DB78BD3B7}" name="Columna7228" dataDxfId="9184"/>
    <tableColumn id="7235" xr3:uid="{C8E9164C-B6F0-4731-A47B-D3765EAE655A}" name="Columna7229" dataDxfId="9183"/>
    <tableColumn id="7236" xr3:uid="{5B52CB0B-84EF-4915-A7F6-DEFF0AB9E9A2}" name="Columna7230" dataDxfId="9182"/>
    <tableColumn id="7237" xr3:uid="{92FBC5C7-7C0F-4B79-8B35-8E71C4BDC672}" name="Columna7231" dataDxfId="9181"/>
    <tableColumn id="7238" xr3:uid="{86928442-AB17-4A57-90EA-7B188F9BF0AE}" name="Columna7232" dataDxfId="9180"/>
    <tableColumn id="7239" xr3:uid="{D6E7B58F-BB6F-4FC7-80BE-C0BDF6C5C057}" name="Columna7233" dataDxfId="9179"/>
    <tableColumn id="7240" xr3:uid="{080FB007-15E8-453B-B454-D3DF232AFABD}" name="Columna7234" dataDxfId="9178"/>
    <tableColumn id="7241" xr3:uid="{B3259AC0-EACA-48B2-A1AC-F5B8D7BBB7D3}" name="Columna7235" dataDxfId="9177"/>
    <tableColumn id="7242" xr3:uid="{BF379290-948B-4073-9597-9A9A216FA28A}" name="Columna7236" dataDxfId="9176"/>
    <tableColumn id="7243" xr3:uid="{4670E5FA-D317-49A5-981C-D95FAFAE08BE}" name="Columna7237" dataDxfId="9175"/>
    <tableColumn id="7244" xr3:uid="{92D59F38-4F94-4B6E-B532-09C618A0A6C1}" name="Columna7238" dataDxfId="9174"/>
    <tableColumn id="7245" xr3:uid="{783071D8-CE0B-46E0-9D8D-0F19CA8DB80B}" name="Columna7239" dataDxfId="9173"/>
    <tableColumn id="7246" xr3:uid="{3B613685-AE92-4DAD-AE45-75B8649AFE23}" name="Columna7240" dataDxfId="9172"/>
    <tableColumn id="7247" xr3:uid="{59617E7E-99C0-44D3-832E-BE8F32191975}" name="Columna7241" dataDxfId="9171"/>
    <tableColumn id="7248" xr3:uid="{B21BA74B-ACD7-4E67-B89A-60333FE89C26}" name="Columna7242" dataDxfId="9170"/>
    <tableColumn id="7249" xr3:uid="{F69DDF93-E09E-4B40-8114-16F1D598F06D}" name="Columna7243" dataDxfId="9169"/>
    <tableColumn id="7250" xr3:uid="{F6FF0D74-903A-4078-A693-A8B64C87C9D3}" name="Columna7244" dataDxfId="9168"/>
    <tableColumn id="7251" xr3:uid="{56F53E24-B167-4274-9723-D7254BD85E1B}" name="Columna7245" dataDxfId="9167"/>
    <tableColumn id="7252" xr3:uid="{53287614-F356-4DBC-8CBF-D15762A57921}" name="Columna7246" dataDxfId="9166"/>
    <tableColumn id="7253" xr3:uid="{583DD6CD-4D79-472E-9A65-1D6FE99CB62A}" name="Columna7247" dataDxfId="9165"/>
    <tableColumn id="7254" xr3:uid="{A00FF804-76CA-4531-B8CF-8857915B0EDC}" name="Columna7248" dataDxfId="9164"/>
    <tableColumn id="7255" xr3:uid="{B83ECC79-152D-4B03-BC2C-FA823F501A77}" name="Columna7249" dataDxfId="9163"/>
    <tableColumn id="7256" xr3:uid="{7444D576-F26A-4374-96E8-6CB320EFC806}" name="Columna7250" dataDxfId="9162"/>
    <tableColumn id="7257" xr3:uid="{4FC1E842-2128-4CD9-AA01-EFDE6D664EBB}" name="Columna7251" dataDxfId="9161"/>
    <tableColumn id="7258" xr3:uid="{FEEC6D04-A1A5-4C2C-9A40-E3D2FFD15DB3}" name="Columna7252" dataDxfId="9160"/>
    <tableColumn id="7259" xr3:uid="{009FB37D-3CB4-4EFA-9F85-D56E2063345F}" name="Columna7253" dataDxfId="9159"/>
    <tableColumn id="7260" xr3:uid="{1B06C6B0-C3B7-471B-9660-2FF323E3A58A}" name="Columna7254" dataDxfId="9158"/>
    <tableColumn id="7261" xr3:uid="{2DB16915-F6B7-4D79-A108-A4E52F748465}" name="Columna7255" dataDxfId="9157"/>
    <tableColumn id="7262" xr3:uid="{AC84318F-66E6-4132-BD21-1A7D7B7D1852}" name="Columna7256" dataDxfId="9156"/>
    <tableColumn id="7263" xr3:uid="{9BE8027C-52A6-4112-AA86-B99227B74FC0}" name="Columna7257" dataDxfId="9155"/>
    <tableColumn id="7264" xr3:uid="{47A0D54C-0336-4CF9-B517-FA3A41388135}" name="Columna7258" dataDxfId="9154"/>
    <tableColumn id="7265" xr3:uid="{627540BE-7E2F-4DB2-9623-4FB8B4A920D2}" name="Columna7259" dataDxfId="9153"/>
    <tableColumn id="7266" xr3:uid="{1DD88678-B9ED-4D7B-AE6A-650FBA8D57AB}" name="Columna7260" dataDxfId="9152"/>
    <tableColumn id="7267" xr3:uid="{FC61883A-B48A-47FE-8D8B-E88D160D3D0C}" name="Columna7261" dataDxfId="9151"/>
    <tableColumn id="7268" xr3:uid="{1CA82EF1-F544-464D-8B7C-E1D20267D637}" name="Columna7262" dataDxfId="9150"/>
    <tableColumn id="7269" xr3:uid="{2C321CB8-1341-4ACA-964D-D51DDADF1BA8}" name="Columna7263" dataDxfId="9149"/>
    <tableColumn id="7270" xr3:uid="{0E623892-118A-4143-86C0-8620C1000010}" name="Columna7264" dataDxfId="9148"/>
    <tableColumn id="7271" xr3:uid="{208ABAC5-E005-443B-B25A-3E5DA4E7F0CF}" name="Columna7265" dataDxfId="9147"/>
    <tableColumn id="7272" xr3:uid="{A8FAD377-A17A-4890-9B0C-A852CEA29AE3}" name="Columna7266" dataDxfId="9146"/>
    <tableColumn id="7273" xr3:uid="{250BF195-C5B1-4BAD-A07B-F5510A03A1DE}" name="Columna7267" dataDxfId="9145"/>
    <tableColumn id="7274" xr3:uid="{59301530-DD62-4FA4-BF08-34C4874F1FDA}" name="Columna7268" dataDxfId="9144"/>
    <tableColumn id="7275" xr3:uid="{90BC7DE6-2F2A-40BB-82A6-87D7262B67D1}" name="Columna7269" dataDxfId="9143"/>
    <tableColumn id="7276" xr3:uid="{7F878F6D-F468-45AE-859C-E60F5C3B2259}" name="Columna7270" dataDxfId="9142"/>
    <tableColumn id="7277" xr3:uid="{442C39B0-D02F-48D0-8420-B25EDDABFD2F}" name="Columna7271" dataDxfId="9141"/>
    <tableColumn id="7278" xr3:uid="{596D48A2-14F6-444C-8BA6-DBDC32446CDF}" name="Columna7272" dataDxfId="9140"/>
    <tableColumn id="7279" xr3:uid="{59780CD0-0A73-4D22-9E9C-91E5792B2338}" name="Columna7273" dataDxfId="9139"/>
    <tableColumn id="7280" xr3:uid="{99E8D56D-F493-42C2-997A-EE4166899019}" name="Columna7274" dataDxfId="9138"/>
    <tableColumn id="7281" xr3:uid="{B2088B63-AC71-4364-A2DA-DF4526A54C6D}" name="Columna7275" dataDxfId="9137"/>
    <tableColumn id="7282" xr3:uid="{63A6B0EF-DC8F-47EA-972E-D11D95231693}" name="Columna7276" dataDxfId="9136"/>
    <tableColumn id="7283" xr3:uid="{947CDEF4-4D47-4097-B82E-92A66906C04C}" name="Columna7277" dataDxfId="9135"/>
    <tableColumn id="7284" xr3:uid="{87568486-CF03-4E52-B964-A17C8D53A6C9}" name="Columna7278" dataDxfId="9134"/>
    <tableColumn id="7285" xr3:uid="{A6842A4A-7B46-4478-A336-0292BA6F285B}" name="Columna7279" dataDxfId="9133"/>
    <tableColumn id="7286" xr3:uid="{E391CDF8-6DF2-4122-85F3-6454492DFD48}" name="Columna7280" dataDxfId="9132"/>
    <tableColumn id="7287" xr3:uid="{28A94ED5-ED20-45C8-8C92-A63AE90BB660}" name="Columna7281" dataDxfId="9131"/>
    <tableColumn id="7288" xr3:uid="{120673DB-9E71-4578-B869-71E69E556937}" name="Columna7282" dataDxfId="9130"/>
    <tableColumn id="7289" xr3:uid="{0A530005-8402-45F9-A61A-1002378544B4}" name="Columna7283" dataDxfId="9129"/>
    <tableColumn id="7290" xr3:uid="{7FB1674B-ADD4-4B3F-AEE2-2D604D4DBFEF}" name="Columna7284" dataDxfId="9128"/>
    <tableColumn id="7291" xr3:uid="{16C6A4B6-15D2-456E-8027-191FA1C42107}" name="Columna7285" dataDxfId="9127"/>
    <tableColumn id="7292" xr3:uid="{1B1B950B-45EC-47DE-A3C7-54939BD35C66}" name="Columna7286" dataDxfId="9126"/>
    <tableColumn id="7293" xr3:uid="{3234A758-603D-4828-BA0F-14852A15CEE2}" name="Columna7287" dataDxfId="9125"/>
    <tableColumn id="7294" xr3:uid="{AFCBF434-FAAE-4E61-B766-1CA0B6645D76}" name="Columna7288" dataDxfId="9124"/>
    <tableColumn id="7295" xr3:uid="{496B00A5-EAF6-42A7-BA77-69B3EAF96481}" name="Columna7289" dataDxfId="9123"/>
    <tableColumn id="7296" xr3:uid="{9F34CC49-FC73-4813-9116-553088C08C81}" name="Columna7290" dataDxfId="9122"/>
    <tableColumn id="7297" xr3:uid="{F39D3D45-2E1C-4928-A528-B37EAD224489}" name="Columna7291" dataDxfId="9121"/>
    <tableColumn id="7298" xr3:uid="{6B66C7D6-63BC-453A-B260-377281AF2D96}" name="Columna7292" dataDxfId="9120"/>
    <tableColumn id="7299" xr3:uid="{DE199490-7BE4-4382-B11C-719251A86DB8}" name="Columna7293" dataDxfId="9119"/>
    <tableColumn id="7300" xr3:uid="{2ED61C04-CC40-45A6-88FE-2824FA6011F7}" name="Columna7294" dataDxfId="9118"/>
    <tableColumn id="7301" xr3:uid="{DAA4A655-A518-459E-B42F-45EA45644C22}" name="Columna7295" dataDxfId="9117"/>
    <tableColumn id="7302" xr3:uid="{22848944-622D-4BAB-A7C2-656C108869B8}" name="Columna7296" dataDxfId="9116"/>
    <tableColumn id="7303" xr3:uid="{5E54811F-AFFF-42FF-95A9-9F1D4C8AE3B4}" name="Columna7297" dataDxfId="9115"/>
    <tableColumn id="7304" xr3:uid="{57729C34-AAC7-4D8D-B507-35DF4240A062}" name="Columna7298" dataDxfId="9114"/>
    <tableColumn id="7305" xr3:uid="{1EBD2AED-DB2B-4D73-99C6-05752D4F0C94}" name="Columna7299" dataDxfId="9113"/>
    <tableColumn id="7306" xr3:uid="{280FE35C-7E45-49A2-B6EA-8D82E0E46551}" name="Columna7300" dataDxfId="9112"/>
    <tableColumn id="7307" xr3:uid="{3FFA3227-352F-456B-9157-7A25D0FCF0A0}" name="Columna7301" dataDxfId="9111"/>
    <tableColumn id="7308" xr3:uid="{88E7D209-429B-4472-9606-DE955E9F2DF4}" name="Columna7302" dataDxfId="9110"/>
    <tableColumn id="7309" xr3:uid="{C7C50877-67BD-4768-82C4-91D1607CD06C}" name="Columna7303" dataDxfId="9109"/>
    <tableColumn id="7310" xr3:uid="{7E1C551C-D576-444C-84F6-D7C942276885}" name="Columna7304" dataDxfId="9108"/>
    <tableColumn id="7311" xr3:uid="{C0AF61CD-9AAE-45B2-8F0F-66D8803B3E6D}" name="Columna7305" dataDxfId="9107"/>
    <tableColumn id="7312" xr3:uid="{DFE96EEE-9A25-4F33-A120-92D63CD6FBF1}" name="Columna7306" dataDxfId="9106"/>
    <tableColumn id="7313" xr3:uid="{8D59EBB8-6356-4C5D-8988-29C040FBC3EC}" name="Columna7307" dataDxfId="9105"/>
    <tableColumn id="7314" xr3:uid="{495A923B-606D-48F8-B1F8-A5EAEA540EF1}" name="Columna7308" dataDxfId="9104"/>
    <tableColumn id="7315" xr3:uid="{87BE4746-69C1-4D84-9B4E-F3BFD10A7B6A}" name="Columna7309" dataDxfId="9103"/>
    <tableColumn id="7316" xr3:uid="{967E21E7-B47F-473F-B319-78DAB3B93582}" name="Columna7310" dataDxfId="9102"/>
    <tableColumn id="7317" xr3:uid="{A480ED5A-1A6F-446A-804D-92E5A0184A6E}" name="Columna7311" dataDxfId="9101"/>
    <tableColumn id="7318" xr3:uid="{4FBDE83C-67D1-4554-918B-CC6051F518E6}" name="Columna7312" dataDxfId="9100"/>
    <tableColumn id="7319" xr3:uid="{EE974696-D719-4E64-8117-31FE9706DD92}" name="Columna7313" dataDxfId="9099"/>
    <tableColumn id="7320" xr3:uid="{66792BDD-3883-44C5-A50A-0FF6552677BE}" name="Columna7314" dataDxfId="9098"/>
    <tableColumn id="7321" xr3:uid="{F71D15AD-820C-4264-A3A1-DDDAFF3FC9B2}" name="Columna7315" dataDxfId="9097"/>
    <tableColumn id="7322" xr3:uid="{5444C8E3-ADE5-4EE2-B06D-1A095430467A}" name="Columna7316" dataDxfId="9096"/>
    <tableColumn id="7323" xr3:uid="{A035EAE7-A8A0-4EE3-BAD6-5408F1A65CEC}" name="Columna7317" dataDxfId="9095"/>
    <tableColumn id="7324" xr3:uid="{10A20F3B-83E8-4C6C-86DB-3864614876B0}" name="Columna7318" dataDxfId="9094"/>
    <tableColumn id="7325" xr3:uid="{9B6C417B-DD8D-4DF0-A4EC-9D0A65B80E05}" name="Columna7319" dataDxfId="9093"/>
    <tableColumn id="7326" xr3:uid="{680637D1-7D1B-472C-BDBB-9C3814E9B3F0}" name="Columna7320" dataDxfId="9092"/>
    <tableColumn id="7327" xr3:uid="{968B998E-883C-42E5-8811-467FD2384FC0}" name="Columna7321" dataDxfId="9091"/>
    <tableColumn id="7328" xr3:uid="{2F91E915-23C7-4DDF-9DEC-E3DD0E721183}" name="Columna7322" dataDxfId="9090"/>
    <tableColumn id="7329" xr3:uid="{9CA6591C-553A-4FF4-9455-1E7F70E1F980}" name="Columna7323" dataDxfId="9089"/>
    <tableColumn id="7330" xr3:uid="{5B69E048-7B5D-4622-86BF-9A942C0E01F4}" name="Columna7324" dataDxfId="9088"/>
    <tableColumn id="7331" xr3:uid="{47AB41A5-3E5D-4FAF-AD80-B74BDFD905C5}" name="Columna7325" dataDxfId="9087"/>
    <tableColumn id="7332" xr3:uid="{5037E17E-35B4-4C66-A30A-67FEE5AB8D4B}" name="Columna7326" dataDxfId="9086"/>
    <tableColumn id="7333" xr3:uid="{1BC8C533-E3D8-4B1C-9FB5-CE44D320C9E2}" name="Columna7327" dataDxfId="9085"/>
    <tableColumn id="7334" xr3:uid="{BBF31B90-87DD-4F94-9508-7EF98E207C9E}" name="Columna7328" dataDxfId="9084"/>
    <tableColumn id="7335" xr3:uid="{9879D253-329A-4029-B16E-9F64C36FEC29}" name="Columna7329" dataDxfId="9083"/>
    <tableColumn id="7336" xr3:uid="{4AE2C992-B306-4348-A746-DF67DD86472E}" name="Columna7330" dataDxfId="9082"/>
    <tableColumn id="7337" xr3:uid="{AD3949D9-7AD2-4C22-8D3F-01C82BDE3B1F}" name="Columna7331" dataDxfId="9081"/>
    <tableColumn id="7338" xr3:uid="{781B9BA5-197F-47A5-A220-BF46E93CEC11}" name="Columna7332" dataDxfId="9080"/>
    <tableColumn id="7339" xr3:uid="{22B9ABD1-51B3-4B93-A3EE-7017BB9FD046}" name="Columna7333" dataDxfId="9079"/>
    <tableColumn id="7340" xr3:uid="{5BFB6862-EE35-41BA-9A02-4DA8471359DB}" name="Columna7334" dataDxfId="9078"/>
    <tableColumn id="7341" xr3:uid="{E5B23A68-F223-4AAA-8943-4C1B9D227BD8}" name="Columna7335" dataDxfId="9077"/>
    <tableColumn id="7342" xr3:uid="{F002509C-98E9-4A48-B4D1-2031A9E1BA62}" name="Columna7336" dataDxfId="9076"/>
    <tableColumn id="7343" xr3:uid="{BDE486EE-984E-4749-9677-EE95E58F5ED5}" name="Columna7337" dataDxfId="9075"/>
    <tableColumn id="7344" xr3:uid="{E82D2F24-6C33-4CE5-9A75-04EBF62D5D24}" name="Columna7338" dataDxfId="9074"/>
    <tableColumn id="7345" xr3:uid="{8F5A4A8D-2F6D-43D1-A893-6A389A557F05}" name="Columna7339" dataDxfId="9073"/>
    <tableColumn id="7346" xr3:uid="{0B573F01-1C90-4660-9096-B4C73C7FC064}" name="Columna7340" dataDxfId="9072"/>
    <tableColumn id="7347" xr3:uid="{06B64EF6-3B1A-49CD-907C-E3624F12378D}" name="Columna7341" dataDxfId="9071"/>
    <tableColumn id="7348" xr3:uid="{5BB9FB8A-020F-401B-80C3-9FC6A7729A21}" name="Columna7342" dataDxfId="9070"/>
    <tableColumn id="7349" xr3:uid="{E8921B6A-4DA4-4F9C-BECD-32984B3CDBFC}" name="Columna7343" dataDxfId="9069"/>
    <tableColumn id="7350" xr3:uid="{B087DA81-D480-4EAD-8586-A62E73FAF441}" name="Columna7344" dataDxfId="9068"/>
    <tableColumn id="7351" xr3:uid="{BBCDEBA0-8A6C-4179-A5D8-BE6F1C6ED0FD}" name="Columna7345" dataDxfId="9067"/>
    <tableColumn id="7352" xr3:uid="{55AC5744-E582-483B-8883-2C439A53FCAC}" name="Columna7346" dataDxfId="9066"/>
    <tableColumn id="7353" xr3:uid="{0F848581-214F-4E2E-AE4E-8F2DBBD9D9BA}" name="Columna7347" dataDxfId="9065"/>
    <tableColumn id="7354" xr3:uid="{CAA7444C-1AAD-47C4-AEFB-04FAB4665BAE}" name="Columna7348" dataDxfId="9064"/>
    <tableColumn id="7355" xr3:uid="{F59BB075-4042-435E-A0CB-B96218C43E74}" name="Columna7349" dataDxfId="9063"/>
    <tableColumn id="7356" xr3:uid="{09AB634A-A59E-4105-82D7-D5BD03F64FDC}" name="Columna7350" dataDxfId="9062"/>
    <tableColumn id="7357" xr3:uid="{40FD374F-023E-4AD6-BFB1-D785EBC3B0A9}" name="Columna7351" dataDxfId="9061"/>
    <tableColumn id="7358" xr3:uid="{3296C47D-52AC-4138-8744-6188C44449DD}" name="Columna7352" dataDxfId="9060"/>
    <tableColumn id="7359" xr3:uid="{BEC1019E-5999-4BAE-BDBE-DBF6D1C168F5}" name="Columna7353" dataDxfId="9059"/>
    <tableColumn id="7360" xr3:uid="{8C51CFA1-67DA-4DFB-A785-0726CADFD9C9}" name="Columna7354" dataDxfId="9058"/>
    <tableColumn id="7361" xr3:uid="{999B560E-4915-4E25-B01C-7C68F890C513}" name="Columna7355" dataDxfId="9057"/>
    <tableColumn id="7362" xr3:uid="{F2CC326A-7C9F-4C3D-A7BD-40599B680FD6}" name="Columna7356" dataDxfId="9056"/>
    <tableColumn id="7363" xr3:uid="{E56D3833-84A9-40F0-BC11-C7E1A06E4FC7}" name="Columna7357" dataDxfId="9055"/>
    <tableColumn id="7364" xr3:uid="{29541932-89DC-4122-B314-34E552D308AF}" name="Columna7358" dataDxfId="9054"/>
    <tableColumn id="7365" xr3:uid="{DE988A94-5064-44E7-ACCD-B93BEC7204B6}" name="Columna7359" dataDxfId="9053"/>
    <tableColumn id="7366" xr3:uid="{DE94C528-D598-46E5-908B-D4C173C2D4C1}" name="Columna7360" dataDxfId="9052"/>
    <tableColumn id="7367" xr3:uid="{3D13F2E9-8703-49AE-A74C-8526C627F445}" name="Columna7361" dataDxfId="9051"/>
    <tableColumn id="7368" xr3:uid="{1C0AC603-7517-4B59-A813-C1EB4B15C585}" name="Columna7362" dataDxfId="9050"/>
    <tableColumn id="7369" xr3:uid="{73B20849-7177-4466-9332-2FFF851E8A9A}" name="Columna7363" dataDxfId="9049"/>
    <tableColumn id="7370" xr3:uid="{345FC117-D80F-4FA3-B6C9-1F07FC4E5BA1}" name="Columna7364" dataDxfId="9048"/>
    <tableColumn id="7371" xr3:uid="{27A03B30-236F-480C-B61E-1EFC6C99BDAE}" name="Columna7365" dataDxfId="9047"/>
    <tableColumn id="7372" xr3:uid="{916E6BAE-9FC2-4ED7-88CB-9565FD8848FF}" name="Columna7366" dataDxfId="9046"/>
    <tableColumn id="7373" xr3:uid="{0ED63776-F3E0-459B-BAFF-3CF7BFB219B8}" name="Columna7367" dataDxfId="9045"/>
    <tableColumn id="7374" xr3:uid="{2282E7D1-7968-4BB2-8042-3FF2EF170F01}" name="Columna7368" dataDxfId="9044"/>
    <tableColumn id="7375" xr3:uid="{566B666D-B194-4C4C-81BE-1E6C64FF3AA8}" name="Columna7369" dataDxfId="9043"/>
    <tableColumn id="7376" xr3:uid="{D9494E0B-921B-453E-84DC-A5F9945238D5}" name="Columna7370" dataDxfId="9042"/>
    <tableColumn id="7377" xr3:uid="{BE60B8FB-DF97-4407-AFB6-8E35B539D0AA}" name="Columna7371" dataDxfId="9041"/>
    <tableColumn id="7378" xr3:uid="{EC0FA77E-0EC6-44F7-AF84-58F1688D4686}" name="Columna7372" dataDxfId="9040"/>
    <tableColumn id="7379" xr3:uid="{637051B1-6FFE-46C8-99AA-B63BAB49C580}" name="Columna7373" dataDxfId="9039"/>
    <tableColumn id="7380" xr3:uid="{C1A1A24C-7D2A-438B-9952-DDCF11BA9A9D}" name="Columna7374" dataDxfId="9038"/>
    <tableColumn id="7381" xr3:uid="{EFE4C412-92B4-4173-B02C-4F0CDE830B0C}" name="Columna7375" dataDxfId="9037"/>
    <tableColumn id="7382" xr3:uid="{5A9B0795-1649-4C3F-9D42-2822A5A60608}" name="Columna7376" dataDxfId="9036"/>
    <tableColumn id="7383" xr3:uid="{8C37E798-8C5C-460F-A8A5-A8C71A6D41BE}" name="Columna7377" dataDxfId="9035"/>
    <tableColumn id="7384" xr3:uid="{A2630F84-552F-4723-AE36-19B02F80110D}" name="Columna7378" dataDxfId="9034"/>
    <tableColumn id="7385" xr3:uid="{B11BC78E-F4B7-4240-8010-E52D4D4041CA}" name="Columna7379" dataDxfId="9033"/>
    <tableColumn id="7386" xr3:uid="{9C69F629-7340-4E4D-99E5-A5640253E5E9}" name="Columna7380" dataDxfId="9032"/>
    <tableColumn id="7387" xr3:uid="{D665D0C7-5619-4FAA-AEE8-B10443F84EAF}" name="Columna7381" dataDxfId="9031"/>
    <tableColumn id="7388" xr3:uid="{3FAB5F71-19DF-4625-839B-CEFA95A72DDE}" name="Columna7382" dataDxfId="9030"/>
    <tableColumn id="7389" xr3:uid="{A7E752EF-667E-40CB-9A91-BA061F0EE8A3}" name="Columna7383" dataDxfId="9029"/>
    <tableColumn id="7390" xr3:uid="{F2ABAD05-908B-4775-A3F7-0C9D976820E5}" name="Columna7384" dataDxfId="9028"/>
    <tableColumn id="7391" xr3:uid="{86A93257-8105-41CE-A074-AFDB621FDF25}" name="Columna7385" dataDxfId="9027"/>
    <tableColumn id="7392" xr3:uid="{E0F9AF94-7D44-4397-B9EE-58EB372F5262}" name="Columna7386" dataDxfId="9026"/>
    <tableColumn id="7393" xr3:uid="{A1BD2693-52EA-4B09-8C62-28A5B476161A}" name="Columna7387" dataDxfId="9025"/>
    <tableColumn id="7394" xr3:uid="{67D012DA-882A-4A2F-8258-88CE868F259D}" name="Columna7388" dataDxfId="9024"/>
    <tableColumn id="7395" xr3:uid="{27B16113-9627-426F-A4EA-8C2C48939D0A}" name="Columna7389" dataDxfId="9023"/>
    <tableColumn id="7396" xr3:uid="{8FDA3E7D-BE54-40F7-BAD0-CFE1AC4554D5}" name="Columna7390" dataDxfId="9022"/>
    <tableColumn id="7397" xr3:uid="{BF8FD590-5CB4-46A8-97B7-7758FA67A4FA}" name="Columna7391" dataDxfId="9021"/>
    <tableColumn id="7398" xr3:uid="{644CCC35-B593-4484-88D5-E9B41DAC9429}" name="Columna7392" dataDxfId="9020"/>
    <tableColumn id="7399" xr3:uid="{F7C0AA80-6E1A-4BF1-9E49-75FE09E29550}" name="Columna7393" dataDxfId="9019"/>
    <tableColumn id="7400" xr3:uid="{3ECA05ED-7806-497F-A630-2ED7F88CDB47}" name="Columna7394" dataDxfId="9018"/>
    <tableColumn id="7401" xr3:uid="{F83F7E14-C8FF-4C69-B472-B286563FBA24}" name="Columna7395" dataDxfId="9017"/>
    <tableColumn id="7402" xr3:uid="{633A1048-31A4-4BF2-B30A-07AD7ED316E0}" name="Columna7396" dataDxfId="9016"/>
    <tableColumn id="7403" xr3:uid="{34890F85-17A4-4636-800B-655CDA2AF7C9}" name="Columna7397" dataDxfId="9015"/>
    <tableColumn id="7404" xr3:uid="{E18217F9-B068-4F91-8536-850ACC31791D}" name="Columna7398" dataDxfId="9014"/>
    <tableColumn id="7405" xr3:uid="{6DEB7AD5-A1E6-455B-BF14-695017C42F39}" name="Columna7399" dataDxfId="9013"/>
    <tableColumn id="7406" xr3:uid="{F9E85E7F-763A-4956-922A-B4378F7F5291}" name="Columna7400" dataDxfId="9012"/>
    <tableColumn id="7407" xr3:uid="{B7265F16-0C7C-43B6-9818-94FBDA16308E}" name="Columna7401" dataDxfId="9011"/>
    <tableColumn id="7408" xr3:uid="{4A48F565-18ED-4266-9A14-3CAF54D890FB}" name="Columna7402" dataDxfId="9010"/>
    <tableColumn id="7409" xr3:uid="{A7E79A58-A2C1-4D70-BB5A-AE0F5D1F9833}" name="Columna7403" dataDxfId="9009"/>
    <tableColumn id="7410" xr3:uid="{2C772405-C011-47AD-99CD-02B293663726}" name="Columna7404" dataDxfId="9008"/>
    <tableColumn id="7411" xr3:uid="{3574F2FF-4AA7-44A8-97D8-462F1054578E}" name="Columna7405" dataDxfId="9007"/>
    <tableColumn id="7412" xr3:uid="{7B970662-8C3C-4B33-A807-08449ECB5ADB}" name="Columna7406" dataDxfId="9006"/>
    <tableColumn id="7413" xr3:uid="{F81C57F2-347D-4846-8B27-0ECA206FD93C}" name="Columna7407" dataDxfId="9005"/>
    <tableColumn id="7414" xr3:uid="{42C31B08-EC56-40FD-8F2C-5A4DDA35D969}" name="Columna7408" dataDxfId="9004"/>
    <tableColumn id="7415" xr3:uid="{3417E76A-F76E-4709-8D8A-D4575617911D}" name="Columna7409" dataDxfId="9003"/>
    <tableColumn id="7416" xr3:uid="{855B0250-7A21-4858-B2FD-106F7E03AA9D}" name="Columna7410" dataDxfId="9002"/>
    <tableColumn id="7417" xr3:uid="{FBE62280-4C56-4E10-8931-C5E616FB6A56}" name="Columna7411" dataDxfId="9001"/>
    <tableColumn id="7418" xr3:uid="{EA3517E8-E656-4074-A323-B3C76425A13D}" name="Columna7412" dataDxfId="9000"/>
    <tableColumn id="7419" xr3:uid="{9ED4FE53-AC45-4D24-9C3A-C65F012B7827}" name="Columna7413" dataDxfId="8999"/>
    <tableColumn id="7420" xr3:uid="{3DD1C114-1D08-427F-8F35-0B200A79B2FB}" name="Columna7414" dataDxfId="8998"/>
    <tableColumn id="7421" xr3:uid="{5B58296A-71B0-4480-B14C-0DF66C071805}" name="Columna7415" dataDxfId="8997"/>
    <tableColumn id="7422" xr3:uid="{77620467-A1FF-491F-B6F0-F0AD28FA061A}" name="Columna7416" dataDxfId="8996"/>
    <tableColumn id="7423" xr3:uid="{67450976-D502-414E-8401-C022E9FB8C21}" name="Columna7417" dataDxfId="8995"/>
    <tableColumn id="7424" xr3:uid="{36366E81-CBA0-4660-9D66-68EEC72B0A7E}" name="Columna7418" dataDxfId="8994"/>
    <tableColumn id="7425" xr3:uid="{FE7AC87B-F44C-418B-B006-4427CB6BA766}" name="Columna7419" dataDxfId="8993"/>
    <tableColumn id="7426" xr3:uid="{7895C166-7590-4FBD-89D7-3BCB59BA6626}" name="Columna7420" dataDxfId="8992"/>
    <tableColumn id="7427" xr3:uid="{214AE4ED-F6C4-4F7C-B152-31D46EBB0C10}" name="Columna7421" dataDxfId="8991"/>
    <tableColumn id="7428" xr3:uid="{822318F8-DE7A-4A6F-9C56-388CF5A06B2B}" name="Columna7422" dataDxfId="8990"/>
    <tableColumn id="7429" xr3:uid="{8C45325B-3463-4688-8852-72F8223960BF}" name="Columna7423" dataDxfId="8989"/>
    <tableColumn id="7430" xr3:uid="{D0CE2A36-06F8-4249-B077-BF712164982D}" name="Columna7424" dataDxfId="8988"/>
    <tableColumn id="7431" xr3:uid="{BF7048CA-1022-4EED-BE26-C5B0AD6CF247}" name="Columna7425" dataDxfId="8987"/>
    <tableColumn id="7432" xr3:uid="{4976EF52-8C50-4E2A-96BD-3EAC2478A9E6}" name="Columna7426" dataDxfId="8986"/>
    <tableColumn id="7433" xr3:uid="{A1D7919A-D73A-4401-96D8-CB47C8A892CC}" name="Columna7427" dataDxfId="8985"/>
    <tableColumn id="7434" xr3:uid="{8CB36273-FACA-4B4A-A89B-F5C25CE33A38}" name="Columna7428" dataDxfId="8984"/>
    <tableColumn id="7435" xr3:uid="{A0847047-27D7-4B54-9080-F99D77EDE5E5}" name="Columna7429" dataDxfId="8983"/>
    <tableColumn id="7436" xr3:uid="{E7105509-7D47-4412-BD2D-86F128615642}" name="Columna7430" dataDxfId="8982"/>
    <tableColumn id="7437" xr3:uid="{23DA209F-4174-4F47-B23A-F54A6D0CC596}" name="Columna7431" dataDxfId="8981"/>
    <tableColumn id="7438" xr3:uid="{717950EA-6F46-4A79-B2FC-2D5D8154372C}" name="Columna7432" dataDxfId="8980"/>
    <tableColumn id="7439" xr3:uid="{6CA4ADD4-B21E-41BE-9B2B-B589DC57F9A4}" name="Columna7433" dataDxfId="8979"/>
    <tableColumn id="7440" xr3:uid="{99FF57E4-9D85-46DE-8B11-7D35E94526EA}" name="Columna7434" dataDxfId="8978"/>
    <tableColumn id="7441" xr3:uid="{00E022D1-DD58-49B6-AECA-DBB57D48C0F1}" name="Columna7435" dataDxfId="8977"/>
    <tableColumn id="7442" xr3:uid="{20D9942A-BCAC-4482-BBB7-0A7C3016CA0D}" name="Columna7436" dataDxfId="8976"/>
    <tableColumn id="7443" xr3:uid="{5B673B07-37DB-4392-B9D4-7BCC44A12DE5}" name="Columna7437" dataDxfId="8975"/>
    <tableColumn id="7444" xr3:uid="{06AB3D5B-A4CB-4F7D-8B7E-50914833D7D7}" name="Columna7438" dataDxfId="8974"/>
    <tableColumn id="7445" xr3:uid="{BAAF30FA-9E2C-4AD2-A0A6-04729DEA6FC8}" name="Columna7439" dataDxfId="8973"/>
    <tableColumn id="7446" xr3:uid="{A81F4FDB-38E8-4394-BC77-A24F87E6AEAD}" name="Columna7440" dataDxfId="8972"/>
    <tableColumn id="7447" xr3:uid="{68FD21FA-AA8E-4136-B4AC-044E0374E246}" name="Columna7441" dataDxfId="8971"/>
    <tableColumn id="7448" xr3:uid="{CC390435-4245-46A1-9620-04AEA5892046}" name="Columna7442" dataDxfId="8970"/>
    <tableColumn id="7449" xr3:uid="{F26C39EA-3C96-4524-A605-C8041E4FB6F7}" name="Columna7443" dataDxfId="8969"/>
    <tableColumn id="7450" xr3:uid="{7E766B88-D7B0-4241-8F92-CDF14DC052AB}" name="Columna7444" dataDxfId="8968"/>
    <tableColumn id="7451" xr3:uid="{4EFFFD17-86EE-47AC-99A4-9AC341BAF85F}" name="Columna7445" dataDxfId="8967"/>
    <tableColumn id="7452" xr3:uid="{65E4CFAA-35C8-4D54-941D-ABA5901B77C5}" name="Columna7446" dataDxfId="8966"/>
    <tableColumn id="7453" xr3:uid="{C60C9F18-62BD-417F-B0EE-DED9DDFB5B18}" name="Columna7447" dataDxfId="8965"/>
    <tableColumn id="7454" xr3:uid="{5C449A17-10F4-4320-823C-04DBDE3DC204}" name="Columna7448" dataDxfId="8964"/>
    <tableColumn id="7455" xr3:uid="{A3E1AFB4-B732-4D33-93A4-1E817BE1F7BE}" name="Columna7449" dataDxfId="8963"/>
    <tableColumn id="7456" xr3:uid="{EDE0937C-809A-4F6F-836A-F6054C451CC6}" name="Columna7450" dataDxfId="8962"/>
    <tableColumn id="7457" xr3:uid="{2D1F168F-A0C4-40CB-B29C-BB2127AC613A}" name="Columna7451" dataDxfId="8961"/>
    <tableColumn id="7458" xr3:uid="{D8529322-803C-44CA-B5E6-BD83433F77E5}" name="Columna7452" dataDxfId="8960"/>
    <tableColumn id="7459" xr3:uid="{0EBD3C1C-5A89-4D8A-9DD0-10A2EDE3B1BD}" name="Columna7453" dataDxfId="8959"/>
    <tableColumn id="7460" xr3:uid="{D238846C-B8FC-4925-936E-B7EBBC57BCC5}" name="Columna7454" dataDxfId="8958"/>
    <tableColumn id="7461" xr3:uid="{AFE7B081-56A5-4989-82C7-79C4E5A4EADC}" name="Columna7455" dataDxfId="8957"/>
    <tableColumn id="7462" xr3:uid="{CAE8B224-004F-4D56-BA6A-C14EE2594E7A}" name="Columna7456" dataDxfId="8956"/>
    <tableColumn id="7463" xr3:uid="{730BEC1E-21DB-4923-9AC7-CB8B141FEB2E}" name="Columna7457" dataDxfId="8955"/>
    <tableColumn id="7464" xr3:uid="{39BD832E-18B5-4C62-9700-EEE0F972951F}" name="Columna7458" dataDxfId="8954"/>
    <tableColumn id="7465" xr3:uid="{22AB9DDA-D2EB-42EE-9B52-C965E082508B}" name="Columna7459" dataDxfId="8953"/>
    <tableColumn id="7466" xr3:uid="{70C077DA-B83E-4ED6-B979-AD0FC822CE73}" name="Columna7460" dataDxfId="8952"/>
    <tableColumn id="7467" xr3:uid="{66A3130A-77EF-4035-8ED6-73149C1120AA}" name="Columna7461" dataDxfId="8951"/>
    <tableColumn id="7468" xr3:uid="{7FA48B2C-389E-4617-9DFC-63E132F7A78C}" name="Columna7462" dataDxfId="8950"/>
    <tableColumn id="7469" xr3:uid="{71C087E7-1929-48CA-BD77-1BF475B22A81}" name="Columna7463" dataDxfId="8949"/>
    <tableColumn id="7470" xr3:uid="{95E1207C-E382-4514-8A76-DCEC73C4F290}" name="Columna7464" dataDxfId="8948"/>
    <tableColumn id="7471" xr3:uid="{528B39E7-9CD2-4035-B5F5-1545BC8E45D7}" name="Columna7465" dataDxfId="8947"/>
    <tableColumn id="7472" xr3:uid="{43EB97FA-943C-4005-B256-83E3DED9AD40}" name="Columna7466" dataDxfId="8946"/>
    <tableColumn id="7473" xr3:uid="{9D1677E1-C9DA-42BB-9C37-59DFE22F7D67}" name="Columna7467" dataDxfId="8945"/>
    <tableColumn id="7474" xr3:uid="{F1163323-1BB5-4B7B-9924-F6EE4875E941}" name="Columna7468" dataDxfId="8944"/>
    <tableColumn id="7475" xr3:uid="{9D7ABEDB-CA8B-4B44-98EB-72A8FB158341}" name="Columna7469" dataDxfId="8943"/>
    <tableColumn id="7476" xr3:uid="{496C6C5B-D737-4CAC-90FA-D16A10CA6481}" name="Columna7470" dataDxfId="8942"/>
    <tableColumn id="7477" xr3:uid="{7450A3B9-2F74-4B76-9671-5214B2A12D0A}" name="Columna7471" dataDxfId="8941"/>
    <tableColumn id="7478" xr3:uid="{11DF4D52-1A9B-46BA-91AC-0AAFBE94ADA7}" name="Columna7472" dataDxfId="8940"/>
    <tableColumn id="7479" xr3:uid="{7315AB5B-F612-4E6E-8F2C-EB194B4B1D8A}" name="Columna7473" dataDxfId="8939"/>
    <tableColumn id="7480" xr3:uid="{813FB898-695D-4D39-824D-69795BDA59F5}" name="Columna7474" dataDxfId="8938"/>
    <tableColumn id="7481" xr3:uid="{D2E37F51-9930-4971-B444-A6DE87ECE6F9}" name="Columna7475" dataDxfId="8937"/>
    <tableColumn id="7482" xr3:uid="{D4F29BD7-FB3A-4DBE-AFF8-68C687528B24}" name="Columna7476" dataDxfId="8936"/>
    <tableColumn id="7483" xr3:uid="{29C0DEB3-B1E2-4157-8AB0-617F3AF7DECF}" name="Columna7477" dataDxfId="8935"/>
    <tableColumn id="7484" xr3:uid="{11F8CE66-395B-4026-87AC-3014EC1E606C}" name="Columna7478" dataDxfId="8934"/>
    <tableColumn id="7485" xr3:uid="{F922A2B8-39B3-4EC8-B725-1B5DA2E22B22}" name="Columna7479" dataDxfId="8933"/>
    <tableColumn id="7486" xr3:uid="{EC2A8477-3877-44F0-86EA-01C1DC9DAB1A}" name="Columna7480" dataDxfId="8932"/>
    <tableColumn id="7487" xr3:uid="{1187B23A-52F1-42C5-B055-8034C49205E1}" name="Columna7481" dataDxfId="8931"/>
    <tableColumn id="7488" xr3:uid="{456472C4-A660-435F-B3B3-3DF66B013E2D}" name="Columna7482" dataDxfId="8930"/>
    <tableColumn id="7489" xr3:uid="{EB49A711-FC0D-4B55-BBC6-FA2DFEF82708}" name="Columna7483" dataDxfId="8929"/>
    <tableColumn id="7490" xr3:uid="{F9721EF3-A42C-4827-BB80-B496FF45D178}" name="Columna7484" dataDxfId="8928"/>
    <tableColumn id="7491" xr3:uid="{AF80C88A-4C47-4247-BF72-A4D4067ED3A9}" name="Columna7485" dataDxfId="8927"/>
    <tableColumn id="7492" xr3:uid="{8901966E-1310-4F39-BCF1-041C4C8551F6}" name="Columna7486" dataDxfId="8926"/>
    <tableColumn id="7493" xr3:uid="{5C97AB5B-49C2-4C27-A230-33948BEDD7CC}" name="Columna7487" dataDxfId="8925"/>
    <tableColumn id="7494" xr3:uid="{C0D25DC7-7BDC-40C9-81DB-D1CB24456EE7}" name="Columna7488" dataDxfId="8924"/>
    <tableColumn id="7495" xr3:uid="{F6DCFFD2-55EF-4801-AD26-E3B3D0548C28}" name="Columna7489" dataDxfId="8923"/>
    <tableColumn id="7496" xr3:uid="{0CA9CCF8-9CC0-48E7-90CF-743B78E22F45}" name="Columna7490" dataDxfId="8922"/>
    <tableColumn id="7497" xr3:uid="{66695B9D-C44B-4BB1-91E7-100282B09C93}" name="Columna7491" dataDxfId="8921"/>
    <tableColumn id="7498" xr3:uid="{6ED109B5-6BE2-4A39-9659-646B27202029}" name="Columna7492" dataDxfId="8920"/>
    <tableColumn id="7499" xr3:uid="{307BBDA6-0798-4592-9157-AB60885C1102}" name="Columna7493" dataDxfId="8919"/>
    <tableColumn id="7500" xr3:uid="{8FD8E8F7-8F8F-4D91-8443-23422F4DBBE9}" name="Columna7494" dataDxfId="8918"/>
    <tableColumn id="7501" xr3:uid="{7BA7B05F-7BC2-4E79-8990-A4593723DD6D}" name="Columna7495" dataDxfId="8917"/>
    <tableColumn id="7502" xr3:uid="{45B58B75-D9DA-4E24-9652-5EDC732141A8}" name="Columna7496" dataDxfId="8916"/>
    <tableColumn id="7503" xr3:uid="{0473491A-60C8-49F3-B5F0-A9A84F08A55E}" name="Columna7497" dataDxfId="8915"/>
    <tableColumn id="7504" xr3:uid="{BEC59136-B8C0-4B4B-B418-2A78672F22FF}" name="Columna7498" dataDxfId="8914"/>
    <tableColumn id="7505" xr3:uid="{8B0D2B64-38BD-49A3-AC6B-FBB41AF45254}" name="Columna7499" dataDxfId="8913"/>
    <tableColumn id="7506" xr3:uid="{75A7D5A7-8CD3-4746-A775-FAEF3C85D9B0}" name="Columna7500" dataDxfId="8912"/>
    <tableColumn id="7507" xr3:uid="{9EC18F4E-A53F-4BE7-AB8C-24AE4B180573}" name="Columna7501" dataDxfId="8911"/>
    <tableColumn id="7508" xr3:uid="{642D39BD-17ED-4552-A971-21949923431E}" name="Columna7502" dataDxfId="8910"/>
    <tableColumn id="7509" xr3:uid="{643F8820-F7FD-4468-9A52-5B32AAFB11E5}" name="Columna7503" dataDxfId="8909"/>
    <tableColumn id="7510" xr3:uid="{F0786C89-DBDB-4FEA-A8F1-9EA58E5C62C9}" name="Columna7504" dataDxfId="8908"/>
    <tableColumn id="7511" xr3:uid="{F1D6F3F0-5D05-4FF6-AECE-B66ED12C6508}" name="Columna7505" dataDxfId="8907"/>
    <tableColumn id="7512" xr3:uid="{BC1623A6-A98E-4B86-B959-4D988D0331ED}" name="Columna7506" dataDxfId="8906"/>
    <tableColumn id="7513" xr3:uid="{56C68736-74D1-4C7A-B7D5-BD780E445AB3}" name="Columna7507" dataDxfId="8905"/>
    <tableColumn id="7514" xr3:uid="{0264A181-29F4-4DDC-B0F9-E17A5ED5290C}" name="Columna7508" dataDxfId="8904"/>
    <tableColumn id="7515" xr3:uid="{0C454319-660E-4372-8C3B-8CA215E5CE36}" name="Columna7509" dataDxfId="8903"/>
    <tableColumn id="7516" xr3:uid="{104866A1-08B6-4CD5-9478-ADB80D173F2D}" name="Columna7510" dataDxfId="8902"/>
    <tableColumn id="7517" xr3:uid="{FD5FEA25-262E-4A11-A98A-AFC196A5CE74}" name="Columna7511" dataDxfId="8901"/>
    <tableColumn id="7518" xr3:uid="{1E8F4B3C-D47A-40AC-8075-C21D0645C5AA}" name="Columna7512" dataDxfId="8900"/>
    <tableColumn id="7519" xr3:uid="{89D90918-E8AE-4486-A6C9-7358F4F7BAD0}" name="Columna7513" dataDxfId="8899"/>
    <tableColumn id="7520" xr3:uid="{BAED8F88-3719-4C09-87B1-0256B4578F3F}" name="Columna7514" dataDxfId="8898"/>
    <tableColumn id="7521" xr3:uid="{88CACF3C-E570-4DAD-A774-9A7579764D3B}" name="Columna7515" dataDxfId="8897"/>
    <tableColumn id="7522" xr3:uid="{A96C17CB-25E2-4D2E-B3B5-F7A3CE3F8E0D}" name="Columna7516" dataDxfId="8896"/>
    <tableColumn id="7523" xr3:uid="{FC782F17-52CE-465E-99D0-D50345557985}" name="Columna7517" dataDxfId="8895"/>
    <tableColumn id="7524" xr3:uid="{55249E88-9B48-4C53-8591-9CDAF96C8A2E}" name="Columna7518" dataDxfId="8894"/>
    <tableColumn id="7525" xr3:uid="{7F973E8A-8EC6-4070-BE9F-07BC97EA6EFC}" name="Columna7519" dataDxfId="8893"/>
    <tableColumn id="7526" xr3:uid="{7D7FBA8A-45F7-4DEA-A574-53E8E03BC2ED}" name="Columna7520" dataDxfId="8892"/>
    <tableColumn id="7527" xr3:uid="{EB8CE28A-8C76-4B78-81BC-A7C6AB7A40D2}" name="Columna7521" dataDxfId="8891"/>
    <tableColumn id="7528" xr3:uid="{8AD89089-8A5C-41C9-A5A9-CA5BB96B618A}" name="Columna7522" dataDxfId="8890"/>
    <tableColumn id="7529" xr3:uid="{B76125D4-8B63-4599-B443-B25C9840B393}" name="Columna7523" dataDxfId="8889"/>
    <tableColumn id="7530" xr3:uid="{B5573BF5-221A-49B6-AD9D-87E5BB52F190}" name="Columna7524" dataDxfId="8888"/>
    <tableColumn id="7531" xr3:uid="{9B4EF398-2979-49BF-A72B-67DA8307AAB0}" name="Columna7525" dataDxfId="8887"/>
    <tableColumn id="7532" xr3:uid="{F609BB8C-D635-4049-B4CB-4BBF451873F8}" name="Columna7526" dataDxfId="8886"/>
    <tableColumn id="7533" xr3:uid="{0ABA6ED6-FA06-471C-B14B-E4E9DE4316BD}" name="Columna7527" dataDxfId="8885"/>
    <tableColumn id="7534" xr3:uid="{9ECF74F3-F964-4C07-9F32-A0AD008BFC74}" name="Columna7528" dataDxfId="8884"/>
    <tableColumn id="7535" xr3:uid="{0C2A3787-4950-4A7A-B747-E9858C53A771}" name="Columna7529" dataDxfId="8883"/>
    <tableColumn id="7536" xr3:uid="{3E84EC9F-3E2D-4804-A405-7879E7AD4155}" name="Columna7530" dataDxfId="8882"/>
    <tableColumn id="7537" xr3:uid="{19CCB1D9-DF67-4CF6-94B5-79A199F148E9}" name="Columna7531" dataDxfId="8881"/>
    <tableColumn id="7538" xr3:uid="{F1D95E1E-57A7-4C03-946D-DC6E0BD11272}" name="Columna7532" dataDxfId="8880"/>
    <tableColumn id="7539" xr3:uid="{6E607537-D1AF-4BB6-A17C-4F84DCC77E99}" name="Columna7533" dataDxfId="8879"/>
    <tableColumn id="7540" xr3:uid="{4C3F5D7B-F8DF-4A26-AFAF-B595E346EE04}" name="Columna7534" dataDxfId="8878"/>
    <tableColumn id="7541" xr3:uid="{9E1EB9B8-FE15-4650-B818-4EE5F3341E71}" name="Columna7535" dataDxfId="8877"/>
    <tableColumn id="7542" xr3:uid="{4DCDF099-7672-43D7-A912-C76058A2BE05}" name="Columna7536" dataDxfId="8876"/>
    <tableColumn id="7543" xr3:uid="{4358C94B-399F-4F45-9DE8-D788BBD87615}" name="Columna7537" dataDxfId="8875"/>
    <tableColumn id="7544" xr3:uid="{88095609-A6C6-493A-9040-5D498484FF32}" name="Columna7538" dataDxfId="8874"/>
    <tableColumn id="7545" xr3:uid="{48959CFA-9112-460B-AF08-83B8F6F53016}" name="Columna7539" dataDxfId="8873"/>
    <tableColumn id="7546" xr3:uid="{376BC975-6AF6-4576-97A5-E8C0AEA0BE89}" name="Columna7540" dataDxfId="8872"/>
    <tableColumn id="7547" xr3:uid="{F28C4A03-A235-4B1C-9FC4-5B56C1943948}" name="Columna7541" dataDxfId="8871"/>
    <tableColumn id="7548" xr3:uid="{136ED091-9C76-43B9-A008-003705BA7908}" name="Columna7542" dataDxfId="8870"/>
    <tableColumn id="7549" xr3:uid="{EBFD4DFE-4656-4B29-ABEB-4F380FCC1392}" name="Columna7543" dataDxfId="8869"/>
    <tableColumn id="7550" xr3:uid="{51D933D8-96FF-4872-A053-62DE1943A755}" name="Columna7544" dataDxfId="8868"/>
    <tableColumn id="7551" xr3:uid="{4AEAE51C-43D5-49B4-8B44-E2CBAC61CCFD}" name="Columna7545" dataDxfId="8867"/>
    <tableColumn id="7552" xr3:uid="{58CD2622-6CEE-450A-A74B-EDA1B74B1A2B}" name="Columna7546" dataDxfId="8866"/>
    <tableColumn id="7553" xr3:uid="{9A97CE11-675A-497C-857D-B08BA7D54E4E}" name="Columna7547" dataDxfId="8865"/>
    <tableColumn id="7554" xr3:uid="{0D45E3A1-F083-4A41-AD99-6314469F4D43}" name="Columna7548" dataDxfId="8864"/>
    <tableColumn id="7555" xr3:uid="{AE6C7A90-D4ED-4204-9363-06AF023CEC51}" name="Columna7549" dataDxfId="8863"/>
    <tableColumn id="7556" xr3:uid="{24C8C6BB-C0D2-4736-8675-0CE267CC4784}" name="Columna7550" dataDxfId="8862"/>
    <tableColumn id="7557" xr3:uid="{75D19F6B-3F96-4F07-B6DE-DB558DE889C2}" name="Columna7551" dataDxfId="8861"/>
    <tableColumn id="7558" xr3:uid="{F3E34EEC-71BE-4CCD-AA03-DCC1E9FCC0EA}" name="Columna7552" dataDxfId="8860"/>
    <tableColumn id="7559" xr3:uid="{50D8FF56-7278-426A-9D7C-2A2CDB5353C9}" name="Columna7553" dataDxfId="8859"/>
    <tableColumn id="7560" xr3:uid="{F6A7B5C5-FF13-4396-9685-9DC6B7C74347}" name="Columna7554" dataDxfId="8858"/>
    <tableColumn id="7561" xr3:uid="{6713A1C5-EDB5-4478-AE36-AAB26665AC84}" name="Columna7555" dataDxfId="8857"/>
    <tableColumn id="7562" xr3:uid="{9034ED2D-83BE-4CA1-8BBC-5B3C6C890953}" name="Columna7556" dataDxfId="8856"/>
    <tableColumn id="7563" xr3:uid="{308D9B0B-C619-4006-B873-BEE72C479325}" name="Columna7557" dataDxfId="8855"/>
    <tableColumn id="7564" xr3:uid="{E11232EB-79A2-4B44-A9AA-EB002B8D37D2}" name="Columna7558" dataDxfId="8854"/>
    <tableColumn id="7565" xr3:uid="{E306FBC7-F6CF-4768-84AD-1BB4B5F7C207}" name="Columna7559" dataDxfId="8853"/>
    <tableColumn id="7566" xr3:uid="{C71D8BB3-B6C9-4B49-86F3-9D1A3278601F}" name="Columna7560" dataDxfId="8852"/>
    <tableColumn id="7567" xr3:uid="{051197C4-AB77-486F-AA10-22ABAFE98D8D}" name="Columna7561" dataDxfId="8851"/>
    <tableColumn id="7568" xr3:uid="{AF3FC007-5A3D-4347-B293-4AB0EC565C0C}" name="Columna7562" dataDxfId="8850"/>
    <tableColumn id="7569" xr3:uid="{14C473C9-08EF-4250-9F4E-35A9C17E178F}" name="Columna7563" dataDxfId="8849"/>
    <tableColumn id="7570" xr3:uid="{30ADF58C-4BD8-4AE5-918A-42F515CC2417}" name="Columna7564" dataDxfId="8848"/>
    <tableColumn id="7571" xr3:uid="{BF2AC04D-BAF2-4430-BB5D-3E00CF981D99}" name="Columna7565" dataDxfId="8847"/>
    <tableColumn id="7572" xr3:uid="{C7B4A781-934B-4E41-A5F2-EB12675BCF36}" name="Columna7566" dataDxfId="8846"/>
    <tableColumn id="7573" xr3:uid="{3FF3C091-937A-44E1-BA09-C7346F32CD69}" name="Columna7567" dataDxfId="8845"/>
    <tableColumn id="7574" xr3:uid="{CFA76CB6-2344-4855-938D-59024CC88041}" name="Columna7568" dataDxfId="8844"/>
    <tableColumn id="7575" xr3:uid="{25C2A5FB-D7DC-4A2D-BFC7-5C9145ACDCC1}" name="Columna7569" dataDxfId="8843"/>
    <tableColumn id="7576" xr3:uid="{120CE47F-8D5F-4FF4-816A-CFF5E3EF8222}" name="Columna7570" dataDxfId="8842"/>
    <tableColumn id="7577" xr3:uid="{C5B94D93-0943-42B9-BF33-FFF852DACFDF}" name="Columna7571" dataDxfId="8841"/>
    <tableColumn id="7578" xr3:uid="{7B06DA5E-5EAD-4C44-9039-239D8D572523}" name="Columna7572" dataDxfId="8840"/>
    <tableColumn id="7579" xr3:uid="{9CB8490D-00FB-489F-9CF5-9FB05A7DBA30}" name="Columna7573" dataDxfId="8839"/>
    <tableColumn id="7580" xr3:uid="{2A15BE60-B53B-4588-8AFB-0E042524952A}" name="Columna7574" dataDxfId="8838"/>
    <tableColumn id="7581" xr3:uid="{50AB2E50-5E0F-415D-9175-D3F4CD5C803D}" name="Columna7575" dataDxfId="8837"/>
    <tableColumn id="7582" xr3:uid="{650EEB61-0104-461B-95D9-EABECDFE6B94}" name="Columna7576" dataDxfId="8836"/>
    <tableColumn id="7583" xr3:uid="{A4D16393-0714-4352-B570-C51BBC5371C1}" name="Columna7577" dataDxfId="8835"/>
    <tableColumn id="7584" xr3:uid="{F43C830A-1DD7-4D32-AF42-D47D22649B18}" name="Columna7578" dataDxfId="8834"/>
    <tableColumn id="7585" xr3:uid="{8234DC33-97B5-41EC-8AE5-EC13EB4A5F98}" name="Columna7579" dataDxfId="8833"/>
    <tableColumn id="7586" xr3:uid="{5FB75046-1C55-48A7-AECF-CFE339628224}" name="Columna7580" dataDxfId="8832"/>
    <tableColumn id="7587" xr3:uid="{20399703-5785-4B5C-927D-9CEF89C80940}" name="Columna7581" dataDxfId="8831"/>
    <tableColumn id="7588" xr3:uid="{31BE3529-1E52-477B-A5C4-7B006B1038A9}" name="Columna7582" dataDxfId="8830"/>
    <tableColumn id="7589" xr3:uid="{3DC9190E-401E-4395-83B8-A3848584E183}" name="Columna7583" dataDxfId="8829"/>
    <tableColumn id="7590" xr3:uid="{EC8174AF-4434-4FEE-963A-7FCBEEA938FD}" name="Columna7584" dataDxfId="8828"/>
    <tableColumn id="7591" xr3:uid="{7AECC290-13A6-400E-8BFE-AC0A36F4096B}" name="Columna7585" dataDxfId="8827"/>
    <tableColumn id="7592" xr3:uid="{1E9FDF61-8D6A-4EC4-AD06-394F0372A978}" name="Columna7586" dataDxfId="8826"/>
    <tableColumn id="7593" xr3:uid="{F6802B70-5D6A-44E2-9537-BA90B610DFB3}" name="Columna7587" dataDxfId="8825"/>
    <tableColumn id="7594" xr3:uid="{8AA0E83A-685A-40DB-BF22-D2C45AEB6CD3}" name="Columna7588" dataDxfId="8824"/>
    <tableColumn id="7595" xr3:uid="{38EC405E-C2C6-46D7-8AC3-AFDB0DE4EF97}" name="Columna7589" dataDxfId="8823"/>
    <tableColumn id="7596" xr3:uid="{B1A26C80-9607-49A2-A0AE-DB3B24AE9831}" name="Columna7590" dataDxfId="8822"/>
    <tableColumn id="7597" xr3:uid="{5CB0D4BB-5161-46E3-9A05-ED08F351E290}" name="Columna7591" dataDxfId="8821"/>
    <tableColumn id="7598" xr3:uid="{567A3806-BBD7-4EC4-9C10-7F59944C5AEB}" name="Columna7592" dataDxfId="8820"/>
    <tableColumn id="7599" xr3:uid="{39149752-FA44-4403-80B2-B344D843012A}" name="Columna7593" dataDxfId="8819"/>
    <tableColumn id="7600" xr3:uid="{6B9CCB28-DA2E-459E-BD7E-B24B5B641359}" name="Columna7594" dataDxfId="8818"/>
    <tableColumn id="7601" xr3:uid="{5B21A5AE-D1A8-4BA2-BAE6-BF0F65CCAF79}" name="Columna7595" dataDxfId="8817"/>
    <tableColumn id="7602" xr3:uid="{B2D412C0-677D-4D1F-A792-312234EAF471}" name="Columna7596" dataDxfId="8816"/>
    <tableColumn id="7603" xr3:uid="{A37765A6-5F20-4819-9E3A-935483E8BA95}" name="Columna7597" dataDxfId="8815"/>
    <tableColumn id="7604" xr3:uid="{D89A05A3-5EB1-4EA9-812D-A17F54BC6E08}" name="Columna7598" dataDxfId="8814"/>
    <tableColumn id="7605" xr3:uid="{4C2D0E23-D300-4C7D-8005-CBDBB2FCE9DE}" name="Columna7599" dataDxfId="8813"/>
    <tableColumn id="7606" xr3:uid="{0721E7FE-A809-4943-8AD2-05F5438C61D9}" name="Columna7600" dataDxfId="8812"/>
    <tableColumn id="7607" xr3:uid="{EE19B513-1D3A-43EA-965D-FEF5D9C94895}" name="Columna7601" dataDxfId="8811"/>
    <tableColumn id="7608" xr3:uid="{62EB10FD-6DE1-4074-96C5-A61F9B4D1E3C}" name="Columna7602" dataDxfId="8810"/>
    <tableColumn id="7609" xr3:uid="{5680878B-1366-4E00-8093-04AFB3659F0A}" name="Columna7603" dataDxfId="8809"/>
    <tableColumn id="7610" xr3:uid="{10A5C26F-A231-4552-B1EC-9BD6130F4D5F}" name="Columna7604" dataDxfId="8808"/>
    <tableColumn id="7611" xr3:uid="{738D9301-B3FC-402A-98C2-ACA434BA6BF7}" name="Columna7605" dataDxfId="8807"/>
    <tableColumn id="7612" xr3:uid="{F21ED91D-CD82-4B07-8951-96380D2AF036}" name="Columna7606" dataDxfId="8806"/>
    <tableColumn id="7613" xr3:uid="{98C2498B-E148-47AC-A28F-101E98630999}" name="Columna7607" dataDxfId="8805"/>
    <tableColumn id="7614" xr3:uid="{9B0AC64E-DB9F-4BF5-92B2-DDDD973D903A}" name="Columna7608" dataDxfId="8804"/>
    <tableColumn id="7615" xr3:uid="{3510B6E5-18BA-481E-A7CF-C01AD1A7882E}" name="Columna7609" dataDxfId="8803"/>
    <tableColumn id="7616" xr3:uid="{F958E3AF-FD0F-475C-B15C-AECBA0B58929}" name="Columna7610" dataDxfId="8802"/>
    <tableColumn id="7617" xr3:uid="{BA672A8A-4356-4035-AACB-5B18BD9CDEFE}" name="Columna7611" dataDxfId="8801"/>
    <tableColumn id="7618" xr3:uid="{D9FF3D35-18F4-444E-AE67-EB42F1C89DEA}" name="Columna7612" dataDxfId="8800"/>
    <tableColumn id="7619" xr3:uid="{44A1D8A7-59C0-4416-AC83-7C8A89583633}" name="Columna7613" dataDxfId="8799"/>
    <tableColumn id="7620" xr3:uid="{3D0AB644-D273-434A-9ACB-000F1352E29B}" name="Columna7614" dataDxfId="8798"/>
    <tableColumn id="7621" xr3:uid="{209884AA-7916-4F7D-8C2D-0FD65E418A85}" name="Columna7615" dataDxfId="8797"/>
    <tableColumn id="7622" xr3:uid="{8D303F7E-05AD-4FC6-88DF-3EE53DFB3896}" name="Columna7616" dataDxfId="8796"/>
    <tableColumn id="7623" xr3:uid="{9DB9C446-5CA9-4996-84A7-4DB2D4AAB635}" name="Columna7617" dataDxfId="8795"/>
    <tableColumn id="7624" xr3:uid="{FBA1F9A2-D761-4E4D-B350-7F34DB0B9839}" name="Columna7618" dataDxfId="8794"/>
    <tableColumn id="7625" xr3:uid="{46141081-80CB-4806-BEE1-2B828EA43D6B}" name="Columna7619" dataDxfId="8793"/>
    <tableColumn id="7626" xr3:uid="{56221C21-4497-4ABA-8098-A21DC1C9BF01}" name="Columna7620" dataDxfId="8792"/>
    <tableColumn id="7627" xr3:uid="{7C726301-A11A-4850-A79F-0FC88BA61A6E}" name="Columna7621" dataDxfId="8791"/>
    <tableColumn id="7628" xr3:uid="{91DCA7E6-332B-41CB-AF4C-4A5D3C45C4D6}" name="Columna7622" dataDxfId="8790"/>
    <tableColumn id="7629" xr3:uid="{C10C22FC-0F95-44C3-83C1-462AF4A392B2}" name="Columna7623" dataDxfId="8789"/>
    <tableColumn id="7630" xr3:uid="{CB72A5CC-7ABC-4537-B011-F3EE01D90F54}" name="Columna7624" dataDxfId="8788"/>
    <tableColumn id="7631" xr3:uid="{CA98626C-789A-4CDE-8608-3CA7FF9161BD}" name="Columna7625" dataDxfId="8787"/>
    <tableColumn id="7632" xr3:uid="{15AC5D74-5C1D-47F9-9D51-3E6BDE875492}" name="Columna7626" dataDxfId="8786"/>
    <tableColumn id="7633" xr3:uid="{6F595EA4-0D3C-43C5-8059-D9CCC2B98D67}" name="Columna7627" dataDxfId="8785"/>
    <tableColumn id="7634" xr3:uid="{1D03E0F3-9F0D-490A-B3D8-32236D8A00DF}" name="Columna7628" dataDxfId="8784"/>
    <tableColumn id="7635" xr3:uid="{135DB60F-0333-480D-8C20-8812362AF62C}" name="Columna7629" dataDxfId="8783"/>
    <tableColumn id="7636" xr3:uid="{DC3E125E-51B2-41A8-BE0C-48C8707467F8}" name="Columna7630" dataDxfId="8782"/>
    <tableColumn id="7637" xr3:uid="{FFEECDE4-36D8-4C54-8C1F-70A602AC1459}" name="Columna7631" dataDxfId="8781"/>
    <tableColumn id="7638" xr3:uid="{7C135E4E-7F86-453A-9B24-C0F778B9D6FB}" name="Columna7632" dataDxfId="8780"/>
    <tableColumn id="7639" xr3:uid="{78BB145B-221B-4ED7-A429-845A2A69C283}" name="Columna7633" dataDxfId="8779"/>
    <tableColumn id="7640" xr3:uid="{96ECE371-5D8D-4B67-9545-CC88A1AACEC6}" name="Columna7634" dataDxfId="8778"/>
    <tableColumn id="7641" xr3:uid="{8B5C3728-1DBB-4402-A3BD-B41544CB7AC0}" name="Columna7635" dataDxfId="8777"/>
    <tableColumn id="7642" xr3:uid="{5FED1549-47CC-47E2-B346-8F24F53A8740}" name="Columna7636" dataDxfId="8776"/>
    <tableColumn id="7643" xr3:uid="{77C89366-5313-4D19-B78F-E7CFD80A4907}" name="Columna7637" dataDxfId="8775"/>
    <tableColumn id="7644" xr3:uid="{D2BE1143-FFD0-4362-A3D2-6F9C2E9FFA6F}" name="Columna7638" dataDxfId="8774"/>
    <tableColumn id="7645" xr3:uid="{7EEF1819-5928-4927-91F3-49B26408EBCA}" name="Columna7639" dataDxfId="8773"/>
    <tableColumn id="7646" xr3:uid="{D1FB432F-0E34-4CEE-891C-79721CE1874B}" name="Columna7640" dataDxfId="8772"/>
    <tableColumn id="7647" xr3:uid="{E242EAFF-5BBE-4B05-B407-9AD8FA2AD070}" name="Columna7641" dataDxfId="8771"/>
    <tableColumn id="7648" xr3:uid="{7270D093-C897-4640-A12F-9A8F47AE478E}" name="Columna7642" dataDxfId="8770"/>
    <tableColumn id="7649" xr3:uid="{897BC97F-2BF0-4A8B-A9B2-9FCDADF4AAD1}" name="Columna7643" dataDxfId="8769"/>
    <tableColumn id="7650" xr3:uid="{45CC0F4F-593F-4013-AFE3-5CD4456F207C}" name="Columna7644" dataDxfId="8768"/>
    <tableColumn id="7651" xr3:uid="{FBC53DA3-D09F-49AF-8688-B59D2699D29A}" name="Columna7645" dataDxfId="8767"/>
    <tableColumn id="7652" xr3:uid="{8E1FD646-75D6-452F-A429-2E8737522E4F}" name="Columna7646" dataDxfId="8766"/>
    <tableColumn id="7653" xr3:uid="{6B9147F6-1863-45C9-A395-365D261222CD}" name="Columna7647" dataDxfId="8765"/>
    <tableColumn id="7654" xr3:uid="{A3376D49-9D56-481E-8FA5-FDBC1719A6D7}" name="Columna7648" dataDxfId="8764"/>
    <tableColumn id="7655" xr3:uid="{6DEDDDA8-C6EA-4320-8BE3-16CBCA9059F2}" name="Columna7649" dataDxfId="8763"/>
    <tableColumn id="7656" xr3:uid="{9B674A09-A0BC-4BAC-8727-7D7CC9D99337}" name="Columna7650" dataDxfId="8762"/>
    <tableColumn id="7657" xr3:uid="{28A6455E-7597-4FA9-A513-57BA8D5AB9C0}" name="Columna7651" dataDxfId="8761"/>
    <tableColumn id="7658" xr3:uid="{34825208-CF5C-446E-9223-4A69840CFC4B}" name="Columna7652" dataDxfId="8760"/>
    <tableColumn id="7659" xr3:uid="{FD0D7CB0-F4DF-46BB-9177-D6BE1B38CF8D}" name="Columna7653" dataDxfId="8759"/>
    <tableColumn id="7660" xr3:uid="{483ADB4F-9E11-475A-BDD6-04CFDD648705}" name="Columna7654" dataDxfId="8758"/>
    <tableColumn id="7661" xr3:uid="{B9B2764F-8F0A-4690-9088-425A9C69F53A}" name="Columna7655" dataDxfId="8757"/>
    <tableColumn id="7662" xr3:uid="{27DEB799-DFCC-41AF-9D18-8C2053329FE6}" name="Columna7656" dataDxfId="8756"/>
    <tableColumn id="7663" xr3:uid="{12187533-769D-4A2F-ACE3-41823B268192}" name="Columna7657" dataDxfId="8755"/>
    <tableColumn id="7664" xr3:uid="{271DB022-6CCF-49E1-9D2C-54E098903164}" name="Columna7658" dataDxfId="8754"/>
    <tableColumn id="7665" xr3:uid="{3628C9E1-392A-47C4-BAA9-ACD8431E2860}" name="Columna7659" dataDxfId="8753"/>
    <tableColumn id="7666" xr3:uid="{66B40A94-E62C-4BE1-86B2-7C0B8E406B4A}" name="Columna7660" dataDxfId="8752"/>
    <tableColumn id="7667" xr3:uid="{4E467577-5C23-471C-8C2B-CEF14B35EED4}" name="Columna7661" dataDxfId="8751"/>
    <tableColumn id="7668" xr3:uid="{64B9DAC2-ACDE-4380-B24F-B282EB342670}" name="Columna7662" dataDxfId="8750"/>
    <tableColumn id="7669" xr3:uid="{78FDF930-F448-4898-9AE2-9C95ED964FCC}" name="Columna7663" dataDxfId="8749"/>
    <tableColumn id="7670" xr3:uid="{840CB24C-D54F-4685-91CC-7D0F283B4821}" name="Columna7664" dataDxfId="8748"/>
    <tableColumn id="7671" xr3:uid="{A2F37BE3-8537-4FC7-BA08-6ECABEB4315F}" name="Columna7665" dataDxfId="8747"/>
    <tableColumn id="7672" xr3:uid="{BE68E530-B259-45C5-82E6-4332E03E2FD5}" name="Columna7666" dataDxfId="8746"/>
    <tableColumn id="7673" xr3:uid="{BF782822-FF7C-4C5B-8176-2C4B89E87382}" name="Columna7667" dataDxfId="8745"/>
    <tableColumn id="7674" xr3:uid="{6721E417-F3D7-408A-9B33-54FA93002F73}" name="Columna7668" dataDxfId="8744"/>
    <tableColumn id="7675" xr3:uid="{8EA36166-EEE7-4C92-8F0D-23A5A4338288}" name="Columna7669" dataDxfId="8743"/>
    <tableColumn id="7676" xr3:uid="{104668E2-BC1B-400B-AFF1-CA3961C03AA0}" name="Columna7670" dataDxfId="8742"/>
    <tableColumn id="7677" xr3:uid="{C65A6A65-E543-4468-8DD0-9AB39EB3A89C}" name="Columna7671" dataDxfId="8741"/>
    <tableColumn id="7678" xr3:uid="{DB66874C-2C23-45BA-827C-E0C9B59D14A3}" name="Columna7672" dataDxfId="8740"/>
    <tableColumn id="7679" xr3:uid="{CBEEAFEC-4B1F-42E3-8634-BCF223DC6E2D}" name="Columna7673" dataDxfId="8739"/>
    <tableColumn id="7680" xr3:uid="{09148E77-813D-45BB-875E-D13C41F06CBA}" name="Columna7674" dataDxfId="8738"/>
    <tableColumn id="7681" xr3:uid="{6B00E6C7-F5E1-4836-9352-2406BF8EE130}" name="Columna7675" dataDxfId="8737"/>
    <tableColumn id="7682" xr3:uid="{C1A64717-ACBE-4913-97A3-ACA9D14AD060}" name="Columna7676" dataDxfId="8736"/>
    <tableColumn id="7683" xr3:uid="{2291B130-620C-46C4-A1BF-78AF7E3A3CE4}" name="Columna7677" dataDxfId="8735"/>
    <tableColumn id="7684" xr3:uid="{996800C2-35F9-4532-9FE2-7047EF957C46}" name="Columna7678" dataDxfId="8734"/>
    <tableColumn id="7685" xr3:uid="{A48BFB5B-F9EE-4977-8C63-3EC4EF9B5EE1}" name="Columna7679" dataDxfId="8733"/>
    <tableColumn id="7686" xr3:uid="{633649A5-889C-4641-9116-EC28A4EB4C25}" name="Columna7680" dataDxfId="8732"/>
    <tableColumn id="7687" xr3:uid="{56C1E7AF-43A2-4F0F-8608-BFE086E24CD1}" name="Columna7681" dataDxfId="8731"/>
    <tableColumn id="7688" xr3:uid="{AF146234-3476-4637-B4BC-56315BDDECA8}" name="Columna7682" dataDxfId="8730"/>
    <tableColumn id="7689" xr3:uid="{F5EFC50A-4899-4897-AA5D-FC337B9BD7A9}" name="Columna7683" dataDxfId="8729"/>
    <tableColumn id="7690" xr3:uid="{E3A7E9AD-C99D-4D4B-8457-36F9A5CA5280}" name="Columna7684" dataDxfId="8728"/>
    <tableColumn id="7691" xr3:uid="{3B71CF82-3483-4A62-A636-8B2FBD23FFC7}" name="Columna7685" dataDxfId="8727"/>
    <tableColumn id="7692" xr3:uid="{BCBD55CC-1673-4DE4-826D-C18AF20A1974}" name="Columna7686" dataDxfId="8726"/>
    <tableColumn id="7693" xr3:uid="{61AD2F73-48C8-4A18-9225-15FC48B9E2BE}" name="Columna7687" dataDxfId="8725"/>
    <tableColumn id="7694" xr3:uid="{7896FC15-9D01-4BFE-8BCE-DE6805B37B60}" name="Columna7688" dataDxfId="8724"/>
    <tableColumn id="7695" xr3:uid="{B5E3EDBE-4BCE-4921-A5F8-124CA0E7A50C}" name="Columna7689" dataDxfId="8723"/>
    <tableColumn id="7696" xr3:uid="{BB6D35F2-9C3E-4E77-A709-A158E37C46EC}" name="Columna7690" dataDxfId="8722"/>
    <tableColumn id="7697" xr3:uid="{490DCE40-7716-443E-95F1-4FA07150B370}" name="Columna7691" dataDxfId="8721"/>
    <tableColumn id="7698" xr3:uid="{87944BDA-30AB-4231-8BD7-98864BB0FADA}" name="Columna7692" dataDxfId="8720"/>
    <tableColumn id="7699" xr3:uid="{C57D33EF-AE06-495E-AC34-638508437F9E}" name="Columna7693" dataDxfId="8719"/>
    <tableColumn id="7700" xr3:uid="{78788387-63BC-4E9E-BBB2-E9CF090B3676}" name="Columna7694" dataDxfId="8718"/>
    <tableColumn id="7701" xr3:uid="{366473C1-0CEF-448E-8DF6-6E7C042AB921}" name="Columna7695" dataDxfId="8717"/>
    <tableColumn id="7702" xr3:uid="{F17C7812-7B91-4A4B-A45D-BC414BFCD7A8}" name="Columna7696" dataDxfId="8716"/>
    <tableColumn id="7703" xr3:uid="{EF67A88C-BFF4-4BAF-9E70-E43F27458389}" name="Columna7697" dataDxfId="8715"/>
    <tableColumn id="7704" xr3:uid="{3E822D3E-5C58-487C-A51E-C25211FDF2D6}" name="Columna7698" dataDxfId="8714"/>
    <tableColumn id="7705" xr3:uid="{15971250-CA86-4A04-8696-19335598C4AC}" name="Columna7699" dataDxfId="8713"/>
    <tableColumn id="7706" xr3:uid="{8311F99C-F2B6-4FD6-B01A-D24CC1F93748}" name="Columna7700" dataDxfId="8712"/>
    <tableColumn id="7707" xr3:uid="{3214EF70-19E3-4D24-8B01-426000336138}" name="Columna7701" dataDxfId="8711"/>
    <tableColumn id="7708" xr3:uid="{EB52F150-3B50-4339-84A2-73CFA0CC656A}" name="Columna7702" dataDxfId="8710"/>
    <tableColumn id="7709" xr3:uid="{1BCFAF97-6726-4CCE-8B8E-6666414BFD98}" name="Columna7703" dataDxfId="8709"/>
    <tableColumn id="7710" xr3:uid="{7DA56C6F-E13F-4A57-90DC-2C9371BDECBD}" name="Columna7704" dataDxfId="8708"/>
    <tableColumn id="7711" xr3:uid="{C4507F72-A6BE-4110-BCA8-65CE24C46577}" name="Columna7705" dataDxfId="8707"/>
    <tableColumn id="7712" xr3:uid="{BC8F6A04-DEC2-46D3-9111-D80AD5C9E7D7}" name="Columna7706" dataDxfId="8706"/>
    <tableColumn id="7713" xr3:uid="{F58FCBC9-CAC5-4433-A5F6-65B7751B97DF}" name="Columna7707" dataDxfId="8705"/>
    <tableColumn id="7714" xr3:uid="{FFB9EFFE-1FFD-4780-B347-5777FDD3C00B}" name="Columna7708" dataDxfId="8704"/>
    <tableColumn id="7715" xr3:uid="{32D21442-FB15-47EF-B7D1-AD46F05F5BF9}" name="Columna7709" dataDxfId="8703"/>
    <tableColumn id="7716" xr3:uid="{0FF41E48-8833-4BD0-AD87-02FB82A28EB2}" name="Columna7710" dataDxfId="8702"/>
    <tableColumn id="7717" xr3:uid="{BC06CA14-509B-4961-9AD5-4E9C187155FE}" name="Columna7711" dataDxfId="8701"/>
    <tableColumn id="7718" xr3:uid="{C5338EDE-6ADB-4FE4-ABE8-C81CC626E54D}" name="Columna7712" dataDxfId="8700"/>
    <tableColumn id="7719" xr3:uid="{955AF71F-1A12-432C-819C-41D4AB2402A9}" name="Columna7713" dataDxfId="8699"/>
    <tableColumn id="7720" xr3:uid="{E47948E0-380E-45CC-ACB5-00478E3BF9B7}" name="Columna7714" dataDxfId="8698"/>
    <tableColumn id="7721" xr3:uid="{809B879D-42C1-474C-820D-7C16B10ED43C}" name="Columna7715" dataDxfId="8697"/>
    <tableColumn id="7722" xr3:uid="{340B0272-7DAB-4834-8353-4CCB43AEB26C}" name="Columna7716" dataDxfId="8696"/>
    <tableColumn id="7723" xr3:uid="{6CC7CB0B-5B67-4BA0-B945-646AB9D9E27F}" name="Columna7717" dataDxfId="8695"/>
    <tableColumn id="7724" xr3:uid="{DBA62CE2-7D07-4D81-840C-77EF0B433153}" name="Columna7718" dataDxfId="8694"/>
    <tableColumn id="7725" xr3:uid="{24AD3115-A601-40AC-8094-65FEA2A285CC}" name="Columna7719" dataDxfId="8693"/>
    <tableColumn id="7726" xr3:uid="{D59DBE27-F894-4C74-95F4-7D7A7EA0F3EC}" name="Columna7720" dataDxfId="8692"/>
    <tableColumn id="7727" xr3:uid="{708A8BFC-423A-4BBE-8608-0DD6A815F662}" name="Columna7721" dataDxfId="8691"/>
    <tableColumn id="7728" xr3:uid="{CAA14A6D-9AFF-4FA0-B3D5-30D36ED4E547}" name="Columna7722" dataDxfId="8690"/>
    <tableColumn id="7729" xr3:uid="{DBA2D0C0-8FD5-4F62-872C-AF1AAEEA4638}" name="Columna7723" dataDxfId="8689"/>
    <tableColumn id="7730" xr3:uid="{E6F1F14D-B406-41AA-A79F-DEC5BAF32634}" name="Columna7724" dataDxfId="8688"/>
    <tableColumn id="7731" xr3:uid="{40246B4F-DDC3-43E1-BD54-8A17F01DC7A6}" name="Columna7725" dataDxfId="8687"/>
    <tableColumn id="7732" xr3:uid="{A4173970-BFBE-448B-96A9-34B706F1D137}" name="Columna7726" dataDxfId="8686"/>
    <tableColumn id="7733" xr3:uid="{987509F2-AB56-49B1-A84E-EA5548BE0AA5}" name="Columna7727" dataDxfId="8685"/>
    <tableColumn id="7734" xr3:uid="{F5F805FB-3A08-4DBB-BA13-9C1B30D10E77}" name="Columna7728" dataDxfId="8684"/>
    <tableColumn id="7735" xr3:uid="{ADF70B23-2311-46A7-829B-0C7C525032DB}" name="Columna7729" dataDxfId="8683"/>
    <tableColumn id="7736" xr3:uid="{30458946-A59E-49FF-A37C-94D2DDF23585}" name="Columna7730" dataDxfId="8682"/>
    <tableColumn id="7737" xr3:uid="{8B6DB0C8-CF4C-49CA-8E1D-B0316F8F9D41}" name="Columna7731" dataDxfId="8681"/>
    <tableColumn id="7738" xr3:uid="{E128ED56-23CD-4C54-BB40-37EA0F942F55}" name="Columna7732" dataDxfId="8680"/>
    <tableColumn id="7739" xr3:uid="{0A80E37C-8154-4134-B84F-DDEBA1DF7730}" name="Columna7733" dataDxfId="8679"/>
    <tableColumn id="7740" xr3:uid="{82C8297D-5DC6-410B-A2CD-354DF69D11CA}" name="Columna7734" dataDxfId="8678"/>
    <tableColumn id="7741" xr3:uid="{FAC62BF7-A439-4AF3-B353-FC35F0F8ED8C}" name="Columna7735" dataDxfId="8677"/>
    <tableColumn id="7742" xr3:uid="{5695A442-2768-40C1-9376-3C51295D39AD}" name="Columna7736" dataDxfId="8676"/>
    <tableColumn id="7743" xr3:uid="{1D37AD5D-7D34-495F-97F5-90A873D115B8}" name="Columna7737" dataDxfId="8675"/>
    <tableColumn id="7744" xr3:uid="{8A065D1E-51CA-4642-99CA-7AC7FB3B9F50}" name="Columna7738" dataDxfId="8674"/>
    <tableColumn id="7745" xr3:uid="{D4A07FDE-4515-47BC-8064-624F79ED5072}" name="Columna7739" dataDxfId="8673"/>
    <tableColumn id="7746" xr3:uid="{59FAAF0B-23B1-4D50-AB5E-B9F0642A4262}" name="Columna7740" dataDxfId="8672"/>
    <tableColumn id="7747" xr3:uid="{B0C9F572-5B47-4AF5-94C4-5D86223F13F5}" name="Columna7741" dataDxfId="8671"/>
    <tableColumn id="7748" xr3:uid="{DBB86D65-178A-4A0B-BE2C-40A5D2B6A0D9}" name="Columna7742" dataDxfId="8670"/>
    <tableColumn id="7749" xr3:uid="{E46B6161-BA7A-4039-AE65-1BB9975BB3A5}" name="Columna7743" dataDxfId="8669"/>
    <tableColumn id="7750" xr3:uid="{87129E0A-0494-493C-8188-9A07F4D16F9A}" name="Columna7744" dataDxfId="8668"/>
    <tableColumn id="7751" xr3:uid="{D5870357-A4F5-4444-9F0A-BD6E9E4127CB}" name="Columna7745" dataDxfId="8667"/>
    <tableColumn id="7752" xr3:uid="{03938404-B5B5-4E48-8D24-587E8ABD6634}" name="Columna7746" dataDxfId="8666"/>
    <tableColumn id="7753" xr3:uid="{9C685F6B-2822-4918-82A6-4C51F4CD1053}" name="Columna7747" dataDxfId="8665"/>
    <tableColumn id="7754" xr3:uid="{63FC98EC-D981-4060-ADBD-4A5FF22ACED5}" name="Columna7748" dataDxfId="8664"/>
    <tableColumn id="7755" xr3:uid="{70611AE7-0E96-4CD2-936B-30EDDD1B0F16}" name="Columna7749" dataDxfId="8663"/>
    <tableColumn id="7756" xr3:uid="{0ECD0F16-BE05-4351-8226-A2C7D303280F}" name="Columna7750" dataDxfId="8662"/>
    <tableColumn id="7757" xr3:uid="{8CF65745-24A5-4525-B4D7-975F0D639658}" name="Columna7751" dataDxfId="8661"/>
    <tableColumn id="7758" xr3:uid="{C02B6CFC-D31B-42C5-BA41-DE4377F09615}" name="Columna7752" dataDxfId="8660"/>
    <tableColumn id="7759" xr3:uid="{B963DE11-6ADD-4CE4-91EE-E044B8B2862F}" name="Columna7753" dataDxfId="8659"/>
    <tableColumn id="7760" xr3:uid="{B585849A-5FCC-4FF5-B6E2-93BD60768E63}" name="Columna7754" dataDxfId="8658"/>
    <tableColumn id="7761" xr3:uid="{C79EEB33-1D6C-4956-B48D-B800A8F0FAC1}" name="Columna7755" dataDxfId="8657"/>
    <tableColumn id="7762" xr3:uid="{92296BE0-A355-4924-8F18-708179C9689F}" name="Columna7756" dataDxfId="8656"/>
    <tableColumn id="7763" xr3:uid="{812F9AB9-D5A9-45FE-9450-2E134A3C6617}" name="Columna7757" dataDxfId="8655"/>
    <tableColumn id="7764" xr3:uid="{C03B8C59-2E45-47A5-81A6-0A3B7F2103DB}" name="Columna7758" dataDxfId="8654"/>
    <tableColumn id="7765" xr3:uid="{7D356B8A-F02E-4AEF-865C-6F0A3830022C}" name="Columna7759" dataDxfId="8653"/>
    <tableColumn id="7766" xr3:uid="{3436F799-A621-49F8-BA2B-EB68D49B01C1}" name="Columna7760" dataDxfId="8652"/>
    <tableColumn id="7767" xr3:uid="{851356F8-4FDF-4CEE-A2FC-6F7A39D7A09B}" name="Columna7761" dataDxfId="8651"/>
    <tableColumn id="7768" xr3:uid="{F8EF8D84-8DFD-4CD6-82A2-075FAFF915E3}" name="Columna7762" dataDxfId="8650"/>
    <tableColumn id="7769" xr3:uid="{B3B64EE3-BE14-4073-8111-D42CED093DAA}" name="Columna7763" dataDxfId="8649"/>
    <tableColumn id="7770" xr3:uid="{E1F9F0FF-E11B-4661-9646-1ADAC1EC4E58}" name="Columna7764" dataDxfId="8648"/>
    <tableColumn id="7771" xr3:uid="{92144A43-A005-4DFE-9FC3-E4BEFF380879}" name="Columna7765" dataDxfId="8647"/>
    <tableColumn id="7772" xr3:uid="{0B24E2DE-DE67-47C4-9FBA-45D58BD80BCF}" name="Columna7766" dataDxfId="8646"/>
    <tableColumn id="7773" xr3:uid="{BDD7932D-0632-44C9-92CD-16430891E457}" name="Columna7767" dataDxfId="8645"/>
    <tableColumn id="7774" xr3:uid="{23423A20-D474-4DC1-B874-F9A8DB10E821}" name="Columna7768" dataDxfId="8644"/>
    <tableColumn id="7775" xr3:uid="{B58E39E6-284D-4555-8424-413B3C6358B6}" name="Columna7769" dataDxfId="8643"/>
    <tableColumn id="7776" xr3:uid="{4B5D5E38-1E46-4E50-8BB2-7150D964B7AE}" name="Columna7770" dataDxfId="8642"/>
    <tableColumn id="7777" xr3:uid="{1F8B7E43-0157-40F5-BD59-758C20958437}" name="Columna7771" dataDxfId="8641"/>
    <tableColumn id="7778" xr3:uid="{BACE1760-3915-4A85-9A83-D23DBED531A3}" name="Columna7772" dataDxfId="8640"/>
    <tableColumn id="7779" xr3:uid="{AAA981B4-A178-4837-9D33-5E042BD5A250}" name="Columna7773" dataDxfId="8639"/>
    <tableColumn id="7780" xr3:uid="{96D40676-377A-4597-97B9-9C0694B4D472}" name="Columna7774" dataDxfId="8638"/>
    <tableColumn id="7781" xr3:uid="{ED0D011E-5ED5-4C70-84D3-5C2ECF4596B6}" name="Columna7775" dataDxfId="8637"/>
    <tableColumn id="7782" xr3:uid="{3306E18B-959C-491D-80D4-10029DCF031C}" name="Columna7776" dataDxfId="8636"/>
    <tableColumn id="7783" xr3:uid="{FDEBDE21-E22C-4AB0-A43B-28470AD25CEF}" name="Columna7777" dataDxfId="8635"/>
    <tableColumn id="7784" xr3:uid="{AB95B813-D87F-48C7-8652-80B9FD03C199}" name="Columna7778" dataDxfId="8634"/>
    <tableColumn id="7785" xr3:uid="{3FB6DEF4-7AF6-4357-930D-CCCD67CEC174}" name="Columna7779" dataDxfId="8633"/>
    <tableColumn id="7786" xr3:uid="{0E1EC8DC-74BD-4ADE-AE60-15D23125C234}" name="Columna7780" dataDxfId="8632"/>
    <tableColumn id="7787" xr3:uid="{DDDB44D3-1C01-4F48-82C4-DF40862DCEAD}" name="Columna7781" dataDxfId="8631"/>
    <tableColumn id="7788" xr3:uid="{62987242-127A-42DD-A0EF-5705E0ECEE2D}" name="Columna7782" dataDxfId="8630"/>
    <tableColumn id="7789" xr3:uid="{0DCE4BD5-DA1F-4C32-BF5D-734B7C34DDE9}" name="Columna7783" dataDxfId="8629"/>
    <tableColumn id="7790" xr3:uid="{B1C106B9-19AD-47F2-A81C-810A7BB92FBF}" name="Columna7784" dataDxfId="8628"/>
    <tableColumn id="7791" xr3:uid="{E691333C-8A16-409A-923A-1AC5A08A3DE6}" name="Columna7785" dataDxfId="8627"/>
    <tableColumn id="7792" xr3:uid="{D43F576E-CEED-4A32-875B-8F99CBD7EA44}" name="Columna7786" dataDxfId="8626"/>
    <tableColumn id="7793" xr3:uid="{6B097B6F-7F8B-48DB-84AE-CBB7FC3C13DB}" name="Columna7787" dataDxfId="8625"/>
    <tableColumn id="7794" xr3:uid="{4F1ED64F-8FCE-4DA8-A540-4585E06B27AC}" name="Columna7788" dataDxfId="8624"/>
    <tableColumn id="7795" xr3:uid="{464ED793-02D8-4586-B038-7802DBD05A18}" name="Columna7789" dataDxfId="8623"/>
    <tableColumn id="7796" xr3:uid="{90EC01D3-97C0-45F9-A7AD-003B589F3509}" name="Columna7790" dataDxfId="8622"/>
    <tableColumn id="7797" xr3:uid="{C6CA2B70-72CA-4E65-9C18-DF9689EE0FAE}" name="Columna7791" dataDxfId="8621"/>
    <tableColumn id="7798" xr3:uid="{A5C8937A-9A01-441B-96D8-FB05553BB410}" name="Columna7792" dataDxfId="8620"/>
    <tableColumn id="7799" xr3:uid="{52169FA9-148F-4E26-BF11-108226A243C9}" name="Columna7793" dataDxfId="8619"/>
    <tableColumn id="7800" xr3:uid="{B80AA752-6F79-4254-81B5-64D7C1BCC782}" name="Columna7794" dataDxfId="8618"/>
    <tableColumn id="7801" xr3:uid="{B742E076-5A2F-41A9-BDF8-764ABBCE366F}" name="Columna7795" dataDxfId="8617"/>
    <tableColumn id="7802" xr3:uid="{E4AED7E0-6EFF-4E57-9C1E-F28C47B5B830}" name="Columna7796" dataDxfId="8616"/>
    <tableColumn id="7803" xr3:uid="{E4008DCC-E21A-4506-801F-E9AEA3D46822}" name="Columna7797" dataDxfId="8615"/>
    <tableColumn id="7804" xr3:uid="{7C68E147-54E4-4328-95D0-2B31A5563239}" name="Columna7798" dataDxfId="8614"/>
    <tableColumn id="7805" xr3:uid="{AC32E04D-F218-4CCB-B7E5-CB74AA92E87B}" name="Columna7799" dataDxfId="8613"/>
    <tableColumn id="7806" xr3:uid="{D2629ABA-E19D-4527-B5F4-FDC60F5ABD5D}" name="Columna7800" dataDxfId="8612"/>
    <tableColumn id="7807" xr3:uid="{CD5BD80E-48FA-49C8-8180-9E5DF9BCB891}" name="Columna7801" dataDxfId="8611"/>
    <tableColumn id="7808" xr3:uid="{0F2448EC-CDD4-421D-BAE3-8FFDAE2DDFF5}" name="Columna7802" dataDxfId="8610"/>
    <tableColumn id="7809" xr3:uid="{5710B3A6-6BA3-4EA3-9E21-27B8A1A4F159}" name="Columna7803" dataDxfId="8609"/>
    <tableColumn id="7810" xr3:uid="{EBECDB71-50AA-4992-9D34-5BD1935C91C6}" name="Columna7804" dataDxfId="8608"/>
    <tableColumn id="7811" xr3:uid="{B3CA3AB1-213A-4512-B94E-F81FCF97B663}" name="Columna7805" dataDxfId="8607"/>
    <tableColumn id="7812" xr3:uid="{D24DBC69-DD79-4A1C-9BEC-F64C2D084F1F}" name="Columna7806" dataDxfId="8606"/>
    <tableColumn id="7813" xr3:uid="{1062CD39-FA4B-4188-BAC3-74F78E994F0B}" name="Columna7807" dataDxfId="8605"/>
    <tableColumn id="7814" xr3:uid="{8D1C28DC-D4D2-4557-AC31-1B3A63A02CA4}" name="Columna7808" dataDxfId="8604"/>
    <tableColumn id="7815" xr3:uid="{BDE27662-3A3C-4768-AE05-018138DBCADA}" name="Columna7809" dataDxfId="8603"/>
    <tableColumn id="7816" xr3:uid="{A8910F79-9E95-4199-AE09-8879880D49A6}" name="Columna7810" dataDxfId="8602"/>
    <tableColumn id="7817" xr3:uid="{9C8A2AEC-0C8F-4A26-8791-CB2CA91FCE80}" name="Columna7811" dataDxfId="8601"/>
    <tableColumn id="7818" xr3:uid="{D1936127-B9FD-4CBC-B53C-89F75C36D00A}" name="Columna7812" dataDxfId="8600"/>
    <tableColumn id="7819" xr3:uid="{2E7F8D83-EEA3-4F1F-A702-F936C038C58F}" name="Columna7813" dataDxfId="8599"/>
    <tableColumn id="7820" xr3:uid="{779375EB-F8D8-4040-A3C4-BF09AD389039}" name="Columna7814" dataDxfId="8598"/>
    <tableColumn id="7821" xr3:uid="{10F1D520-3977-4F9C-8D92-E09D34938235}" name="Columna7815" dataDxfId="8597"/>
    <tableColumn id="7822" xr3:uid="{E656D1E2-7772-4A13-82F1-83F119790543}" name="Columna7816" dataDxfId="8596"/>
    <tableColumn id="7823" xr3:uid="{DCB89BA5-6A72-4E57-9CCF-6A01C55D8F6B}" name="Columna7817" dataDxfId="8595"/>
    <tableColumn id="7824" xr3:uid="{35C7A4A1-694A-4895-A14F-7D85FB0EC0B8}" name="Columna7818" dataDxfId="8594"/>
    <tableColumn id="7825" xr3:uid="{13609C19-C442-4BEC-A2E2-D8A9EC7B6D12}" name="Columna7819" dataDxfId="8593"/>
    <tableColumn id="7826" xr3:uid="{BD434307-1229-4817-A46A-B4817C4C6735}" name="Columna7820" dataDxfId="8592"/>
    <tableColumn id="7827" xr3:uid="{C8994261-02F5-48B4-B1C9-ED9E52DE21EB}" name="Columna7821" dataDxfId="8591"/>
    <tableColumn id="7828" xr3:uid="{AF6590D7-AAD2-4EBE-BF83-0E4A53D8D2B0}" name="Columna7822" dataDxfId="8590"/>
    <tableColumn id="7829" xr3:uid="{A93A255F-32C8-4816-A34F-D7836276A0F4}" name="Columna7823" dataDxfId="8589"/>
    <tableColumn id="7830" xr3:uid="{643DF7CD-BA4E-43F5-A192-9C5A7A1BD148}" name="Columna7824" dataDxfId="8588"/>
    <tableColumn id="7831" xr3:uid="{2DF6180A-3866-4F13-B537-5C65C94336EB}" name="Columna7825" dataDxfId="8587"/>
    <tableColumn id="7832" xr3:uid="{C14E9F5B-E0F3-4E10-9C5F-3A02B05E2297}" name="Columna7826" dataDxfId="8586"/>
    <tableColumn id="7833" xr3:uid="{93E692B2-79FA-459A-8F42-6506DD378E3A}" name="Columna7827" dataDxfId="8585"/>
    <tableColumn id="7834" xr3:uid="{49FC5633-8FC7-49B2-8569-8AA9191738CD}" name="Columna7828" dataDxfId="8584"/>
    <tableColumn id="7835" xr3:uid="{069ACC35-5E3A-456D-97CB-64CE4EEBDFD2}" name="Columna7829" dataDxfId="8583"/>
    <tableColumn id="7836" xr3:uid="{280AC80C-E255-4196-8CCA-DAE601F95FC1}" name="Columna7830" dataDxfId="8582"/>
    <tableColumn id="7837" xr3:uid="{1AED5AF3-BFA8-4100-9680-42E85BB0200F}" name="Columna7831" dataDxfId="8581"/>
    <tableColumn id="7838" xr3:uid="{80E3023C-25A5-4A25-B425-C862FCD58C0C}" name="Columna7832" dataDxfId="8580"/>
    <tableColumn id="7839" xr3:uid="{AB1CAF48-4DAD-41E5-9234-68D82121494B}" name="Columna7833" dataDxfId="8579"/>
    <tableColumn id="7840" xr3:uid="{D4526160-25C0-4E83-BA50-C2BE4760F2C2}" name="Columna7834" dataDxfId="8578"/>
    <tableColumn id="7841" xr3:uid="{BF1D27BC-F7E8-4EDB-A75D-985AD3D559EE}" name="Columna7835" dataDxfId="8577"/>
    <tableColumn id="7842" xr3:uid="{A17F50D6-83BB-499B-BC2D-B5030F98392D}" name="Columna7836" dataDxfId="8576"/>
    <tableColumn id="7843" xr3:uid="{3986BE1F-3CCA-4768-A193-D2A7FB7659CB}" name="Columna7837" dataDxfId="8575"/>
    <tableColumn id="7844" xr3:uid="{3B665CD5-C536-431A-974F-A69D20B04B35}" name="Columna7838" dataDxfId="8574"/>
    <tableColumn id="7845" xr3:uid="{52A8A285-9DF6-43FD-96DB-DCE950EE6AA3}" name="Columna7839" dataDxfId="8573"/>
    <tableColumn id="7846" xr3:uid="{E8668203-3484-4425-B5B2-93C49455A9CF}" name="Columna7840" dataDxfId="8572"/>
    <tableColumn id="7847" xr3:uid="{DEBAA54B-150C-41D1-8CC7-C2B7B1404204}" name="Columna7841" dataDxfId="8571"/>
    <tableColumn id="7848" xr3:uid="{9B1870D7-DA05-46DF-9430-059F0AF88C06}" name="Columna7842" dataDxfId="8570"/>
    <tableColumn id="7849" xr3:uid="{8212CA8B-5230-4049-8CBC-3D52248B5893}" name="Columna7843" dataDxfId="8569"/>
    <tableColumn id="7850" xr3:uid="{D6B85C7B-6C0A-40CA-87E4-192DA0D08BB8}" name="Columna7844" dataDxfId="8568"/>
    <tableColumn id="7851" xr3:uid="{01969840-87D3-49D5-9D79-E6C15E6D1EBB}" name="Columna7845" dataDxfId="8567"/>
    <tableColumn id="7852" xr3:uid="{9D91E28B-CF86-48D0-9AEC-8EE5E4428AEA}" name="Columna7846" dataDxfId="8566"/>
    <tableColumn id="7853" xr3:uid="{FD2E8C6A-9096-4BD4-8D12-7970D5C2C24F}" name="Columna7847" dataDxfId="8565"/>
    <tableColumn id="7854" xr3:uid="{BB17B3B9-CD9F-4618-8605-1178942D2A95}" name="Columna7848" dataDxfId="8564"/>
    <tableColumn id="7855" xr3:uid="{77811FF4-C9CA-4869-BC04-5C2F4E4A3956}" name="Columna7849" dataDxfId="8563"/>
    <tableColumn id="7856" xr3:uid="{509087A4-2C06-4842-8E33-795627E69C5F}" name="Columna7850" dataDxfId="8562"/>
    <tableColumn id="7857" xr3:uid="{CDD4DB80-3C57-4244-AC0B-74D578B1177C}" name="Columna7851" dataDxfId="8561"/>
    <tableColumn id="7858" xr3:uid="{E0F69DB1-A903-4021-A2F8-F225A5EDE39B}" name="Columna7852" dataDxfId="8560"/>
    <tableColumn id="7859" xr3:uid="{C057E1EE-57B2-40FA-B6E7-E2D7A667788B}" name="Columna7853" dataDxfId="8559"/>
    <tableColumn id="7860" xr3:uid="{17FBFB87-BE97-407C-8691-5DF02BD97F4D}" name="Columna7854" dataDxfId="8558"/>
    <tableColumn id="7861" xr3:uid="{BFD7FF31-8C4F-488C-8F9D-CC465F41F2F5}" name="Columna7855" dataDxfId="8557"/>
    <tableColumn id="7862" xr3:uid="{8F8915EE-F835-408E-8960-30EB3FD58477}" name="Columna7856" dataDxfId="8556"/>
    <tableColumn id="7863" xr3:uid="{14E4E1AE-41E3-4126-B76F-49B7B91B9671}" name="Columna7857" dataDxfId="8555"/>
    <tableColumn id="7864" xr3:uid="{468B9962-F0C3-42D4-B5D5-EA4C3DDFC92C}" name="Columna7858" dataDxfId="8554"/>
    <tableColumn id="7865" xr3:uid="{F271A6F3-2356-4051-8363-3079D8626914}" name="Columna7859" dataDxfId="8553"/>
    <tableColumn id="7866" xr3:uid="{EE4AFD98-DBBF-41B7-BF4B-7EF0F10F9840}" name="Columna7860" dataDxfId="8552"/>
    <tableColumn id="7867" xr3:uid="{B4BBDED8-A835-41C2-B9B3-F5063088D12D}" name="Columna7861" dataDxfId="8551"/>
    <tableColumn id="7868" xr3:uid="{BA08E9BF-D35E-472C-9440-692450A8573D}" name="Columna7862" dataDxfId="8550"/>
    <tableColumn id="7869" xr3:uid="{EEF37B05-2620-4C59-9309-3BD540479811}" name="Columna7863" dataDxfId="8549"/>
    <tableColumn id="7870" xr3:uid="{E08CDCE7-4FEA-42F9-8020-F8111071BDDE}" name="Columna7864" dataDxfId="8548"/>
    <tableColumn id="7871" xr3:uid="{8C1C4A81-0FF5-4F3D-9CA3-0382103FFB2C}" name="Columna7865" dataDxfId="8547"/>
    <tableColumn id="7872" xr3:uid="{4E299C2B-093A-45BD-B29E-ADB903ED1990}" name="Columna7866" dataDxfId="8546"/>
    <tableColumn id="7873" xr3:uid="{440F4B0A-5C5D-4A9D-971D-1082E9124454}" name="Columna7867" dataDxfId="8545"/>
    <tableColumn id="7874" xr3:uid="{E9E770A2-36E4-4C38-8700-992A008123B4}" name="Columna7868" dataDxfId="8544"/>
    <tableColumn id="7875" xr3:uid="{2E3D502A-5B24-403C-9D54-1ED623688053}" name="Columna7869" dataDxfId="8543"/>
    <tableColumn id="7876" xr3:uid="{2C2620ED-57E6-463C-846B-7A8D4869241B}" name="Columna7870" dataDxfId="8542"/>
    <tableColumn id="7877" xr3:uid="{DEA6DC37-D069-499C-B999-C62C982C9CCC}" name="Columna7871" dataDxfId="8541"/>
    <tableColumn id="7878" xr3:uid="{BC02F98A-FE84-4240-AD6A-4E29C586CE72}" name="Columna7872" dataDxfId="8540"/>
    <tableColumn id="7879" xr3:uid="{0B08D6EA-3906-45EC-B62C-82AD750F7FC9}" name="Columna7873" dataDxfId="8539"/>
    <tableColumn id="7880" xr3:uid="{5EFDFCED-9144-4211-86C2-C8DA3A76B590}" name="Columna7874" dataDxfId="8538"/>
    <tableColumn id="7881" xr3:uid="{04BBE0CB-D1F2-430D-96D3-154016CC3E6A}" name="Columna7875" dataDxfId="8537"/>
    <tableColumn id="7882" xr3:uid="{9BC5494F-C2B7-494B-BF1E-4E393C330B71}" name="Columna7876" dataDxfId="8536"/>
    <tableColumn id="7883" xr3:uid="{D6CB7D81-7C52-4A26-A550-D2B60E8737FD}" name="Columna7877" dataDxfId="8535"/>
    <tableColumn id="7884" xr3:uid="{F57F8328-7B21-4987-B502-2CDEC9D5E5F4}" name="Columna7878" dataDxfId="8534"/>
    <tableColumn id="7885" xr3:uid="{53A620EF-FA01-4517-9A01-1B41B49FEC0A}" name="Columna7879" dataDxfId="8533"/>
    <tableColumn id="7886" xr3:uid="{2A2AE0DA-868E-4C99-B32C-C8ED55ED23DB}" name="Columna7880" dataDxfId="8532"/>
    <tableColumn id="7887" xr3:uid="{9EC7FEEF-3C56-4CF3-A212-4FD20B55AA46}" name="Columna7881" dataDxfId="8531"/>
    <tableColumn id="7888" xr3:uid="{AA90FFBC-1F0A-4F80-ABF1-B1332919140E}" name="Columna7882" dataDxfId="8530"/>
    <tableColumn id="7889" xr3:uid="{B06F5F12-8FAA-4447-AB8C-BB8861CDA640}" name="Columna7883" dataDxfId="8529"/>
    <tableColumn id="7890" xr3:uid="{48D2841D-EE7E-4B85-8B38-A3C3BF8C0665}" name="Columna7884" dataDxfId="8528"/>
    <tableColumn id="7891" xr3:uid="{0343C65C-302B-4829-9D9C-942D9B562D11}" name="Columna7885" dataDxfId="8527"/>
    <tableColumn id="7892" xr3:uid="{EE7A0718-D16B-4FFD-97CC-A068880FCE25}" name="Columna7886" dataDxfId="8526"/>
    <tableColumn id="7893" xr3:uid="{D735EB38-97C2-4C1D-AABA-83F37B4BB552}" name="Columna7887" dataDxfId="8525"/>
    <tableColumn id="7894" xr3:uid="{D636E7AA-5EA8-48FA-AF92-A4C6646137ED}" name="Columna7888" dataDxfId="8524"/>
    <tableColumn id="7895" xr3:uid="{41E86335-7CC1-4A07-816C-BA8E4FB892D4}" name="Columna7889" dataDxfId="8523"/>
    <tableColumn id="7896" xr3:uid="{996C1399-5835-4375-9649-802192677476}" name="Columna7890" dataDxfId="8522"/>
    <tableColumn id="7897" xr3:uid="{914FC2EA-0B6B-4BE1-8D98-A4EC4C5AE170}" name="Columna7891" dataDxfId="8521"/>
    <tableColumn id="7898" xr3:uid="{CA046388-BAB1-4329-912F-B5F209941771}" name="Columna7892" dataDxfId="8520"/>
    <tableColumn id="7899" xr3:uid="{EFB61981-5E96-44E9-B63D-712B24E37D2F}" name="Columna7893" dataDxfId="8519"/>
    <tableColumn id="7900" xr3:uid="{50D79ABC-085D-4448-B5F2-1A28AFC957C4}" name="Columna7894" dataDxfId="8518"/>
    <tableColumn id="7901" xr3:uid="{0C4F503A-AEFA-49ED-AA6E-AAF6B0F5D069}" name="Columna7895" dataDxfId="8517"/>
    <tableColumn id="7902" xr3:uid="{9FB3EA3D-EFDE-481A-AF7C-723917896EF2}" name="Columna7896" dataDxfId="8516"/>
    <tableColumn id="7903" xr3:uid="{B3464031-21FA-48D3-BFDD-C9DF384A276D}" name="Columna7897" dataDxfId="8515"/>
    <tableColumn id="7904" xr3:uid="{C8240D35-443C-4AEA-85E1-5F55B0A9B067}" name="Columna7898" dataDxfId="8514"/>
    <tableColumn id="7905" xr3:uid="{73CE6964-5FC8-42E4-B66B-E2247FE03217}" name="Columna7899" dataDxfId="8513"/>
    <tableColumn id="7906" xr3:uid="{77FD3231-DFBF-47F7-AC2A-D90CA27366A7}" name="Columna7900" dataDxfId="8512"/>
    <tableColumn id="7907" xr3:uid="{A6F6FA93-759A-4BF5-A02D-5890822B8B38}" name="Columna7901" dataDxfId="8511"/>
    <tableColumn id="7908" xr3:uid="{C156C6FA-7E93-4D55-ACC1-B747CACB2F84}" name="Columna7902" dataDxfId="8510"/>
    <tableColumn id="7909" xr3:uid="{E911BFA6-078B-4FC8-8913-1DC281A58C66}" name="Columna7903" dataDxfId="8509"/>
    <tableColumn id="7910" xr3:uid="{A423EFD8-FAA9-4FB5-A632-8602C2152FC1}" name="Columna7904" dataDxfId="8508"/>
    <tableColumn id="7911" xr3:uid="{7ADC995A-3DA4-4F2D-8B5A-8CBC422FECC9}" name="Columna7905" dataDxfId="8507"/>
    <tableColumn id="7912" xr3:uid="{8AF44143-9067-4993-ADB9-D28C2DE0BA3A}" name="Columna7906" dataDxfId="8506"/>
    <tableColumn id="7913" xr3:uid="{ED703675-E22A-4E56-94D8-97F883C5C2AD}" name="Columna7907" dataDxfId="8505"/>
    <tableColumn id="7914" xr3:uid="{1C1A6145-F98A-48C0-85B1-961A06293ED0}" name="Columna7908" dataDxfId="8504"/>
    <tableColumn id="7915" xr3:uid="{2F84713E-A9D4-4C90-95FF-4152C5B53A93}" name="Columna7909" dataDxfId="8503"/>
    <tableColumn id="7916" xr3:uid="{C6D9693E-BC88-44DE-9757-549757AF523D}" name="Columna7910" dataDxfId="8502"/>
    <tableColumn id="7917" xr3:uid="{DA27EFF7-A7CC-45F2-BE9F-BFBF8DB9B603}" name="Columna7911" dataDxfId="8501"/>
    <tableColumn id="7918" xr3:uid="{8CBE38E6-810B-4FA2-ACC5-6813941B9C02}" name="Columna7912" dataDxfId="8500"/>
    <tableColumn id="7919" xr3:uid="{F649EB32-81F1-4C7C-B468-6EE836A3AE67}" name="Columna7913" dataDxfId="8499"/>
    <tableColumn id="7920" xr3:uid="{563F4986-DF58-4DC1-A280-7FE6806CF546}" name="Columna7914" dataDxfId="8498"/>
    <tableColumn id="7921" xr3:uid="{076DA39C-D518-4FF1-9CCC-022F49365D51}" name="Columna7915" dataDxfId="8497"/>
    <tableColumn id="7922" xr3:uid="{A818C524-559A-44B3-905A-8F63CF563B19}" name="Columna7916" dataDxfId="8496"/>
    <tableColumn id="7923" xr3:uid="{977F11D2-1E2E-4719-96FD-97F9F36601B9}" name="Columna7917" dataDxfId="8495"/>
    <tableColumn id="7924" xr3:uid="{0CBA2ED4-70BC-48F7-9BBB-558111550B0B}" name="Columna7918" dataDxfId="8494"/>
    <tableColumn id="7925" xr3:uid="{C051D325-B459-4B41-9592-32E8F9771E2A}" name="Columna7919" dataDxfId="8493"/>
    <tableColumn id="7926" xr3:uid="{41547F5D-12B6-4129-B058-4E65A0500483}" name="Columna7920" dataDxfId="8492"/>
    <tableColumn id="7927" xr3:uid="{AB4ACE53-5ECB-4421-87B4-A94ECCCC41DE}" name="Columna7921" dataDxfId="8491"/>
    <tableColumn id="7928" xr3:uid="{0D08364E-DB64-4DAE-8A49-8084690A92E3}" name="Columna7922" dataDxfId="8490"/>
    <tableColumn id="7929" xr3:uid="{019926E2-A463-4E81-B31E-C405780D8754}" name="Columna7923" dataDxfId="8489"/>
    <tableColumn id="7930" xr3:uid="{5F54DBCF-D8AF-4232-A09E-031CA1B330B2}" name="Columna7924" dataDxfId="8488"/>
    <tableColumn id="7931" xr3:uid="{0A8C205C-5CF6-44BC-8E7A-710DF891AF3C}" name="Columna7925" dataDxfId="8487"/>
    <tableColumn id="7932" xr3:uid="{4FF6C865-AAD8-4109-94A8-EB38C22AE029}" name="Columna7926" dataDxfId="8486"/>
    <tableColumn id="7933" xr3:uid="{6EC2913D-302D-44F0-99A2-E76CFA24B57E}" name="Columna7927" dataDxfId="8485"/>
    <tableColumn id="7934" xr3:uid="{D510E5B7-DAC3-4DCF-8A84-8FA424504A4E}" name="Columna7928" dataDxfId="8484"/>
    <tableColumn id="7935" xr3:uid="{C4B419DC-B0FB-4E67-96F9-29A26D4A15F9}" name="Columna7929" dataDxfId="8483"/>
    <tableColumn id="7936" xr3:uid="{2D6A5533-1A94-46D5-A7F2-053B1041AF49}" name="Columna7930" dataDxfId="8482"/>
    <tableColumn id="7937" xr3:uid="{D4AF9AFC-A014-41C6-A648-9CC2E3615D13}" name="Columna7931" dataDxfId="8481"/>
    <tableColumn id="7938" xr3:uid="{E982C260-B6D9-4F88-A522-AD738C4986D7}" name="Columna7932" dataDxfId="8480"/>
    <tableColumn id="7939" xr3:uid="{7478FFCD-9DB2-47AD-8CBE-6654FFAE3015}" name="Columna7933" dataDxfId="8479"/>
    <tableColumn id="7940" xr3:uid="{F1BC8325-7E6D-4AF6-B785-335348838F00}" name="Columna7934" dataDxfId="8478"/>
    <tableColumn id="7941" xr3:uid="{BF365AEF-47F8-4BCB-8752-DA3F56A98E13}" name="Columna7935" dataDxfId="8477"/>
    <tableColumn id="7942" xr3:uid="{F2F3D2E3-30DA-4DA2-AA18-3548B4F85FCD}" name="Columna7936" dataDxfId="8476"/>
    <tableColumn id="7943" xr3:uid="{96C92246-9589-4C41-A8CB-A23852A10B85}" name="Columna7937" dataDxfId="8475"/>
    <tableColumn id="7944" xr3:uid="{FB16AEC2-CBC4-49B7-95CC-C08BB11C7101}" name="Columna7938" dataDxfId="8474"/>
    <tableColumn id="7945" xr3:uid="{46B87955-4F1B-4759-99A9-48D9E83B792A}" name="Columna7939" dataDxfId="8473"/>
    <tableColumn id="7946" xr3:uid="{7DC25FAF-EC4E-4C0B-854E-779C2A3C295D}" name="Columna7940" dataDxfId="8472"/>
    <tableColumn id="7947" xr3:uid="{BBF66351-EEB3-4517-AE99-0D6C6D4F99DD}" name="Columna7941" dataDxfId="8471"/>
    <tableColumn id="7948" xr3:uid="{4F70DC85-814A-4E43-9242-97F73F29AADD}" name="Columna7942" dataDxfId="8470"/>
    <tableColumn id="7949" xr3:uid="{881641B5-BCE1-4DBA-9160-6E954C340F93}" name="Columna7943" dataDxfId="8469"/>
    <tableColumn id="7950" xr3:uid="{40750A7E-EF07-4A77-8C54-9F12CB49D260}" name="Columna7944" dataDxfId="8468"/>
    <tableColumn id="7951" xr3:uid="{AE681493-6648-4823-B3D7-9286D0990C37}" name="Columna7945" dataDxfId="8467"/>
    <tableColumn id="7952" xr3:uid="{039912AE-7C96-4FF1-AF51-6195BA39D611}" name="Columna7946" dataDxfId="8466"/>
    <tableColumn id="7953" xr3:uid="{B69CC726-A132-4680-B90A-09A214E19607}" name="Columna7947" dataDxfId="8465"/>
    <tableColumn id="7954" xr3:uid="{C94494F1-EEC1-49F9-A72E-37B3D81BE474}" name="Columna7948" dataDxfId="8464"/>
    <tableColumn id="7955" xr3:uid="{10A8F877-C780-4B40-A150-CBC4E22C33AC}" name="Columna7949" dataDxfId="8463"/>
    <tableColumn id="7956" xr3:uid="{5E6587BA-F7BE-4A1D-8433-C3C4A319DC6B}" name="Columna7950" dataDxfId="8462"/>
    <tableColumn id="7957" xr3:uid="{7E2F41F6-342C-40CA-907A-DBF686907BA8}" name="Columna7951" dataDxfId="8461"/>
    <tableColumn id="7958" xr3:uid="{2F62441D-DD42-4B6C-84E2-A8B3982FF71E}" name="Columna7952" dataDxfId="8460"/>
    <tableColumn id="7959" xr3:uid="{07431FCB-D7FD-4CAE-A8EE-9EEF3D579677}" name="Columna7953" dataDxfId="8459"/>
    <tableColumn id="7960" xr3:uid="{5A297B66-5E61-4817-9DB6-A236CE35C221}" name="Columna7954" dataDxfId="8458"/>
    <tableColumn id="7961" xr3:uid="{C131E0F9-8C5F-4769-B845-1D29091CBC48}" name="Columna7955" dataDxfId="8457"/>
    <tableColumn id="7962" xr3:uid="{3CBCC19C-3F79-4A96-8F89-16321B2CE00A}" name="Columna7956" dataDxfId="8456"/>
    <tableColumn id="7963" xr3:uid="{D246C63D-7ADA-4F65-B181-9510C092A52E}" name="Columna7957" dataDxfId="8455"/>
    <tableColumn id="7964" xr3:uid="{B9A8931F-47D6-40FD-A979-E36622FCC056}" name="Columna7958" dataDxfId="8454"/>
    <tableColumn id="7965" xr3:uid="{5080EB8D-1F0B-4A24-9D66-A62895560F37}" name="Columna7959" dataDxfId="8453"/>
    <tableColumn id="7966" xr3:uid="{C57BA27E-790D-4AB9-B34B-0770B9AFE080}" name="Columna7960" dataDxfId="8452"/>
    <tableColumn id="7967" xr3:uid="{FF737B3D-510D-4266-8AD7-ECB92997B955}" name="Columna7961" dataDxfId="8451"/>
    <tableColumn id="7968" xr3:uid="{BDB036B7-A5B1-4B89-99BF-B904AB354B95}" name="Columna7962" dataDxfId="8450"/>
    <tableColumn id="7969" xr3:uid="{79A9EEFE-5560-40CB-93EA-C7AB63BEB435}" name="Columna7963" dataDxfId="8449"/>
    <tableColumn id="7970" xr3:uid="{9B4E8835-F598-46B5-AA0C-7409631362AA}" name="Columna7964" dataDxfId="8448"/>
    <tableColumn id="7971" xr3:uid="{888C8E77-45F3-4489-88C1-2BFF88353281}" name="Columna7965" dataDxfId="8447"/>
    <tableColumn id="7972" xr3:uid="{04D39B8E-9A14-4B2A-B8FC-5A7E497DE2DB}" name="Columna7966" dataDxfId="8446"/>
    <tableColumn id="7973" xr3:uid="{5AEF7574-364C-408F-8E3A-6E58263B2723}" name="Columna7967" dataDxfId="8445"/>
    <tableColumn id="7974" xr3:uid="{37809F16-8ABC-4FB4-B472-C74F9C7B64DA}" name="Columna7968" dataDxfId="8444"/>
    <tableColumn id="7975" xr3:uid="{8FB9E5AC-66AD-4E74-A227-20B947D93A86}" name="Columna7969" dataDxfId="8443"/>
    <tableColumn id="7976" xr3:uid="{E7133820-E8F6-4D32-A3F5-E02F6943543B}" name="Columna7970" dataDxfId="8442"/>
    <tableColumn id="7977" xr3:uid="{9A67BB28-99DB-4983-B35D-A378E65BEA67}" name="Columna7971" dataDxfId="8441"/>
    <tableColumn id="7978" xr3:uid="{A559C943-2E50-4A9C-A46C-12BF264B39F2}" name="Columna7972" dataDxfId="8440"/>
    <tableColumn id="7979" xr3:uid="{275FAB5C-B7A8-4125-9656-79973B5B03B4}" name="Columna7973" dataDxfId="8439"/>
    <tableColumn id="7980" xr3:uid="{DC8540CA-A1AC-433E-A89E-A799658927DD}" name="Columna7974" dataDxfId="8438"/>
    <tableColumn id="7981" xr3:uid="{05D1964A-8AF1-40C2-A8A3-4D18FAEB9510}" name="Columna7975" dataDxfId="8437"/>
    <tableColumn id="7982" xr3:uid="{09F9B22B-1D8A-4B56-B704-1680F4A862DA}" name="Columna7976" dataDxfId="8436"/>
    <tableColumn id="7983" xr3:uid="{99C7F17A-905D-427B-AD4F-99A808E65E5B}" name="Columna7977" dataDxfId="8435"/>
    <tableColumn id="7984" xr3:uid="{5CC57E0A-F719-4D73-8618-92EA9E6B3092}" name="Columna7978" dataDxfId="8434"/>
    <tableColumn id="7985" xr3:uid="{9C5670D1-1DBD-4C4C-8E7A-C2FB7208A013}" name="Columna7979" dataDxfId="8433"/>
    <tableColumn id="7986" xr3:uid="{B512E1CA-9DC0-467D-95C3-01E9AD1F9931}" name="Columna7980" dataDxfId="8432"/>
    <tableColumn id="7987" xr3:uid="{BDA3E39A-47DE-4426-AF4C-B5017F72A274}" name="Columna7981" dataDxfId="8431"/>
    <tableColumn id="7988" xr3:uid="{A1A63195-43C9-475A-8F95-AB86A0989A89}" name="Columna7982" dataDxfId="8430"/>
    <tableColumn id="7989" xr3:uid="{4B989082-3E9E-4B13-9DC5-78AEA157AF77}" name="Columna7983" dataDxfId="8429"/>
    <tableColumn id="7990" xr3:uid="{E7D475ED-1E9E-4F24-9DBF-BA35294FD174}" name="Columna7984" dataDxfId="8428"/>
    <tableColumn id="7991" xr3:uid="{450CC9B4-33B9-4C22-830F-D5FE77D27A60}" name="Columna7985" dataDxfId="8427"/>
    <tableColumn id="7992" xr3:uid="{26D7F03D-ADAF-4F6D-8642-63C24A68A7EB}" name="Columna7986" dataDxfId="8426"/>
    <tableColumn id="7993" xr3:uid="{57BAAE02-E063-4AB4-882A-14456BC10666}" name="Columna7987" dataDxfId="8425"/>
    <tableColumn id="7994" xr3:uid="{113046EE-0C91-444E-B97F-11E96922FCC9}" name="Columna7988" dataDxfId="8424"/>
    <tableColumn id="7995" xr3:uid="{59E76C75-F8CA-4376-8C7A-B466D5E2A48B}" name="Columna7989" dataDxfId="8423"/>
    <tableColumn id="7996" xr3:uid="{AF7055EE-1892-4351-8DE5-EEB295F9D1BE}" name="Columna7990" dataDxfId="8422"/>
    <tableColumn id="7997" xr3:uid="{2E0EE635-D65C-487B-8647-AB075317143F}" name="Columna7991" dataDxfId="8421"/>
    <tableColumn id="7998" xr3:uid="{69A3C27D-19A5-4A53-B2E8-8B93CA2096F9}" name="Columna7992" dataDxfId="8420"/>
    <tableColumn id="7999" xr3:uid="{BD3B25C7-87AE-4FA9-9500-B703C3B5D8EB}" name="Columna7993" dataDxfId="8419"/>
    <tableColumn id="8000" xr3:uid="{9046F9E6-B7E0-43F0-A102-5E36C5974153}" name="Columna7994" dataDxfId="8418"/>
    <tableColumn id="8001" xr3:uid="{6D1EB325-1A3F-4CA0-8E40-A04561FB8FDC}" name="Columna7995" dataDxfId="8417"/>
    <tableColumn id="8002" xr3:uid="{A3622FCB-323D-4BF9-AD39-EA0B79A9828C}" name="Columna7996" dataDxfId="8416"/>
    <tableColumn id="8003" xr3:uid="{5BC2963E-AD04-4D6B-A83E-CDCD2BA71ABB}" name="Columna7997" dataDxfId="8415"/>
    <tableColumn id="8004" xr3:uid="{F6E769E4-FED6-4CC6-9428-57DE54CBB641}" name="Columna7998" dataDxfId="8414"/>
    <tableColumn id="8005" xr3:uid="{C35E38D5-20FD-4A91-9783-496199B02E7E}" name="Columna7999" dataDxfId="8413"/>
    <tableColumn id="8006" xr3:uid="{EB01F879-ED4C-4C1B-8661-1621AE75A1E4}" name="Columna8000" dataDxfId="8412"/>
    <tableColumn id="8007" xr3:uid="{8BD26DEA-5A9B-49BE-81E0-666AA91CA977}" name="Columna8001" dataDxfId="8411"/>
    <tableColumn id="8008" xr3:uid="{A12F57B8-6739-40C4-87A3-67B856648490}" name="Columna8002" dataDxfId="8410"/>
    <tableColumn id="8009" xr3:uid="{83DDB30C-863C-4283-9342-760388DAA34C}" name="Columna8003" dataDxfId="8409"/>
    <tableColumn id="8010" xr3:uid="{00651C12-C452-4DB4-B4A0-163E1E024B38}" name="Columna8004" dataDxfId="8408"/>
    <tableColumn id="8011" xr3:uid="{05697680-64F1-4988-A809-D3D11F7C5005}" name="Columna8005" dataDxfId="8407"/>
    <tableColumn id="8012" xr3:uid="{31639F2D-C16D-499E-AA8D-D15AF6D4ADD8}" name="Columna8006" dataDxfId="8406"/>
    <tableColumn id="8013" xr3:uid="{6C16F52C-AA1F-49D5-B6EC-013C2444514E}" name="Columna8007" dataDxfId="8405"/>
    <tableColumn id="8014" xr3:uid="{71847D6E-BECA-4F9A-BB44-045F55B0898D}" name="Columna8008" dataDxfId="8404"/>
    <tableColumn id="8015" xr3:uid="{6561DFF9-8E3E-4DCA-9663-B30E563D0BCF}" name="Columna8009" dataDxfId="8403"/>
    <tableColumn id="8016" xr3:uid="{CA0B2686-DC21-48BA-97C6-EF544DBD564A}" name="Columna8010" dataDxfId="8402"/>
    <tableColumn id="8017" xr3:uid="{B5270B8B-B6E1-462D-9845-1B95A25F3809}" name="Columna8011" dataDxfId="8401"/>
    <tableColumn id="8018" xr3:uid="{C89D32D8-B8D9-4D12-A3B1-2741A7BFE990}" name="Columna8012" dataDxfId="8400"/>
    <tableColumn id="8019" xr3:uid="{4A2A92A8-FF77-42FF-A622-9A8D360D5859}" name="Columna8013" dataDxfId="8399"/>
    <tableColumn id="8020" xr3:uid="{A2FDC00F-1727-414C-8493-EFA8D337BD00}" name="Columna8014" dataDxfId="8398"/>
    <tableColumn id="8021" xr3:uid="{6E45D387-28C6-4B76-B8E4-38A94969DE34}" name="Columna8015" dataDxfId="8397"/>
    <tableColumn id="8022" xr3:uid="{4176509A-8C46-4211-8555-7329FC3C7EE7}" name="Columna8016" dataDxfId="8396"/>
    <tableColumn id="8023" xr3:uid="{7A20B67E-53C5-4300-958E-ABF40CCDF3E7}" name="Columna8017" dataDxfId="8395"/>
    <tableColumn id="8024" xr3:uid="{2B101276-16F5-4A82-9AE8-10C4E253AA40}" name="Columna8018" dataDxfId="8394"/>
    <tableColumn id="8025" xr3:uid="{6A913EA6-A042-47D0-9D26-CC5B08AA2D43}" name="Columna8019" dataDxfId="8393"/>
    <tableColumn id="8026" xr3:uid="{C6F40E36-6059-4EBA-A707-A3E917AA10AF}" name="Columna8020" dataDxfId="8392"/>
    <tableColumn id="8027" xr3:uid="{2F7841F4-6EBA-45C8-A43C-431805CEB160}" name="Columna8021" dataDxfId="8391"/>
    <tableColumn id="8028" xr3:uid="{0DC1EE7F-9D90-4928-B4B3-E137017444BD}" name="Columna8022" dataDxfId="8390"/>
    <tableColumn id="8029" xr3:uid="{B30602B3-30C7-44F6-911A-E52D344BF685}" name="Columna8023" dataDxfId="8389"/>
    <tableColumn id="8030" xr3:uid="{B3F6ABAE-3E01-4BCD-AB5F-63E9588BCEE7}" name="Columna8024" dataDxfId="8388"/>
    <tableColumn id="8031" xr3:uid="{B13A8BD6-4929-4283-9020-F4F840860B01}" name="Columna8025" dataDxfId="8387"/>
    <tableColumn id="8032" xr3:uid="{38092425-6E55-4C2A-8408-574B912907AE}" name="Columna8026" dataDxfId="8386"/>
    <tableColumn id="8033" xr3:uid="{8D539DD0-A589-4701-98CC-2D454EDDA267}" name="Columna8027" dataDxfId="8385"/>
    <tableColumn id="8034" xr3:uid="{4E12301E-FDB1-4F59-B719-E9F0D15AC1FB}" name="Columna8028" dataDxfId="8384"/>
    <tableColumn id="8035" xr3:uid="{88417445-E2F0-406F-95EA-477A64AFF427}" name="Columna8029" dataDxfId="8383"/>
    <tableColumn id="8036" xr3:uid="{1AE1F301-AEA3-49B5-A420-D898DCE1E67A}" name="Columna8030" dataDxfId="8382"/>
    <tableColumn id="8037" xr3:uid="{B653BDE1-CFD1-4766-9160-9F9D5450AF11}" name="Columna8031" dataDxfId="8381"/>
    <tableColumn id="8038" xr3:uid="{EC853F66-F921-4A3E-BA5A-9509C15F3F09}" name="Columna8032" dataDxfId="8380"/>
    <tableColumn id="8039" xr3:uid="{D2255B90-6D68-4D84-B1EA-44AF8B87BB4B}" name="Columna8033" dataDxfId="8379"/>
    <tableColumn id="8040" xr3:uid="{14BC895B-310E-4B65-A90D-0A26A36442F0}" name="Columna8034" dataDxfId="8378"/>
    <tableColumn id="8041" xr3:uid="{576AD444-DF31-410C-8017-67762841059E}" name="Columna8035" dataDxfId="8377"/>
    <tableColumn id="8042" xr3:uid="{4AE50F7A-40FE-4F54-A77E-3B26AAB38804}" name="Columna8036" dataDxfId="8376"/>
    <tableColumn id="8043" xr3:uid="{00540F8A-73E9-4EF8-BC29-DB0362C068CB}" name="Columna8037" dataDxfId="8375"/>
    <tableColumn id="8044" xr3:uid="{6E6719DA-4CC3-41E2-BF11-0E58F81D2FA5}" name="Columna8038" dataDxfId="8374"/>
    <tableColumn id="8045" xr3:uid="{3C8A136E-E89D-4DF0-BCA3-11A91027E76E}" name="Columna8039" dataDxfId="8373"/>
    <tableColumn id="8046" xr3:uid="{6B715C7E-DB7C-473B-84A5-0FB016AC79F9}" name="Columna8040" dataDxfId="8372"/>
    <tableColumn id="8047" xr3:uid="{112F5680-A46B-4AD1-9753-8CF84F72E454}" name="Columna8041" dataDxfId="8371"/>
    <tableColumn id="8048" xr3:uid="{93F1B2A3-4599-4AFF-A99B-B440445D0E53}" name="Columna8042" dataDxfId="8370"/>
    <tableColumn id="8049" xr3:uid="{6D5D5409-1878-4650-858D-DCEAC932845D}" name="Columna8043" dataDxfId="8369"/>
    <tableColumn id="8050" xr3:uid="{EA0CBDCA-9BF8-4F01-9C04-343F0FF8BE14}" name="Columna8044" dataDxfId="8368"/>
    <tableColumn id="8051" xr3:uid="{CB31D6E6-7869-4F91-A5B5-EC855A37E287}" name="Columna8045" dataDxfId="8367"/>
    <tableColumn id="8052" xr3:uid="{EF60CF84-6D8A-474D-A4B8-84970EA284AE}" name="Columna8046" dataDxfId="8366"/>
    <tableColumn id="8053" xr3:uid="{8348FA77-9B73-4A38-B946-34748D2A1C2B}" name="Columna8047" dataDxfId="8365"/>
    <tableColumn id="8054" xr3:uid="{841A2300-3744-49C3-9AC8-818EFB763048}" name="Columna8048" dataDxfId="8364"/>
    <tableColumn id="8055" xr3:uid="{B0857BF3-7EEE-4CDD-85C7-146D72CC440E}" name="Columna8049" dataDxfId="8363"/>
    <tableColumn id="8056" xr3:uid="{223CDC0E-8863-4A91-835B-0F497EA7248B}" name="Columna8050" dataDxfId="8362"/>
    <tableColumn id="8057" xr3:uid="{60FA2945-C241-4949-9BA8-19CDD5AD8FE3}" name="Columna8051" dataDxfId="8361"/>
    <tableColumn id="8058" xr3:uid="{49C63FF4-B55E-4114-AB00-878288A7780E}" name="Columna8052" dataDxfId="8360"/>
    <tableColumn id="8059" xr3:uid="{246FE686-A2DC-4D32-870A-F78B1CBBCFDA}" name="Columna8053" dataDxfId="8359"/>
    <tableColumn id="8060" xr3:uid="{8169AA61-7325-435B-8970-721272C8959D}" name="Columna8054" dataDxfId="8358"/>
    <tableColumn id="8061" xr3:uid="{7AA72BF8-DC46-465A-BD16-12FF840AFCD5}" name="Columna8055" dataDxfId="8357"/>
    <tableColumn id="8062" xr3:uid="{081D7B93-E4CB-48CA-81E1-6489ED3359E1}" name="Columna8056" dataDxfId="8356"/>
    <tableColumn id="8063" xr3:uid="{90AA5E1D-BC62-4C59-9EA2-B9C35568646F}" name="Columna8057" dataDxfId="8355"/>
    <tableColumn id="8064" xr3:uid="{75F50132-8730-467D-A702-71FBF3023EEC}" name="Columna8058" dataDxfId="8354"/>
    <tableColumn id="8065" xr3:uid="{37143E92-9663-45F0-B163-2D65B476ADB4}" name="Columna8059" dataDxfId="8353"/>
    <tableColumn id="8066" xr3:uid="{E74C8B33-B8D7-49A7-8C77-69183F5E8207}" name="Columna8060" dataDxfId="8352"/>
    <tableColumn id="8067" xr3:uid="{993BE197-759B-4CDD-AB81-8AE948B56BCC}" name="Columna8061" dataDxfId="8351"/>
    <tableColumn id="8068" xr3:uid="{402FD161-EC06-4EE3-AD7C-188E00E410CF}" name="Columna8062" dataDxfId="8350"/>
    <tableColumn id="8069" xr3:uid="{A3A70E54-AC2A-4E0C-AD23-A8B7472AE939}" name="Columna8063" dataDxfId="8349"/>
    <tableColumn id="8070" xr3:uid="{D94BFD8F-4EFE-4204-BD4E-46AFB2FE1A55}" name="Columna8064" dataDxfId="8348"/>
    <tableColumn id="8071" xr3:uid="{FDB2499C-895A-4C59-A383-ABDB9E9F8586}" name="Columna8065" dataDxfId="8347"/>
    <tableColumn id="8072" xr3:uid="{D826CF31-8E19-482E-BE38-3A85EEF4D161}" name="Columna8066" dataDxfId="8346"/>
    <tableColumn id="8073" xr3:uid="{3DCB3F12-C222-4969-B126-1715F12674AC}" name="Columna8067" dataDxfId="8345"/>
    <tableColumn id="8074" xr3:uid="{34B888A6-56CF-4A05-BBD0-6E0E23B42306}" name="Columna8068" dataDxfId="8344"/>
    <tableColumn id="8075" xr3:uid="{E353DB91-B664-4153-B604-50D9F24455FD}" name="Columna8069" dataDxfId="8343"/>
    <tableColumn id="8076" xr3:uid="{8ECD8609-F525-40E3-B174-EC7B220D2ECE}" name="Columna8070" dataDxfId="8342"/>
    <tableColumn id="8077" xr3:uid="{3DA8B241-C2B6-4EE7-8DB9-E1B706FF037B}" name="Columna8071" dataDxfId="8341"/>
    <tableColumn id="8078" xr3:uid="{8E52E8BF-0E14-49F7-A7E2-08C8658EA2F8}" name="Columna8072" dataDxfId="8340"/>
    <tableColumn id="8079" xr3:uid="{484BD3AF-9B70-4B33-9501-F8DD78491344}" name="Columna8073" dataDxfId="8339"/>
    <tableColumn id="8080" xr3:uid="{0BFAB709-D671-4BCB-8FBA-6F30D6DBC98B}" name="Columna8074" dataDxfId="8338"/>
    <tableColumn id="8081" xr3:uid="{59BB9F4D-977A-4CCB-8324-BBFD013DB206}" name="Columna8075" dataDxfId="8337"/>
    <tableColumn id="8082" xr3:uid="{C3F5F85B-BFFA-47BE-8AE5-24A3A00543BD}" name="Columna8076" dataDxfId="8336"/>
    <tableColumn id="8083" xr3:uid="{ABB5D7C7-BCDA-4D80-B6F9-EF06C31AD90B}" name="Columna8077" dataDxfId="8335"/>
    <tableColumn id="8084" xr3:uid="{6AB46990-A700-484E-B3A5-EB56EA68BD2C}" name="Columna8078" dataDxfId="8334"/>
    <tableColumn id="8085" xr3:uid="{55D64802-D1E6-4E29-9D3C-DDE8CAB074ED}" name="Columna8079" dataDxfId="8333"/>
    <tableColumn id="8086" xr3:uid="{5340B0C7-1A61-45B4-BB87-B9EEBB499797}" name="Columna8080" dataDxfId="8332"/>
    <tableColumn id="8087" xr3:uid="{B73D9BFF-D4B0-478C-ABBA-B955496112CB}" name="Columna8081" dataDxfId="8331"/>
    <tableColumn id="8088" xr3:uid="{52BE5D6C-E65D-4056-A08E-8B7CC23C3EC5}" name="Columna8082" dataDxfId="8330"/>
    <tableColumn id="8089" xr3:uid="{6C50F93F-A87F-4518-A804-E433D26CE5CA}" name="Columna8083" dataDxfId="8329"/>
    <tableColumn id="8090" xr3:uid="{F3572FCA-AB83-4A9B-9273-191DC5058B2A}" name="Columna8084" dataDxfId="8328"/>
    <tableColumn id="8091" xr3:uid="{ADAA584E-4083-40DA-8EE6-82460E23C0EC}" name="Columna8085" dataDxfId="8327"/>
    <tableColumn id="8092" xr3:uid="{8A5B5D8A-EB53-4142-B2A5-CC7E317E14EC}" name="Columna8086" dataDxfId="8326"/>
    <tableColumn id="8093" xr3:uid="{0887F0A1-65AB-4102-9CFD-40F5BF6B8F79}" name="Columna8087" dataDxfId="8325"/>
    <tableColumn id="8094" xr3:uid="{311EC4DF-3823-4751-AD93-D76378C91EEE}" name="Columna8088" dataDxfId="8324"/>
    <tableColumn id="8095" xr3:uid="{5632B6C8-8296-41DF-B84A-9A74F09F0D23}" name="Columna8089" dataDxfId="8323"/>
    <tableColumn id="8096" xr3:uid="{2A5BF241-2EA4-48DC-81A2-9A58559A0D06}" name="Columna8090" dataDxfId="8322"/>
    <tableColumn id="8097" xr3:uid="{E4509A18-5B19-4822-9A08-7AEE20818AAA}" name="Columna8091" dataDxfId="8321"/>
    <tableColumn id="8098" xr3:uid="{DD57C570-A07D-4AAB-A30F-51AC10A99E18}" name="Columna8092" dataDxfId="8320"/>
    <tableColumn id="8099" xr3:uid="{24962124-BAC6-434E-9498-37925CCB8B42}" name="Columna8093" dataDxfId="8319"/>
    <tableColumn id="8100" xr3:uid="{81FA2694-DE02-474D-AE89-8FD04A148D3D}" name="Columna8094" dataDxfId="8318"/>
    <tableColumn id="8101" xr3:uid="{CFECE337-327B-4B8F-938F-FB200210D699}" name="Columna8095" dataDxfId="8317"/>
    <tableColumn id="8102" xr3:uid="{CE0F6E52-4D7F-4641-88FD-CF3C7D38C31E}" name="Columna8096" dataDxfId="8316"/>
    <tableColumn id="8103" xr3:uid="{372FC624-3BC9-4FC6-9912-CEAAE9146271}" name="Columna8097" dataDxfId="8315"/>
    <tableColumn id="8104" xr3:uid="{A8AD847B-1EB2-4597-BCD3-5C8A21B74051}" name="Columna8098" dataDxfId="8314"/>
    <tableColumn id="8105" xr3:uid="{18DCEE13-C6DD-4B0A-8585-7F5BEF17F7D0}" name="Columna8099" dataDxfId="8313"/>
    <tableColumn id="8106" xr3:uid="{85D1B25F-8D2D-4C19-9994-1339A7C4D85C}" name="Columna8100" dataDxfId="8312"/>
    <tableColumn id="8107" xr3:uid="{588DCC89-443A-4C19-89F6-50FFFBD27BA0}" name="Columna8101" dataDxfId="8311"/>
    <tableColumn id="8108" xr3:uid="{465B6D74-E962-41BE-85E5-1D32AB3BE84C}" name="Columna8102" dataDxfId="8310"/>
    <tableColumn id="8109" xr3:uid="{2AB3F75E-FE02-4D86-BC3B-EABABFA89CC1}" name="Columna8103" dataDxfId="8309"/>
    <tableColumn id="8110" xr3:uid="{C992C75B-2944-4B8F-A11E-A484F09C1856}" name="Columna8104" dataDxfId="8308"/>
    <tableColumn id="8111" xr3:uid="{614A7E4F-B581-4AD5-876A-3CE2702F0280}" name="Columna8105" dataDxfId="8307"/>
    <tableColumn id="8112" xr3:uid="{DA0A0601-FAAD-43A6-8F26-68C7BE006444}" name="Columna8106" dataDxfId="8306"/>
    <tableColumn id="8113" xr3:uid="{2EC2DDF4-22AF-494B-89EC-0B8DB817D4D5}" name="Columna8107" dataDxfId="8305"/>
    <tableColumn id="8114" xr3:uid="{326765DC-EA82-422E-83C7-9241C49F7CA2}" name="Columna8108" dataDxfId="8304"/>
    <tableColumn id="8115" xr3:uid="{9F70A056-2BED-443D-8368-02745AFFEED2}" name="Columna8109" dataDxfId="8303"/>
    <tableColumn id="8116" xr3:uid="{2786C0CF-3A1A-4CFD-88D9-8F7587F9CE3F}" name="Columna8110" dataDxfId="8302"/>
    <tableColumn id="8117" xr3:uid="{BAA4FD56-CC48-4883-BB33-9E7C99860009}" name="Columna8111" dataDxfId="8301"/>
    <tableColumn id="8118" xr3:uid="{4BB4F36D-7499-4463-80D2-4953B2814869}" name="Columna8112" dataDxfId="8300"/>
    <tableColumn id="8119" xr3:uid="{F91B7D79-50BC-40A9-B30E-006E7F09F63C}" name="Columna8113" dataDxfId="8299"/>
    <tableColumn id="8120" xr3:uid="{B7A8821B-0FA4-482F-A37B-DB78E49E5989}" name="Columna8114" dataDxfId="8298"/>
    <tableColumn id="8121" xr3:uid="{8EF0B89B-F822-4867-89AB-D0A0042FE7B8}" name="Columna8115" dataDxfId="8297"/>
    <tableColumn id="8122" xr3:uid="{3B7D15D6-146D-4537-83BB-6359AAB9E677}" name="Columna8116" dataDxfId="8296"/>
    <tableColumn id="8123" xr3:uid="{69004D82-3F67-4503-8095-6BBDB6450E1A}" name="Columna8117" dataDxfId="8295"/>
    <tableColumn id="8124" xr3:uid="{BCA0F9A9-E274-4164-A6DB-56721D5C6F4A}" name="Columna8118" dataDxfId="8294"/>
    <tableColumn id="8125" xr3:uid="{3B6CEBAF-C82B-43A7-BEFA-54FB0A97300B}" name="Columna8119" dataDxfId="8293"/>
    <tableColumn id="8126" xr3:uid="{E700910A-6D18-4E14-9B4F-4F2115E7AA05}" name="Columna8120" dataDxfId="8292"/>
    <tableColumn id="8127" xr3:uid="{E1E9C9F9-3580-4239-8CBE-9B5BD19867A4}" name="Columna8121" dataDxfId="8291"/>
    <tableColumn id="8128" xr3:uid="{31F3237E-250B-49E2-9F4D-58CBEEA1CE91}" name="Columna8122" dataDxfId="8290"/>
    <tableColumn id="8129" xr3:uid="{D7185F0A-77B4-42E9-BA88-AA6646680813}" name="Columna8123" dataDxfId="8289"/>
    <tableColumn id="8130" xr3:uid="{DFDDF1D0-4A4A-4595-92B9-155AD0A2C96C}" name="Columna8124" dataDxfId="8288"/>
    <tableColumn id="8131" xr3:uid="{0EB6F4AA-05A1-4CDF-AD05-3563EE17409D}" name="Columna8125" dataDxfId="8287"/>
    <tableColumn id="8132" xr3:uid="{46FD533C-72D8-4421-9344-896C9F67C11E}" name="Columna8126" dataDxfId="8286"/>
    <tableColumn id="8133" xr3:uid="{D65A191F-A7FD-462E-BB9D-3BAEF7ECCB1A}" name="Columna8127" dataDxfId="8285"/>
    <tableColumn id="8134" xr3:uid="{44BE82C8-CC64-4BCD-BC97-4D184D9D5C11}" name="Columna8128" dataDxfId="8284"/>
    <tableColumn id="8135" xr3:uid="{22078B27-92D9-4FA2-B2A2-540567ED7253}" name="Columna8129" dataDxfId="8283"/>
    <tableColumn id="8136" xr3:uid="{B2FF4EC5-04C6-4F1D-BC2D-847C9FDFC152}" name="Columna8130" dataDxfId="8282"/>
    <tableColumn id="8137" xr3:uid="{738F53E9-4778-4B06-9106-A9F3878B52D8}" name="Columna8131" dataDxfId="8281"/>
    <tableColumn id="8138" xr3:uid="{D91C8CBE-86CF-4529-9B02-9482119400D9}" name="Columna8132" dataDxfId="8280"/>
    <tableColumn id="8139" xr3:uid="{AC255431-B785-46CF-8C2C-3DD0D4118B6C}" name="Columna8133" dataDxfId="8279"/>
    <tableColumn id="8140" xr3:uid="{65BDB89B-79A0-4AB0-9808-C32CEB9BC84D}" name="Columna8134" dataDxfId="8278"/>
    <tableColumn id="8141" xr3:uid="{E9F03194-60AC-46D0-B876-8F00E9B8FB4A}" name="Columna8135" dataDxfId="8277"/>
    <tableColumn id="8142" xr3:uid="{329EC58C-1CE0-41B3-B193-9E81564902E6}" name="Columna8136" dataDxfId="8276"/>
    <tableColumn id="8143" xr3:uid="{880497C1-AE6E-4C5F-91C8-EAE246FBA986}" name="Columna8137" dataDxfId="8275"/>
    <tableColumn id="8144" xr3:uid="{9CA8AD2A-189E-4AB3-9072-DCA71351483F}" name="Columna8138" dataDxfId="8274"/>
    <tableColumn id="8145" xr3:uid="{41DAC097-6425-456F-BB0E-58A5465E04E9}" name="Columna8139" dataDxfId="8273"/>
    <tableColumn id="8146" xr3:uid="{B4EED479-76E8-4A9E-B554-16308A16E167}" name="Columna8140" dataDxfId="8272"/>
    <tableColumn id="8147" xr3:uid="{E6E2097F-93E0-40DE-8F3B-38F8638F9E5B}" name="Columna8141" dataDxfId="8271"/>
    <tableColumn id="8148" xr3:uid="{7DA478FF-1535-4A31-B7BA-D77C1F52CB23}" name="Columna8142" dataDxfId="8270"/>
    <tableColumn id="8149" xr3:uid="{FCE655D6-3149-4647-B6ED-50CACAB16A58}" name="Columna8143" dataDxfId="8269"/>
    <tableColumn id="8150" xr3:uid="{8DA55ECE-94F6-41C5-A4AB-688E589821DE}" name="Columna8144" dataDxfId="8268"/>
    <tableColumn id="8151" xr3:uid="{387FDED4-C31E-470E-A17E-3E86EA4361D1}" name="Columna8145" dataDxfId="8267"/>
    <tableColumn id="8152" xr3:uid="{89EC1E45-FAE0-4B37-89B3-5C240B757833}" name="Columna8146" dataDxfId="8266"/>
    <tableColumn id="8153" xr3:uid="{24016961-51DF-4EAE-91DD-43A2AC58BF72}" name="Columna8147" dataDxfId="8265"/>
    <tableColumn id="8154" xr3:uid="{BF164205-C013-4A79-9493-67C47F315F6E}" name="Columna8148" dataDxfId="8264"/>
    <tableColumn id="8155" xr3:uid="{E1A8D7B3-73FE-4D08-A201-6F1C79B14821}" name="Columna8149" dataDxfId="8263"/>
    <tableColumn id="8156" xr3:uid="{CED231D6-B868-4B19-A157-ABC15FF4B11C}" name="Columna8150" dataDxfId="8262"/>
    <tableColumn id="8157" xr3:uid="{5598D942-E8AD-4CFA-AD1D-E9CCB0AA0393}" name="Columna8151" dataDxfId="8261"/>
    <tableColumn id="8158" xr3:uid="{91D0CBB3-2F84-4E09-A9CF-5CD6C2B03441}" name="Columna8152" dataDxfId="8260"/>
    <tableColumn id="8159" xr3:uid="{D848DA26-A9FE-481C-807E-00AE40DEF26F}" name="Columna8153" dataDxfId="8259"/>
    <tableColumn id="8160" xr3:uid="{3DB3F995-2098-494E-82BE-B09BD0E5ACA8}" name="Columna8154" dataDxfId="8258"/>
    <tableColumn id="8161" xr3:uid="{2326579B-122E-48DF-985F-6AECAB417703}" name="Columna8155" dataDxfId="8257"/>
    <tableColumn id="8162" xr3:uid="{7E63CF35-5124-4DE1-A5E5-22D8955A1B68}" name="Columna8156" dataDxfId="8256"/>
    <tableColumn id="8163" xr3:uid="{777261FA-42CD-4170-B951-AF2C73561A7A}" name="Columna8157" dataDxfId="8255"/>
    <tableColumn id="8164" xr3:uid="{6E06D7AF-979F-4448-85EB-9C14FD0D0445}" name="Columna8158" dataDxfId="8254"/>
    <tableColumn id="8165" xr3:uid="{26726ED7-A3ED-4810-9460-1C0B40B504B6}" name="Columna8159" dataDxfId="8253"/>
    <tableColumn id="8166" xr3:uid="{765B03B7-AB0E-4DCB-A782-62A83E9BF829}" name="Columna8160" dataDxfId="8252"/>
    <tableColumn id="8167" xr3:uid="{14BD54C2-7907-43E2-87A6-61C4F3C22C38}" name="Columna8161" dataDxfId="8251"/>
    <tableColumn id="8168" xr3:uid="{350D474D-8780-4C99-8E97-DE0C401782E7}" name="Columna8162" dataDxfId="8250"/>
    <tableColumn id="8169" xr3:uid="{C7547CA7-5DE9-4714-90B7-882650F79F3A}" name="Columna8163" dataDxfId="8249"/>
    <tableColumn id="8170" xr3:uid="{3D17FE60-3E04-43D1-BBED-97AAA6791B47}" name="Columna8164" dataDxfId="8248"/>
    <tableColumn id="8171" xr3:uid="{D74CCA80-FC5C-4F02-800A-6E11E3C6CC2B}" name="Columna8165" dataDxfId="8247"/>
    <tableColumn id="8172" xr3:uid="{7AE125DC-B8C8-490A-B1C8-68A50D8D9AD8}" name="Columna8166" dataDxfId="8246"/>
    <tableColumn id="8173" xr3:uid="{4FBACCD5-98C0-4EEE-8CA8-2FF0A6A449D3}" name="Columna8167" dataDxfId="8245"/>
    <tableColumn id="8174" xr3:uid="{654A1BD7-A2B7-45BF-97DB-C63CE27E8C00}" name="Columna8168" dataDxfId="8244"/>
    <tableColumn id="8175" xr3:uid="{2A192519-AA74-489C-8163-E3C365F5F0B3}" name="Columna8169" dataDxfId="8243"/>
    <tableColumn id="8176" xr3:uid="{DB8E9A77-98CF-47F5-B35E-4942C102A5D4}" name="Columna8170" dataDxfId="8242"/>
    <tableColumn id="8177" xr3:uid="{3F512FFE-FFDB-4137-B1FD-783F02BB9681}" name="Columna8171" dataDxfId="8241"/>
    <tableColumn id="8178" xr3:uid="{87EBB3F5-FA17-4A45-BEB5-D1E372D37BD5}" name="Columna8172" dataDxfId="8240"/>
    <tableColumn id="8179" xr3:uid="{DA7E606B-4495-46A2-979E-677F2FC8D534}" name="Columna8173" dataDxfId="8239"/>
    <tableColumn id="8180" xr3:uid="{3035BF32-97E4-4242-BC46-D341AD696B65}" name="Columna8174" dataDxfId="8238"/>
    <tableColumn id="8181" xr3:uid="{7FE1CB2D-5A2D-49E8-988E-0B3586DD6E6F}" name="Columna8175" dataDxfId="8237"/>
    <tableColumn id="8182" xr3:uid="{78292986-C673-4873-A826-2B77B9FAEB64}" name="Columna8176" dataDxfId="8236"/>
    <tableColumn id="8183" xr3:uid="{98B5B779-C6B3-4F76-A36A-9BF365527B43}" name="Columna8177" dataDxfId="8235"/>
    <tableColumn id="8184" xr3:uid="{3C4EC92F-5666-439F-8DA8-3EF565FE26F6}" name="Columna8178" dataDxfId="8234"/>
    <tableColumn id="8185" xr3:uid="{92C8A8C2-CB09-4AFF-99FF-A3F634608EF3}" name="Columna8179" dataDxfId="8233"/>
    <tableColumn id="8186" xr3:uid="{E7ACAB49-3395-4122-9B0A-5BD86EE0F3B3}" name="Columna8180" dataDxfId="8232"/>
    <tableColumn id="8187" xr3:uid="{669E1BD7-B26F-438A-A93D-1E7567CF5459}" name="Columna8181" dataDxfId="8231"/>
    <tableColumn id="8188" xr3:uid="{C0B7F659-E41E-448D-AC18-D5536BC1041A}" name="Columna8182" dataDxfId="8230"/>
    <tableColumn id="8189" xr3:uid="{2DDAA42D-A347-435C-963B-91D3639AC275}" name="Columna8183" dataDxfId="8229"/>
    <tableColumn id="8190" xr3:uid="{673CC50E-3289-467F-AD84-B2BB350411A3}" name="Columna8184" dataDxfId="8228"/>
    <tableColumn id="8191" xr3:uid="{60C6E07A-1E6C-42EE-91B0-BFFC7B79466E}" name="Columna8185" dataDxfId="8227"/>
    <tableColumn id="8192" xr3:uid="{62BB33FA-BC94-44CA-9373-D56B6592F891}" name="Columna8186" dataDxfId="8226"/>
    <tableColumn id="8193" xr3:uid="{AEE571F3-EC79-413E-88B5-9F261ECF8F4E}" name="Columna8187" dataDxfId="8225"/>
    <tableColumn id="8194" xr3:uid="{97260FA7-1668-4707-9B98-185491A36F91}" name="Columna8188" dataDxfId="8224"/>
    <tableColumn id="8195" xr3:uid="{A9482378-3996-453B-93ED-119747F8F8FA}" name="Columna8189" dataDxfId="8223"/>
    <tableColumn id="8196" xr3:uid="{B52BB2E4-3AA2-4775-BF63-D42A9D0DFFB8}" name="Columna8190" dataDxfId="8222"/>
    <tableColumn id="8197" xr3:uid="{58316FCB-802B-4169-AC0C-9D9F0E3BF237}" name="Columna8191" dataDxfId="8221"/>
    <tableColumn id="8198" xr3:uid="{24EE173F-2A2F-45AD-8690-6354D4FD89D1}" name="Columna8192" dataDxfId="8220"/>
    <tableColumn id="8199" xr3:uid="{FB574F06-40FE-41B1-BC17-9DADD9CE87DA}" name="Columna8193" dataDxfId="8219"/>
    <tableColumn id="8200" xr3:uid="{64EF98BA-ACCE-42D7-AB3A-A493B3DE18F0}" name="Columna8194" dataDxfId="8218"/>
    <tableColumn id="8201" xr3:uid="{D28B0C36-0D96-4D2F-A879-BBF2311D16DF}" name="Columna8195" dataDxfId="8217"/>
    <tableColumn id="8202" xr3:uid="{B25425EC-6312-4016-9B03-E44F2C4690A5}" name="Columna8196" dataDxfId="8216"/>
    <tableColumn id="8203" xr3:uid="{A217B77A-CE7E-4A10-8560-79E5D9708451}" name="Columna8197" dataDxfId="8215"/>
    <tableColumn id="8204" xr3:uid="{77A2C3F2-71DF-4152-8E62-7D21FD6C3EB9}" name="Columna8198" dataDxfId="8214"/>
    <tableColumn id="8205" xr3:uid="{CB07BEBD-E578-44C7-B58B-54D0F23A5CB0}" name="Columna8199" dataDxfId="8213"/>
    <tableColumn id="8206" xr3:uid="{A1D3E814-6366-4905-936C-5D3D0D3A7298}" name="Columna8200" dataDxfId="8212"/>
    <tableColumn id="8207" xr3:uid="{4E87B562-18DA-41B3-B3F9-BDC83BB17E46}" name="Columna8201" dataDxfId="8211"/>
    <tableColumn id="8208" xr3:uid="{01A2FE0A-56DF-4D94-9C3B-63CD012E5B4C}" name="Columna8202" dataDxfId="8210"/>
    <tableColumn id="8209" xr3:uid="{92367F86-BD5A-4014-876F-346F3EB7411A}" name="Columna8203" dataDxfId="8209"/>
    <tableColumn id="8210" xr3:uid="{F3EE9179-ACB7-4F66-A881-E7772E46F151}" name="Columna8204" dataDxfId="8208"/>
    <tableColumn id="8211" xr3:uid="{2325B293-D828-45F0-A5FC-6D4523321D21}" name="Columna8205" dataDxfId="8207"/>
    <tableColumn id="8212" xr3:uid="{5E651A71-D0D0-4383-AE27-6475E29A79CE}" name="Columna8206" dataDxfId="8206"/>
    <tableColumn id="8213" xr3:uid="{C6F8416E-AD21-4069-9197-0811CE6DA14F}" name="Columna8207" dataDxfId="8205"/>
    <tableColumn id="8214" xr3:uid="{83989DAF-E1A8-4D92-BE66-6D6037B8AAF2}" name="Columna8208" dataDxfId="8204"/>
    <tableColumn id="8215" xr3:uid="{C24CA952-72E2-4261-B86D-1B4C35983DD8}" name="Columna8209" dataDxfId="8203"/>
    <tableColumn id="8216" xr3:uid="{3C760FBD-6932-4D6C-A7EC-C3883CEAD2C0}" name="Columna8210" dataDxfId="8202"/>
    <tableColumn id="8217" xr3:uid="{240E3EC7-39A2-4305-B136-885689C6076F}" name="Columna8211" dataDxfId="8201"/>
    <tableColumn id="8218" xr3:uid="{A7A3D2A3-6AE5-4ED7-8B75-3F29089F29E6}" name="Columna8212" dataDxfId="8200"/>
    <tableColumn id="8219" xr3:uid="{24736F99-ABB6-4071-B5BF-1EF7715100C2}" name="Columna8213" dataDxfId="8199"/>
    <tableColumn id="8220" xr3:uid="{12149674-C740-4B02-8EE7-BDD9674F1648}" name="Columna8214" dataDxfId="8198"/>
    <tableColumn id="8221" xr3:uid="{FC1DC8A2-4B6D-40C0-B445-D8BFFA7BC773}" name="Columna8215" dataDxfId="8197"/>
    <tableColumn id="8222" xr3:uid="{839A6595-89EE-4C27-8B62-F4A3CC9E1760}" name="Columna8216" dataDxfId="8196"/>
    <tableColumn id="8223" xr3:uid="{8DC5202D-9495-4F23-A90E-8C1941B7C678}" name="Columna8217" dataDxfId="8195"/>
    <tableColumn id="8224" xr3:uid="{562BFE1A-D900-46CD-BD5E-A5DDF014961A}" name="Columna8218" dataDxfId="8194"/>
    <tableColumn id="8225" xr3:uid="{1E3E46D6-774B-4BB3-BDE5-EB03AA1D6200}" name="Columna8219" dataDxfId="8193"/>
    <tableColumn id="8226" xr3:uid="{BD2077B4-51D7-443A-BD08-F8A18B950C20}" name="Columna8220" dataDxfId="8192"/>
    <tableColumn id="8227" xr3:uid="{8A616737-3687-4C26-A23B-50F6FA0F53E2}" name="Columna8221" dataDxfId="8191"/>
    <tableColumn id="8228" xr3:uid="{8AA2D664-7E1B-449D-A92A-8A1FFAFD4E30}" name="Columna8222" dataDxfId="8190"/>
    <tableColumn id="8229" xr3:uid="{F43D0E22-D928-498F-90A1-D9B18D87A4D9}" name="Columna8223" dataDxfId="8189"/>
    <tableColumn id="8230" xr3:uid="{EFD82857-80AE-47BA-8240-D2C81B352BB7}" name="Columna8224" dataDxfId="8188"/>
    <tableColumn id="8231" xr3:uid="{3C8D885D-4E48-4A56-A032-73A1CD0B5D6E}" name="Columna8225" dataDxfId="8187"/>
    <tableColumn id="8232" xr3:uid="{8A7C6BB3-C744-4595-98BD-2878AFB6820D}" name="Columna8226" dataDxfId="8186"/>
    <tableColumn id="8233" xr3:uid="{ACD80694-30DB-43B9-91EE-00C26180355C}" name="Columna8227" dataDxfId="8185"/>
    <tableColumn id="8234" xr3:uid="{D0A34538-2A54-4834-BFD5-C6B472F2EB11}" name="Columna8228" dataDxfId="8184"/>
    <tableColumn id="8235" xr3:uid="{1813D7BF-B3B4-4186-B36A-F57E0CBACC36}" name="Columna8229" dataDxfId="8183"/>
    <tableColumn id="8236" xr3:uid="{D21F48C6-E690-4406-9B52-A385F90EA118}" name="Columna8230" dataDxfId="8182"/>
    <tableColumn id="8237" xr3:uid="{BF244E05-71EF-47A0-AA8F-D4CB24DD1356}" name="Columna8231" dataDxfId="8181"/>
    <tableColumn id="8238" xr3:uid="{6766E7DC-1E89-4926-ABF4-8E29DEB4AC1A}" name="Columna8232" dataDxfId="8180"/>
    <tableColumn id="8239" xr3:uid="{9C82B98B-4F5B-450F-86B3-9EA67FAFC4E9}" name="Columna8233" dataDxfId="8179"/>
    <tableColumn id="8240" xr3:uid="{2477ADC5-01D1-412B-AF0F-FD03FC7EFF8F}" name="Columna8234" dataDxfId="8178"/>
    <tableColumn id="8241" xr3:uid="{77051A94-BCA5-4D94-BA77-3A2E87ABE81E}" name="Columna8235" dataDxfId="8177"/>
    <tableColumn id="8242" xr3:uid="{FB99ADA3-4219-478B-9F0F-33533A2F9112}" name="Columna8236" dataDxfId="8176"/>
    <tableColumn id="8243" xr3:uid="{3E51FEA5-011A-4FEA-A1EA-86712FDD217B}" name="Columna8237" dataDxfId="8175"/>
    <tableColumn id="8244" xr3:uid="{8D167E26-8217-4005-AA96-2ACEF7ABC00D}" name="Columna8238" dataDxfId="8174"/>
    <tableColumn id="8245" xr3:uid="{14FDEC62-C896-4FD7-A304-93FD4BE61E12}" name="Columna8239" dataDxfId="8173"/>
    <tableColumn id="8246" xr3:uid="{206C8A1E-6B7F-4ABC-8557-CF16931C7056}" name="Columna8240" dataDxfId="8172"/>
    <tableColumn id="8247" xr3:uid="{4AA64211-BDEE-4E4E-B021-BA47EE24ADA4}" name="Columna8241" dataDxfId="8171"/>
    <tableColumn id="8248" xr3:uid="{7271DE1A-554F-43CA-9775-8D4971B5BDEE}" name="Columna8242" dataDxfId="8170"/>
    <tableColumn id="8249" xr3:uid="{A8269A9E-ECCC-4855-878B-B1846946CE30}" name="Columna8243" dataDxfId="8169"/>
    <tableColumn id="8250" xr3:uid="{7428AE6E-93B5-4122-ABB0-02C6AB4EBDC0}" name="Columna8244" dataDxfId="8168"/>
    <tableColumn id="8251" xr3:uid="{527531BC-DA18-490B-AA77-B7582B12F297}" name="Columna8245" dataDxfId="8167"/>
    <tableColumn id="8252" xr3:uid="{A9FC920E-2761-4636-9C20-E24BC5B2285F}" name="Columna8246" dataDxfId="8166"/>
    <tableColumn id="8253" xr3:uid="{48A41A7C-9081-4A24-96D0-D1DE4D9E5B17}" name="Columna8247" dataDxfId="8165"/>
    <tableColumn id="8254" xr3:uid="{05B8671F-904B-470C-A4E8-C1E6DD05E04A}" name="Columna8248" dataDxfId="8164"/>
    <tableColumn id="8255" xr3:uid="{56C78428-0D3A-416F-A847-740D4DF62FF0}" name="Columna8249" dataDxfId="8163"/>
    <tableColumn id="8256" xr3:uid="{E6F3454A-7CA1-46FD-BABA-EB744B8B624C}" name="Columna8250" dataDxfId="8162"/>
    <tableColumn id="8257" xr3:uid="{EC79E6F0-7EE0-4E39-8331-F16353B2901E}" name="Columna8251" dataDxfId="8161"/>
    <tableColumn id="8258" xr3:uid="{04DE1A26-5A58-45D9-8E0F-50AFE17D2F59}" name="Columna8252" dataDxfId="8160"/>
    <tableColumn id="8259" xr3:uid="{6C053F00-F922-4C00-A8E4-9BCB4D06ABDB}" name="Columna8253" dataDxfId="8159"/>
    <tableColumn id="8260" xr3:uid="{649D47D2-8A41-4830-B255-620C9449D151}" name="Columna8254" dataDxfId="8158"/>
    <tableColumn id="8261" xr3:uid="{9413CE90-3393-4DE2-83C7-5E2A4874B1CD}" name="Columna8255" dataDxfId="8157"/>
    <tableColumn id="8262" xr3:uid="{9D306791-9D07-4F2E-BF09-0174926CDE0E}" name="Columna8256" dataDxfId="8156"/>
    <tableColumn id="8263" xr3:uid="{78351C68-DEBE-42E5-B869-D297F164C3E9}" name="Columna8257" dataDxfId="8155"/>
    <tableColumn id="8264" xr3:uid="{6058A1BD-AF56-4B0E-8098-4D4406250BA4}" name="Columna8258" dataDxfId="8154"/>
    <tableColumn id="8265" xr3:uid="{EACEB564-82C3-43DD-99CA-2401CAEE9078}" name="Columna8259" dataDxfId="8153"/>
    <tableColumn id="8266" xr3:uid="{603E4EA6-B274-4ED6-A155-0D89A9A4F0A4}" name="Columna8260" dataDxfId="8152"/>
    <tableColumn id="8267" xr3:uid="{CA27BC39-A46D-451F-8E04-F6E7EEF1395A}" name="Columna8261" dataDxfId="8151"/>
    <tableColumn id="8268" xr3:uid="{04405F0E-417F-4966-80E1-43CD74B8B02F}" name="Columna8262" dataDxfId="8150"/>
    <tableColumn id="8269" xr3:uid="{B6AA3149-4978-481C-8678-1C8BD3FFE8AD}" name="Columna8263" dataDxfId="8149"/>
    <tableColumn id="8270" xr3:uid="{3B083BC9-3B40-4B86-A8A3-5B4B241EED42}" name="Columna8264" dataDxfId="8148"/>
    <tableColumn id="8271" xr3:uid="{1EF3D670-DF5D-47BB-8638-B3098865B3CA}" name="Columna8265" dataDxfId="8147"/>
    <tableColumn id="8272" xr3:uid="{EB87EA5E-DEFE-4D48-98D8-0187587F791A}" name="Columna8266" dataDxfId="8146"/>
    <tableColumn id="8273" xr3:uid="{FFDC859F-830F-4C6C-9E96-3D692A52A403}" name="Columna8267" dataDxfId="8145"/>
    <tableColumn id="8274" xr3:uid="{F23DC25A-6D9E-40C0-88B2-7443BF00F874}" name="Columna8268" dataDxfId="8144"/>
    <tableColumn id="8275" xr3:uid="{F5CDC628-5DC8-43B9-8EF8-DA045E941C6C}" name="Columna8269" dataDxfId="8143"/>
    <tableColumn id="8276" xr3:uid="{0F000200-83E6-4D7B-A668-653E58848383}" name="Columna8270" dataDxfId="8142"/>
    <tableColumn id="8277" xr3:uid="{B6054AC0-0C70-4E84-8257-99485D9A24BD}" name="Columna8271" dataDxfId="8141"/>
    <tableColumn id="8278" xr3:uid="{9B160A4B-9F2D-4274-9A61-0AE7198DAB55}" name="Columna8272" dataDxfId="8140"/>
    <tableColumn id="8279" xr3:uid="{ABDB602D-10D6-417B-99B8-9AC6FF0D82C7}" name="Columna8273" dataDxfId="8139"/>
    <tableColumn id="8280" xr3:uid="{53ACA8C3-A538-4782-9ECF-21DB8BC84D0D}" name="Columna8274" dataDxfId="8138"/>
    <tableColumn id="8281" xr3:uid="{FBD864CA-D291-4C25-A9D5-ACD4112AFD08}" name="Columna8275" dataDxfId="8137"/>
    <tableColumn id="8282" xr3:uid="{F2F9000A-BBF8-42B8-A4F9-8D57F0DAD69C}" name="Columna8276" dataDxfId="8136"/>
    <tableColumn id="8283" xr3:uid="{B92F0259-9F04-4216-9C9A-4649CAD87534}" name="Columna8277" dataDxfId="8135"/>
    <tableColumn id="8284" xr3:uid="{0E61524B-EF70-4E9C-915F-0C7EE34DEAB2}" name="Columna8278" dataDxfId="8134"/>
    <tableColumn id="8285" xr3:uid="{F52A203A-BC44-422D-800D-62ED163896A2}" name="Columna8279" dataDxfId="8133"/>
    <tableColumn id="8286" xr3:uid="{638F24E1-7E34-401F-B1CA-03CB9A95BCE3}" name="Columna8280" dataDxfId="8132"/>
    <tableColumn id="8287" xr3:uid="{5D240698-7563-4DBD-A1DB-6582B41898D6}" name="Columna8281" dataDxfId="8131"/>
    <tableColumn id="8288" xr3:uid="{3D403D12-20A4-4488-A9A0-8BA259A3A37F}" name="Columna8282" dataDxfId="8130"/>
    <tableColumn id="8289" xr3:uid="{3333D3FA-C96D-437F-B785-B8AAF39EC2EC}" name="Columna8283" dataDxfId="8129"/>
    <tableColumn id="8290" xr3:uid="{6FCC0B6D-B9FB-4A1A-BB40-450D1871F606}" name="Columna8284" dataDxfId="8128"/>
    <tableColumn id="8291" xr3:uid="{70EAF901-385F-48CF-BC83-305DE11D1037}" name="Columna8285" dataDxfId="8127"/>
    <tableColumn id="8292" xr3:uid="{4ABA8A84-489C-4B6A-B2AC-486ADC922D40}" name="Columna8286" dataDxfId="8126"/>
    <tableColumn id="8293" xr3:uid="{FFDDCBB7-A942-4170-9347-06E22FE1B8F3}" name="Columna8287" dataDxfId="8125"/>
    <tableColumn id="8294" xr3:uid="{8BAB6EBC-69E0-4D0F-8EBC-507D062EB331}" name="Columna8288" dataDxfId="8124"/>
    <tableColumn id="8295" xr3:uid="{D0D4A9E4-9CCE-471C-8348-49ADCB317553}" name="Columna8289" dataDxfId="8123"/>
    <tableColumn id="8296" xr3:uid="{098122D1-08FC-4169-8587-8ED6681A06D8}" name="Columna8290" dataDxfId="8122"/>
    <tableColumn id="8297" xr3:uid="{396D3D15-89EC-4224-98EB-02AD07A39AD5}" name="Columna8291" dataDxfId="8121"/>
    <tableColumn id="8298" xr3:uid="{B41FB361-4CC4-46DF-8553-575285737F6A}" name="Columna8292" dataDxfId="8120"/>
    <tableColumn id="8299" xr3:uid="{3DD55C8F-33B0-4A10-A4AB-C1BC203EED76}" name="Columna8293" dataDxfId="8119"/>
    <tableColumn id="8300" xr3:uid="{77313F75-A7CD-405D-AF66-8997F849F7B9}" name="Columna8294" dataDxfId="8118"/>
    <tableColumn id="8301" xr3:uid="{0DA27BA6-2EDA-415A-B02B-33844121413D}" name="Columna8295" dataDxfId="8117"/>
    <tableColumn id="8302" xr3:uid="{950FC561-E7C7-44B3-89FE-C80246D5BCC0}" name="Columna8296" dataDxfId="8116"/>
    <tableColumn id="8303" xr3:uid="{B801F55E-1ED2-451B-BF7E-4995D21040B9}" name="Columna8297" dataDxfId="8115"/>
    <tableColumn id="8304" xr3:uid="{F1F95BC3-4664-4950-A7A2-AACF79A6465E}" name="Columna8298" dataDxfId="8114"/>
    <tableColumn id="8305" xr3:uid="{C83B993C-1176-4AD3-B63D-36297CCE65A9}" name="Columna8299" dataDxfId="8113"/>
    <tableColumn id="8306" xr3:uid="{C80AC87B-EF5E-433A-B937-99A3E8F985A0}" name="Columna8300" dataDxfId="8112"/>
    <tableColumn id="8307" xr3:uid="{80BC9F47-E6CD-4757-8A6B-A410A9803FED}" name="Columna8301" dataDxfId="8111"/>
    <tableColumn id="8308" xr3:uid="{90EFDCC4-AF88-4FE0-9F5E-7F7A207D6CAC}" name="Columna8302" dataDxfId="8110"/>
    <tableColumn id="8309" xr3:uid="{C43CD3AB-5F7A-470E-8EB3-FCEEC5C45550}" name="Columna8303" dataDxfId="8109"/>
    <tableColumn id="8310" xr3:uid="{6B6F261D-8F6A-40A0-98A4-A972A3405BF1}" name="Columna8304" dataDxfId="8108"/>
    <tableColumn id="8311" xr3:uid="{97E01F16-78E1-4574-B40C-34C2A3B351AC}" name="Columna8305" dataDxfId="8107"/>
    <tableColumn id="8312" xr3:uid="{E717EBF8-D29D-42BB-8A0B-10CD8B7E7541}" name="Columna8306" dataDxfId="8106"/>
    <tableColumn id="8313" xr3:uid="{6CB8CED3-BCCF-4199-A560-C460F0AB8FB0}" name="Columna8307" dataDxfId="8105"/>
    <tableColumn id="8314" xr3:uid="{351BA634-ED11-4F65-B2CF-4932BEF40FB0}" name="Columna8308" dataDxfId="8104"/>
    <tableColumn id="8315" xr3:uid="{F48A3149-A8DF-410E-8658-615A2D549683}" name="Columna8309" dataDxfId="8103"/>
    <tableColumn id="8316" xr3:uid="{388B9CD7-3449-4255-91E1-19DEEE08EED7}" name="Columna8310" dataDxfId="8102"/>
    <tableColumn id="8317" xr3:uid="{4C57A32B-DEDC-4CFF-A3AC-BF912906385E}" name="Columna8311" dataDxfId="8101"/>
    <tableColumn id="8318" xr3:uid="{B551F5A4-8BCC-48C8-AB4C-8723FD33E82A}" name="Columna8312" dataDxfId="8100"/>
    <tableColumn id="8319" xr3:uid="{E544846B-FDF0-4C44-9651-E63A29531120}" name="Columna8313" dataDxfId="8099"/>
    <tableColumn id="8320" xr3:uid="{2F716412-8ADF-4651-A84F-230AC1EB401C}" name="Columna8314" dataDxfId="8098"/>
    <tableColumn id="8321" xr3:uid="{FBB0AC56-E6FD-4DEB-9A3E-D29A0C0774FD}" name="Columna8315" dataDxfId="8097"/>
    <tableColumn id="8322" xr3:uid="{4443CE7B-B855-4DE5-9D49-623FCC269BD0}" name="Columna8316" dataDxfId="8096"/>
    <tableColumn id="8323" xr3:uid="{F5B42500-5A11-4C29-A62E-F4E581EA45F3}" name="Columna8317" dataDxfId="8095"/>
    <tableColumn id="8324" xr3:uid="{A6E4204A-8FA8-450D-B17C-E9792A2DD9C2}" name="Columna8318" dataDxfId="8094"/>
    <tableColumn id="8325" xr3:uid="{61CF547B-5FC3-4E7A-A743-F7BF29EC9C7C}" name="Columna8319" dataDxfId="8093"/>
    <tableColumn id="8326" xr3:uid="{B9494EF4-2C4E-4356-83D7-D31D4F6C141B}" name="Columna8320" dataDxfId="8092"/>
    <tableColumn id="8327" xr3:uid="{3A36A1D7-85E3-44A5-8F65-6EFC671C0FBC}" name="Columna8321" dataDxfId="8091"/>
    <tableColumn id="8328" xr3:uid="{9E186D5D-246B-4E7F-8424-222ABB67FFA0}" name="Columna8322" dataDxfId="8090"/>
    <tableColumn id="8329" xr3:uid="{052876D4-32CD-429A-AB0C-B66C09DEB524}" name="Columna8323" dataDxfId="8089"/>
    <tableColumn id="8330" xr3:uid="{10CBE241-0711-49D6-9DFE-77159F174656}" name="Columna8324" dataDxfId="8088"/>
    <tableColumn id="8331" xr3:uid="{EDFAE8A3-B49F-43AB-B3C6-A477C09A69E4}" name="Columna8325" dataDxfId="8087"/>
    <tableColumn id="8332" xr3:uid="{B4E6B096-1704-4CD6-80B5-C926FD219214}" name="Columna8326" dataDxfId="8086"/>
    <tableColumn id="8333" xr3:uid="{92AEF927-AA3C-452D-AA2B-0E305855CBD5}" name="Columna8327" dataDxfId="8085"/>
    <tableColumn id="8334" xr3:uid="{DDB503F0-37AD-429E-AA9B-71453D909882}" name="Columna8328" dataDxfId="8084"/>
    <tableColumn id="8335" xr3:uid="{6AE6465D-AE0B-4117-820A-9A97DBC19F5D}" name="Columna8329" dataDxfId="8083"/>
    <tableColumn id="8336" xr3:uid="{13B97B33-367D-4EC7-A4E5-5962710CF7BE}" name="Columna8330" dataDxfId="8082"/>
    <tableColumn id="8337" xr3:uid="{78285928-AC0E-426B-A7E1-E3179C8E344A}" name="Columna8331" dataDxfId="8081"/>
    <tableColumn id="8338" xr3:uid="{F0409152-7711-47E6-9806-29282513AF9F}" name="Columna8332" dataDxfId="8080"/>
    <tableColumn id="8339" xr3:uid="{EFDF7288-CAFA-48A6-B78A-FDA2D8B69FCE}" name="Columna8333" dataDxfId="8079"/>
    <tableColumn id="8340" xr3:uid="{9D9EE691-8961-476D-BD29-13F4A3EFC41D}" name="Columna8334" dataDxfId="8078"/>
    <tableColumn id="8341" xr3:uid="{03565A1B-FFF9-43A6-9FEB-E8F2522BB401}" name="Columna8335" dataDxfId="8077"/>
    <tableColumn id="8342" xr3:uid="{1ABBD083-E67B-420D-9AA9-314E1494F026}" name="Columna8336" dataDxfId="8076"/>
    <tableColumn id="8343" xr3:uid="{F7934EF7-7FF1-4FFE-B0FB-0FE55E5B69E9}" name="Columna8337" dataDxfId="8075"/>
    <tableColumn id="8344" xr3:uid="{90554B10-8AB1-44F8-8147-32C7D733E4A0}" name="Columna8338" dataDxfId="8074"/>
    <tableColumn id="8345" xr3:uid="{DDBD4DDF-59FD-4D2F-83ED-B77A57E2050E}" name="Columna8339" dataDxfId="8073"/>
    <tableColumn id="8346" xr3:uid="{EEC79A20-A937-4AE4-953E-7FF6FC39A54B}" name="Columna8340" dataDxfId="8072"/>
    <tableColumn id="8347" xr3:uid="{41785EB5-AFAC-48E3-8B68-029D2498C155}" name="Columna8341" dataDxfId="8071"/>
    <tableColumn id="8348" xr3:uid="{E2A8D855-2882-4E9B-A94A-0BB0F85EEB84}" name="Columna8342" dataDxfId="8070"/>
    <tableColumn id="8349" xr3:uid="{8B652712-65B8-42DC-A9B4-109CA5A60BE0}" name="Columna8343" dataDxfId="8069"/>
    <tableColumn id="8350" xr3:uid="{64B10E35-A3DE-4D14-88A4-6F840E659B9B}" name="Columna8344" dataDxfId="8068"/>
    <tableColumn id="8351" xr3:uid="{8B47CAFF-3782-4D8D-B9D1-2519B52BA8D2}" name="Columna8345" dataDxfId="8067"/>
    <tableColumn id="8352" xr3:uid="{3D3387CF-2F5E-4418-85FF-8C73F81CC1A3}" name="Columna8346" dataDxfId="8066"/>
    <tableColumn id="8353" xr3:uid="{3A65AD20-4B96-41E7-A4C9-31DEC6E9A1C8}" name="Columna8347" dataDxfId="8065"/>
    <tableColumn id="8354" xr3:uid="{834273E0-88B0-4EB0-93B4-F199C7EDB3F2}" name="Columna8348" dataDxfId="8064"/>
    <tableColumn id="8355" xr3:uid="{02B5B263-AD0E-42FA-83EA-8C32E78B2328}" name="Columna8349" dataDxfId="8063"/>
    <tableColumn id="8356" xr3:uid="{6B5EEB1C-12C7-4D6F-98E1-78B5FF84976A}" name="Columna8350" dataDxfId="8062"/>
    <tableColumn id="8357" xr3:uid="{03CAF3B6-D174-465E-AF8F-AACA4C62B142}" name="Columna8351" dataDxfId="8061"/>
    <tableColumn id="8358" xr3:uid="{268B7F44-922B-408E-AE0E-48B0A560FD0D}" name="Columna8352" dataDxfId="8060"/>
    <tableColumn id="8359" xr3:uid="{5DF77D35-8FC0-403B-8EBB-492B2B95668F}" name="Columna8353" dataDxfId="8059"/>
    <tableColumn id="8360" xr3:uid="{22C77199-5D40-4477-9F88-A32E8E9CAAB2}" name="Columna8354" dataDxfId="8058"/>
    <tableColumn id="8361" xr3:uid="{5DA6FB68-DB17-4AE5-A51D-E14BD5C3A969}" name="Columna8355" dataDxfId="8057"/>
    <tableColumn id="8362" xr3:uid="{4BCE3B66-8942-4261-80DD-BDB463BDB877}" name="Columna8356" dataDxfId="8056"/>
    <tableColumn id="8363" xr3:uid="{557F20EE-3BC9-45CE-9C6E-D3B3F20B4A54}" name="Columna8357" dataDxfId="8055"/>
    <tableColumn id="8364" xr3:uid="{5BEBF85A-6D5B-4FEC-ABD6-736F865DDD77}" name="Columna8358" dataDxfId="8054"/>
    <tableColumn id="8365" xr3:uid="{ED82129C-65CC-407A-98D4-6724788C475F}" name="Columna8359" dataDxfId="8053"/>
    <tableColumn id="8366" xr3:uid="{CEB2CB75-20AA-46F8-BB19-25CD7C06FD47}" name="Columna8360" dataDxfId="8052"/>
    <tableColumn id="8367" xr3:uid="{D80EDE31-94E8-41C0-904E-8AA7AF69EA6A}" name="Columna8361" dataDxfId="8051"/>
    <tableColumn id="8368" xr3:uid="{6E41877D-0298-4EC1-8C99-59D85A988FB4}" name="Columna8362" dataDxfId="8050"/>
    <tableColumn id="8369" xr3:uid="{49DF0DD4-725D-4DAD-AAA9-95CBD57C76FE}" name="Columna8363" dataDxfId="8049"/>
    <tableColumn id="8370" xr3:uid="{A434EEAF-389B-40F1-91EE-048B1598BE81}" name="Columna8364" dataDxfId="8048"/>
    <tableColumn id="8371" xr3:uid="{2905A68B-65A8-4522-8D6B-B32AE42621B6}" name="Columna8365" dataDxfId="8047"/>
    <tableColumn id="8372" xr3:uid="{E250B203-685A-49D0-8155-1F996EF793B6}" name="Columna8366" dataDxfId="8046"/>
    <tableColumn id="8373" xr3:uid="{720D1CFC-26DC-406A-B214-B532D4B5ADC1}" name="Columna8367" dataDxfId="8045"/>
    <tableColumn id="8374" xr3:uid="{7E3C265D-79AB-462A-AEC0-0545A8E03A86}" name="Columna8368" dataDxfId="8044"/>
    <tableColumn id="8375" xr3:uid="{9D7D7343-439B-4E07-9919-F5732E563828}" name="Columna8369" dataDxfId="8043"/>
    <tableColumn id="8376" xr3:uid="{6F8787CC-8500-47A6-BF1D-E3E4BCF44E18}" name="Columna8370" dataDxfId="8042"/>
    <tableColumn id="8377" xr3:uid="{68B05896-D081-489F-8BC3-F28BD6B66E3A}" name="Columna8371" dataDxfId="8041"/>
    <tableColumn id="8378" xr3:uid="{E46878C7-5190-4F7C-86AC-098ED4CB495C}" name="Columna8372" dataDxfId="8040"/>
    <tableColumn id="8379" xr3:uid="{8A790EDC-CC59-41D6-8F73-43E2C377FD17}" name="Columna8373" dataDxfId="8039"/>
    <tableColumn id="8380" xr3:uid="{0FE10195-0411-4290-A797-C2B87605004B}" name="Columna8374" dataDxfId="8038"/>
    <tableColumn id="8381" xr3:uid="{3E256BE8-2C1B-4A1E-8702-5037D7ED094B}" name="Columna8375" dataDxfId="8037"/>
    <tableColumn id="8382" xr3:uid="{E92AD838-B492-43E7-B6C4-CEEC019A5BC4}" name="Columna8376" dataDxfId="8036"/>
    <tableColumn id="8383" xr3:uid="{F2B42FEF-DE90-49BF-AF0F-91E4574EAD31}" name="Columna8377" dataDxfId="8035"/>
    <tableColumn id="8384" xr3:uid="{7404A892-4D6B-4B0F-B165-AC06E760C673}" name="Columna8378" dataDxfId="8034"/>
    <tableColumn id="8385" xr3:uid="{F1680D54-5221-4B7A-955B-75673CAA6E9C}" name="Columna8379" dataDxfId="8033"/>
    <tableColumn id="8386" xr3:uid="{7437904D-22E4-4341-ACA5-07E08712F244}" name="Columna8380" dataDxfId="8032"/>
    <tableColumn id="8387" xr3:uid="{E6BE2742-8958-4155-B8C6-414D37FA3723}" name="Columna8381" dataDxfId="8031"/>
    <tableColumn id="8388" xr3:uid="{04D67C60-FAC1-49C5-88C0-E59F280C2704}" name="Columna8382" dataDxfId="8030"/>
    <tableColumn id="8389" xr3:uid="{F754BD28-50C6-4A01-9A87-ABF7C31512A6}" name="Columna8383" dataDxfId="8029"/>
    <tableColumn id="8390" xr3:uid="{11F5DD09-C86D-4F23-97DD-DB3994DAD476}" name="Columna8384" dataDxfId="8028"/>
    <tableColumn id="8391" xr3:uid="{CF42CA9C-42D8-41D3-84B6-11496BA6670B}" name="Columna8385" dataDxfId="8027"/>
    <tableColumn id="8392" xr3:uid="{D4106A5D-D06C-4FBD-AC6B-D282479821C0}" name="Columna8386" dataDxfId="8026"/>
    <tableColumn id="8393" xr3:uid="{28FBC79F-20D2-4DD8-A8A0-63DE5A746053}" name="Columna8387" dataDxfId="8025"/>
    <tableColumn id="8394" xr3:uid="{B8CADD8C-A59F-45BD-BEDD-2B2062A33C30}" name="Columna8388" dataDxfId="8024"/>
    <tableColumn id="8395" xr3:uid="{BE69B908-6C60-4487-B697-E99F1CD0C7AD}" name="Columna8389" dataDxfId="8023"/>
    <tableColumn id="8396" xr3:uid="{AEC9A25C-BD6C-42F8-A730-36D713A6BBA3}" name="Columna8390" dataDxfId="8022"/>
    <tableColumn id="8397" xr3:uid="{C5C6CA10-B064-4930-9AD5-ADA07B740027}" name="Columna8391" dataDxfId="8021"/>
    <tableColumn id="8398" xr3:uid="{DB0C230E-498F-4923-A8F4-DF1D769DD52B}" name="Columna8392" dataDxfId="8020"/>
    <tableColumn id="8399" xr3:uid="{1C81F726-34D2-4630-A652-DF2A3C1F8AA1}" name="Columna8393" dataDxfId="8019"/>
    <tableColumn id="8400" xr3:uid="{32B82858-2B58-46C3-95E4-F1C3ABC27BF8}" name="Columna8394" dataDxfId="8018"/>
    <tableColumn id="8401" xr3:uid="{141EFCBB-442C-4D9D-B4EF-3E0770BBC9CA}" name="Columna8395" dataDxfId="8017"/>
    <tableColumn id="8402" xr3:uid="{BC7A07B9-D588-400E-8F71-C5A2C67A6E4B}" name="Columna8396" dataDxfId="8016"/>
    <tableColumn id="8403" xr3:uid="{D99BA75A-9068-4E70-9D62-87DFED380C06}" name="Columna8397" dataDxfId="8015"/>
    <tableColumn id="8404" xr3:uid="{3BA60C45-2591-4D5B-B072-03707B211CC8}" name="Columna8398" dataDxfId="8014"/>
    <tableColumn id="8405" xr3:uid="{E60A9A26-9848-4CB7-A3E8-0A55C5577404}" name="Columna8399" dataDxfId="8013"/>
    <tableColumn id="8406" xr3:uid="{B85E9F2A-D327-4E0A-8001-137052CE90DC}" name="Columna8400" dataDxfId="8012"/>
    <tableColumn id="8407" xr3:uid="{1C2DED66-44C6-4F9F-B9D5-4F4E13428327}" name="Columna8401" dataDxfId="8011"/>
    <tableColumn id="8408" xr3:uid="{68D1B39E-3AB5-4973-BAEC-A93B3EBAB4E8}" name="Columna8402" dataDxfId="8010"/>
    <tableColumn id="8409" xr3:uid="{1A8838FA-988C-4B8C-B346-05FEDFD95845}" name="Columna8403" dataDxfId="8009"/>
    <tableColumn id="8410" xr3:uid="{60DE515A-77B5-4A1B-8121-336A616BF134}" name="Columna8404" dataDxfId="8008"/>
    <tableColumn id="8411" xr3:uid="{43FF8A18-1407-48D8-8B5A-64F2DCB4B9F2}" name="Columna8405" dataDxfId="8007"/>
    <tableColumn id="8412" xr3:uid="{41244A25-174B-4C6B-88FC-9B2C1A486EF0}" name="Columna8406" dataDxfId="8006"/>
    <tableColumn id="8413" xr3:uid="{5A7365AF-1B2D-46FB-99E8-AC39B01092E8}" name="Columna8407" dataDxfId="8005"/>
    <tableColumn id="8414" xr3:uid="{3F961557-A024-415F-9BC2-25CA4E23247E}" name="Columna8408" dataDxfId="8004"/>
    <tableColumn id="8415" xr3:uid="{DD84C23F-CF18-44DE-A0D5-950D8816371C}" name="Columna8409" dataDxfId="8003"/>
    <tableColumn id="8416" xr3:uid="{DA5FFA12-2380-493B-81EB-CB7937AE43FC}" name="Columna8410" dataDxfId="8002"/>
    <tableColumn id="8417" xr3:uid="{D16FC401-81FC-4BC6-A037-BCCF1E16578A}" name="Columna8411" dataDxfId="8001"/>
    <tableColumn id="8418" xr3:uid="{DFA11F78-36ED-4456-84D9-3FAFA0DDE67D}" name="Columna8412" dataDxfId="8000"/>
    <tableColumn id="8419" xr3:uid="{BF8C09C3-A2A4-4949-A647-3AC2461D4FD9}" name="Columna8413" dataDxfId="7999"/>
    <tableColumn id="8420" xr3:uid="{22FFF75B-8FE6-4EC2-AE31-949AB68704B8}" name="Columna8414" dataDxfId="7998"/>
    <tableColumn id="8421" xr3:uid="{004C5FA6-0300-46AF-A769-EBE2188A7882}" name="Columna8415" dataDxfId="7997"/>
    <tableColumn id="8422" xr3:uid="{40DE4EE6-DDA1-4A2E-9D6F-DC1A28ECA57F}" name="Columna8416" dataDxfId="7996"/>
    <tableColumn id="8423" xr3:uid="{3C27B45A-8D50-4BCD-9C44-95C8FA596B46}" name="Columna8417" dataDxfId="7995"/>
    <tableColumn id="8424" xr3:uid="{90308D7D-EE95-485A-944B-C2F1F5463F68}" name="Columna8418" dataDxfId="7994"/>
    <tableColumn id="8425" xr3:uid="{ECDF3E0D-7070-4008-A46F-DB309D3C28BA}" name="Columna8419" dataDxfId="7993"/>
    <tableColumn id="8426" xr3:uid="{480E9DCD-BD5C-404C-A281-43E45FDC1470}" name="Columna8420" dataDxfId="7992"/>
    <tableColumn id="8427" xr3:uid="{8635AB7A-B624-4F01-AE50-110FC5661084}" name="Columna8421" dataDxfId="7991"/>
    <tableColumn id="8428" xr3:uid="{CD9A3BC8-E55C-4BED-BF00-02015FD07556}" name="Columna8422" dataDxfId="7990"/>
    <tableColumn id="8429" xr3:uid="{76F558E8-E9F4-475A-9D3E-157DCEC2918F}" name="Columna8423" dataDxfId="7989"/>
    <tableColumn id="8430" xr3:uid="{99B24F57-8F85-49AB-991A-E80FF8278862}" name="Columna8424" dataDxfId="7988"/>
    <tableColumn id="8431" xr3:uid="{D8A5FE71-CAF8-46CC-A654-1C5A5F8D472F}" name="Columna8425" dataDxfId="7987"/>
    <tableColumn id="8432" xr3:uid="{70EE8F94-1CD4-4545-8CB6-BD7978EAD7A1}" name="Columna8426" dataDxfId="7986"/>
    <tableColumn id="8433" xr3:uid="{7CA67F2C-6F3A-4806-814F-6766938531DD}" name="Columna8427" dataDxfId="7985"/>
    <tableColumn id="8434" xr3:uid="{2AD10BA5-42F3-48CF-9F4A-A669B2921AE2}" name="Columna8428" dataDxfId="7984"/>
    <tableColumn id="8435" xr3:uid="{FE41029E-96FF-4C07-8E52-4928E3DB6CC6}" name="Columna8429" dataDxfId="7983"/>
    <tableColumn id="8436" xr3:uid="{396CB82F-0279-4B49-955A-A5F261C0F2AF}" name="Columna8430" dataDxfId="7982"/>
    <tableColumn id="8437" xr3:uid="{A8950AEA-DC17-42E6-92E9-1A2C8613F464}" name="Columna8431" dataDxfId="7981"/>
    <tableColumn id="8438" xr3:uid="{E2ABAD54-E95D-42BE-A4C1-BD03E39DE805}" name="Columna8432" dataDxfId="7980"/>
    <tableColumn id="8439" xr3:uid="{DD2697A3-F13D-47C2-8FE1-9AFCDBB98AD0}" name="Columna8433" dataDxfId="7979"/>
    <tableColumn id="8440" xr3:uid="{175ED970-0060-44BA-B53E-1A897E1A6235}" name="Columna8434" dataDxfId="7978"/>
    <tableColumn id="8441" xr3:uid="{D1442513-F728-4A46-B313-5DA0F3BB0A2C}" name="Columna8435" dataDxfId="7977"/>
    <tableColumn id="8442" xr3:uid="{D19D9B0C-BABF-4F1E-B81F-3F94B460FC8B}" name="Columna8436" dataDxfId="7976"/>
    <tableColumn id="8443" xr3:uid="{DB0850B5-E577-4076-B90A-0E8A0319975C}" name="Columna8437" dataDxfId="7975"/>
    <tableColumn id="8444" xr3:uid="{153E452B-677A-4D79-8EA0-E142582A6589}" name="Columna8438" dataDxfId="7974"/>
    <tableColumn id="8445" xr3:uid="{9DB88715-0BD6-4CFC-8F6A-9B720151CA93}" name="Columna8439" dataDxfId="7973"/>
    <tableColumn id="8446" xr3:uid="{DBCC59E0-60E9-4645-9DA1-B6B7A03C654B}" name="Columna8440" dataDxfId="7972"/>
    <tableColumn id="8447" xr3:uid="{66421D7B-36E7-43FB-9961-EC08D8E96032}" name="Columna8441" dataDxfId="7971"/>
    <tableColumn id="8448" xr3:uid="{99E010C3-26AF-482C-BBC8-16A62CEFE534}" name="Columna8442" dataDxfId="7970"/>
    <tableColumn id="8449" xr3:uid="{9B2CF39E-3940-47EB-8B2C-DE6D1ACC47BC}" name="Columna8443" dataDxfId="7969"/>
    <tableColumn id="8450" xr3:uid="{213FB305-553E-4910-AE62-B755F2433AB4}" name="Columna8444" dataDxfId="7968"/>
    <tableColumn id="8451" xr3:uid="{EAAA8A06-66B8-4729-92D5-6B903EC24AF5}" name="Columna8445" dataDxfId="7967"/>
    <tableColumn id="8452" xr3:uid="{863BE233-7747-4A01-99F7-3161D8FE6F64}" name="Columna8446" dataDxfId="7966"/>
    <tableColumn id="8453" xr3:uid="{E188F27E-CB9E-4817-97F0-6D4C5C375827}" name="Columna8447" dataDxfId="7965"/>
    <tableColumn id="8454" xr3:uid="{475A95DB-AA11-4F3B-8EBC-830D764F3FAD}" name="Columna8448" dataDxfId="7964"/>
    <tableColumn id="8455" xr3:uid="{CD0F6136-9EAA-4854-A95E-CC88F66382AB}" name="Columna8449" dataDxfId="7963"/>
    <tableColumn id="8456" xr3:uid="{3FB666C3-CAEF-4077-8916-2E166E45A3BA}" name="Columna8450" dataDxfId="7962"/>
    <tableColumn id="8457" xr3:uid="{3889BE72-2C60-4C11-9FE5-E81BF7C039AB}" name="Columna8451" dataDxfId="7961"/>
    <tableColumn id="8458" xr3:uid="{C7567C4A-AAFB-44F0-BDF7-7D0E04020B39}" name="Columna8452" dataDxfId="7960"/>
    <tableColumn id="8459" xr3:uid="{3EE95802-B7B1-492C-92B1-A18592CACC13}" name="Columna8453" dataDxfId="7959"/>
    <tableColumn id="8460" xr3:uid="{63E0A693-A673-4493-B6DC-56CC90C7BCD0}" name="Columna8454" dataDxfId="7958"/>
    <tableColumn id="8461" xr3:uid="{1B5A654B-B225-451D-A058-40E876875EE7}" name="Columna8455" dataDxfId="7957"/>
    <tableColumn id="8462" xr3:uid="{9AF62E11-8F40-4589-91CF-48D7DB3253A6}" name="Columna8456" dataDxfId="7956"/>
    <tableColumn id="8463" xr3:uid="{7002008A-DBDD-44DD-984D-954D0C1F06EC}" name="Columna8457" dataDxfId="7955"/>
    <tableColumn id="8464" xr3:uid="{F66887C8-216B-49A5-9ACE-D77AA4F9A92D}" name="Columna8458" dataDxfId="7954"/>
    <tableColumn id="8465" xr3:uid="{1C985702-0FE0-4840-B685-E27E5412F675}" name="Columna8459" dataDxfId="7953"/>
    <tableColumn id="8466" xr3:uid="{27DAFAB5-FF50-4A54-AC3B-FBDA166EF37F}" name="Columna8460" dataDxfId="7952"/>
    <tableColumn id="8467" xr3:uid="{0C06BAFB-E68B-44E8-A67A-D4E21B896355}" name="Columna8461" dataDxfId="7951"/>
    <tableColumn id="8468" xr3:uid="{005C75BB-37E6-43DE-BB90-595409ABB7FC}" name="Columna8462" dataDxfId="7950"/>
    <tableColumn id="8469" xr3:uid="{43BDFA9D-159D-40E1-9633-4BB29F835AFE}" name="Columna8463" dataDxfId="7949"/>
    <tableColumn id="8470" xr3:uid="{B81D1B25-6CA6-4DE5-8F59-2E99818E2FD2}" name="Columna8464" dataDxfId="7948"/>
    <tableColumn id="8471" xr3:uid="{D991B431-EDA7-49F8-9F10-2768FC421FA4}" name="Columna8465" dataDxfId="7947"/>
    <tableColumn id="8472" xr3:uid="{08EF807E-B0FB-49BA-91AB-562131EB5513}" name="Columna8466" dataDxfId="7946"/>
    <tableColumn id="8473" xr3:uid="{A6890346-241B-4622-B06D-24A7748BEFAA}" name="Columna8467" dataDxfId="7945"/>
    <tableColumn id="8474" xr3:uid="{45B83C10-6C74-4EE6-A542-F12F9A120AF3}" name="Columna8468" dataDxfId="7944"/>
    <tableColumn id="8475" xr3:uid="{AD9BCB98-8081-4137-99D2-9B3AF897649D}" name="Columna8469" dataDxfId="7943"/>
    <tableColumn id="8476" xr3:uid="{F672EF09-6AA6-42CA-A03D-8CB972101B30}" name="Columna8470" dataDxfId="7942"/>
    <tableColumn id="8477" xr3:uid="{25681DEB-5080-4B26-999B-3FD29EFEE18F}" name="Columna8471" dataDxfId="7941"/>
    <tableColumn id="8478" xr3:uid="{8446CE35-6DFF-40E2-BCBC-70475E8DCF82}" name="Columna8472" dataDxfId="7940"/>
    <tableColumn id="8479" xr3:uid="{FBC05E34-FB5A-4B4D-BFFF-CB6C234491EC}" name="Columna8473" dataDxfId="7939"/>
    <tableColumn id="8480" xr3:uid="{B89B63EB-B96C-445B-AA9C-7158D5946C29}" name="Columna8474" dataDxfId="7938"/>
    <tableColumn id="8481" xr3:uid="{B90C334A-E675-4EA7-A3F2-51DE44995A74}" name="Columna8475" dataDxfId="7937"/>
    <tableColumn id="8482" xr3:uid="{4898649E-279A-40A5-B601-85106C909536}" name="Columna8476" dataDxfId="7936"/>
    <tableColumn id="8483" xr3:uid="{F68001A8-0FB8-48F4-BCE7-C30F5BCFB751}" name="Columna8477" dataDxfId="7935"/>
    <tableColumn id="8484" xr3:uid="{71DE7B28-428E-40F1-B2FC-AD79C301C661}" name="Columna8478" dataDxfId="7934"/>
    <tableColumn id="8485" xr3:uid="{9AF4B79D-831D-48FE-87CD-3810EB3DE0CF}" name="Columna8479" dataDxfId="7933"/>
    <tableColumn id="8486" xr3:uid="{0319165D-5EF0-43B8-931C-366BF33455EA}" name="Columna8480" dataDxfId="7932"/>
    <tableColumn id="8487" xr3:uid="{D3EB9B2A-2132-4DAD-B6AB-B9112280EA01}" name="Columna8481" dataDxfId="7931"/>
    <tableColumn id="8488" xr3:uid="{8272CD55-1407-4094-BA51-B3884C98BDA5}" name="Columna8482" dataDxfId="7930"/>
    <tableColumn id="8489" xr3:uid="{29895A59-8DB2-4CF6-B134-B3957B7A5121}" name="Columna8483" dataDxfId="7929"/>
    <tableColumn id="8490" xr3:uid="{0F031EC3-68F9-4D76-8880-11C1BDBC7C1B}" name="Columna8484" dataDxfId="7928"/>
    <tableColumn id="8491" xr3:uid="{544D5C4C-9D24-4D98-B9D9-55D1EE8F7E93}" name="Columna8485" dataDxfId="7927"/>
    <tableColumn id="8492" xr3:uid="{A9C8FD93-CE63-4872-8EFF-B55729EC76EA}" name="Columna8486" dataDxfId="7926"/>
    <tableColumn id="8493" xr3:uid="{01AC590B-E510-453C-B579-13FBD6B28F65}" name="Columna8487" dataDxfId="7925"/>
    <tableColumn id="8494" xr3:uid="{5234B498-AE4F-4E4E-893D-27DDFA1AC2E6}" name="Columna8488" dataDxfId="7924"/>
    <tableColumn id="8495" xr3:uid="{0E4487A0-9595-4C1D-8B7F-B79DAA68B225}" name="Columna8489" dataDxfId="7923"/>
    <tableColumn id="8496" xr3:uid="{0EB10C15-C13C-40FA-BD84-B1F36D2722FD}" name="Columna8490" dataDxfId="7922"/>
    <tableColumn id="8497" xr3:uid="{76DBBB27-7215-4C36-8110-85C95F326473}" name="Columna8491" dataDxfId="7921"/>
    <tableColumn id="8498" xr3:uid="{118E0010-860F-4F30-A1F3-94C5C708A643}" name="Columna8492" dataDxfId="7920"/>
    <tableColumn id="8499" xr3:uid="{D740181E-29E9-4CF1-88AF-2703EE531302}" name="Columna8493" dataDxfId="7919"/>
    <tableColumn id="8500" xr3:uid="{35C26DC6-872D-4134-BE25-88E93910F6C7}" name="Columna8494" dataDxfId="7918"/>
    <tableColumn id="8501" xr3:uid="{AD829F4A-7D79-486E-8BF2-F928806528A8}" name="Columna8495" dataDxfId="7917"/>
    <tableColumn id="8502" xr3:uid="{314A8E24-D6D6-4010-8883-9475BDE887FD}" name="Columna8496" dataDxfId="7916"/>
    <tableColumn id="8503" xr3:uid="{D6406EB3-5EED-4C3B-928A-E88122458085}" name="Columna8497" dataDxfId="7915"/>
    <tableColumn id="8504" xr3:uid="{F7E99A24-3939-4CBD-890F-5F783B3CF929}" name="Columna8498" dataDxfId="7914"/>
    <tableColumn id="8505" xr3:uid="{FDD8FCC5-BAEF-4042-9B3A-ABE5F1FDAD7C}" name="Columna8499" dataDxfId="7913"/>
    <tableColumn id="8506" xr3:uid="{1AAE7BDC-32F6-4B4D-B0B7-D24742685172}" name="Columna8500" dataDxfId="7912"/>
    <tableColumn id="8507" xr3:uid="{65829CD7-1E16-46B4-B26C-833E333836F5}" name="Columna8501" dataDxfId="7911"/>
    <tableColumn id="8508" xr3:uid="{31B5EF61-F6B7-473D-BECE-48C506A06CFD}" name="Columna8502" dataDxfId="7910"/>
    <tableColumn id="8509" xr3:uid="{011ECCF6-6847-4974-8E8F-A9394C912B9C}" name="Columna8503" dataDxfId="7909"/>
    <tableColumn id="8510" xr3:uid="{B7B14745-C62D-4579-97C3-1B0F5E3FE7B0}" name="Columna8504" dataDxfId="7908"/>
    <tableColumn id="8511" xr3:uid="{7E18DA01-4839-4CCE-87C7-51A6C42B1F7D}" name="Columna8505" dataDxfId="7907"/>
    <tableColumn id="8512" xr3:uid="{A1D5AA13-FBD0-442E-8BDD-36A234A571CA}" name="Columna8506" dataDxfId="7906"/>
    <tableColumn id="8513" xr3:uid="{C8C173BD-3692-469E-92A0-271F6C5EC96F}" name="Columna8507" dataDxfId="7905"/>
    <tableColumn id="8514" xr3:uid="{27999C68-C2BC-4D71-A9AB-6AE345BE788A}" name="Columna8508" dataDxfId="7904"/>
    <tableColumn id="8515" xr3:uid="{0E46E2A5-F7DD-4652-A563-BCB23D67359A}" name="Columna8509" dataDxfId="7903"/>
    <tableColumn id="8516" xr3:uid="{67654F38-7EF3-4DD6-B0F3-1C78D58C1D43}" name="Columna8510" dataDxfId="7902"/>
    <tableColumn id="8517" xr3:uid="{53261F6C-8F02-47C4-BD70-3C4EA4E7BD6F}" name="Columna8511" dataDxfId="7901"/>
    <tableColumn id="8518" xr3:uid="{50D294E6-F3C4-4F28-B30D-B7977556D878}" name="Columna8512" dataDxfId="7900"/>
    <tableColumn id="8519" xr3:uid="{111754CA-BE1A-4E8A-A683-C8E9A270FBB4}" name="Columna8513" dataDxfId="7899"/>
    <tableColumn id="8520" xr3:uid="{2825AAEC-6A28-4D02-9F03-7AF61F2BA4E5}" name="Columna8514" dataDxfId="7898"/>
    <tableColumn id="8521" xr3:uid="{3B5A4461-8E32-4DC1-BB39-0C0E723E37FF}" name="Columna8515" dataDxfId="7897"/>
    <tableColumn id="8522" xr3:uid="{EA4018A5-E294-47E5-ABE3-2F960DAFD582}" name="Columna8516" dataDxfId="7896"/>
    <tableColumn id="8523" xr3:uid="{D21C18AC-0C27-41C9-9E83-38B40ABA2D5D}" name="Columna8517" dataDxfId="7895"/>
    <tableColumn id="8524" xr3:uid="{E27CC255-B6FC-4325-BE1C-2C511F4CCDEA}" name="Columna8518" dataDxfId="7894"/>
    <tableColumn id="8525" xr3:uid="{685A9A64-724B-4E00-A769-7EEC0BA898E6}" name="Columna8519" dataDxfId="7893"/>
    <tableColumn id="8526" xr3:uid="{7B180C1F-96BC-46CF-B179-752863E525F0}" name="Columna8520" dataDxfId="7892"/>
    <tableColumn id="8527" xr3:uid="{9AF6D9CC-1D46-49BD-9CE6-892FF205C2F1}" name="Columna8521" dataDxfId="7891"/>
    <tableColumn id="8528" xr3:uid="{98C8EDF5-53F2-47E0-81F2-F55CF2AFB35A}" name="Columna8522" dataDxfId="7890"/>
    <tableColumn id="8529" xr3:uid="{F008607C-BE1B-4B7F-9479-9EB285F9160C}" name="Columna8523" dataDxfId="7889"/>
    <tableColumn id="8530" xr3:uid="{15F51601-E792-4713-B641-9B08B4A68376}" name="Columna8524" dataDxfId="7888"/>
    <tableColumn id="8531" xr3:uid="{70D4D481-D5AA-4982-B0AB-CB2925ECD121}" name="Columna8525" dataDxfId="7887"/>
    <tableColumn id="8532" xr3:uid="{6670ECE2-4EDC-48BE-BC46-D28D60E38C23}" name="Columna8526" dataDxfId="7886"/>
    <tableColumn id="8533" xr3:uid="{11FC9B98-41E8-49A9-861C-D4EAF12A4001}" name="Columna8527" dataDxfId="7885"/>
    <tableColumn id="8534" xr3:uid="{24DAC41F-5186-4134-B620-2422EED85DD6}" name="Columna8528" dataDxfId="7884"/>
    <tableColumn id="8535" xr3:uid="{13D5D53A-D558-4C86-8988-AF2DF002EC88}" name="Columna8529" dataDxfId="7883"/>
    <tableColumn id="8536" xr3:uid="{702F6BC4-FC6A-4B39-929A-7FA12C079CCD}" name="Columna8530" dataDxfId="7882"/>
    <tableColumn id="8537" xr3:uid="{E8795EEB-8EE9-4E97-BE8D-801B462C4581}" name="Columna8531" dataDxfId="7881"/>
    <tableColumn id="8538" xr3:uid="{6EA802DA-ABC6-48EA-97A7-D657ED032B6E}" name="Columna8532" dataDxfId="7880"/>
    <tableColumn id="8539" xr3:uid="{FA0E2C79-B6F4-4152-A7CE-3C28E14D63B3}" name="Columna8533" dataDxfId="7879"/>
    <tableColumn id="8540" xr3:uid="{AE442510-1589-4CA8-B73B-DC3C2894ECD6}" name="Columna8534" dataDxfId="7878"/>
    <tableColumn id="8541" xr3:uid="{929A3FAD-6C1B-40E8-B1D1-8D0AEC0E1699}" name="Columna8535" dataDxfId="7877"/>
    <tableColumn id="8542" xr3:uid="{699D8F2F-C51C-4DE3-91BC-D6D101B198C2}" name="Columna8536" dataDxfId="7876"/>
    <tableColumn id="8543" xr3:uid="{2D540419-5A9B-4184-81E1-BAF1F1EB9158}" name="Columna8537" dataDxfId="7875"/>
    <tableColumn id="8544" xr3:uid="{D4A4A579-613F-4A57-9B0A-6911539A5984}" name="Columna8538" dataDxfId="7874"/>
    <tableColumn id="8545" xr3:uid="{1DB39019-7596-4670-9B72-D5433B6ADCA1}" name="Columna8539" dataDxfId="7873"/>
    <tableColumn id="8546" xr3:uid="{5E80A430-D3FB-4968-9BCC-F93B345483B7}" name="Columna8540" dataDxfId="7872"/>
    <tableColumn id="8547" xr3:uid="{DEB8B14C-468E-4C73-925B-A42EB6F02DF3}" name="Columna8541" dataDxfId="7871"/>
    <tableColumn id="8548" xr3:uid="{D150023D-C873-48D1-8958-B2CA20FB7E1A}" name="Columna8542" dataDxfId="7870"/>
    <tableColumn id="8549" xr3:uid="{93572E40-01A0-4CDF-9607-972118E65695}" name="Columna8543" dataDxfId="7869"/>
    <tableColumn id="8550" xr3:uid="{DB81C4B0-8673-400E-B348-5B4F7B622BDC}" name="Columna8544" dataDxfId="7868"/>
    <tableColumn id="8551" xr3:uid="{A5934D4E-4D7F-4BB3-BE34-EFB351EC9DF8}" name="Columna8545" dataDxfId="7867"/>
    <tableColumn id="8552" xr3:uid="{94BF6DEF-D5A0-4950-AAE7-E73EF168967F}" name="Columna8546" dataDxfId="7866"/>
    <tableColumn id="8553" xr3:uid="{6CE1AF1C-33C1-4E2D-84C4-6DC7B5C9AD17}" name="Columna8547" dataDxfId="7865"/>
    <tableColumn id="8554" xr3:uid="{530F5BF3-9548-43F5-AD76-79B59BD92525}" name="Columna8548" dataDxfId="7864"/>
    <tableColumn id="8555" xr3:uid="{9CA88114-0888-438E-BBDB-72F3B0F71D26}" name="Columna8549" dataDxfId="7863"/>
    <tableColumn id="8556" xr3:uid="{8E689869-69F5-48F0-B9F6-E8CC6CAE19C5}" name="Columna8550" dataDxfId="7862"/>
    <tableColumn id="8557" xr3:uid="{C891A522-C158-41D5-B70A-1DCAC32DE15D}" name="Columna8551" dataDxfId="7861"/>
    <tableColumn id="8558" xr3:uid="{A3C230CB-A5E9-4F26-8B90-1D3B875E143E}" name="Columna8552" dataDxfId="7860"/>
    <tableColumn id="8559" xr3:uid="{3B950EB7-E4F5-48C1-BD61-47AB56723E59}" name="Columna8553" dataDxfId="7859"/>
    <tableColumn id="8560" xr3:uid="{13242536-E53D-4456-AB30-1692375F0875}" name="Columna8554" dataDxfId="7858"/>
    <tableColumn id="8561" xr3:uid="{D5F7DAB0-BD5E-43A7-8239-E20B673F6F79}" name="Columna8555" dataDxfId="7857"/>
    <tableColumn id="8562" xr3:uid="{FD7D5E1F-5E64-43F8-8EBD-7112A0923A4C}" name="Columna8556" dataDxfId="7856"/>
    <tableColumn id="8563" xr3:uid="{2FC97E5A-37E1-4D69-853A-5E901FCB1887}" name="Columna8557" dataDxfId="7855"/>
    <tableColumn id="8564" xr3:uid="{4B19E209-EE45-4D46-A171-FC6FB67E5912}" name="Columna8558" dataDxfId="7854"/>
    <tableColumn id="8565" xr3:uid="{A8BD6CC6-72F2-4AD3-B7F4-64EC28E819A0}" name="Columna8559" dataDxfId="7853"/>
    <tableColumn id="8566" xr3:uid="{DA9299B4-4D5E-4CB8-AD6A-EAFE0B0D9295}" name="Columna8560" dataDxfId="7852"/>
    <tableColumn id="8567" xr3:uid="{B49A6C4E-4248-497D-8226-7CD1D05392D3}" name="Columna8561" dataDxfId="7851"/>
    <tableColumn id="8568" xr3:uid="{BC3A1228-1945-4757-857D-B2526C1DDD68}" name="Columna8562" dataDxfId="7850"/>
    <tableColumn id="8569" xr3:uid="{7C50AF84-9F51-4BC0-9E72-7EC20FFA2BCF}" name="Columna8563" dataDxfId="7849"/>
    <tableColumn id="8570" xr3:uid="{169BFE4F-E61A-486D-AD60-339ED29CFE70}" name="Columna8564" dataDxfId="7848"/>
    <tableColumn id="8571" xr3:uid="{FB7D998A-45B6-4CCA-B6E8-32168CBE9F30}" name="Columna8565" dataDxfId="7847"/>
    <tableColumn id="8572" xr3:uid="{CD76CC40-6AD9-4E78-B747-4201DD128D74}" name="Columna8566" dataDxfId="7846"/>
    <tableColumn id="8573" xr3:uid="{98DB4A0A-02BE-4353-88F5-6AADDBB416E1}" name="Columna8567" dataDxfId="7845"/>
    <tableColumn id="8574" xr3:uid="{C4D06383-5F39-4390-90BC-04988E44FC3A}" name="Columna8568" dataDxfId="7844"/>
    <tableColumn id="8575" xr3:uid="{F5A869D5-D505-4376-B022-9D65CF6FBECB}" name="Columna8569" dataDxfId="7843"/>
    <tableColumn id="8576" xr3:uid="{A88F486B-2745-4C91-A701-2099A94B3E82}" name="Columna8570" dataDxfId="7842"/>
    <tableColumn id="8577" xr3:uid="{05A09CFD-2716-47A9-8B88-49E56B49D217}" name="Columna8571" dataDxfId="7841"/>
    <tableColumn id="8578" xr3:uid="{E18662FD-DA76-41E0-A436-E4CC10B572CD}" name="Columna8572" dataDxfId="7840"/>
    <tableColumn id="8579" xr3:uid="{32EBFF53-DC75-4151-BBCE-182B232E27B5}" name="Columna8573" dataDxfId="7839"/>
    <tableColumn id="8580" xr3:uid="{457AF702-9465-4449-BC7F-5B05D2326517}" name="Columna8574" dataDxfId="7838"/>
    <tableColumn id="8581" xr3:uid="{721B50F8-7EE6-4AF0-B044-60AE0087ABD8}" name="Columna8575" dataDxfId="7837"/>
    <tableColumn id="8582" xr3:uid="{60F25D66-AEC3-4CAE-AF7E-6B47DC3B39AC}" name="Columna8576" dataDxfId="7836"/>
    <tableColumn id="8583" xr3:uid="{86804B65-339B-4E49-8D3D-18FA52A2FDDB}" name="Columna8577" dataDxfId="7835"/>
    <tableColumn id="8584" xr3:uid="{A5ABC9C8-A575-4A65-AD39-29C4E75DF6F8}" name="Columna8578" dataDxfId="7834"/>
    <tableColumn id="8585" xr3:uid="{AA342983-3B11-4D3C-8A2F-29C04DD7B03E}" name="Columna8579" dataDxfId="7833"/>
    <tableColumn id="8586" xr3:uid="{ACFBA1DD-8F5C-4B26-AC43-4B2FBB7D76BD}" name="Columna8580" dataDxfId="7832"/>
    <tableColumn id="8587" xr3:uid="{5182728B-C026-4A32-9DA1-4505E37DA3E3}" name="Columna8581" dataDxfId="7831"/>
    <tableColumn id="8588" xr3:uid="{3D80363C-0EF5-4A7A-BF06-484CA779E0AB}" name="Columna8582" dataDxfId="7830"/>
    <tableColumn id="8589" xr3:uid="{69D1F6B7-B220-49CF-A6FA-1A0888FC09C2}" name="Columna8583" dataDxfId="7829"/>
    <tableColumn id="8590" xr3:uid="{EDAD0567-32AE-4F81-9DFD-7B6CFBD8D9B0}" name="Columna8584" dataDxfId="7828"/>
    <tableColumn id="8591" xr3:uid="{FC4BBE21-DB01-48C3-9536-2B7974F68B68}" name="Columna8585" dataDxfId="7827"/>
    <tableColumn id="8592" xr3:uid="{2F61B4EE-A02F-41CF-930E-33F2CDD66EFE}" name="Columna8586" dataDxfId="7826"/>
    <tableColumn id="8593" xr3:uid="{C749A9A2-2AD5-4E47-AB86-E06DE293CD5E}" name="Columna8587" dataDxfId="7825"/>
    <tableColumn id="8594" xr3:uid="{99A5C374-919B-4BE7-9D22-D8DC861500D9}" name="Columna8588" dataDxfId="7824"/>
    <tableColumn id="8595" xr3:uid="{ABB7D8E9-88A6-46EF-97A3-D086EB1D094D}" name="Columna8589" dataDxfId="7823"/>
    <tableColumn id="8596" xr3:uid="{0C17960E-18D1-419A-BD70-DF095238E810}" name="Columna8590" dataDxfId="7822"/>
    <tableColumn id="8597" xr3:uid="{030E214F-8060-4092-8D2D-6EFD63ECC7DF}" name="Columna8591" dataDxfId="7821"/>
    <tableColumn id="8598" xr3:uid="{23001EFF-7275-46F2-BFCD-7FFE38AC8363}" name="Columna8592" dataDxfId="7820"/>
    <tableColumn id="8599" xr3:uid="{024C7FF4-05F5-4A5D-BC8E-3C14F01C7BB9}" name="Columna8593" dataDxfId="7819"/>
    <tableColumn id="8600" xr3:uid="{4150D1F2-CC8D-4F7F-91D4-AC6F09D606B9}" name="Columna8594" dataDxfId="7818"/>
    <tableColumn id="8601" xr3:uid="{C880A084-313F-41D5-9BCC-56B2E3FCEC29}" name="Columna8595" dataDxfId="7817"/>
    <tableColumn id="8602" xr3:uid="{3C2AFA21-7F31-4A7D-BEC3-44093A02A912}" name="Columna8596" dataDxfId="7816"/>
    <tableColumn id="8603" xr3:uid="{6217CDFB-9B23-4681-8D02-228FDC96957D}" name="Columna8597" dataDxfId="7815"/>
    <tableColumn id="8604" xr3:uid="{EAFC9A69-E377-4111-A3F1-8BF75B18AC59}" name="Columna8598" dataDxfId="7814"/>
    <tableColumn id="8605" xr3:uid="{867AFD54-8198-43A7-A9E5-1651E5A3FD8D}" name="Columna8599" dataDxfId="7813"/>
    <tableColumn id="8606" xr3:uid="{8665C977-9EEA-4E57-9EA7-CB487E643A99}" name="Columna8600" dataDxfId="7812"/>
    <tableColumn id="8607" xr3:uid="{1E1E863B-0A08-4660-9022-0E68A15DA3D9}" name="Columna8601" dataDxfId="7811"/>
    <tableColumn id="8608" xr3:uid="{042D3DB9-1365-4018-BE56-A58B3885FE0A}" name="Columna8602" dataDxfId="7810"/>
    <tableColumn id="8609" xr3:uid="{A3FEA39A-AEB1-4F01-884E-9EE6685AC3B7}" name="Columna8603" dataDxfId="7809"/>
    <tableColumn id="8610" xr3:uid="{A72217CF-146F-4E74-9A02-D792CD5D6485}" name="Columna8604" dataDxfId="7808"/>
    <tableColumn id="8611" xr3:uid="{3E9BFC9C-03D7-4800-A74F-6B8D3562A4D6}" name="Columna8605" dataDxfId="7807"/>
    <tableColumn id="8612" xr3:uid="{43E8EBCF-AEC7-4A36-BD38-C59C32638AE3}" name="Columna8606" dataDxfId="7806"/>
    <tableColumn id="8613" xr3:uid="{F1C4BEE6-F337-4FEB-B7FA-FE13392D8EE5}" name="Columna8607" dataDxfId="7805"/>
    <tableColumn id="8614" xr3:uid="{A47C12B8-967B-4381-8176-F099CD080C6A}" name="Columna8608" dataDxfId="7804"/>
    <tableColumn id="8615" xr3:uid="{1384CD5E-654C-45A9-907C-1DA28A266737}" name="Columna8609" dataDxfId="7803"/>
    <tableColumn id="8616" xr3:uid="{D186C2C5-F4A2-424F-9514-5CA7E19DC581}" name="Columna8610" dataDxfId="7802"/>
    <tableColumn id="8617" xr3:uid="{73EC68FA-5E0A-47FF-8E98-9A1FBFA63FA3}" name="Columna8611" dataDxfId="7801"/>
    <tableColumn id="8618" xr3:uid="{E320FDE0-F4AE-4126-BAEC-C0D1DDE1B8C2}" name="Columna8612" dataDxfId="7800"/>
    <tableColumn id="8619" xr3:uid="{B281A8F3-4233-458A-8276-92DE87983858}" name="Columna8613" dataDxfId="7799"/>
    <tableColumn id="8620" xr3:uid="{77F858B4-50E2-4B8A-B629-3551D0AD08E7}" name="Columna8614" dataDxfId="7798"/>
    <tableColumn id="8621" xr3:uid="{65BC3FEB-6848-484D-8FEC-9032AFCAB0B5}" name="Columna8615" dataDxfId="7797"/>
    <tableColumn id="8622" xr3:uid="{2ADFFFBE-A6CE-4706-8B3E-A12679ADDF3E}" name="Columna8616" dataDxfId="7796"/>
    <tableColumn id="8623" xr3:uid="{3475FD87-A32E-4E79-9E75-2150AA58E622}" name="Columna8617" dataDxfId="7795"/>
    <tableColumn id="8624" xr3:uid="{38D9928B-E9D5-4A7B-9FC0-5E1EEA7BA6E0}" name="Columna8618" dataDxfId="7794"/>
    <tableColumn id="8625" xr3:uid="{2B37C818-23EB-4F15-B461-B03A653A4B94}" name="Columna8619" dataDxfId="7793"/>
    <tableColumn id="8626" xr3:uid="{D438864C-9B53-4A4B-93CF-6058A0D0790B}" name="Columna8620" dataDxfId="7792"/>
    <tableColumn id="8627" xr3:uid="{D9152C95-B910-4DC4-9804-8C75CE64A8B4}" name="Columna8621" dataDxfId="7791"/>
    <tableColumn id="8628" xr3:uid="{A4B328AE-8257-49A1-862D-49B57259F5D2}" name="Columna8622" dataDxfId="7790"/>
    <tableColumn id="8629" xr3:uid="{B5870CD6-526A-45B0-9768-2DABCF008F70}" name="Columna8623" dataDxfId="7789"/>
    <tableColumn id="8630" xr3:uid="{02B42CDE-B31A-4F31-BEEC-F459F27F4A43}" name="Columna8624" dataDxfId="7788"/>
    <tableColumn id="8631" xr3:uid="{25D32115-08B7-4FE1-AA5D-A9DAD584C009}" name="Columna8625" dataDxfId="7787"/>
    <tableColumn id="8632" xr3:uid="{98C2B454-1DFD-4D26-B4F3-F2DF6E32C8E0}" name="Columna8626" dataDxfId="7786"/>
    <tableColumn id="8633" xr3:uid="{E45D96ED-54EA-4BBA-96CD-095A6DFF7D3B}" name="Columna8627" dataDxfId="7785"/>
    <tableColumn id="8634" xr3:uid="{447ADFA1-8CE4-4BDB-A73D-C634F3A93EFB}" name="Columna8628" dataDxfId="7784"/>
    <tableColumn id="8635" xr3:uid="{D0649C9B-A83F-43CE-AAA1-CC87B283014A}" name="Columna8629" dataDxfId="7783"/>
    <tableColumn id="8636" xr3:uid="{0500275D-27B8-4785-9AED-8981F87A3A06}" name="Columna8630" dataDxfId="7782"/>
    <tableColumn id="8637" xr3:uid="{4A8672E1-E942-40BF-8162-C406FEB3FB3C}" name="Columna8631" dataDxfId="7781"/>
    <tableColumn id="8638" xr3:uid="{1626E14C-1578-44B9-B9F8-4490D3B57693}" name="Columna8632" dataDxfId="7780"/>
    <tableColumn id="8639" xr3:uid="{A0D246DA-255B-4CC0-874A-9C49E799A95F}" name="Columna8633" dataDxfId="7779"/>
    <tableColumn id="8640" xr3:uid="{9C01CC68-D836-4CE4-BD57-1FB075A69EE3}" name="Columna8634" dataDxfId="7778"/>
    <tableColumn id="8641" xr3:uid="{8437DFC8-AC50-4FA8-A409-BC44ED453CAF}" name="Columna8635" dataDxfId="7777"/>
    <tableColumn id="8642" xr3:uid="{7006A6B0-63BE-4493-9D3C-9A623D55BAD9}" name="Columna8636" dataDxfId="7776"/>
    <tableColumn id="8643" xr3:uid="{3EED97B0-D0BB-43C1-B11A-177EE3B5744E}" name="Columna8637" dataDxfId="7775"/>
    <tableColumn id="8644" xr3:uid="{424E548F-DDAE-4AD2-BB84-AF2EA5E46965}" name="Columna8638" dataDxfId="7774"/>
    <tableColumn id="8645" xr3:uid="{92976B52-2366-4950-9A1E-79BBF5536018}" name="Columna8639" dataDxfId="7773"/>
    <tableColumn id="8646" xr3:uid="{68317C03-3A9A-4BEF-84FF-DE8F32249EBF}" name="Columna8640" dataDxfId="7772"/>
    <tableColumn id="8647" xr3:uid="{F22C00BF-80CA-4721-A650-2DC65DDE8ACC}" name="Columna8641" dataDxfId="7771"/>
    <tableColumn id="8648" xr3:uid="{CF890A8D-F14E-40D0-AE02-F1FFE2DB7F41}" name="Columna8642" dataDxfId="7770"/>
    <tableColumn id="8649" xr3:uid="{E0065B9A-E460-419A-9578-4AFC43B458E3}" name="Columna8643" dataDxfId="7769"/>
    <tableColumn id="8650" xr3:uid="{DDFF036C-203A-4697-AA2C-6B08231A183B}" name="Columna8644" dataDxfId="7768"/>
    <tableColumn id="8651" xr3:uid="{BCFCE101-5AD1-4288-9975-718A081EB1D0}" name="Columna8645" dataDxfId="7767"/>
    <tableColumn id="8652" xr3:uid="{FF76F65B-12EB-44F7-8F2B-567E07E4EA39}" name="Columna8646" dataDxfId="7766"/>
    <tableColumn id="8653" xr3:uid="{8C13D66B-281F-4270-9FBD-B7EA07039AE9}" name="Columna8647" dataDxfId="7765"/>
    <tableColumn id="8654" xr3:uid="{6C5C68C2-CAE8-4B80-BCC0-555C0057DD9C}" name="Columna8648" dataDxfId="7764"/>
    <tableColumn id="8655" xr3:uid="{8E785F0D-6E3E-42BE-9EE5-10A446581FBD}" name="Columna8649" dataDxfId="7763"/>
    <tableColumn id="8656" xr3:uid="{57846E90-E827-450D-80C7-5C0747FA9821}" name="Columna8650" dataDxfId="7762"/>
    <tableColumn id="8657" xr3:uid="{F164C135-4848-4DB6-8CE2-9B40D563FCDF}" name="Columna8651" dataDxfId="7761"/>
    <tableColumn id="8658" xr3:uid="{9F19D087-6E61-4057-A3E3-704B09A404AC}" name="Columna8652" dataDxfId="7760"/>
    <tableColumn id="8659" xr3:uid="{19CB087B-4B4A-4DC5-A46D-2A300BF8323D}" name="Columna8653" dataDxfId="7759"/>
    <tableColumn id="8660" xr3:uid="{EE1F23F6-17F2-4D3E-9146-39F77658A091}" name="Columna8654" dataDxfId="7758"/>
    <tableColumn id="8661" xr3:uid="{8D6F3F01-CED1-4254-8685-5ECEFAB03949}" name="Columna8655" dataDxfId="7757"/>
    <tableColumn id="8662" xr3:uid="{958586A8-8FE5-41E3-9084-D063F8C76173}" name="Columna8656" dataDxfId="7756"/>
    <tableColumn id="8663" xr3:uid="{E5C38C2C-7BB2-46DF-80C9-3079AC69D2BB}" name="Columna8657" dataDxfId="7755"/>
    <tableColumn id="8664" xr3:uid="{A369CEAE-7EAF-4576-B2AC-AAA3C213844C}" name="Columna8658" dataDxfId="7754"/>
    <tableColumn id="8665" xr3:uid="{BB194DDD-F36E-497A-AE3B-E3709B26A38F}" name="Columna8659" dataDxfId="7753"/>
    <tableColumn id="8666" xr3:uid="{E38885FB-CBAD-4F2A-BEE0-4DDEC22F42DB}" name="Columna8660" dataDxfId="7752"/>
    <tableColumn id="8667" xr3:uid="{210B1405-5CBE-4540-9230-1A47EDB63A4A}" name="Columna8661" dataDxfId="7751"/>
    <tableColumn id="8668" xr3:uid="{4C6D2558-5A85-4302-AE0A-9DD647B1ED56}" name="Columna8662" dataDxfId="7750"/>
    <tableColumn id="8669" xr3:uid="{AEF21599-F4A9-4E4B-8A92-D2EF9A17FEF3}" name="Columna8663" dataDxfId="7749"/>
    <tableColumn id="8670" xr3:uid="{7466AAF2-1E7C-4364-8E7D-62AE6E698170}" name="Columna8664" dataDxfId="7748"/>
    <tableColumn id="8671" xr3:uid="{984B2DF3-B379-4560-B0F7-319461EA29E6}" name="Columna8665" dataDxfId="7747"/>
    <tableColumn id="8672" xr3:uid="{80160637-AE59-438E-A0DC-B4CC764D3EC6}" name="Columna8666" dataDxfId="7746"/>
    <tableColumn id="8673" xr3:uid="{49715484-AA31-443A-93CC-42CA8498995D}" name="Columna8667" dataDxfId="7745"/>
    <tableColumn id="8674" xr3:uid="{5182F782-CBD4-4F76-AB53-C38D8A5F608F}" name="Columna8668" dataDxfId="7744"/>
    <tableColumn id="8675" xr3:uid="{846ABE39-B801-401F-A10D-879B074ED974}" name="Columna8669" dataDxfId="7743"/>
    <tableColumn id="8676" xr3:uid="{2FB32125-4110-4265-8014-ED5D4CA92128}" name="Columna8670" dataDxfId="7742"/>
    <tableColumn id="8677" xr3:uid="{0BCD0542-A85F-4A03-9575-4CE10C4D9FCB}" name="Columna8671" dataDxfId="7741"/>
    <tableColumn id="8678" xr3:uid="{72249CC6-A055-44F7-9DEF-573999AD4A8A}" name="Columna8672" dataDxfId="7740"/>
    <tableColumn id="8679" xr3:uid="{54E44147-1C0B-4112-B08A-74510C9D8147}" name="Columna8673" dataDxfId="7739"/>
    <tableColumn id="8680" xr3:uid="{5A26050D-D322-4445-B8A0-4B15CC246D71}" name="Columna8674" dataDxfId="7738"/>
    <tableColumn id="8681" xr3:uid="{46359C99-0D82-432F-972C-92B91F288A37}" name="Columna8675" dataDxfId="7737"/>
    <tableColumn id="8682" xr3:uid="{13E46019-7260-4399-B029-0F6DA2459F6C}" name="Columna8676" dataDxfId="7736"/>
    <tableColumn id="8683" xr3:uid="{AEA16F95-EF74-443F-A045-9A886A0BDF00}" name="Columna8677" dataDxfId="7735"/>
    <tableColumn id="8684" xr3:uid="{D8F217F1-2D9E-4A34-90F6-8BA7AF56E67B}" name="Columna8678" dataDxfId="7734"/>
    <tableColumn id="8685" xr3:uid="{802CC800-2B93-4DBC-8EA6-62E9CF76D82A}" name="Columna8679" dataDxfId="7733"/>
    <tableColumn id="8686" xr3:uid="{1064D6E4-BFEC-4895-A621-055A922E6090}" name="Columna8680" dataDxfId="7732"/>
    <tableColumn id="8687" xr3:uid="{EE801DFD-7674-4847-9870-4E751728754F}" name="Columna8681" dataDxfId="7731"/>
    <tableColumn id="8688" xr3:uid="{04BC8897-D723-4005-9065-CA3DBAE12114}" name="Columna8682" dataDxfId="7730"/>
    <tableColumn id="8689" xr3:uid="{D3A8C687-A49F-49DC-A51B-73EA843D3FCF}" name="Columna8683" dataDxfId="7729"/>
    <tableColumn id="8690" xr3:uid="{56E8557A-ACBF-4716-B3D8-A0D97ADAFDDB}" name="Columna8684" dataDxfId="7728"/>
    <tableColumn id="8691" xr3:uid="{859F3B9F-8CA0-4ECC-AF34-EF18DFD3D05D}" name="Columna8685" dataDxfId="7727"/>
    <tableColumn id="8692" xr3:uid="{310B3548-1131-47F0-BD91-A01BEBD63834}" name="Columna8686" dataDxfId="7726"/>
    <tableColumn id="8693" xr3:uid="{D2C6A566-5A4F-4ABD-8A9E-F5828AC7D859}" name="Columna8687" dataDxfId="7725"/>
    <tableColumn id="8694" xr3:uid="{B8FFC1F2-0F1F-40A6-8FFB-00407CE1A159}" name="Columna8688" dataDxfId="7724"/>
    <tableColumn id="8695" xr3:uid="{FB411E0D-8982-4BFC-B2F1-76A8CF0FF448}" name="Columna8689" dataDxfId="7723"/>
    <tableColumn id="8696" xr3:uid="{6588CFE1-23B0-4842-9F11-EAF336D35322}" name="Columna8690" dataDxfId="7722"/>
    <tableColumn id="8697" xr3:uid="{DE3671FB-1512-4991-A33B-159C39F95829}" name="Columna8691" dataDxfId="7721"/>
    <tableColumn id="8698" xr3:uid="{F7B3617D-9893-4F3C-B1E7-9035083D9C62}" name="Columna8692" dataDxfId="7720"/>
    <tableColumn id="8699" xr3:uid="{91F225EE-9BD3-41FB-B918-43832F7EE447}" name="Columna8693" dataDxfId="7719"/>
    <tableColumn id="8700" xr3:uid="{A96BA516-015C-4DAD-8FAF-BCB003987714}" name="Columna8694" dataDxfId="7718"/>
    <tableColumn id="8701" xr3:uid="{9F10BBEE-2F32-43CF-B079-4AFD22D0F10F}" name="Columna8695" dataDxfId="7717"/>
    <tableColumn id="8702" xr3:uid="{DFCB03E6-7586-47A6-A3A0-D748F6C6B5CB}" name="Columna8696" dataDxfId="7716"/>
    <tableColumn id="8703" xr3:uid="{30C3D2EE-CA0E-4820-ADC4-A427F3C7F6F2}" name="Columna8697" dataDxfId="7715"/>
    <tableColumn id="8704" xr3:uid="{07566FF5-36EF-446C-9ABB-8F9A2F8B958D}" name="Columna8698" dataDxfId="7714"/>
    <tableColumn id="8705" xr3:uid="{48F27454-E4EC-4107-A418-6BDB4824183D}" name="Columna8699" dataDxfId="7713"/>
    <tableColumn id="8706" xr3:uid="{2538D9C3-1570-4D55-BC59-09B266DF3840}" name="Columna8700" dataDxfId="7712"/>
    <tableColumn id="8707" xr3:uid="{52A7FF00-B356-45F8-BA9B-52F868DE7E51}" name="Columna8701" dataDxfId="7711"/>
    <tableColumn id="8708" xr3:uid="{98A2026B-0A0B-4639-95DA-F65E961861FA}" name="Columna8702" dataDxfId="7710"/>
    <tableColumn id="8709" xr3:uid="{A913245E-14ED-4C9F-AB31-4D6AFD385B37}" name="Columna8703" dataDxfId="7709"/>
    <tableColumn id="8710" xr3:uid="{A804BF9D-B1F7-4180-974B-0290C7082314}" name="Columna8704" dataDxfId="7708"/>
    <tableColumn id="8711" xr3:uid="{FB63C23A-53DF-4E60-B896-37B34A033149}" name="Columna8705" dataDxfId="7707"/>
    <tableColumn id="8712" xr3:uid="{D0963E39-604B-4483-86E4-2F46FA002614}" name="Columna8706" dataDxfId="7706"/>
    <tableColumn id="8713" xr3:uid="{6B43C8D9-9C27-4E9C-A236-9EFF476519FD}" name="Columna8707" dataDxfId="7705"/>
    <tableColumn id="8714" xr3:uid="{35B47736-BC2F-4515-BACA-35AEB33A36CE}" name="Columna8708" dataDxfId="7704"/>
    <tableColumn id="8715" xr3:uid="{16A6CDEE-AFAC-49A4-92C6-C989836DE836}" name="Columna8709" dataDxfId="7703"/>
    <tableColumn id="8716" xr3:uid="{F537DE15-12BB-4D70-B172-A09C0532D1A6}" name="Columna8710" dataDxfId="7702"/>
    <tableColumn id="8717" xr3:uid="{E260ACD8-23AA-42F4-BA65-5CD8705131D5}" name="Columna8711" dataDxfId="7701"/>
    <tableColumn id="8718" xr3:uid="{40DC14E8-F9DA-4333-8532-AED111EE6F1A}" name="Columna8712" dataDxfId="7700"/>
    <tableColumn id="8719" xr3:uid="{1AC5947B-F8D8-448F-8D4D-C343D7C18CDE}" name="Columna8713" dataDxfId="7699"/>
    <tableColumn id="8720" xr3:uid="{2287A2C4-1D34-4D0F-A1C4-0827D075D6E4}" name="Columna8714" dataDxfId="7698"/>
    <tableColumn id="8721" xr3:uid="{7C0593A4-45FB-403A-8802-4C3B657CEDC1}" name="Columna8715" dataDxfId="7697"/>
    <tableColumn id="8722" xr3:uid="{9A8B6FC4-92A9-4FFA-8F48-3F7D63AD511A}" name="Columna8716" dataDxfId="7696"/>
    <tableColumn id="8723" xr3:uid="{B003084B-6D73-433C-AED4-D91B10C6DB5B}" name="Columna8717" dataDxfId="7695"/>
    <tableColumn id="8724" xr3:uid="{FB0E238D-5D1B-4D60-83B6-D7166D650C2B}" name="Columna8718" dataDxfId="7694"/>
    <tableColumn id="8725" xr3:uid="{F4C483DC-A768-400F-938B-972967F0A863}" name="Columna8719" dataDxfId="7693"/>
    <tableColumn id="8726" xr3:uid="{007BAB1D-68D5-42F1-BC29-961567E3AED3}" name="Columna8720" dataDxfId="7692"/>
    <tableColumn id="8727" xr3:uid="{D4ACA0B4-B115-4A46-A50D-938368398598}" name="Columna8721" dataDxfId="7691"/>
    <tableColumn id="8728" xr3:uid="{5BD7C95C-4780-4FC3-A2D9-C0655C0CA371}" name="Columna8722" dataDxfId="7690"/>
    <tableColumn id="8729" xr3:uid="{82AB0CFB-4F3A-400F-9A01-AB8535B6535B}" name="Columna8723" dataDxfId="7689"/>
    <tableColumn id="8730" xr3:uid="{823F9856-3428-4BE2-9C0D-2C55C1465CAE}" name="Columna8724" dataDxfId="7688"/>
    <tableColumn id="8731" xr3:uid="{52C3E52F-05C0-4B1E-9814-3C57FD9A63F8}" name="Columna8725" dataDxfId="7687"/>
    <tableColumn id="8732" xr3:uid="{6C50857D-3F63-4130-97F4-96B790CAF243}" name="Columna8726" dataDxfId="7686"/>
    <tableColumn id="8733" xr3:uid="{3DAE6C62-EC4A-4977-963E-CDB96F9320C1}" name="Columna8727" dataDxfId="7685"/>
    <tableColumn id="8734" xr3:uid="{20D80653-A9EE-4CF2-A8AE-38B7B188A933}" name="Columna8728" dataDxfId="7684"/>
    <tableColumn id="8735" xr3:uid="{F97A00FE-20AF-45F6-843A-7AA1C12D4732}" name="Columna8729" dataDxfId="7683"/>
    <tableColumn id="8736" xr3:uid="{0790EC8A-8764-4086-A0E4-F67619E39499}" name="Columna8730" dataDxfId="7682"/>
    <tableColumn id="8737" xr3:uid="{A5B36485-FC22-4303-A4DE-67F3C588F778}" name="Columna8731" dataDxfId="7681"/>
    <tableColumn id="8738" xr3:uid="{5ABECB71-08DC-49BD-8B06-9D8C4E760E9D}" name="Columna8732" dataDxfId="7680"/>
    <tableColumn id="8739" xr3:uid="{F71F33B1-5D81-4D48-A570-2432BF10D066}" name="Columna8733" dataDxfId="7679"/>
    <tableColumn id="8740" xr3:uid="{B7300D76-8F3F-420B-BD9B-94BEA3CE3D95}" name="Columna8734" dataDxfId="7678"/>
    <tableColumn id="8741" xr3:uid="{B2E5D8ED-1D72-43C9-944D-941A01D521EC}" name="Columna8735" dataDxfId="7677"/>
    <tableColumn id="8742" xr3:uid="{B07E2751-BA0C-4352-B6F1-2E60A25A7824}" name="Columna8736" dataDxfId="7676"/>
    <tableColumn id="8743" xr3:uid="{84204E59-9A06-4422-ACA9-9CE34592FC0E}" name="Columna8737" dataDxfId="7675"/>
    <tableColumn id="8744" xr3:uid="{813EDA24-EE71-4C47-ACB7-259F67ABCC0F}" name="Columna8738" dataDxfId="7674"/>
    <tableColumn id="8745" xr3:uid="{81D6935F-0E5F-44ED-A2BC-5BAD8C8BD219}" name="Columna8739" dataDxfId="7673"/>
    <tableColumn id="8746" xr3:uid="{879A96F0-30D2-4B79-9416-DB2AE829BA07}" name="Columna8740" dataDxfId="7672"/>
    <tableColumn id="8747" xr3:uid="{4CA38589-979A-41DF-A326-F783E727D0DE}" name="Columna8741" dataDxfId="7671"/>
    <tableColumn id="8748" xr3:uid="{DDC47488-A59B-4202-92EA-4FD5DC2D9D68}" name="Columna8742" dataDxfId="7670"/>
    <tableColumn id="8749" xr3:uid="{4E8BDF31-2E1D-42FB-91F2-78211D9905D8}" name="Columna8743" dataDxfId="7669"/>
    <tableColumn id="8750" xr3:uid="{64F413AD-2AFB-443B-9582-B6E02C03DF25}" name="Columna8744" dataDxfId="7668"/>
    <tableColumn id="8751" xr3:uid="{930CCC77-7DAE-4BE6-9FE3-48E2CD984AB1}" name="Columna8745" dataDxfId="7667"/>
    <tableColumn id="8752" xr3:uid="{EEFAA14A-6FAF-49F2-80C5-BC1DCF330F40}" name="Columna8746" dataDxfId="7666"/>
    <tableColumn id="8753" xr3:uid="{815099D7-5617-4D24-881C-B5A8823A0724}" name="Columna8747" dataDxfId="7665"/>
    <tableColumn id="8754" xr3:uid="{604FAF71-E127-4594-BA52-F5E0D4DB1CB6}" name="Columna8748" dataDxfId="7664"/>
    <tableColumn id="8755" xr3:uid="{13FE9F28-6E52-46AA-93B8-FB14CD9F09F9}" name="Columna8749" dataDxfId="7663"/>
    <tableColumn id="8756" xr3:uid="{13BE7D00-EE2F-4CF6-BA99-BBE8FF421678}" name="Columna8750" dataDxfId="7662"/>
    <tableColumn id="8757" xr3:uid="{B9F6E16F-0AA5-4137-9728-C61FC82BE250}" name="Columna8751" dataDxfId="7661"/>
    <tableColumn id="8758" xr3:uid="{AB6490CC-7C86-4E6F-A6E2-EC497BCF8494}" name="Columna8752" dataDxfId="7660"/>
    <tableColumn id="8759" xr3:uid="{7F78AAD1-87F0-4192-97E0-665A8907C858}" name="Columna8753" dataDxfId="7659"/>
    <tableColumn id="8760" xr3:uid="{14B43F59-C83D-4920-A21C-3F377B7A442C}" name="Columna8754" dataDxfId="7658"/>
    <tableColumn id="8761" xr3:uid="{E1155D74-C9CA-42DC-9C1E-21383FC16807}" name="Columna8755" dataDxfId="7657"/>
    <tableColumn id="8762" xr3:uid="{85A0CA3D-8D42-4941-9C63-5158C4D19BE1}" name="Columna8756" dataDxfId="7656"/>
    <tableColumn id="8763" xr3:uid="{9ABFD379-8178-4582-BB92-EB1D20DEC8DF}" name="Columna8757" dataDxfId="7655"/>
    <tableColumn id="8764" xr3:uid="{FB4967F4-2546-4495-B87D-1D73D69B088A}" name="Columna8758" dataDxfId="7654"/>
    <tableColumn id="8765" xr3:uid="{C55481A1-227F-4B04-936D-77CED4E72A97}" name="Columna8759" dataDxfId="7653"/>
    <tableColumn id="8766" xr3:uid="{E93D28B1-9C98-46DC-9069-D602438C2185}" name="Columna8760" dataDxfId="7652"/>
    <tableColumn id="8767" xr3:uid="{F9E06956-5FEF-4A20-B053-A72152DB7256}" name="Columna8761" dataDxfId="7651"/>
    <tableColumn id="8768" xr3:uid="{D9E027F5-218F-4CF8-8ED6-DD8E2545BD47}" name="Columna8762" dataDxfId="7650"/>
    <tableColumn id="8769" xr3:uid="{C141E9E5-7E06-4617-9EF9-E1A3D1B11E9A}" name="Columna8763" dataDxfId="7649"/>
    <tableColumn id="8770" xr3:uid="{EDB73738-30CC-4177-B7D6-70465826B78A}" name="Columna8764" dataDxfId="7648"/>
    <tableColumn id="8771" xr3:uid="{32EDE076-9D12-4963-AD3A-21AA00F6061E}" name="Columna8765" dataDxfId="7647"/>
    <tableColumn id="8772" xr3:uid="{D563B38C-0609-4912-8C22-46AC57BBCD3F}" name="Columna8766" dataDxfId="7646"/>
    <tableColumn id="8773" xr3:uid="{BA3B6B82-ED5E-4D5C-ACF1-E9E7C6DFAF51}" name="Columna8767" dataDxfId="7645"/>
    <tableColumn id="8774" xr3:uid="{BD477A6E-A803-4270-8DB3-C7E182DB8857}" name="Columna8768" dataDxfId="7644"/>
    <tableColumn id="8775" xr3:uid="{49BBF479-B2D2-4C49-9E73-7F703AB15273}" name="Columna8769" dataDxfId="7643"/>
    <tableColumn id="8776" xr3:uid="{A1130D5B-2003-4F33-BD55-87E8CB79BA19}" name="Columna8770" dataDxfId="7642"/>
    <tableColumn id="8777" xr3:uid="{69626F37-50EA-4F37-AB34-25DB5C46E4D1}" name="Columna8771" dataDxfId="7641"/>
    <tableColumn id="8778" xr3:uid="{F90767F6-F340-41DE-B6B8-053C304E7C1A}" name="Columna8772" dataDxfId="7640"/>
    <tableColumn id="8779" xr3:uid="{C0043BCA-32E4-49DD-9BD4-A093B0E99819}" name="Columna8773" dataDxfId="7639"/>
    <tableColumn id="8780" xr3:uid="{4465A043-3D11-4B17-8A7E-482A65A66B6F}" name="Columna8774" dataDxfId="7638"/>
    <tableColumn id="8781" xr3:uid="{454BE548-C2B4-4F93-9A78-D7A50829F1BB}" name="Columna8775" dataDxfId="7637"/>
    <tableColumn id="8782" xr3:uid="{35355D0A-615D-487A-9761-9C237B8A1D55}" name="Columna8776" dataDxfId="7636"/>
    <tableColumn id="8783" xr3:uid="{A670C927-9F46-4018-A159-D36184DBF57E}" name="Columna8777" dataDxfId="7635"/>
    <tableColumn id="8784" xr3:uid="{E10B1737-EDB5-4331-8652-9E194285BFD1}" name="Columna8778" dataDxfId="7634"/>
    <tableColumn id="8785" xr3:uid="{C309297A-A1B0-4252-B000-E23C788A10F0}" name="Columna8779" dataDxfId="7633"/>
    <tableColumn id="8786" xr3:uid="{D3B15375-F420-49FD-B2EB-5EF30C69C608}" name="Columna8780" dataDxfId="7632"/>
    <tableColumn id="8787" xr3:uid="{72022D4B-1997-4D47-9E43-E04C2D7BF95E}" name="Columna8781" dataDxfId="7631"/>
    <tableColumn id="8788" xr3:uid="{AB334996-678F-47AB-A584-48D71500E368}" name="Columna8782" dataDxfId="7630"/>
    <tableColumn id="8789" xr3:uid="{9C3A30CD-90F5-4EA7-8D07-3272C5F6D434}" name="Columna8783" dataDxfId="7629"/>
    <tableColumn id="8790" xr3:uid="{585BB4FD-7796-4B77-8303-84E9F541387F}" name="Columna8784" dataDxfId="7628"/>
    <tableColumn id="8791" xr3:uid="{2833A702-35AD-4ECD-BFFE-45D0509856B8}" name="Columna8785" dataDxfId="7627"/>
    <tableColumn id="8792" xr3:uid="{2BA848CA-0F02-4F4C-8DFA-BAB640907E36}" name="Columna8786" dataDxfId="7626"/>
    <tableColumn id="8793" xr3:uid="{AE8A1ECD-4E43-457F-8A04-00D2FF25CAA0}" name="Columna8787" dataDxfId="7625"/>
    <tableColumn id="8794" xr3:uid="{C420AA32-76C4-4960-8BD4-33051DE536F5}" name="Columna8788" dataDxfId="7624"/>
    <tableColumn id="8795" xr3:uid="{E1E7092B-32FE-4C0E-84C9-FF916EB4C655}" name="Columna8789" dataDxfId="7623"/>
    <tableColumn id="8796" xr3:uid="{9FFF2446-0C09-4EDA-A7DB-A7EAB793BCDC}" name="Columna8790" dataDxfId="7622"/>
    <tableColumn id="8797" xr3:uid="{9DC7C9C6-E91D-448F-AAF8-51C01A42F9B7}" name="Columna8791" dataDxfId="7621"/>
    <tableColumn id="8798" xr3:uid="{5870F5C8-744A-442A-9B12-4B80CFDB3041}" name="Columna8792" dataDxfId="7620"/>
    <tableColumn id="8799" xr3:uid="{5B760DD2-66E3-408E-80FE-3EE310DEDD37}" name="Columna8793" dataDxfId="7619"/>
    <tableColumn id="8800" xr3:uid="{3A313477-5BFE-43B6-837B-052328F9A8B6}" name="Columna8794" dataDxfId="7618"/>
    <tableColumn id="8801" xr3:uid="{364D711C-0D4E-48A1-B332-E165F6744715}" name="Columna8795" dataDxfId="7617"/>
    <tableColumn id="8802" xr3:uid="{C917842D-CB04-46CC-9211-6927B0D0CDE3}" name="Columna8796" dataDxfId="7616"/>
    <tableColumn id="8803" xr3:uid="{A9B3921F-0AE9-4734-86AF-9978A047EE29}" name="Columna8797" dataDxfId="7615"/>
    <tableColumn id="8804" xr3:uid="{A3CA11F5-CD20-4E5D-9706-93A0FB80270B}" name="Columna8798" dataDxfId="7614"/>
    <tableColumn id="8805" xr3:uid="{DFA5592C-5BB0-47E2-BA43-64F6745CAB64}" name="Columna8799" dataDxfId="7613"/>
    <tableColumn id="8806" xr3:uid="{8D098058-3AF4-498E-9D96-03103C0A48EF}" name="Columna8800" dataDxfId="7612"/>
    <tableColumn id="8807" xr3:uid="{8A94288C-D35F-4609-80BA-95FBF8FC31EF}" name="Columna8801" dataDxfId="7611"/>
    <tableColumn id="8808" xr3:uid="{16E8D688-F1DD-4C48-8F75-D65AEDFF165C}" name="Columna8802" dataDxfId="7610"/>
    <tableColumn id="8809" xr3:uid="{A095F69B-E180-48D3-8E9F-67B10C729C2A}" name="Columna8803" dataDxfId="7609"/>
    <tableColumn id="8810" xr3:uid="{D56D16B7-E8D1-47D7-BA94-70CD4CECE1AC}" name="Columna8804" dataDxfId="7608"/>
    <tableColumn id="8811" xr3:uid="{E8176C47-C22A-4234-A4D7-407491F784A1}" name="Columna8805" dataDxfId="7607"/>
    <tableColumn id="8812" xr3:uid="{875F006A-4C41-4B44-BBFB-DC1A3DFDB04A}" name="Columna8806" dataDxfId="7606"/>
    <tableColumn id="8813" xr3:uid="{0A1407BD-51DB-4758-B891-074BE93682ED}" name="Columna8807" dataDxfId="7605"/>
    <tableColumn id="8814" xr3:uid="{2B7E0333-889C-4B4F-8ADD-50BCA3173FF4}" name="Columna8808" dataDxfId="7604"/>
    <tableColumn id="8815" xr3:uid="{9FA1D443-E1A1-4F9A-9E2D-5140E227CE5A}" name="Columna8809" dataDxfId="7603"/>
    <tableColumn id="8816" xr3:uid="{A5EF684D-8FB5-41FC-8A9C-D7D737993BB9}" name="Columna8810" dataDxfId="7602"/>
    <tableColumn id="8817" xr3:uid="{B4DF0161-FEA5-4831-876C-178AAA5D9F39}" name="Columna8811" dataDxfId="7601"/>
    <tableColumn id="8818" xr3:uid="{4D69DB1F-32B5-43B7-9B69-E483E271BFFF}" name="Columna8812" dataDxfId="7600"/>
    <tableColumn id="8819" xr3:uid="{26516063-E2DD-4697-8A6F-55E84731C95B}" name="Columna8813" dataDxfId="7599"/>
    <tableColumn id="8820" xr3:uid="{A910D51B-AC1A-41DE-B8CB-11C903F11B06}" name="Columna8814" dataDxfId="7598"/>
    <tableColumn id="8821" xr3:uid="{CD3778B8-784C-49AC-9A2B-16EB654F92A4}" name="Columna8815" dataDxfId="7597"/>
    <tableColumn id="8822" xr3:uid="{453C5858-8179-4E06-9812-F5BCBFC1ADE7}" name="Columna8816" dataDxfId="7596"/>
    <tableColumn id="8823" xr3:uid="{2EB54FF0-3FFC-4AC1-8D23-DF4009C47D25}" name="Columna8817" dataDxfId="7595"/>
    <tableColumn id="8824" xr3:uid="{1D1FB871-56AB-4C51-AE7D-DA2F30BA346C}" name="Columna8818" dataDxfId="7594"/>
    <tableColumn id="8825" xr3:uid="{3A761F02-EDA4-4E73-A269-490ECECDB210}" name="Columna8819" dataDxfId="7593"/>
    <tableColumn id="8826" xr3:uid="{17D782D3-1A2F-4B4B-972D-55FF479C841B}" name="Columna8820" dataDxfId="7592"/>
    <tableColumn id="8827" xr3:uid="{84C0B218-5473-4680-9565-EADF25028681}" name="Columna8821" dataDxfId="7591"/>
    <tableColumn id="8828" xr3:uid="{7D891695-8FE8-4709-AA3F-C3C5FDCD6AFA}" name="Columna8822" dataDxfId="7590"/>
    <tableColumn id="8829" xr3:uid="{BBCB492E-2D75-4755-992B-B74766B6578A}" name="Columna8823" dataDxfId="7589"/>
    <tableColumn id="8830" xr3:uid="{1A401A20-EFBF-4A4D-B966-87B16556B134}" name="Columna8824" dataDxfId="7588"/>
    <tableColumn id="8831" xr3:uid="{D368D654-496A-4B8A-9790-FF5F5AFC48AB}" name="Columna8825" dataDxfId="7587"/>
    <tableColumn id="8832" xr3:uid="{1B883ECB-D6D3-4FB2-8798-545BB4AEDA7D}" name="Columna8826" dataDxfId="7586"/>
    <tableColumn id="8833" xr3:uid="{7ADD7A2E-5D66-472C-95C9-6D21FAF3DA7A}" name="Columna8827" dataDxfId="7585"/>
    <tableColumn id="8834" xr3:uid="{2208D200-D62C-449B-906D-4B312D23345B}" name="Columna8828" dataDxfId="7584"/>
    <tableColumn id="8835" xr3:uid="{26D37A98-C208-4D07-9362-827DE34CB042}" name="Columna8829" dataDxfId="7583"/>
    <tableColumn id="8836" xr3:uid="{9385C6A4-71C9-4E84-B062-987517AE572B}" name="Columna8830" dataDxfId="7582"/>
    <tableColumn id="8837" xr3:uid="{7860A9B6-801E-43BC-B643-DE3CE4B830FE}" name="Columna8831" dataDxfId="7581"/>
    <tableColumn id="8838" xr3:uid="{4E7A697C-A6C9-4B63-86C4-4B7B0AA0FAA9}" name="Columna8832" dataDxfId="7580"/>
    <tableColumn id="8839" xr3:uid="{C5061611-7E7C-4B8B-B1F0-0D818E047988}" name="Columna8833" dataDxfId="7579"/>
    <tableColumn id="8840" xr3:uid="{8CF8D626-DB99-435A-8576-4585912B7132}" name="Columna8834" dataDxfId="7578"/>
    <tableColumn id="8841" xr3:uid="{725DA234-72DB-467A-AA6C-DBD5A5887F24}" name="Columna8835" dataDxfId="7577"/>
    <tableColumn id="8842" xr3:uid="{6F116057-F672-4D2A-A70E-50ED7021F193}" name="Columna8836" dataDxfId="7576"/>
    <tableColumn id="8843" xr3:uid="{C263C765-C534-43EA-809F-7189E998778F}" name="Columna8837" dataDxfId="7575"/>
    <tableColumn id="8844" xr3:uid="{8C2E106A-9959-4872-9933-1A25306D383E}" name="Columna8838" dataDxfId="7574"/>
    <tableColumn id="8845" xr3:uid="{D5C7305F-F561-43A9-84A9-02547F157ED6}" name="Columna8839" dataDxfId="7573"/>
    <tableColumn id="8846" xr3:uid="{AA32FA43-E0D2-48B4-897C-28301110B02A}" name="Columna8840" dataDxfId="7572"/>
    <tableColumn id="8847" xr3:uid="{AA919D94-B8EF-4C4F-89EC-27D46294F7DF}" name="Columna8841" dataDxfId="7571"/>
    <tableColumn id="8848" xr3:uid="{BB79E3F6-364A-41E6-A85C-7CAF266A5ED3}" name="Columna8842" dataDxfId="7570"/>
    <tableColumn id="8849" xr3:uid="{784E9011-BF38-4370-ABDE-98F1906D2744}" name="Columna8843" dataDxfId="7569"/>
    <tableColumn id="8850" xr3:uid="{7675E045-5257-4DEE-9626-7269380885B0}" name="Columna8844" dataDxfId="7568"/>
    <tableColumn id="8851" xr3:uid="{56AB8835-3488-4F19-9447-C172BFBE451D}" name="Columna8845" dataDxfId="7567"/>
    <tableColumn id="8852" xr3:uid="{EE1E0C4A-BAF3-4CB9-9188-670B79DB3C33}" name="Columna8846" dataDxfId="7566"/>
    <tableColumn id="8853" xr3:uid="{BEA17FEF-7E10-456E-B0FD-5E810B2D67E8}" name="Columna8847" dataDxfId="7565"/>
    <tableColumn id="8854" xr3:uid="{FF37F054-6DEF-4B1E-BB9B-A066D5854B8B}" name="Columna8848" dataDxfId="7564"/>
    <tableColumn id="8855" xr3:uid="{DC214376-DC15-4CBA-AA60-F2CDB698DC81}" name="Columna8849" dataDxfId="7563"/>
    <tableColumn id="8856" xr3:uid="{DF7FA886-43C0-4C5A-AAE4-25331C9DEEDF}" name="Columna8850" dataDxfId="7562"/>
    <tableColumn id="8857" xr3:uid="{AF4D68A7-E432-4CDB-9CEC-F63E065BDF1B}" name="Columna8851" dataDxfId="7561"/>
    <tableColumn id="8858" xr3:uid="{F751E1D9-2713-443A-8ED7-8A3528F45CBE}" name="Columna8852" dataDxfId="7560"/>
    <tableColumn id="8859" xr3:uid="{24F9A856-3565-4A07-8CAE-75DE8CD17D71}" name="Columna8853" dataDxfId="7559"/>
    <tableColumn id="8860" xr3:uid="{518D60B1-6F47-49A6-9854-A11EFCBA4836}" name="Columna8854" dataDxfId="7558"/>
    <tableColumn id="8861" xr3:uid="{36CB540E-5287-4213-9769-DCF03351ED42}" name="Columna8855" dataDxfId="7557"/>
    <tableColumn id="8862" xr3:uid="{002C3E54-A7EC-459E-90AC-60163789217C}" name="Columna8856" dataDxfId="7556"/>
    <tableColumn id="8863" xr3:uid="{5B44C853-AC5E-4384-8960-1D8BD7F33657}" name="Columna8857" dataDxfId="7555"/>
    <tableColumn id="8864" xr3:uid="{581A85D4-62E6-49DC-893B-3341341D44A5}" name="Columna8858" dataDxfId="7554"/>
    <tableColumn id="8865" xr3:uid="{950A58B9-386A-4470-A439-3348D02B9DF0}" name="Columna8859" dataDxfId="7553"/>
    <tableColumn id="8866" xr3:uid="{455AD7F9-DA67-4DCC-9FDC-363CBFBB9E8F}" name="Columna8860" dataDxfId="7552"/>
    <tableColumn id="8867" xr3:uid="{41F261FC-5477-4744-80EE-84B741F516BD}" name="Columna8861" dataDxfId="7551"/>
    <tableColumn id="8868" xr3:uid="{43C646A5-3213-4D1D-8FB4-C4BBC2AD29B8}" name="Columna8862" dataDxfId="7550"/>
    <tableColumn id="8869" xr3:uid="{0F46AD73-5745-4C40-B456-880BCDC518E0}" name="Columna8863" dataDxfId="7549"/>
    <tableColumn id="8870" xr3:uid="{9435F85D-F268-4457-B351-E40F207611CB}" name="Columna8864" dataDxfId="7548"/>
    <tableColumn id="8871" xr3:uid="{B92BF9CE-9C1F-4FEF-87E7-889AB9ED26FD}" name="Columna8865" dataDxfId="7547"/>
    <tableColumn id="8872" xr3:uid="{8DA6B197-76AA-4DDD-973B-6FCBF92CC579}" name="Columna8866" dataDxfId="7546"/>
    <tableColumn id="8873" xr3:uid="{34FC82D8-A489-4B8E-95DC-A2668AE11C62}" name="Columna8867" dataDxfId="7545"/>
    <tableColumn id="8874" xr3:uid="{C2E5CA6D-6E76-4265-9592-DA27A4E4A10E}" name="Columna8868" dataDxfId="7544"/>
    <tableColumn id="8875" xr3:uid="{556A1922-84AD-4185-AAFE-BBB6E7FEED9C}" name="Columna8869" dataDxfId="7543"/>
    <tableColumn id="8876" xr3:uid="{934450C0-46D0-46FC-A688-33BB889525E2}" name="Columna8870" dataDxfId="7542"/>
    <tableColumn id="8877" xr3:uid="{B0EF7EFF-C184-4213-91B6-14003DB53D8D}" name="Columna8871" dataDxfId="7541"/>
    <tableColumn id="8878" xr3:uid="{8327DDE9-6C0C-4075-9B9F-C9AB661BBBBD}" name="Columna8872" dataDxfId="7540"/>
    <tableColumn id="8879" xr3:uid="{C5C5583F-EF03-4155-AD3A-724934B54F82}" name="Columna8873" dataDxfId="7539"/>
    <tableColumn id="8880" xr3:uid="{9667754D-24BD-4B19-827C-1E7F0924B594}" name="Columna8874" dataDxfId="7538"/>
    <tableColumn id="8881" xr3:uid="{8F0D89E0-1921-47C4-9CD5-64B84A3DDCB2}" name="Columna8875" dataDxfId="7537"/>
    <tableColumn id="8882" xr3:uid="{D77638F9-9037-4933-8391-34837B6A3C9E}" name="Columna8876" dataDxfId="7536"/>
    <tableColumn id="8883" xr3:uid="{A7DFA7A2-F252-4989-971C-1864E680EC76}" name="Columna8877" dataDxfId="7535"/>
    <tableColumn id="8884" xr3:uid="{57283709-A60A-44A2-AE0E-CB0B0C449C85}" name="Columna8878" dataDxfId="7534"/>
    <tableColumn id="8885" xr3:uid="{901F9861-8D43-43F0-8D10-261696A3AF32}" name="Columna8879" dataDxfId="7533"/>
    <tableColumn id="8886" xr3:uid="{8F8F3209-3AC3-464E-B88F-614B4A15D1AC}" name="Columna8880" dataDxfId="7532"/>
    <tableColumn id="8887" xr3:uid="{9F531378-AB5C-4948-BE53-F715A84B282A}" name="Columna8881" dataDxfId="7531"/>
    <tableColumn id="8888" xr3:uid="{8057BB9A-1F59-41EC-B571-E1D50B1AC217}" name="Columna8882" dataDxfId="7530"/>
    <tableColumn id="8889" xr3:uid="{2794CDCB-8157-4C86-9811-73421B755153}" name="Columna8883" dataDxfId="7529"/>
    <tableColumn id="8890" xr3:uid="{855226AB-1302-42F1-9102-1D88341C183B}" name="Columna8884" dataDxfId="7528"/>
    <tableColumn id="8891" xr3:uid="{A6921446-1B83-468F-BAC7-F630D7CCC023}" name="Columna8885" dataDxfId="7527"/>
    <tableColumn id="8892" xr3:uid="{45D11869-CF5B-42BB-90BF-BCD47B49D63A}" name="Columna8886" dataDxfId="7526"/>
    <tableColumn id="8893" xr3:uid="{EBE8D16A-DD02-48A0-8F70-D7F6EC5BB058}" name="Columna8887" dataDxfId="7525"/>
    <tableColumn id="8894" xr3:uid="{3E0B8920-C41C-4F14-8802-C8935ED17269}" name="Columna8888" dataDxfId="7524"/>
    <tableColumn id="8895" xr3:uid="{4F5D3C6C-F0EF-4833-BF6A-9E7C01F99891}" name="Columna8889" dataDxfId="7523"/>
    <tableColumn id="8896" xr3:uid="{BA88BCCD-27B0-46DE-B653-299F5A5266DD}" name="Columna8890" dataDxfId="7522"/>
    <tableColumn id="8897" xr3:uid="{4AC000C2-F736-4973-B557-3781DEB81B0E}" name="Columna8891" dataDxfId="7521"/>
    <tableColumn id="8898" xr3:uid="{21B2B19B-003F-458B-AD01-60BBC3505859}" name="Columna8892" dataDxfId="7520"/>
    <tableColumn id="8899" xr3:uid="{E6E4A089-24D7-4556-907B-68530C3D642E}" name="Columna8893" dataDxfId="7519"/>
    <tableColumn id="8900" xr3:uid="{174CAC9F-94CA-4F97-B717-897764159EB1}" name="Columna8894" dataDxfId="7518"/>
    <tableColumn id="8901" xr3:uid="{F0715357-5856-478C-A258-941A8C890D52}" name="Columna8895" dataDxfId="7517"/>
    <tableColumn id="8902" xr3:uid="{27E59E19-D573-4508-B2DC-3B3BCC28D012}" name="Columna8896" dataDxfId="7516"/>
    <tableColumn id="8903" xr3:uid="{55C6EC52-F937-4561-B2DF-BFA652C6A041}" name="Columna8897" dataDxfId="7515"/>
    <tableColumn id="8904" xr3:uid="{BA91BF8A-BD4E-42CA-865C-3B256E86C5F7}" name="Columna8898" dataDxfId="7514"/>
    <tableColumn id="8905" xr3:uid="{30323613-B225-417A-AAC6-4F461E663FBC}" name="Columna8899" dataDxfId="7513"/>
    <tableColumn id="8906" xr3:uid="{452E02D9-33C8-475C-8E2A-887550AB0008}" name="Columna8900" dataDxfId="7512"/>
    <tableColumn id="8907" xr3:uid="{30DCA97A-564D-4EFE-99B8-D6903BBA59B5}" name="Columna8901" dataDxfId="7511"/>
    <tableColumn id="8908" xr3:uid="{EA522AA2-1B58-4C04-B7A3-4B3BC7D1D610}" name="Columna8902" dataDxfId="7510"/>
    <tableColumn id="8909" xr3:uid="{2C822B95-2142-40C2-B80B-17BC7EC1522C}" name="Columna8903" dataDxfId="7509"/>
    <tableColumn id="8910" xr3:uid="{96466435-EC8B-4F84-9261-71A3AC7D013C}" name="Columna8904" dataDxfId="7508"/>
    <tableColumn id="8911" xr3:uid="{20A0F870-FAFF-402D-83C2-BD173193BEEF}" name="Columna8905" dataDxfId="7507"/>
    <tableColumn id="8912" xr3:uid="{43B6CF4C-A8F3-4E2E-9288-35CC69100E33}" name="Columna8906" dataDxfId="7506"/>
    <tableColumn id="8913" xr3:uid="{0C45E8E1-9CA0-4BB5-8747-49C6D00FC4E3}" name="Columna8907" dataDxfId="7505"/>
    <tableColumn id="8914" xr3:uid="{8D3DD788-4E56-42FF-A28F-B05F98C39CBF}" name="Columna8908" dataDxfId="7504"/>
    <tableColumn id="8915" xr3:uid="{EA228556-6D5B-4BA9-AF60-079C6542ACE0}" name="Columna8909" dataDxfId="7503"/>
    <tableColumn id="8916" xr3:uid="{425898C8-B34A-459F-812F-0B00A2F96C19}" name="Columna8910" dataDxfId="7502"/>
    <tableColumn id="8917" xr3:uid="{4A89E2BF-4D19-44CC-9F3E-758C20B5F2C1}" name="Columna8911" dataDxfId="7501"/>
    <tableColumn id="8918" xr3:uid="{03B565FC-96C9-4380-B93D-A2CB1C36DDDA}" name="Columna8912" dataDxfId="7500"/>
    <tableColumn id="8919" xr3:uid="{44494946-4769-481B-B03F-74AB5A29C48C}" name="Columna8913" dataDxfId="7499"/>
    <tableColumn id="8920" xr3:uid="{C5D57158-2EB1-419B-8304-D228DD8E2A90}" name="Columna8914" dataDxfId="7498"/>
    <tableColumn id="8921" xr3:uid="{BCB2C42E-D477-4C60-821A-752FEC8B63E7}" name="Columna8915" dataDxfId="7497"/>
    <tableColumn id="8922" xr3:uid="{D1439FA9-903C-41FE-940F-D4AFEC5127CB}" name="Columna8916" dataDxfId="7496"/>
    <tableColumn id="8923" xr3:uid="{7F7BC0D7-6CA7-4D04-8659-7EE56DC8C6AF}" name="Columna8917" dataDxfId="7495"/>
    <tableColumn id="8924" xr3:uid="{D16F8AFA-87AC-427C-A340-15686B7BFA4D}" name="Columna8918" dataDxfId="7494"/>
    <tableColumn id="8925" xr3:uid="{BEE7A1D4-D1FC-4600-AD51-0C9881C735ED}" name="Columna8919" dataDxfId="7493"/>
    <tableColumn id="8926" xr3:uid="{D3B6C023-57DE-4A90-B847-FB2585C536D0}" name="Columna8920" dataDxfId="7492"/>
    <tableColumn id="8927" xr3:uid="{571464FF-3B1B-4027-B3F3-319458AE72DF}" name="Columna8921" dataDxfId="7491"/>
    <tableColumn id="8928" xr3:uid="{51BE764D-4F0E-49C5-AD83-EAE8FA1F4FBF}" name="Columna8922" dataDxfId="7490"/>
    <tableColumn id="8929" xr3:uid="{FF6A8CBB-21FE-4007-AB71-C605BD01ED38}" name="Columna8923" dataDxfId="7489"/>
    <tableColumn id="8930" xr3:uid="{F53A15F0-2685-4644-9077-AC7096696A20}" name="Columna8924" dataDxfId="7488"/>
    <tableColumn id="8931" xr3:uid="{AAA3D69F-8391-4045-B13B-F0B0E0F23999}" name="Columna8925" dataDxfId="7487"/>
    <tableColumn id="8932" xr3:uid="{999C1A02-2AA9-4C76-997E-0B3DA0C3638E}" name="Columna8926" dataDxfId="7486"/>
    <tableColumn id="8933" xr3:uid="{A9770206-B1C4-4403-8F15-B97B7683FE81}" name="Columna8927" dataDxfId="7485"/>
    <tableColumn id="8934" xr3:uid="{C76D981D-2E75-4B30-85EB-53F1F17C3414}" name="Columna8928" dataDxfId="7484"/>
    <tableColumn id="8935" xr3:uid="{CDAF8596-BDB5-4ABA-928C-16D585ECE7C4}" name="Columna8929" dataDxfId="7483"/>
    <tableColumn id="8936" xr3:uid="{CE979A4E-25BF-433E-B387-AB107D30FF45}" name="Columna8930" dataDxfId="7482"/>
    <tableColumn id="8937" xr3:uid="{E726DAC1-CCB3-48FE-ADF6-77B953B3189F}" name="Columna8931" dataDxfId="7481"/>
    <tableColumn id="8938" xr3:uid="{D5F6381A-4B15-4917-A768-C1CCD4AFD547}" name="Columna8932" dataDxfId="7480"/>
    <tableColumn id="8939" xr3:uid="{562AF054-FBD4-43D1-BE68-C0D620A4E80E}" name="Columna8933" dataDxfId="7479"/>
    <tableColumn id="8940" xr3:uid="{18259F34-29B6-4460-8CDE-F8B1464D6C99}" name="Columna8934" dataDxfId="7478"/>
    <tableColumn id="8941" xr3:uid="{BAC021AA-52A5-415E-B913-9C421B52A51A}" name="Columna8935" dataDxfId="7477"/>
    <tableColumn id="8942" xr3:uid="{A32B0EA9-621F-43BD-A5B1-F64587124093}" name="Columna8936" dataDxfId="7476"/>
    <tableColumn id="8943" xr3:uid="{7964215D-6468-40E6-9655-73F6F8CB28DF}" name="Columna8937" dataDxfId="7475"/>
    <tableColumn id="8944" xr3:uid="{CC91D863-3872-4FA9-BB71-9C9F1FDF154E}" name="Columna8938" dataDxfId="7474"/>
    <tableColumn id="8945" xr3:uid="{2F34D23B-2768-4555-9A9D-9E3BD94DB013}" name="Columna8939" dataDxfId="7473"/>
    <tableColumn id="8946" xr3:uid="{93B7AC67-2325-4CA3-A6A6-13D661D5CD68}" name="Columna8940" dataDxfId="7472"/>
    <tableColumn id="8947" xr3:uid="{FD8645EF-57E1-4F06-83CB-976722ACA882}" name="Columna8941" dataDxfId="7471"/>
    <tableColumn id="8948" xr3:uid="{5EA1AF78-2437-4A68-9FC5-1323CDE9CC72}" name="Columna8942" dataDxfId="7470"/>
    <tableColumn id="8949" xr3:uid="{A2031804-D2F0-4E67-A119-00A5283710E2}" name="Columna8943" dataDxfId="7469"/>
    <tableColumn id="8950" xr3:uid="{151661D2-7FA7-4B70-9288-253ECFB246D7}" name="Columna8944" dataDxfId="7468"/>
    <tableColumn id="8951" xr3:uid="{369F77EA-903C-47B4-A5D7-597C1BA474F3}" name="Columna8945" dataDxfId="7467"/>
    <tableColumn id="8952" xr3:uid="{74D90C17-2605-48F0-81C0-9CF5AF9E1D9B}" name="Columna8946" dataDxfId="7466"/>
    <tableColumn id="8953" xr3:uid="{411EC49F-BB81-49DC-9178-06436A6DED91}" name="Columna8947" dataDxfId="7465"/>
    <tableColumn id="8954" xr3:uid="{95414C83-7D13-4B60-8448-1A68E13344C4}" name="Columna8948" dataDxfId="7464"/>
    <tableColumn id="8955" xr3:uid="{1DC7DA2B-D474-4885-80EE-DEE46A134881}" name="Columna8949" dataDxfId="7463"/>
    <tableColumn id="8956" xr3:uid="{F5E44471-02F3-4239-B1D7-DE4BD0BFD267}" name="Columna8950" dataDxfId="7462"/>
    <tableColumn id="8957" xr3:uid="{8BC23530-F874-45F3-8005-3FCD26978C91}" name="Columna8951" dataDxfId="7461"/>
    <tableColumn id="8958" xr3:uid="{A8CCC0C3-1AB5-49AF-A522-FB5161A06754}" name="Columna8952" dataDxfId="7460"/>
    <tableColumn id="8959" xr3:uid="{DA1F756B-8671-4828-90C3-37A06D0B5DA3}" name="Columna8953" dataDxfId="7459"/>
    <tableColumn id="8960" xr3:uid="{CCE1F5D7-7FD2-43AA-8722-EB03D469AB0F}" name="Columna8954" dataDxfId="7458"/>
    <tableColumn id="8961" xr3:uid="{EF07DA1F-9009-4D04-BAD1-DAA10A8DACB0}" name="Columna8955" dataDxfId="7457"/>
    <tableColumn id="8962" xr3:uid="{352FA20F-6752-4B0A-A72A-5B53973604B9}" name="Columna8956" dataDxfId="7456"/>
    <tableColumn id="8963" xr3:uid="{2723A894-A1EF-41D0-9947-D28FA9DCFAC6}" name="Columna8957" dataDxfId="7455"/>
    <tableColumn id="8964" xr3:uid="{1A212543-03C5-422A-BED8-8C7B2BEF127C}" name="Columna8958" dataDxfId="7454"/>
    <tableColumn id="8965" xr3:uid="{769F6575-40FF-4EED-897C-82D67958E50C}" name="Columna8959" dataDxfId="7453"/>
    <tableColumn id="8966" xr3:uid="{EC94D347-99A7-47D6-87AF-6FF08B3B0CFF}" name="Columna8960" dataDxfId="7452"/>
    <tableColumn id="8967" xr3:uid="{1895B19B-F10C-41EE-B80F-29E6DA47AC4E}" name="Columna8961" dataDxfId="7451"/>
    <tableColumn id="8968" xr3:uid="{4EBBAE46-3EF2-4ED6-A789-57A2D2C4D223}" name="Columna8962" dataDxfId="7450"/>
    <tableColumn id="8969" xr3:uid="{33CC4571-B48A-4AE1-83E4-F7049A7E6DAD}" name="Columna8963" dataDxfId="7449"/>
    <tableColumn id="8970" xr3:uid="{FE79CC04-BDA2-4E1F-9A13-7A85B47A3556}" name="Columna8964" dataDxfId="7448"/>
    <tableColumn id="8971" xr3:uid="{A7759FD4-9048-4EB5-847A-F33D456A7CDD}" name="Columna8965" dataDxfId="7447"/>
    <tableColumn id="8972" xr3:uid="{F5882C47-2F9C-42F2-B671-7D4D66743AFB}" name="Columna8966" dataDxfId="7446"/>
    <tableColumn id="8973" xr3:uid="{3DBBE8C7-75A7-4054-B343-4082CD377FDB}" name="Columna8967" dataDxfId="7445"/>
    <tableColumn id="8974" xr3:uid="{65CE5E46-307B-49F2-A976-FEA6721A16EB}" name="Columna8968" dataDxfId="7444"/>
    <tableColumn id="8975" xr3:uid="{22422A25-2ADD-4BD1-BCA4-78C2C5592920}" name="Columna8969" dataDxfId="7443"/>
    <tableColumn id="8976" xr3:uid="{7CDB45CF-3BF2-41FF-B2A9-31813CF44E31}" name="Columna8970" dataDxfId="7442"/>
    <tableColumn id="8977" xr3:uid="{20E11234-7DEE-4312-9730-86EFC77B223D}" name="Columna8971" dataDxfId="7441"/>
    <tableColumn id="8978" xr3:uid="{C6E87D76-1F7E-42A0-8752-B1A2036FAB0C}" name="Columna8972" dataDxfId="7440"/>
    <tableColumn id="8979" xr3:uid="{05798FB6-1CBB-44FB-8532-1C08555E2394}" name="Columna8973" dataDxfId="7439"/>
    <tableColumn id="8980" xr3:uid="{78178389-6E60-45A3-B203-BC144E9679DF}" name="Columna8974" dataDxfId="7438"/>
    <tableColumn id="8981" xr3:uid="{DABFDC70-0C35-47C0-BBBC-809124426A2F}" name="Columna8975" dataDxfId="7437"/>
    <tableColumn id="8982" xr3:uid="{31F162C5-3B74-4C1A-B018-4CE93B760BCC}" name="Columna8976" dataDxfId="7436"/>
    <tableColumn id="8983" xr3:uid="{8279BE70-24A3-4D16-BC26-47A7F081826A}" name="Columna8977" dataDxfId="7435"/>
    <tableColumn id="8984" xr3:uid="{C742C0C1-45D5-4553-AA99-BBD9D5BF7D33}" name="Columna8978" dataDxfId="7434"/>
    <tableColumn id="8985" xr3:uid="{07ECB39F-4DF7-44D0-B8F5-D848E70243F3}" name="Columna8979" dataDxfId="7433"/>
    <tableColumn id="8986" xr3:uid="{F0F82DB8-3AB0-4737-8307-0D4C0A5F0E7D}" name="Columna8980" dataDxfId="7432"/>
    <tableColumn id="8987" xr3:uid="{55D8E33D-B314-45B6-9326-CE4AE0948631}" name="Columna8981" dataDxfId="7431"/>
    <tableColumn id="8988" xr3:uid="{B142D55A-767F-414F-B3DE-61BC66F41FB8}" name="Columna8982" dataDxfId="7430"/>
    <tableColumn id="8989" xr3:uid="{05A3D065-36B8-465D-A882-02E0A90F63CF}" name="Columna8983" dataDxfId="7429"/>
    <tableColumn id="8990" xr3:uid="{427D4988-6AAB-47D2-A95A-B46BC3EB7F32}" name="Columna8984" dataDxfId="7428"/>
    <tableColumn id="8991" xr3:uid="{1479047E-013B-4B01-8332-C1CB8A6DE2AF}" name="Columna8985" dataDxfId="7427"/>
    <tableColumn id="8992" xr3:uid="{89FEE64A-162F-40AD-9938-73EA2A664CD5}" name="Columna8986" dataDxfId="7426"/>
    <tableColumn id="8993" xr3:uid="{7FC579BA-0EB1-4923-B85F-DEAA50E5620C}" name="Columna8987" dataDxfId="7425"/>
    <tableColumn id="8994" xr3:uid="{F1A28144-20F5-42E1-B5B8-81F0FC589B1C}" name="Columna8988" dataDxfId="7424"/>
    <tableColumn id="8995" xr3:uid="{176A1926-99DC-4598-B073-C51A42D2888D}" name="Columna8989" dataDxfId="7423"/>
    <tableColumn id="8996" xr3:uid="{F5679762-1251-4B96-9A2A-DEB614DDCB9D}" name="Columna8990" dataDxfId="7422"/>
    <tableColumn id="8997" xr3:uid="{3FC6A5F4-980D-4C7E-AEB9-532681891BCC}" name="Columna8991" dataDxfId="7421"/>
    <tableColumn id="8998" xr3:uid="{1F521B09-ABE2-4C19-971F-9E966E7FEF33}" name="Columna8992" dataDxfId="7420"/>
    <tableColumn id="8999" xr3:uid="{2BD5F7E4-FD34-472D-B717-34386282FEA9}" name="Columna8993" dataDxfId="7419"/>
    <tableColumn id="9000" xr3:uid="{3625C1BC-DE55-42D0-B23C-CAEABE1B1B91}" name="Columna8994" dataDxfId="7418"/>
    <tableColumn id="9001" xr3:uid="{6D082D66-890F-4AC5-A53D-3A60E9D205FD}" name="Columna8995" dataDxfId="7417"/>
    <tableColumn id="9002" xr3:uid="{F5E1A6DA-AE14-4D3C-810F-42D7060C2554}" name="Columna8996" dataDxfId="7416"/>
    <tableColumn id="9003" xr3:uid="{CC616F13-5D12-4AC0-8173-05F7D59C1EE5}" name="Columna8997" dataDxfId="7415"/>
    <tableColumn id="9004" xr3:uid="{C94C15B6-07F7-4E51-887B-2D6DB5F41A25}" name="Columna8998" dataDxfId="7414"/>
    <tableColumn id="9005" xr3:uid="{6873C7F1-061F-48CF-B2FF-E34E54DC6540}" name="Columna8999" dataDxfId="7413"/>
    <tableColumn id="9006" xr3:uid="{6322EF7F-1B22-4F05-B9CF-1D2852E09474}" name="Columna9000" dataDxfId="7412"/>
    <tableColumn id="9007" xr3:uid="{AB3ABBA1-97E5-422C-9F10-C322C22FA953}" name="Columna9001" dataDxfId="7411"/>
    <tableColumn id="9008" xr3:uid="{18853068-4893-409B-A869-A727B558ABC3}" name="Columna9002" dataDxfId="7410"/>
    <tableColumn id="9009" xr3:uid="{5D8F0C25-E381-4806-BE40-08AAD7307DD5}" name="Columna9003" dataDxfId="7409"/>
    <tableColumn id="9010" xr3:uid="{718BE2B6-8433-4942-871A-9F4A1FAB9E3F}" name="Columna9004" dataDxfId="7408"/>
    <tableColumn id="9011" xr3:uid="{32C9E162-D81C-4032-A2A0-48A9F775F344}" name="Columna9005" dataDxfId="7407"/>
    <tableColumn id="9012" xr3:uid="{86A84FAF-2F1D-4633-A38C-D8CBE3B1E385}" name="Columna9006" dataDxfId="7406"/>
    <tableColumn id="9013" xr3:uid="{9362B83B-D42C-44A1-B8E7-BE0E059063C3}" name="Columna9007" dataDxfId="7405"/>
    <tableColumn id="9014" xr3:uid="{BDF7C23C-C847-40C4-A9CB-056BCDBBFD44}" name="Columna9008" dataDxfId="7404"/>
    <tableColumn id="9015" xr3:uid="{EA030A79-7F36-4696-973E-6D76BDD785CF}" name="Columna9009" dataDxfId="7403"/>
    <tableColumn id="9016" xr3:uid="{60EA6899-4B5F-42FD-9398-11B2A18C64A5}" name="Columna9010" dataDxfId="7402"/>
    <tableColumn id="9017" xr3:uid="{269383A1-3620-444F-8DC5-DE47C5562ABA}" name="Columna9011" dataDxfId="7401"/>
    <tableColumn id="9018" xr3:uid="{0E290D18-9659-4E54-A634-E2786D952459}" name="Columna9012" dataDxfId="7400"/>
    <tableColumn id="9019" xr3:uid="{2F13AE2C-990A-4D3E-AB77-C35A7E7FF52D}" name="Columna9013" dataDxfId="7399"/>
    <tableColumn id="9020" xr3:uid="{7E631898-CCC7-459A-9BE0-6385BE2F9066}" name="Columna9014" dataDxfId="7398"/>
    <tableColumn id="9021" xr3:uid="{84870341-1329-4302-9CE3-5F0D9D18EF5B}" name="Columna9015" dataDxfId="7397"/>
    <tableColumn id="9022" xr3:uid="{EDD4F5C4-9CDD-44C3-9F6A-6B85183CE7A1}" name="Columna9016" dataDxfId="7396"/>
    <tableColumn id="9023" xr3:uid="{E5A2886B-6C36-4D08-967E-4A501D181C35}" name="Columna9017" dataDxfId="7395"/>
    <tableColumn id="9024" xr3:uid="{3BAA8EA8-2335-4EE8-8DB8-86CC0790C615}" name="Columna9018" dataDxfId="7394"/>
    <tableColumn id="9025" xr3:uid="{331027E0-1B2D-43DB-A804-15AC0FD9C299}" name="Columna9019" dataDxfId="7393"/>
    <tableColumn id="9026" xr3:uid="{B6C5F427-1203-4349-90B9-71CE95683BA4}" name="Columna9020" dataDxfId="7392"/>
    <tableColumn id="9027" xr3:uid="{BF5CFBEF-9488-452F-A434-2D01948531DB}" name="Columna9021" dataDxfId="7391"/>
    <tableColumn id="9028" xr3:uid="{D14C49EF-865A-4323-AB7A-6D6BEA897509}" name="Columna9022" dataDxfId="7390"/>
    <tableColumn id="9029" xr3:uid="{58992BD7-B07A-48AD-BBF6-FF2F9407A5DB}" name="Columna9023" dataDxfId="7389"/>
    <tableColumn id="9030" xr3:uid="{1D272B68-DFBC-46E7-ADB0-ECA471AA3DD3}" name="Columna9024" dataDxfId="7388"/>
    <tableColumn id="9031" xr3:uid="{F2D3E32A-7266-4722-A5C5-7E26F74B62E5}" name="Columna9025" dataDxfId="7387"/>
    <tableColumn id="9032" xr3:uid="{35A2163F-EE68-477B-8937-6E8D072EC135}" name="Columna9026" dataDxfId="7386"/>
    <tableColumn id="9033" xr3:uid="{A7BE842F-D0D1-4D7E-9E63-0873393D50AA}" name="Columna9027" dataDxfId="7385"/>
    <tableColumn id="9034" xr3:uid="{91A4C36E-9620-4FF5-8678-EFBD4F2A2A3D}" name="Columna9028" dataDxfId="7384"/>
    <tableColumn id="9035" xr3:uid="{9C2B339D-373C-49CC-8F98-C44F92083BC1}" name="Columna9029" dataDxfId="7383"/>
    <tableColumn id="9036" xr3:uid="{FCE5007B-B3DC-4869-B792-12BB0939EEBC}" name="Columna9030" dataDxfId="7382"/>
    <tableColumn id="9037" xr3:uid="{B4731FC1-C140-4D2B-B6E3-E56998BB7E32}" name="Columna9031" dataDxfId="7381"/>
    <tableColumn id="9038" xr3:uid="{C9462401-A244-449F-8013-DBDF3ADEE0FF}" name="Columna9032" dataDxfId="7380"/>
    <tableColumn id="9039" xr3:uid="{283C5A7C-FBD7-4CF5-A662-BBDFCF1F40C3}" name="Columna9033" dataDxfId="7379"/>
    <tableColumn id="9040" xr3:uid="{73EFFCE3-D0CA-49AE-9577-421EBE892863}" name="Columna9034" dataDxfId="7378"/>
    <tableColumn id="9041" xr3:uid="{AC973A07-C02A-4AE1-9F41-EA3E0EE8EFC5}" name="Columna9035" dataDxfId="7377"/>
    <tableColumn id="9042" xr3:uid="{D9E3D20C-C5DB-4E44-BBE3-79FF1F1F0688}" name="Columna9036" dataDxfId="7376"/>
    <tableColumn id="9043" xr3:uid="{4EAE362A-5A09-490C-83C7-7D5C09B3BA41}" name="Columna9037" dataDxfId="7375"/>
    <tableColumn id="9044" xr3:uid="{A25EC47B-475E-4863-BDEA-371F301B470C}" name="Columna9038" dataDxfId="7374"/>
    <tableColumn id="9045" xr3:uid="{AA950DAE-0042-459E-93DC-30B0B5618201}" name="Columna9039" dataDxfId="7373"/>
    <tableColumn id="9046" xr3:uid="{06FD9ADD-D8AC-4574-ABE5-73B29F4AB53C}" name="Columna9040" dataDxfId="7372"/>
    <tableColumn id="9047" xr3:uid="{8F6E4515-4504-4F9B-B2B7-54E53E6E0C3D}" name="Columna9041" dataDxfId="7371"/>
    <tableColumn id="9048" xr3:uid="{393E7635-FC37-474D-9C5C-F63DCF0AC43E}" name="Columna9042" dataDxfId="7370"/>
    <tableColumn id="9049" xr3:uid="{C811D192-8645-4943-A3CD-7A2661350ED0}" name="Columna9043" dataDxfId="7369"/>
    <tableColumn id="9050" xr3:uid="{16CB8603-8DB0-4195-B1E8-E007E1D36065}" name="Columna9044" dataDxfId="7368"/>
    <tableColumn id="9051" xr3:uid="{7178D9B4-3AF7-483E-99EF-9B83A5FF64D8}" name="Columna9045" dataDxfId="7367"/>
    <tableColumn id="9052" xr3:uid="{A3EFD6EB-EBC1-4ECB-972C-38A184782BC6}" name="Columna9046" dataDxfId="7366"/>
    <tableColumn id="9053" xr3:uid="{2F1FBFAE-C8B7-4815-9D59-E7971E8C0DE5}" name="Columna9047" dataDxfId="7365"/>
    <tableColumn id="9054" xr3:uid="{6E70B5E3-6BA6-4365-A8E1-6C930EFB424F}" name="Columna9048" dataDxfId="7364"/>
    <tableColumn id="9055" xr3:uid="{F379F1B3-7902-4BAE-BF2A-F2A4B8464D18}" name="Columna9049" dataDxfId="7363"/>
    <tableColumn id="9056" xr3:uid="{D35F2079-9584-498D-85BE-2A52BE9ADF43}" name="Columna9050" dataDxfId="7362"/>
    <tableColumn id="9057" xr3:uid="{FC5A30DF-32DC-4E5F-BA99-7626988D150E}" name="Columna9051" dataDxfId="7361"/>
    <tableColumn id="9058" xr3:uid="{4A4B0019-F565-4562-A8DC-6CDBEE5A3698}" name="Columna9052" dataDxfId="7360"/>
    <tableColumn id="9059" xr3:uid="{407FDBAE-12A5-40E0-B33E-6FB12E8B0265}" name="Columna9053" dataDxfId="7359"/>
    <tableColumn id="9060" xr3:uid="{448264CC-7562-4092-9780-A0FA39BDB5E8}" name="Columna9054" dataDxfId="7358"/>
    <tableColumn id="9061" xr3:uid="{F92B6AB1-D747-43A1-8DE2-78E21F45BE4F}" name="Columna9055" dataDxfId="7357"/>
    <tableColumn id="9062" xr3:uid="{1D950980-649F-4F60-8D53-410E00A3E99C}" name="Columna9056" dataDxfId="7356"/>
    <tableColumn id="9063" xr3:uid="{68300035-0F43-4C14-8496-216C68948BDA}" name="Columna9057" dataDxfId="7355"/>
    <tableColumn id="9064" xr3:uid="{30AE4306-5381-4CD7-AF12-3AAB0F22B557}" name="Columna9058" dataDxfId="7354"/>
    <tableColumn id="9065" xr3:uid="{0BB9E4AB-8A5C-4A42-BB52-0CDEA01C0ADB}" name="Columna9059" dataDxfId="7353"/>
    <tableColumn id="9066" xr3:uid="{2B87F40C-8C14-452C-84DC-81BBF517E939}" name="Columna9060" dataDxfId="7352"/>
    <tableColumn id="9067" xr3:uid="{5505B0A4-580C-412B-99E9-0F1E6DF55FCF}" name="Columna9061" dataDxfId="7351"/>
    <tableColumn id="9068" xr3:uid="{F370F27E-39B1-4F28-A229-03B99A699E27}" name="Columna9062" dataDxfId="7350"/>
    <tableColumn id="9069" xr3:uid="{78F9B406-A02F-4206-920D-7B291B1218E5}" name="Columna9063" dataDxfId="7349"/>
    <tableColumn id="9070" xr3:uid="{35B11388-4042-49C2-A04F-98F2656AB3DA}" name="Columna9064" dataDxfId="7348"/>
    <tableColumn id="9071" xr3:uid="{52EA56AE-6610-4D59-B7C4-C798FFD01FCC}" name="Columna9065" dataDxfId="7347"/>
    <tableColumn id="9072" xr3:uid="{C29F882E-951B-422B-8647-5B11B98A1FFF}" name="Columna9066" dataDxfId="7346"/>
    <tableColumn id="9073" xr3:uid="{BF6654A4-5BE0-4EB1-91A2-3090038F1330}" name="Columna9067" dataDxfId="7345"/>
    <tableColumn id="9074" xr3:uid="{7A427429-E08D-4DC2-B680-9340F898A64E}" name="Columna9068" dataDxfId="7344"/>
    <tableColumn id="9075" xr3:uid="{633FFD8F-76AE-44CE-B983-8EC67CAFCD58}" name="Columna9069" dataDxfId="7343"/>
    <tableColumn id="9076" xr3:uid="{9EEC2EC1-E357-444B-83C8-4B6F46D5F6C6}" name="Columna9070" dataDxfId="7342"/>
    <tableColumn id="9077" xr3:uid="{E16177AD-A594-4713-BC00-FA5E5A7AD9E1}" name="Columna9071" dataDxfId="7341"/>
    <tableColumn id="9078" xr3:uid="{FA2BE79E-E8C0-46F8-B218-3F6AEE1A93D6}" name="Columna9072" dataDxfId="7340"/>
    <tableColumn id="9079" xr3:uid="{72B6427D-CE6E-4934-8C61-CACBFC41B96A}" name="Columna9073" dataDxfId="7339"/>
    <tableColumn id="9080" xr3:uid="{11CB0055-2670-44E0-8DF2-ED958F814729}" name="Columna9074" dataDxfId="7338"/>
    <tableColumn id="9081" xr3:uid="{3B5C5538-6094-4D80-B289-35CA65402061}" name="Columna9075" dataDxfId="7337"/>
    <tableColumn id="9082" xr3:uid="{5A6E42F2-6FB3-4F5D-B361-97F2FEF908F5}" name="Columna9076" dataDxfId="7336"/>
    <tableColumn id="9083" xr3:uid="{A39D1275-E920-4073-9E95-DCD06AFDD0C4}" name="Columna9077" dataDxfId="7335"/>
    <tableColumn id="9084" xr3:uid="{E0271964-B8AA-4B84-B938-61C97EBB88CF}" name="Columna9078" dataDxfId="7334"/>
    <tableColumn id="9085" xr3:uid="{8A7B2735-378D-46F8-B5AD-1B67C33801E9}" name="Columna9079" dataDxfId="7333"/>
    <tableColumn id="9086" xr3:uid="{085EC3ED-8FEF-4DBB-A162-5205425C94AA}" name="Columna9080" dataDxfId="7332"/>
    <tableColumn id="9087" xr3:uid="{B5115F75-393E-48DD-B192-E49319EA05AB}" name="Columna9081" dataDxfId="7331"/>
    <tableColumn id="9088" xr3:uid="{25281BF0-561C-4F83-A287-E8C650B994D6}" name="Columna9082" dataDxfId="7330"/>
    <tableColumn id="9089" xr3:uid="{4E55F0A8-6ECA-49BE-8B72-7A0D5E411EE5}" name="Columna9083" dataDxfId="7329"/>
    <tableColumn id="9090" xr3:uid="{ACD6A872-0DAC-47EB-B23A-A16E76692525}" name="Columna9084" dataDxfId="7328"/>
    <tableColumn id="9091" xr3:uid="{2CCAF20D-13DB-45C8-816E-B92BB2CCAA88}" name="Columna9085" dataDxfId="7327"/>
    <tableColumn id="9092" xr3:uid="{5ADAEA1E-D5A7-4E90-9EEC-6FF8D539CABB}" name="Columna9086" dataDxfId="7326"/>
    <tableColumn id="9093" xr3:uid="{18640BFE-E38B-4B32-B299-FEB42DEA38FB}" name="Columna9087" dataDxfId="7325"/>
    <tableColumn id="9094" xr3:uid="{BF8555BB-674F-4D17-A8C1-CFB1A2C83B1A}" name="Columna9088" dataDxfId="7324"/>
    <tableColumn id="9095" xr3:uid="{24ECFBB6-70F0-4FFE-BE51-1F70256BAC3B}" name="Columna9089" dataDxfId="7323"/>
    <tableColumn id="9096" xr3:uid="{8ABD77B2-72E4-45B6-ADB2-B6C6332CACFB}" name="Columna9090" dataDxfId="7322"/>
    <tableColumn id="9097" xr3:uid="{310FBB8F-98E7-4E30-8F69-811BEB3C2D00}" name="Columna9091" dataDxfId="7321"/>
    <tableColumn id="9098" xr3:uid="{28A84942-E72C-41BC-B5FE-4706E33D075D}" name="Columna9092" dataDxfId="7320"/>
    <tableColumn id="9099" xr3:uid="{917C2C5B-AFD6-42FA-AAB9-757B49408EF3}" name="Columna9093" dataDxfId="7319"/>
    <tableColumn id="9100" xr3:uid="{4AE02778-72A7-4FA8-BF87-DB5D80FE821E}" name="Columna9094" dataDxfId="7318"/>
    <tableColumn id="9101" xr3:uid="{B38A7117-DC58-4510-BB1A-A12DDA453940}" name="Columna9095" dataDxfId="7317"/>
    <tableColumn id="9102" xr3:uid="{12173B8A-1630-4064-B7FD-6C14F7597BDC}" name="Columna9096" dataDxfId="7316"/>
    <tableColumn id="9103" xr3:uid="{E9D7C1E7-8018-4928-8332-DD7688B7F3C0}" name="Columna9097" dataDxfId="7315"/>
    <tableColumn id="9104" xr3:uid="{4C7A10C3-803E-45E8-B4ED-196AF365A4C4}" name="Columna9098" dataDxfId="7314"/>
    <tableColumn id="9105" xr3:uid="{7DD36B1C-F724-46B1-859E-DB512D0E4973}" name="Columna9099" dataDxfId="7313"/>
    <tableColumn id="9106" xr3:uid="{DACC9F72-A607-44D1-83B4-2FFC18BFB1E7}" name="Columna9100" dataDxfId="7312"/>
    <tableColumn id="9107" xr3:uid="{D362FBA7-02F3-4CDA-A287-FE45CA2545EF}" name="Columna9101" dataDxfId="7311"/>
    <tableColumn id="9108" xr3:uid="{E3C8D969-BA9B-427E-9E1E-4503E210F5B3}" name="Columna9102" dataDxfId="7310"/>
    <tableColumn id="9109" xr3:uid="{7F45AE1A-4DDB-4B98-B892-37060805D501}" name="Columna9103" dataDxfId="7309"/>
    <tableColumn id="9110" xr3:uid="{67F028D1-EC79-4CBB-A84C-88837AC8F1E5}" name="Columna9104" dataDxfId="7308"/>
    <tableColumn id="9111" xr3:uid="{6D3338C0-F01A-4E67-90BF-0D5B7DB49159}" name="Columna9105" dataDxfId="7307"/>
    <tableColumn id="9112" xr3:uid="{64C2C2D3-AEC7-40B1-8F39-0F8C15B298DB}" name="Columna9106" dataDxfId="7306"/>
    <tableColumn id="9113" xr3:uid="{99DC5350-4BCE-4DAB-BD7E-E4D3BB5FC1C1}" name="Columna9107" dataDxfId="7305"/>
    <tableColumn id="9114" xr3:uid="{D056D18C-E3FA-4AE6-B237-7678B3683139}" name="Columna9108" dataDxfId="7304"/>
    <tableColumn id="9115" xr3:uid="{75F2F870-E2BC-423A-8D51-F09F40CE03E2}" name="Columna9109" dataDxfId="7303"/>
    <tableColumn id="9116" xr3:uid="{F117D94D-0DFB-4AEE-BD1A-B798F6891014}" name="Columna9110" dataDxfId="7302"/>
    <tableColumn id="9117" xr3:uid="{85A3B82F-3A5C-472F-B5FE-2D64DBC5D43D}" name="Columna9111" dataDxfId="7301"/>
    <tableColumn id="9118" xr3:uid="{3A9FF7E5-BD84-42A1-8E30-4351127B9F31}" name="Columna9112" dataDxfId="7300"/>
    <tableColumn id="9119" xr3:uid="{74B9D51C-F370-4F50-B991-D040D170B5C9}" name="Columna9113" dataDxfId="7299"/>
    <tableColumn id="9120" xr3:uid="{6EBE5FAE-0E16-4070-ADEE-5B7237E1AD88}" name="Columna9114" dataDxfId="7298"/>
    <tableColumn id="9121" xr3:uid="{35A1967E-88B0-4477-98B4-72FF10F995E9}" name="Columna9115" dataDxfId="7297"/>
    <tableColumn id="9122" xr3:uid="{FC9F8951-7AC7-4000-8E07-CBA6B72D41A9}" name="Columna9116" dataDxfId="7296"/>
    <tableColumn id="9123" xr3:uid="{25C96FE1-7DC9-416A-912A-2E533856961B}" name="Columna9117" dataDxfId="7295"/>
    <tableColumn id="9124" xr3:uid="{E34742C5-BF40-406C-A206-E9C32D6D154A}" name="Columna9118" dataDxfId="7294"/>
    <tableColumn id="9125" xr3:uid="{F229DA35-3185-413D-B933-4D0365671722}" name="Columna9119" dataDxfId="7293"/>
    <tableColumn id="9126" xr3:uid="{84575AC5-AAA9-44E8-AD3F-DA3DF9172811}" name="Columna9120" dataDxfId="7292"/>
    <tableColumn id="9127" xr3:uid="{AB3B01F1-4724-4D4C-8C58-96398E187A1D}" name="Columna9121" dataDxfId="7291"/>
    <tableColumn id="9128" xr3:uid="{0D644425-2095-4B3D-BDDC-9F165050FC95}" name="Columna9122" dataDxfId="7290"/>
    <tableColumn id="9129" xr3:uid="{35E1886F-23A1-46AB-B219-378E27269DA9}" name="Columna9123" dataDxfId="7289"/>
    <tableColumn id="9130" xr3:uid="{FAA1FE03-6D37-4846-9698-B6C3AC634601}" name="Columna9124" dataDxfId="7288"/>
    <tableColumn id="9131" xr3:uid="{FEEDEBCD-7037-454E-B721-391EC75ECCA3}" name="Columna9125" dataDxfId="7287"/>
    <tableColumn id="9132" xr3:uid="{153FDF90-82BE-4F84-A0FF-65EC19034DC2}" name="Columna9126" dataDxfId="7286"/>
    <tableColumn id="9133" xr3:uid="{8848A4B3-FF5A-4512-8928-E2AB8DC958B8}" name="Columna9127" dataDxfId="7285"/>
    <tableColumn id="9134" xr3:uid="{D927E28A-6AE9-4105-BF2B-040B4C62E8C2}" name="Columna9128" dataDxfId="7284"/>
    <tableColumn id="9135" xr3:uid="{33A6D251-FCB3-43DC-8D2E-DFB66AEB5324}" name="Columna9129" dataDxfId="7283"/>
    <tableColumn id="9136" xr3:uid="{328F26C3-D451-4D96-96B2-6C0D7E84E0E4}" name="Columna9130" dataDxfId="7282"/>
    <tableColumn id="9137" xr3:uid="{F2CEA003-AD3F-426B-88F1-5B9DEC3DEA3D}" name="Columna9131" dataDxfId="7281"/>
    <tableColumn id="9138" xr3:uid="{CEC239EB-0619-43D3-8357-A19BC3B1B903}" name="Columna9132" dataDxfId="7280"/>
    <tableColumn id="9139" xr3:uid="{DEBE0506-EF4F-4A8F-9100-04F7DF5A380D}" name="Columna9133" dataDxfId="7279"/>
    <tableColumn id="9140" xr3:uid="{5B80B7B0-292C-4E39-B102-029EEC4DA4F6}" name="Columna9134" dataDxfId="7278"/>
    <tableColumn id="9141" xr3:uid="{8DFB2CD6-6B4C-4559-8CD4-7A05285E553D}" name="Columna9135" dataDxfId="7277"/>
    <tableColumn id="9142" xr3:uid="{01005846-EFA8-441E-BBBA-76FB1884D7EF}" name="Columna9136" dataDxfId="7276"/>
    <tableColumn id="9143" xr3:uid="{1D61AA2B-5901-486C-A63B-7A893CD0935A}" name="Columna9137" dataDxfId="7275"/>
    <tableColumn id="9144" xr3:uid="{EE80C778-A62A-4809-BE78-01E997D30A0B}" name="Columna9138" dataDxfId="7274"/>
    <tableColumn id="9145" xr3:uid="{E16878B6-9729-4124-A58F-AAA2DD6A9A74}" name="Columna9139" dataDxfId="7273"/>
    <tableColumn id="9146" xr3:uid="{4EE16781-E1A4-4A18-A97B-DF846E2E3593}" name="Columna9140" dataDxfId="7272"/>
    <tableColumn id="9147" xr3:uid="{C1D15A8A-350A-4BA0-986A-5A89D4BB26F8}" name="Columna9141" dataDxfId="7271"/>
    <tableColumn id="9148" xr3:uid="{0DF2055A-0128-4770-AF04-34AB824D395F}" name="Columna9142" dataDxfId="7270"/>
    <tableColumn id="9149" xr3:uid="{B82EB148-A4F7-4A18-B195-B1235E8AD872}" name="Columna9143" dataDxfId="7269"/>
    <tableColumn id="9150" xr3:uid="{DF0F15D4-CDDF-4832-8DC6-FABFCF39DBEC}" name="Columna9144" dataDxfId="7268"/>
    <tableColumn id="9151" xr3:uid="{215C58AD-37C6-4474-9F5F-3F1FEE4EA4FD}" name="Columna9145" dataDxfId="7267"/>
    <tableColumn id="9152" xr3:uid="{8918AE62-5EE9-4E11-93E1-8FC24368809D}" name="Columna9146" dataDxfId="7266"/>
    <tableColumn id="9153" xr3:uid="{BBD62E97-1691-461F-A297-CF963EE62B68}" name="Columna9147" dataDxfId="7265"/>
    <tableColumn id="9154" xr3:uid="{FD1C5C7F-1337-48A5-BE27-FEAE714A78C2}" name="Columna9148" dataDxfId="7264"/>
    <tableColumn id="9155" xr3:uid="{672F6215-BE9E-40C3-B137-872A97D91AEC}" name="Columna9149" dataDxfId="7263"/>
    <tableColumn id="9156" xr3:uid="{750A1EAE-B959-4385-843D-3DED560D18F5}" name="Columna9150" dataDxfId="7262"/>
    <tableColumn id="9157" xr3:uid="{C5538420-3F14-48DB-888A-612043D72DED}" name="Columna9151" dataDxfId="7261"/>
    <tableColumn id="9158" xr3:uid="{2A11845F-FBB7-4373-AAEF-652771448CC6}" name="Columna9152" dataDxfId="7260"/>
    <tableColumn id="9159" xr3:uid="{8B4E2170-E4D1-4CDC-B255-1BD62794159F}" name="Columna9153" dataDxfId="7259"/>
    <tableColumn id="9160" xr3:uid="{698F7E72-A7C8-4E11-BD20-DE42CFD2075F}" name="Columna9154" dataDxfId="7258"/>
    <tableColumn id="9161" xr3:uid="{393EFFED-00F8-451D-AD26-E8DB0215B395}" name="Columna9155" dataDxfId="7257"/>
    <tableColumn id="9162" xr3:uid="{C2224B44-C243-4946-8325-24CEB8D06B00}" name="Columna9156" dataDxfId="7256"/>
    <tableColumn id="9163" xr3:uid="{FE5986F8-CCF4-4CB5-8E87-4A631798648E}" name="Columna9157" dataDxfId="7255"/>
    <tableColumn id="9164" xr3:uid="{9F8A0DF8-6C1C-4642-B004-3A8E7B99D27B}" name="Columna9158" dataDxfId="7254"/>
    <tableColumn id="9165" xr3:uid="{A227E97E-87D7-437B-BAFC-CFED16D20B4C}" name="Columna9159" dataDxfId="7253"/>
    <tableColumn id="9166" xr3:uid="{9BF05DA4-FA6A-4627-9C04-13D3EAB97C52}" name="Columna9160" dataDxfId="7252"/>
    <tableColumn id="9167" xr3:uid="{A88FAC61-50EB-4794-96A7-71CBAA94A3FC}" name="Columna9161" dataDxfId="7251"/>
    <tableColumn id="9168" xr3:uid="{AE6D956B-70A0-4693-B6F7-63240CDE5A73}" name="Columna9162" dataDxfId="7250"/>
    <tableColumn id="9169" xr3:uid="{7DE5CD66-B3C5-4633-B50D-483CAA82552A}" name="Columna9163" dataDxfId="7249"/>
    <tableColumn id="9170" xr3:uid="{780E7B6A-6EC9-419A-9709-E22AC6F92150}" name="Columna9164" dataDxfId="7248"/>
    <tableColumn id="9171" xr3:uid="{9FE8E566-85F3-40EB-9731-4F2EE3DA177A}" name="Columna9165" dataDxfId="7247"/>
    <tableColumn id="9172" xr3:uid="{F22BE677-0C06-44A4-9255-4F9307D84A5C}" name="Columna9166" dataDxfId="7246"/>
    <tableColumn id="9173" xr3:uid="{FA006BEF-F653-40F5-A258-938D83EC7EE2}" name="Columna9167" dataDxfId="7245"/>
    <tableColumn id="9174" xr3:uid="{CCAC9E07-B1B9-4FA6-861F-925344D7BE73}" name="Columna9168" dataDxfId="7244"/>
    <tableColumn id="9175" xr3:uid="{53EF33C0-93BE-41A9-A4D9-A6FBBB820E76}" name="Columna9169" dataDxfId="7243"/>
    <tableColumn id="9176" xr3:uid="{EA6656BD-AFF6-4A2C-89EE-8705A2783A09}" name="Columna9170" dataDxfId="7242"/>
    <tableColumn id="9177" xr3:uid="{B54A0E7B-0BB4-4449-A606-C3F2F3672632}" name="Columna9171" dataDxfId="7241"/>
    <tableColumn id="9178" xr3:uid="{78BCD21A-F4B7-45EF-AAD0-DF4A3C0ECE49}" name="Columna9172" dataDxfId="7240"/>
    <tableColumn id="9179" xr3:uid="{A722CC3F-ABC8-4FA5-8D37-AC21F78CA60D}" name="Columna9173" dataDxfId="7239"/>
    <tableColumn id="9180" xr3:uid="{B92B0028-3529-46D5-A56D-86C83944133C}" name="Columna9174" dataDxfId="7238"/>
    <tableColumn id="9181" xr3:uid="{A1B24EC3-8171-48E5-A1AC-6D4D41352634}" name="Columna9175" dataDxfId="7237"/>
    <tableColumn id="9182" xr3:uid="{E1D1A70F-9145-4F55-ACE6-C0D2E40BCC37}" name="Columna9176" dataDxfId="7236"/>
    <tableColumn id="9183" xr3:uid="{95A1E4B5-6FD8-4E15-876E-DC984C093CE5}" name="Columna9177" dataDxfId="7235"/>
    <tableColumn id="9184" xr3:uid="{CF2BDADB-33DB-4444-B3D9-E7A93681443B}" name="Columna9178" dataDxfId="7234"/>
    <tableColumn id="9185" xr3:uid="{371AC848-60D3-4717-B35B-870C28E88AB4}" name="Columna9179" dataDxfId="7233"/>
    <tableColumn id="9186" xr3:uid="{9205A948-041C-43D4-893C-10CD1C528780}" name="Columna9180" dataDxfId="7232"/>
    <tableColumn id="9187" xr3:uid="{8905A4CE-5467-4697-A312-90851160C6FF}" name="Columna9181" dataDxfId="7231"/>
    <tableColumn id="9188" xr3:uid="{273350F6-04D9-44A1-8AE2-983F6E3F97A9}" name="Columna9182" dataDxfId="7230"/>
    <tableColumn id="9189" xr3:uid="{F760FECD-760D-442F-B162-98EA0CE20FD9}" name="Columna9183" dataDxfId="7229"/>
    <tableColumn id="9190" xr3:uid="{D57889EA-4278-4072-9831-EB04141C2DD7}" name="Columna9184" dataDxfId="7228"/>
    <tableColumn id="9191" xr3:uid="{7F214BBB-992D-4367-ABA9-29401B41C8C1}" name="Columna9185" dataDxfId="7227"/>
    <tableColumn id="9192" xr3:uid="{307173BD-B7BE-4EE3-A9E7-59907EF06A7D}" name="Columna9186" dataDxfId="7226"/>
    <tableColumn id="9193" xr3:uid="{A5234DDF-3D70-4D79-95BE-36D7D92484FF}" name="Columna9187" dataDxfId="7225"/>
    <tableColumn id="9194" xr3:uid="{65819919-4B90-4875-9C6F-051976F76DAE}" name="Columna9188" dataDxfId="7224"/>
    <tableColumn id="9195" xr3:uid="{CF9D1251-A4F2-4BB9-9D10-E9765E2EEA91}" name="Columna9189" dataDxfId="7223"/>
    <tableColumn id="9196" xr3:uid="{342AB53F-E54E-44C1-86BA-F775787A62D8}" name="Columna9190" dataDxfId="7222"/>
    <tableColumn id="9197" xr3:uid="{7B602F59-D118-4B26-84A0-3DE0DA65624C}" name="Columna9191" dataDxfId="7221"/>
    <tableColumn id="9198" xr3:uid="{3281F514-02D5-4BC9-A82E-76109287228C}" name="Columna9192" dataDxfId="7220"/>
    <tableColumn id="9199" xr3:uid="{66565743-C21E-4C56-846E-4AE753312D87}" name="Columna9193" dataDxfId="7219"/>
    <tableColumn id="9200" xr3:uid="{E547C6C7-6A79-4967-86DA-24518995F0D2}" name="Columna9194" dataDxfId="7218"/>
    <tableColumn id="9201" xr3:uid="{72F3ADA0-8677-4604-8D7F-FA87B3E67736}" name="Columna9195" dataDxfId="7217"/>
    <tableColumn id="9202" xr3:uid="{7D119DB0-5CDF-456E-A04C-243602EE5D05}" name="Columna9196" dataDxfId="7216"/>
    <tableColumn id="9203" xr3:uid="{00339FB7-E2A9-4493-8FF5-3C94E77907CF}" name="Columna9197" dataDxfId="7215"/>
    <tableColumn id="9204" xr3:uid="{FF140BB5-C5BD-4CF8-A3CF-7D1901730541}" name="Columna9198" dataDxfId="7214"/>
    <tableColumn id="9205" xr3:uid="{3A1014CB-A6CE-4D77-8FC3-A013AAA8A614}" name="Columna9199" dataDxfId="7213"/>
    <tableColumn id="9206" xr3:uid="{2D3307DE-CC2C-42AB-82FC-740AB12A0EDC}" name="Columna9200" dataDxfId="7212"/>
    <tableColumn id="9207" xr3:uid="{FE49684A-F4E5-40B6-9F24-DEDC5F06C8A7}" name="Columna9201" dataDxfId="7211"/>
    <tableColumn id="9208" xr3:uid="{B4AD101E-50C0-4366-8299-E5E4F8E3C1BA}" name="Columna9202" dataDxfId="7210"/>
    <tableColumn id="9209" xr3:uid="{45F5C7C1-3550-4BC6-8B65-7E6064AE3680}" name="Columna9203" dataDxfId="7209"/>
    <tableColumn id="9210" xr3:uid="{3C0EE095-E26C-4634-B7ED-17E7B21A5595}" name="Columna9204" dataDxfId="7208"/>
    <tableColumn id="9211" xr3:uid="{A64D1883-1921-4C40-BA27-C1A32257BC70}" name="Columna9205" dataDxfId="7207"/>
    <tableColumn id="9212" xr3:uid="{1B6E090C-5784-47ED-AC6B-D3FFB8A05799}" name="Columna9206" dataDxfId="7206"/>
    <tableColumn id="9213" xr3:uid="{7E13B6A2-4BC9-4810-ADA8-5B21845B51FB}" name="Columna9207" dataDxfId="7205"/>
    <tableColumn id="9214" xr3:uid="{8A4DE92B-6D9D-4CD9-B4B8-BE67821E9515}" name="Columna9208" dataDxfId="7204"/>
    <tableColumn id="9215" xr3:uid="{4E5BD9FD-BE5C-4FC8-84A7-34061F9008C4}" name="Columna9209" dataDxfId="7203"/>
    <tableColumn id="9216" xr3:uid="{D0036101-C50F-4718-8876-F1F51C0FE9DB}" name="Columna9210" dataDxfId="7202"/>
    <tableColumn id="9217" xr3:uid="{5E4402A3-4EFA-4867-8449-5C4868B4C18A}" name="Columna9211" dataDxfId="7201"/>
    <tableColumn id="9218" xr3:uid="{0A09B59C-D090-4D5D-97C3-6B8F43917D33}" name="Columna9212" dataDxfId="7200"/>
    <tableColumn id="9219" xr3:uid="{165E3A1C-37A3-4F9A-A069-BC5EB632A2D6}" name="Columna9213" dataDxfId="7199"/>
    <tableColumn id="9220" xr3:uid="{FBE2AA91-CA6F-4FF0-B056-4E7372F227E1}" name="Columna9214" dataDxfId="7198"/>
    <tableColumn id="9221" xr3:uid="{33D7E044-F2DA-4F0C-8529-6A33265219C0}" name="Columna9215" dataDxfId="7197"/>
    <tableColumn id="9222" xr3:uid="{8922E123-C9D9-4381-B614-153D89856F40}" name="Columna9216" dataDxfId="7196"/>
    <tableColumn id="9223" xr3:uid="{459B9B30-8A9E-47C2-B54C-99BA6985FE18}" name="Columna9217" dataDxfId="7195"/>
    <tableColumn id="9224" xr3:uid="{7059A3D6-4A2C-4F6F-95C1-624CC0812B3E}" name="Columna9218" dataDxfId="7194"/>
    <tableColumn id="9225" xr3:uid="{28377B78-AD52-4DE3-94DA-18E9291A341B}" name="Columna9219" dataDxfId="7193"/>
    <tableColumn id="9226" xr3:uid="{525422B9-F72A-49A9-BAAD-57D9A7F2CA57}" name="Columna9220" dataDxfId="7192"/>
    <tableColumn id="9227" xr3:uid="{90C2061E-16A7-4D58-A073-03838300A9D1}" name="Columna9221" dataDxfId="7191"/>
    <tableColumn id="9228" xr3:uid="{8992144A-00BB-42CE-8E41-FEBDA993FF4C}" name="Columna9222" dataDxfId="7190"/>
    <tableColumn id="9229" xr3:uid="{F3C3A099-2E18-48C8-8A8B-4599E7E425EF}" name="Columna9223" dataDxfId="7189"/>
    <tableColumn id="9230" xr3:uid="{452B3C19-B6DF-456E-94FD-4EB0B62BBC57}" name="Columna9224" dataDxfId="7188"/>
    <tableColumn id="9231" xr3:uid="{A83FECD5-166C-48B6-BAD4-A30EDE57AF36}" name="Columna9225" dataDxfId="7187"/>
    <tableColumn id="9232" xr3:uid="{CD245FD2-C213-410B-95D2-597C75EE7281}" name="Columna9226" dataDxfId="7186"/>
    <tableColumn id="9233" xr3:uid="{C8A2B0BA-EF06-412E-9E60-AEF6B08A8C90}" name="Columna9227" dataDxfId="7185"/>
    <tableColumn id="9234" xr3:uid="{4CD16C44-F89C-42D2-86E7-FDA49B3B77A7}" name="Columna9228" dataDxfId="7184"/>
    <tableColumn id="9235" xr3:uid="{97C05EC2-21A9-43D8-88B5-C68ACC9BD84D}" name="Columna9229" dataDxfId="7183"/>
    <tableColumn id="9236" xr3:uid="{4579FAFC-6DB4-463D-B5C9-53C7BDA0EE26}" name="Columna9230" dataDxfId="7182"/>
    <tableColumn id="9237" xr3:uid="{E527970F-C77E-46FF-B5B9-9F717D3D5F3E}" name="Columna9231" dataDxfId="7181"/>
    <tableColumn id="9238" xr3:uid="{EC328FFB-6414-4BF8-87CC-5FA96628AFB2}" name="Columna9232" dataDxfId="7180"/>
    <tableColumn id="9239" xr3:uid="{A710A0CB-2FE4-4E35-B0A2-B92A8B3A6DE6}" name="Columna9233" dataDxfId="7179"/>
    <tableColumn id="9240" xr3:uid="{64A88974-64F3-42EF-8A98-11C0A03454D5}" name="Columna9234" dataDxfId="7178"/>
    <tableColumn id="9241" xr3:uid="{DFC99E65-4FA5-46B6-B9B7-0AB318444D51}" name="Columna9235" dataDxfId="7177"/>
    <tableColumn id="9242" xr3:uid="{D776CA1A-14E0-4EA2-B504-CD222EAE3391}" name="Columna9236" dataDxfId="7176"/>
    <tableColumn id="9243" xr3:uid="{5B619BBD-4659-45A1-99ED-768ED45C26E5}" name="Columna9237" dataDxfId="7175"/>
    <tableColumn id="9244" xr3:uid="{EB5AF2B5-6530-4D09-BA17-AA7DD44B6ABD}" name="Columna9238" dataDxfId="7174"/>
    <tableColumn id="9245" xr3:uid="{C2E9EDF8-44C3-4083-9A28-30B66D313BD9}" name="Columna9239" dataDxfId="7173"/>
    <tableColumn id="9246" xr3:uid="{A5553E9C-2ABA-4DBA-AF29-E78D3B9863F0}" name="Columna9240" dataDxfId="7172"/>
    <tableColumn id="9247" xr3:uid="{97F8BCF3-7176-427D-A610-D97A8DC7BBA5}" name="Columna9241" dataDxfId="7171"/>
    <tableColumn id="9248" xr3:uid="{8E9EC890-4C8A-46C8-87D0-890C3D86016E}" name="Columna9242" dataDxfId="7170"/>
    <tableColumn id="9249" xr3:uid="{F00F44CB-B375-417A-A665-4EBBFCDBFD53}" name="Columna9243" dataDxfId="7169"/>
    <tableColumn id="9250" xr3:uid="{B7254E54-B1DF-4EF7-ACAE-9D052346F5F5}" name="Columna9244" dataDxfId="7168"/>
    <tableColumn id="9251" xr3:uid="{2BF8667C-D966-4BF2-888F-F7B3A190966B}" name="Columna9245" dataDxfId="7167"/>
    <tableColumn id="9252" xr3:uid="{9B5BB381-C1FB-4F8A-822F-F8FFA62E02C7}" name="Columna9246" dataDxfId="7166"/>
    <tableColumn id="9253" xr3:uid="{4BC3455A-0CDF-4849-9EC1-5525A651BE25}" name="Columna9247" dataDxfId="7165"/>
    <tableColumn id="9254" xr3:uid="{4A3660A2-CB19-4DB5-A90B-9B5AD59FE0BA}" name="Columna9248" dataDxfId="7164"/>
    <tableColumn id="9255" xr3:uid="{36C4CD9D-0149-469E-914E-85CE3FF6D013}" name="Columna9249" dataDxfId="7163"/>
    <tableColumn id="9256" xr3:uid="{7F19306C-1391-488A-89C6-BD36C9825608}" name="Columna9250" dataDxfId="7162"/>
    <tableColumn id="9257" xr3:uid="{E5AC5DD9-1D2E-42B3-9ED2-747F7D3E3F78}" name="Columna9251" dataDxfId="7161"/>
    <tableColumn id="9258" xr3:uid="{C363265B-8BAB-4DE9-A2CF-D40778FCF42E}" name="Columna9252" dataDxfId="7160"/>
    <tableColumn id="9259" xr3:uid="{B90ABDCC-8BBF-4414-BB7F-7B308435A89E}" name="Columna9253" dataDxfId="7159"/>
    <tableColumn id="9260" xr3:uid="{1740D99D-52DC-4AD5-90DD-C0C4F7BC453C}" name="Columna9254" dataDxfId="7158"/>
    <tableColumn id="9261" xr3:uid="{1D710163-A2B1-4BFF-9442-0DE8B21CE17E}" name="Columna9255" dataDxfId="7157"/>
    <tableColumn id="9262" xr3:uid="{425E2461-D18F-4CF5-9AD2-EA4DFA9066DB}" name="Columna9256" dataDxfId="7156"/>
    <tableColumn id="9263" xr3:uid="{3259FC14-011F-4DE7-8B0A-A1F32F0718B1}" name="Columna9257" dataDxfId="7155"/>
    <tableColumn id="9264" xr3:uid="{F1DF83B4-7C72-4EBC-948F-6C1AFCC44973}" name="Columna9258" dataDxfId="7154"/>
    <tableColumn id="9265" xr3:uid="{DCC082D2-DF94-43E1-8205-0419D110A941}" name="Columna9259" dataDxfId="7153"/>
    <tableColumn id="9266" xr3:uid="{72D9CFD3-1810-48DC-BAB1-71DF7C533480}" name="Columna9260" dataDxfId="7152"/>
    <tableColumn id="9267" xr3:uid="{77771CF1-216E-4571-A781-FBF0702E6514}" name="Columna9261" dataDxfId="7151"/>
    <tableColumn id="9268" xr3:uid="{08FD21D7-610F-42DA-9EEA-01E473806661}" name="Columna9262" dataDxfId="7150"/>
    <tableColumn id="9269" xr3:uid="{53DF4E7D-978D-460F-B7C2-0C0AF02DE61C}" name="Columna9263" dataDxfId="7149"/>
    <tableColumn id="9270" xr3:uid="{B5E8B595-DAC9-4E59-A781-0C75A6738820}" name="Columna9264" dataDxfId="7148"/>
    <tableColumn id="9271" xr3:uid="{575A960F-CBA9-4465-8130-A9280A31E07C}" name="Columna9265" dataDxfId="7147"/>
    <tableColumn id="9272" xr3:uid="{3EB162FD-8349-4C9F-92EA-A64CFAE87A93}" name="Columna9266" dataDxfId="7146"/>
    <tableColumn id="9273" xr3:uid="{2AED8C25-15BA-4F81-B8D9-76691082E44B}" name="Columna9267" dataDxfId="7145"/>
    <tableColumn id="9274" xr3:uid="{F2BBB96A-399C-4605-B9E6-845688ED0448}" name="Columna9268" dataDxfId="7144"/>
    <tableColumn id="9275" xr3:uid="{C0796C0E-F214-4964-8C1D-39EEC047AE9C}" name="Columna9269" dataDxfId="7143"/>
    <tableColumn id="9276" xr3:uid="{B80ACEBD-9527-42AD-BC24-51B5406BD20F}" name="Columna9270" dataDxfId="7142"/>
    <tableColumn id="9277" xr3:uid="{12478B1E-E957-4E40-AAAF-9271F15F8D42}" name="Columna9271" dataDxfId="7141"/>
    <tableColumn id="9278" xr3:uid="{180F7895-16DB-4A91-91B1-1DF05C520BEA}" name="Columna9272" dataDxfId="7140"/>
    <tableColumn id="9279" xr3:uid="{4AF0703B-030C-4D73-B760-BA5386124065}" name="Columna9273" dataDxfId="7139"/>
    <tableColumn id="9280" xr3:uid="{C1A1D378-013D-4984-A12B-26EBCFBD73F2}" name="Columna9274" dataDxfId="7138"/>
    <tableColumn id="9281" xr3:uid="{8FF6FD44-64BF-4709-A156-812AC5E515C0}" name="Columna9275" dataDxfId="7137"/>
    <tableColumn id="9282" xr3:uid="{42477FA5-3116-4747-AC54-CA6DF9D70523}" name="Columna9276" dataDxfId="7136"/>
    <tableColumn id="9283" xr3:uid="{16D6D138-0933-47C6-8051-3D00D7F44745}" name="Columna9277" dataDxfId="7135"/>
    <tableColumn id="9284" xr3:uid="{00379953-FCB5-46D6-81FD-9AF3DA7ED1EC}" name="Columna9278" dataDxfId="7134"/>
    <tableColumn id="9285" xr3:uid="{B10E4930-4CEB-4E6B-9C27-1338684E13CA}" name="Columna9279" dataDxfId="7133"/>
    <tableColumn id="9286" xr3:uid="{7460EF27-5E03-42E4-97FA-4F7550D5CC38}" name="Columna9280" dataDxfId="7132"/>
    <tableColumn id="9287" xr3:uid="{6FC5697E-EFEB-49EA-825F-ED3A44D7F70B}" name="Columna9281" dataDxfId="7131"/>
    <tableColumn id="9288" xr3:uid="{585B8A57-34CB-4E86-AC2C-01A3FE6D1898}" name="Columna9282" dataDxfId="7130"/>
    <tableColumn id="9289" xr3:uid="{F78894CF-AE31-4EF2-B3F7-2B824EB11EB9}" name="Columna9283" dataDxfId="7129"/>
    <tableColumn id="9290" xr3:uid="{62FF09A0-F1D2-45E7-8291-4B1F24DAF69F}" name="Columna9284" dataDxfId="7128"/>
    <tableColumn id="9291" xr3:uid="{08F332D6-8BAC-4B94-9E45-D986F44DBE41}" name="Columna9285" dataDxfId="7127"/>
    <tableColumn id="9292" xr3:uid="{55532667-8029-48AA-9917-0DA27B78E05D}" name="Columna9286" dataDxfId="7126"/>
    <tableColumn id="9293" xr3:uid="{F88745AE-0EBD-4DDE-95E8-6A890F0695A7}" name="Columna9287" dataDxfId="7125"/>
    <tableColumn id="9294" xr3:uid="{9E5F214B-C977-42C4-AA77-5742D24820C8}" name="Columna9288" dataDxfId="7124"/>
    <tableColumn id="9295" xr3:uid="{08D79643-CFA7-4CD6-A771-CAA49D015303}" name="Columna9289" dataDxfId="7123"/>
    <tableColumn id="9296" xr3:uid="{12D0E4B5-7791-4973-90A3-70F9A4E12B86}" name="Columna9290" dataDxfId="7122"/>
    <tableColumn id="9297" xr3:uid="{AC86C20D-47AC-4B90-9E20-77B6373368C0}" name="Columna9291" dataDxfId="7121"/>
    <tableColumn id="9298" xr3:uid="{4F3251C9-E738-4BE7-BA84-BF08EA599533}" name="Columna9292" dataDxfId="7120"/>
    <tableColumn id="9299" xr3:uid="{2DD414FD-3733-4964-889B-FB949A32D6A2}" name="Columna9293" dataDxfId="7119"/>
    <tableColumn id="9300" xr3:uid="{94E4F1CD-ECB0-4FBE-9F6E-C7A9577EB0F8}" name="Columna9294" dataDxfId="7118"/>
    <tableColumn id="9301" xr3:uid="{DB93E9D1-3D37-40B9-ACA4-4641E72D2566}" name="Columna9295" dataDxfId="7117"/>
    <tableColumn id="9302" xr3:uid="{ACA04E4F-02EE-4F46-A4DE-57574A08106C}" name="Columna9296" dataDxfId="7116"/>
    <tableColumn id="9303" xr3:uid="{A5776353-7D8A-4B7E-9CF3-D6767726BC81}" name="Columna9297" dataDxfId="7115"/>
    <tableColumn id="9304" xr3:uid="{4BD45400-3D6C-4B63-9BAC-B5A9DF0BC8B5}" name="Columna9298" dataDxfId="7114"/>
    <tableColumn id="9305" xr3:uid="{6BFAC1BB-7CE7-4B67-B090-7A96489704AC}" name="Columna9299" dataDxfId="7113"/>
    <tableColumn id="9306" xr3:uid="{D6FAF2E8-E487-4E0D-B261-92CFE8FAB02A}" name="Columna9300" dataDxfId="7112"/>
    <tableColumn id="9307" xr3:uid="{9412E5ED-0268-4915-9A72-23DDC391246B}" name="Columna9301" dataDxfId="7111"/>
    <tableColumn id="9308" xr3:uid="{8F372EE6-1DC1-463C-BADA-CBC6524076E3}" name="Columna9302" dataDxfId="7110"/>
    <tableColumn id="9309" xr3:uid="{F7B60396-821F-4BA8-B4DC-C0D0AAEB30A7}" name="Columna9303" dataDxfId="7109"/>
    <tableColumn id="9310" xr3:uid="{DE3ACB20-1253-4B54-B4CA-C77EB679B49B}" name="Columna9304" dataDxfId="7108"/>
    <tableColumn id="9311" xr3:uid="{67E619F9-026A-49D3-9D1F-8B4AD687C0BA}" name="Columna9305" dataDxfId="7107"/>
    <tableColumn id="9312" xr3:uid="{07DED508-4B89-4EB7-BDE0-DC73E1313871}" name="Columna9306" dataDxfId="7106"/>
    <tableColumn id="9313" xr3:uid="{78783607-2725-4E52-98C1-47AA6DA8E5F5}" name="Columna9307" dataDxfId="7105"/>
    <tableColumn id="9314" xr3:uid="{8D28AE43-F077-417B-9090-1F3C52BD2A2A}" name="Columna9308" dataDxfId="7104"/>
    <tableColumn id="9315" xr3:uid="{AABD4D14-09B1-4494-851D-0CA8E9897180}" name="Columna9309" dataDxfId="7103"/>
    <tableColumn id="9316" xr3:uid="{3EE84DE1-7595-4A3E-ADD0-CE41B7EA9E88}" name="Columna9310" dataDxfId="7102"/>
    <tableColumn id="9317" xr3:uid="{3D4B0EF5-2B7C-4A9F-86C6-5ACBF33A548E}" name="Columna9311" dataDxfId="7101"/>
    <tableColumn id="9318" xr3:uid="{84341524-04D6-450E-A462-6BE7CC903DD4}" name="Columna9312" dataDxfId="7100"/>
    <tableColumn id="9319" xr3:uid="{D4AA40FD-3C7B-4353-9538-EA1B352D13A2}" name="Columna9313" dataDxfId="7099"/>
    <tableColumn id="9320" xr3:uid="{FFEDB8C7-4CD4-49E7-AB99-634212BFCFD6}" name="Columna9314" dataDxfId="7098"/>
    <tableColumn id="9321" xr3:uid="{76314040-2FBA-4E4A-84F0-B7980A5C5E8A}" name="Columna9315" dataDxfId="7097"/>
    <tableColumn id="9322" xr3:uid="{895EBB76-5E18-409F-91B7-CE2B91AC71F9}" name="Columna9316" dataDxfId="7096"/>
    <tableColumn id="9323" xr3:uid="{898F52FF-3459-48C7-94E2-02781D334B4D}" name="Columna9317" dataDxfId="7095"/>
    <tableColumn id="9324" xr3:uid="{65B66022-E4A2-45FF-9BC4-9DB4FB52C0F4}" name="Columna9318" dataDxfId="7094"/>
    <tableColumn id="9325" xr3:uid="{701F8733-956A-461D-AC98-182908419A69}" name="Columna9319" dataDxfId="7093"/>
    <tableColumn id="9326" xr3:uid="{FE030229-8657-4A12-95CD-A02518F879C2}" name="Columna9320" dataDxfId="7092"/>
    <tableColumn id="9327" xr3:uid="{EC6F0527-556F-4969-B531-6FC7EB7E22E2}" name="Columna9321" dataDxfId="7091"/>
    <tableColumn id="9328" xr3:uid="{6100A816-D5F2-4BC3-8636-F91B840D7599}" name="Columna9322" dataDxfId="7090"/>
    <tableColumn id="9329" xr3:uid="{B04A5564-C3DC-49F5-B21D-ECE76A39AF57}" name="Columna9323" dataDxfId="7089"/>
    <tableColumn id="9330" xr3:uid="{A26D26C8-7974-4F8F-B9D2-793F53B0E467}" name="Columna9324" dataDxfId="7088"/>
    <tableColumn id="9331" xr3:uid="{87CB87D4-16F1-4B23-8725-33BA8B20A569}" name="Columna9325" dataDxfId="7087"/>
    <tableColumn id="9332" xr3:uid="{883B7255-A01A-4968-83BD-57067D5265E0}" name="Columna9326" dataDxfId="7086"/>
    <tableColumn id="9333" xr3:uid="{A6E0D950-6AA6-4067-8B18-6886E25859C5}" name="Columna9327" dataDxfId="7085"/>
    <tableColumn id="9334" xr3:uid="{D5AB9D50-454F-45C4-AD63-E0AE8214D725}" name="Columna9328" dataDxfId="7084"/>
    <tableColumn id="9335" xr3:uid="{5621DC58-DDCD-445C-B201-FB005199E9CD}" name="Columna9329" dataDxfId="7083"/>
    <tableColumn id="9336" xr3:uid="{8478A39F-CA2A-4206-BEBC-7C992C3CD64A}" name="Columna9330" dataDxfId="7082"/>
    <tableColumn id="9337" xr3:uid="{DE1ED604-CD13-413F-964F-E4C94ED85226}" name="Columna9331" dataDxfId="7081"/>
    <tableColumn id="9338" xr3:uid="{E9C5BCB7-C06F-440F-B6DD-58719C234F05}" name="Columna9332" dataDxfId="7080"/>
    <tableColumn id="9339" xr3:uid="{B16E9880-3BE1-47E3-9228-70523716FFFE}" name="Columna9333" dataDxfId="7079"/>
    <tableColumn id="9340" xr3:uid="{EC8B9C7E-44E9-4B0B-814A-D27FE0F8AA63}" name="Columna9334" dataDxfId="7078"/>
    <tableColumn id="9341" xr3:uid="{A7F85E6F-D15A-4A14-87E5-731DDA541200}" name="Columna9335" dataDxfId="7077"/>
    <tableColumn id="9342" xr3:uid="{DF6AB2AF-7F00-44C3-A6D6-EDF027E30810}" name="Columna9336" dataDxfId="7076"/>
    <tableColumn id="9343" xr3:uid="{B839384F-D681-4804-8151-325AD7129131}" name="Columna9337" dataDxfId="7075"/>
    <tableColumn id="9344" xr3:uid="{5A6E1F5C-DC4F-41CA-8707-4D6887B3D019}" name="Columna9338" dataDxfId="7074"/>
    <tableColumn id="9345" xr3:uid="{87EAC1C7-48AE-4270-AD08-362667723647}" name="Columna9339" dataDxfId="7073"/>
    <tableColumn id="9346" xr3:uid="{8C4E3004-FDDB-4FB5-9BE9-A785868E61C2}" name="Columna9340" dataDxfId="7072"/>
    <tableColumn id="9347" xr3:uid="{3E5C65CF-58B0-4FAD-94B8-2F330B1D4E90}" name="Columna9341" dataDxfId="7071"/>
    <tableColumn id="9348" xr3:uid="{4BC8F940-EED7-4981-9516-16BB94417469}" name="Columna9342" dataDxfId="7070"/>
    <tableColumn id="9349" xr3:uid="{794B7BAD-D39C-4543-85A4-4B30564DCE36}" name="Columna9343" dataDxfId="7069"/>
    <tableColumn id="9350" xr3:uid="{F891B2E0-BF01-40D0-B07C-41DBE0B11129}" name="Columna9344" dataDxfId="7068"/>
    <tableColumn id="9351" xr3:uid="{B3C21D1D-F8B0-4FF5-A059-043D8781B03C}" name="Columna9345" dataDxfId="7067"/>
    <tableColumn id="9352" xr3:uid="{09DB5F2C-86D8-4486-A935-40C0D68B14D1}" name="Columna9346" dataDxfId="7066"/>
    <tableColumn id="9353" xr3:uid="{86814CFD-4EDA-4C06-9838-15F1AF618F65}" name="Columna9347" dataDxfId="7065"/>
    <tableColumn id="9354" xr3:uid="{4C9994C8-F347-46C9-B6FF-225CBBDEA4B1}" name="Columna9348" dataDxfId="7064"/>
    <tableColumn id="9355" xr3:uid="{85842BD4-75BF-428E-9F05-C634B3B77D14}" name="Columna9349" dataDxfId="7063"/>
    <tableColumn id="9356" xr3:uid="{0B220E08-8F91-467C-8D1A-FD7CE86060DD}" name="Columna9350" dataDxfId="7062"/>
    <tableColumn id="9357" xr3:uid="{44F109D0-A626-448E-B541-1F2C1EB45EDA}" name="Columna9351" dataDxfId="7061"/>
    <tableColumn id="9358" xr3:uid="{7B8DAC8B-0AF1-4DCB-A519-6AE2C274AB30}" name="Columna9352" dataDxfId="7060"/>
    <tableColumn id="9359" xr3:uid="{2CD608E0-8035-48E3-B1A8-F2532B4EBD8B}" name="Columna9353" dataDxfId="7059"/>
    <tableColumn id="9360" xr3:uid="{343B9465-A9FB-4628-9081-B5D690C434E0}" name="Columna9354" dataDxfId="7058"/>
    <tableColumn id="9361" xr3:uid="{BE27B8BF-79D2-4314-AE56-4508AB67174F}" name="Columna9355" dataDxfId="7057"/>
    <tableColumn id="9362" xr3:uid="{A17694C9-CCE8-4C6C-AA15-2A9B305F6884}" name="Columna9356" dataDxfId="7056"/>
    <tableColumn id="9363" xr3:uid="{90D06DAA-837A-4A0B-BB59-25BC95912E98}" name="Columna9357" dataDxfId="7055"/>
    <tableColumn id="9364" xr3:uid="{60FB5E3C-A9B2-47C4-802A-D4650EB66B49}" name="Columna9358" dataDxfId="7054"/>
    <tableColumn id="9365" xr3:uid="{9D38AFD6-69A6-46E5-982C-4619E1771DB7}" name="Columna9359" dataDxfId="7053"/>
    <tableColumn id="9366" xr3:uid="{CF2DC46D-05D9-427C-8863-308B075715F8}" name="Columna9360" dataDxfId="7052"/>
    <tableColumn id="9367" xr3:uid="{F3D62393-5676-4BCE-908F-B805DA0D8AE8}" name="Columna9361" dataDxfId="7051"/>
    <tableColumn id="9368" xr3:uid="{92B64DC2-762C-4512-B97A-75464BBDB692}" name="Columna9362" dataDxfId="7050"/>
    <tableColumn id="9369" xr3:uid="{33E280D4-D772-46F9-91F5-0C4815D27556}" name="Columna9363" dataDxfId="7049"/>
    <tableColumn id="9370" xr3:uid="{4D774119-F622-4DAE-A2BF-F4CF56CAEEE6}" name="Columna9364" dataDxfId="7048"/>
    <tableColumn id="9371" xr3:uid="{C153E47C-0AF4-4368-A667-09CEC6B96C56}" name="Columna9365" dataDxfId="7047"/>
    <tableColumn id="9372" xr3:uid="{7EF9075D-DD2C-444F-8363-2706CB074AF2}" name="Columna9366" dataDxfId="7046"/>
    <tableColumn id="9373" xr3:uid="{92791B61-1410-487B-B757-85449F4A9163}" name="Columna9367" dataDxfId="7045"/>
    <tableColumn id="9374" xr3:uid="{B7902B03-A8EA-4DCD-A0DA-6CE7C1403631}" name="Columna9368" dataDxfId="7044"/>
    <tableColumn id="9375" xr3:uid="{D9ABC80F-B26F-4276-AA03-D2DB273EC027}" name="Columna9369" dataDxfId="7043"/>
    <tableColumn id="9376" xr3:uid="{6F7D737E-E56D-47FC-B929-2BB2A9E99725}" name="Columna9370" dataDxfId="7042"/>
    <tableColumn id="9377" xr3:uid="{6B81FFDE-6455-4CF2-B921-9D37E3E463ED}" name="Columna9371" dataDxfId="7041"/>
    <tableColumn id="9378" xr3:uid="{4B552560-5913-4F81-8BA3-E549E958C041}" name="Columna9372" dataDxfId="7040"/>
    <tableColumn id="9379" xr3:uid="{C4E5A74B-7993-430B-B4B4-D86CC5CC7440}" name="Columna9373" dataDxfId="7039"/>
    <tableColumn id="9380" xr3:uid="{89D11D2B-D6E1-4D4D-B3CC-7A687F4110A6}" name="Columna9374" dataDxfId="7038"/>
    <tableColumn id="9381" xr3:uid="{1C16A2D8-EEA5-4EF3-B185-99A10F5E6279}" name="Columna9375" dataDxfId="7037"/>
    <tableColumn id="9382" xr3:uid="{ABAADA92-D555-4C62-A433-BF4CC4899ABD}" name="Columna9376" dataDxfId="7036"/>
    <tableColumn id="9383" xr3:uid="{B88637A1-CD36-4FA4-9BA7-6FDD38432918}" name="Columna9377" dataDxfId="7035"/>
    <tableColumn id="9384" xr3:uid="{B09CE237-5675-4E33-8F3C-87F15D212E36}" name="Columna9378" dataDxfId="7034"/>
    <tableColumn id="9385" xr3:uid="{898E3540-AA58-4DBC-8C50-7C18648DAB85}" name="Columna9379" dataDxfId="7033"/>
    <tableColumn id="9386" xr3:uid="{04A2F010-29B6-49D6-8B5F-5F4FC7151599}" name="Columna9380" dataDxfId="7032"/>
    <tableColumn id="9387" xr3:uid="{9EBA2C86-EC55-48DD-B8AC-A97651FDCBE0}" name="Columna9381" dataDxfId="7031"/>
    <tableColumn id="9388" xr3:uid="{558F4186-69F8-4209-A988-8E523175C5CE}" name="Columna9382" dataDxfId="7030"/>
    <tableColumn id="9389" xr3:uid="{E143ABB7-AF86-468B-B6E8-60110F5B1483}" name="Columna9383" dataDxfId="7029"/>
    <tableColumn id="9390" xr3:uid="{92BF051E-0DFA-473D-93A6-0BAA2C1F0C04}" name="Columna9384" dataDxfId="7028"/>
    <tableColumn id="9391" xr3:uid="{8BEFE798-3847-4795-A28C-151C61278C10}" name="Columna9385" dataDxfId="7027"/>
    <tableColumn id="9392" xr3:uid="{212E6BBB-E10F-4E92-8D11-2460D4344C4E}" name="Columna9386" dataDxfId="7026"/>
    <tableColumn id="9393" xr3:uid="{46FD3900-6FA8-4F20-9D4F-A482DC931CE5}" name="Columna9387" dataDxfId="7025"/>
    <tableColumn id="9394" xr3:uid="{FD400434-79A9-45B5-8387-43986D4CAADB}" name="Columna9388" dataDxfId="7024"/>
    <tableColumn id="9395" xr3:uid="{7873F88B-0584-4192-BA99-C38DB3A024B5}" name="Columna9389" dataDxfId="7023"/>
    <tableColumn id="9396" xr3:uid="{4D86CFFB-12EF-47D2-B754-5D2BC08ECC6D}" name="Columna9390" dataDxfId="7022"/>
    <tableColumn id="9397" xr3:uid="{9D70BA27-D072-4CA2-BCF3-6D9394C3E46A}" name="Columna9391" dataDxfId="7021"/>
    <tableColumn id="9398" xr3:uid="{C80ADBC7-3A06-4F2E-BDE1-BC11FD3F2A6D}" name="Columna9392" dataDxfId="7020"/>
    <tableColumn id="9399" xr3:uid="{9FB8F9DA-71B1-4F27-BDAF-826DBDD6EC3C}" name="Columna9393" dataDxfId="7019"/>
    <tableColumn id="9400" xr3:uid="{D2C0B3DA-8739-44B9-B2E4-C6B20D64C532}" name="Columna9394" dataDxfId="7018"/>
    <tableColumn id="9401" xr3:uid="{F45CF4FD-F4B9-4738-84FE-D86F5F65B28B}" name="Columna9395" dataDxfId="7017"/>
    <tableColumn id="9402" xr3:uid="{A31CF784-A599-4777-B210-A9B8DD7D6368}" name="Columna9396" dataDxfId="7016"/>
    <tableColumn id="9403" xr3:uid="{18E7ABAD-64A6-43E2-BEAB-0BE77EB90254}" name="Columna9397" dataDxfId="7015"/>
    <tableColumn id="9404" xr3:uid="{EE5F03E0-ED8B-4896-AB88-BDA080CDF242}" name="Columna9398" dataDxfId="7014"/>
    <tableColumn id="9405" xr3:uid="{E2C6C809-C377-440A-83F3-616E878CCAF5}" name="Columna9399" dataDxfId="7013"/>
    <tableColumn id="9406" xr3:uid="{B072274F-40AB-404E-BAC6-16692281D145}" name="Columna9400" dataDxfId="7012"/>
    <tableColumn id="9407" xr3:uid="{3490F7A9-C704-46FC-AEF1-CFEB7671E3A4}" name="Columna9401" dataDxfId="7011"/>
    <tableColumn id="9408" xr3:uid="{D39D06F2-5048-4FE3-A4E2-9BC6130496A6}" name="Columna9402" dataDxfId="7010"/>
    <tableColumn id="9409" xr3:uid="{1E2F787A-BF8B-41E9-863F-868294CEB936}" name="Columna9403" dataDxfId="7009"/>
    <tableColumn id="9410" xr3:uid="{88419ACA-E3AD-4548-A979-A1343981074B}" name="Columna9404" dataDxfId="7008"/>
    <tableColumn id="9411" xr3:uid="{EAA762BF-2814-4917-957E-5C6B63E12F08}" name="Columna9405" dataDxfId="7007"/>
    <tableColumn id="9412" xr3:uid="{764C8B9C-84A2-4D73-93BF-DDD531FE8C7F}" name="Columna9406" dataDxfId="7006"/>
    <tableColumn id="9413" xr3:uid="{A1E3D188-7664-4AF0-B889-DAF899599FE6}" name="Columna9407" dataDxfId="7005"/>
    <tableColumn id="9414" xr3:uid="{B53A8DDA-45E7-4EE4-A484-337B7AB9A88F}" name="Columna9408" dataDxfId="7004"/>
    <tableColumn id="9415" xr3:uid="{985B6862-5560-4482-85BB-374BAD7E4428}" name="Columna9409" dataDxfId="7003"/>
    <tableColumn id="9416" xr3:uid="{3F4AA7CC-F2C3-4226-B414-6AC23442254A}" name="Columna9410" dataDxfId="7002"/>
    <tableColumn id="9417" xr3:uid="{E40A853E-D56D-4153-AA6C-2F9052A68A53}" name="Columna9411" dataDxfId="7001"/>
    <tableColumn id="9418" xr3:uid="{49BEDAE2-9F92-4EEF-9ED8-AA44DFE634CF}" name="Columna9412" dataDxfId="7000"/>
    <tableColumn id="9419" xr3:uid="{06A1FBF5-A55E-4415-A512-E72915CC03B2}" name="Columna9413" dataDxfId="6999"/>
    <tableColumn id="9420" xr3:uid="{C66033EF-ACB3-42B2-9377-C059755E7F28}" name="Columna9414" dataDxfId="6998"/>
    <tableColumn id="9421" xr3:uid="{812A14EB-0560-4815-9669-7FFDAD2DFFF1}" name="Columna9415" dataDxfId="6997"/>
    <tableColumn id="9422" xr3:uid="{6B8433D4-3D00-41FD-85EF-A8E6D67AC04E}" name="Columna9416" dataDxfId="6996"/>
    <tableColumn id="9423" xr3:uid="{C8027123-516F-4E0D-BAF4-316DA4AD3BEF}" name="Columna9417" dataDxfId="6995"/>
    <tableColumn id="9424" xr3:uid="{059C5D0D-330F-474F-8F0B-0CCEB4F71695}" name="Columna9418" dataDxfId="6994"/>
    <tableColumn id="9425" xr3:uid="{5DB66338-C842-4433-9703-835CC25E473C}" name="Columna9419" dataDxfId="6993"/>
    <tableColumn id="9426" xr3:uid="{E300BF2C-3C0F-4415-BD51-2F490FD28E27}" name="Columna9420" dataDxfId="6992"/>
    <tableColumn id="9427" xr3:uid="{B1DD691E-CD84-44F6-A89A-056A5BD116C0}" name="Columna9421" dataDxfId="6991"/>
    <tableColumn id="9428" xr3:uid="{C86A59F4-C63F-457D-9B03-A4B62A8A1F74}" name="Columna9422" dataDxfId="6990"/>
    <tableColumn id="9429" xr3:uid="{8491DE9F-AB3D-4F94-8308-2153043EB300}" name="Columna9423" dataDxfId="6989"/>
    <tableColumn id="9430" xr3:uid="{1694EB70-184D-4C63-B68C-221D1437BAF9}" name="Columna9424" dataDxfId="6988"/>
    <tableColumn id="9431" xr3:uid="{A4B272C6-19E7-45ED-B279-23673AE6C16D}" name="Columna9425" dataDxfId="6987"/>
    <tableColumn id="9432" xr3:uid="{13665228-5FB3-4996-A97E-4174C90C3271}" name="Columna9426" dataDxfId="6986"/>
    <tableColumn id="9433" xr3:uid="{875C24A0-E838-4152-A2CA-210857BBEBA1}" name="Columna9427" dataDxfId="6985"/>
    <tableColumn id="9434" xr3:uid="{076108EB-F848-4BBB-95C9-3DB2DD6CE7A3}" name="Columna9428" dataDxfId="6984"/>
    <tableColumn id="9435" xr3:uid="{028F6387-0D10-4B9B-AE6D-03C0040F33CF}" name="Columna9429" dataDxfId="6983"/>
    <tableColumn id="9436" xr3:uid="{63B560A4-99B5-4EFA-8909-B69B4E2AD703}" name="Columna9430" dataDxfId="6982"/>
    <tableColumn id="9437" xr3:uid="{31C4346F-712B-44B9-B3D9-59977C84F938}" name="Columna9431" dataDxfId="6981"/>
    <tableColumn id="9438" xr3:uid="{8B7DCB4D-88C4-4878-AF7C-D8EB8F1052DE}" name="Columna9432" dataDxfId="6980"/>
    <tableColumn id="9439" xr3:uid="{5F738474-7FDF-4EFF-A3C2-B8BABE3A526C}" name="Columna9433" dataDxfId="6979"/>
    <tableColumn id="9440" xr3:uid="{31326E27-CEFD-447E-A365-9D07A9646AFA}" name="Columna9434" dataDxfId="6978"/>
    <tableColumn id="9441" xr3:uid="{64591EC8-6B59-496E-9CF0-D3C7862F6D05}" name="Columna9435" dataDxfId="6977"/>
    <tableColumn id="9442" xr3:uid="{DA7DD61F-A9F9-42EE-9A59-EA70BD3CC1C2}" name="Columna9436" dataDxfId="6976"/>
    <tableColumn id="9443" xr3:uid="{BD94A161-1456-4151-9BC6-F0886B7C9AED}" name="Columna9437" dataDxfId="6975"/>
    <tableColumn id="9444" xr3:uid="{E1EE62BF-92E5-4FBF-85C1-65B100336F32}" name="Columna9438" dataDxfId="6974"/>
    <tableColumn id="9445" xr3:uid="{09D90BE7-A4B3-4DC5-8381-DF5844149223}" name="Columna9439" dataDxfId="6973"/>
    <tableColumn id="9446" xr3:uid="{963DB247-3E08-4022-B4DE-1458C95C3CE4}" name="Columna9440" dataDxfId="6972"/>
    <tableColumn id="9447" xr3:uid="{7C797FCE-DED5-4A51-A2C4-CD0CFCB427CC}" name="Columna9441" dataDxfId="6971"/>
    <tableColumn id="9448" xr3:uid="{66A73380-D6A1-4BBB-967B-18B5C8DAD4D5}" name="Columna9442" dataDxfId="6970"/>
    <tableColumn id="9449" xr3:uid="{CAA0F4DA-564B-4E8F-B06C-7D8ABBE0FE64}" name="Columna9443" dataDxfId="6969"/>
    <tableColumn id="9450" xr3:uid="{CB5C9CE7-1333-401C-B2D0-ED50EC293B45}" name="Columna9444" dataDxfId="6968"/>
    <tableColumn id="9451" xr3:uid="{5EE75300-412D-4830-82DF-F5DDC1B0FB4A}" name="Columna9445" dataDxfId="6967"/>
    <tableColumn id="9452" xr3:uid="{01E1D961-752A-491E-8F0D-A6B543E97326}" name="Columna9446" dataDxfId="6966"/>
    <tableColumn id="9453" xr3:uid="{D03C1924-8981-4F61-B28D-1E68B331E54A}" name="Columna9447" dataDxfId="6965"/>
    <tableColumn id="9454" xr3:uid="{C9CCFE39-50C0-4F64-BC81-69A0986CB059}" name="Columna9448" dataDxfId="6964"/>
    <tableColumn id="9455" xr3:uid="{1F7E7572-B9E0-41BF-8461-ADA726E7218F}" name="Columna9449" dataDxfId="6963"/>
    <tableColumn id="9456" xr3:uid="{BBAEE2D8-9FAA-4D23-892D-55A502FA3561}" name="Columna9450" dataDxfId="6962"/>
    <tableColumn id="9457" xr3:uid="{1C6021D8-8420-408F-941E-7C37EC0B16FE}" name="Columna9451" dataDxfId="6961"/>
    <tableColumn id="9458" xr3:uid="{40A5E7F7-F69D-45CD-9DE0-79521D6A76FA}" name="Columna9452" dataDxfId="6960"/>
    <tableColumn id="9459" xr3:uid="{F5767CC3-4878-4F45-908D-52C2510E23CD}" name="Columna9453" dataDxfId="6959"/>
    <tableColumn id="9460" xr3:uid="{D61D8613-4A20-45C4-BF21-8E28EA71171F}" name="Columna9454" dataDxfId="6958"/>
    <tableColumn id="9461" xr3:uid="{A6F17E41-1388-4589-AB2F-D680BB11E7E4}" name="Columna9455" dataDxfId="6957"/>
    <tableColumn id="9462" xr3:uid="{48E22AC9-C905-4CB6-8B6A-EF561B4E5B96}" name="Columna9456" dataDxfId="6956"/>
    <tableColumn id="9463" xr3:uid="{FF9BCFF3-261E-4965-AA6F-64769CB276A8}" name="Columna9457" dataDxfId="6955"/>
    <tableColumn id="9464" xr3:uid="{450F4D76-DB81-4B97-86A5-791BD6BAFA78}" name="Columna9458" dataDxfId="6954"/>
    <tableColumn id="9465" xr3:uid="{C77DF5DE-E53A-454C-AFEA-C88131EEDD86}" name="Columna9459" dataDxfId="6953"/>
    <tableColumn id="9466" xr3:uid="{06FE3624-7052-42FF-8F0D-27939F9ED1DE}" name="Columna9460" dataDxfId="6952"/>
    <tableColumn id="9467" xr3:uid="{A3C90704-B77E-455E-8DEA-82CB1E0707C9}" name="Columna9461" dataDxfId="6951"/>
    <tableColumn id="9468" xr3:uid="{01DEED95-6E83-4664-BA99-D6DE52C75097}" name="Columna9462" dataDxfId="6950"/>
    <tableColumn id="9469" xr3:uid="{B71DE581-52A7-4539-8F6C-0A2D57D9A540}" name="Columna9463" dataDxfId="6949"/>
    <tableColumn id="9470" xr3:uid="{28B09F3A-A6E2-46B3-B88C-742EC46344A7}" name="Columna9464" dataDxfId="6948"/>
    <tableColumn id="9471" xr3:uid="{748AC568-9253-4C42-85D2-7E2AF2C3B605}" name="Columna9465" dataDxfId="6947"/>
    <tableColumn id="9472" xr3:uid="{BFB5EA37-F9D8-4BE7-A18E-5330771D80C9}" name="Columna9466" dataDxfId="6946"/>
    <tableColumn id="9473" xr3:uid="{02657C91-B040-4783-AEA8-A29E84FBC81B}" name="Columna9467" dataDxfId="6945"/>
    <tableColumn id="9474" xr3:uid="{0F43D4BF-ADED-445D-87BE-E832EF3ED131}" name="Columna9468" dataDxfId="6944"/>
    <tableColumn id="9475" xr3:uid="{9D429322-B90E-404C-B3F3-D993C2EFA995}" name="Columna9469" dataDxfId="6943"/>
    <tableColumn id="9476" xr3:uid="{DD082493-E790-44CC-B2D5-907E2774B2AA}" name="Columna9470" dataDxfId="6942"/>
    <tableColumn id="9477" xr3:uid="{58D9D3F3-CD44-472F-BE1B-32C72A5FAE73}" name="Columna9471" dataDxfId="6941"/>
    <tableColumn id="9478" xr3:uid="{D9AE43F2-0241-418C-8E82-F3A252734EAD}" name="Columna9472" dataDxfId="6940"/>
    <tableColumn id="9479" xr3:uid="{CB246985-2E21-4A6F-8942-DF1C9626EFB7}" name="Columna9473" dataDxfId="6939"/>
    <tableColumn id="9480" xr3:uid="{5A6E0A41-AE37-40FD-B489-C2447C8068C4}" name="Columna9474" dataDxfId="6938"/>
    <tableColumn id="9481" xr3:uid="{45954425-BD7F-44F5-BB1D-E5C22B2ECCB7}" name="Columna9475" dataDxfId="6937"/>
    <tableColumn id="9482" xr3:uid="{2A9439CB-CBA1-4AD0-8FC9-4298A843FF69}" name="Columna9476" dataDxfId="6936"/>
    <tableColumn id="9483" xr3:uid="{625BB5DB-0D1E-4B54-91F7-B503528C5EC7}" name="Columna9477" dataDxfId="6935"/>
    <tableColumn id="9484" xr3:uid="{217B38D3-FC62-4FC9-BD64-0E0CA8A3F8DA}" name="Columna9478" dataDxfId="6934"/>
    <tableColumn id="9485" xr3:uid="{1F8C9D26-082D-436C-A018-4EC9F200BC06}" name="Columna9479" dataDxfId="6933"/>
    <tableColumn id="9486" xr3:uid="{9BA79037-C72F-4BC8-8CD1-B351DDF29E93}" name="Columna9480" dataDxfId="6932"/>
    <tableColumn id="9487" xr3:uid="{811CB939-8031-4815-AC73-DC3EDB6F0949}" name="Columna9481" dataDxfId="6931"/>
    <tableColumn id="9488" xr3:uid="{BD4C2496-F832-4F0B-ABD5-13F541D97AA5}" name="Columna9482" dataDxfId="6930"/>
    <tableColumn id="9489" xr3:uid="{1D8AF3DC-7918-485A-BF69-526861790979}" name="Columna9483" dataDxfId="6929"/>
    <tableColumn id="9490" xr3:uid="{EBD65D6F-9F7B-4888-B0E1-2A602884BDB2}" name="Columna9484" dataDxfId="6928"/>
    <tableColumn id="9491" xr3:uid="{3C915A31-F704-4861-A61E-CD55A3368512}" name="Columna9485" dataDxfId="6927"/>
    <tableColumn id="9492" xr3:uid="{1A455162-2CE8-4764-B410-C029CF2451FB}" name="Columna9486" dataDxfId="6926"/>
    <tableColumn id="9493" xr3:uid="{A48144F9-244C-4245-8513-7964E2E1C5BE}" name="Columna9487" dataDxfId="6925"/>
    <tableColumn id="9494" xr3:uid="{1ACB5199-878B-4C5F-B546-6409C92D8A80}" name="Columna9488" dataDxfId="6924"/>
    <tableColumn id="9495" xr3:uid="{8DCCF097-06C7-4E60-B399-3AADCCD05284}" name="Columna9489" dataDxfId="6923"/>
    <tableColumn id="9496" xr3:uid="{0F07944A-CC95-4F12-A4DF-C47BD25F8A6F}" name="Columna9490" dataDxfId="6922"/>
    <tableColumn id="9497" xr3:uid="{6CB1425E-73A4-412F-9A01-9AA9A89C4FA7}" name="Columna9491" dataDxfId="6921"/>
    <tableColumn id="9498" xr3:uid="{20B9DE99-4C11-4D62-98F8-D7E49D8D9769}" name="Columna9492" dataDxfId="6920"/>
    <tableColumn id="9499" xr3:uid="{83F6CC12-86FD-4847-A8D7-0897EF1E8F52}" name="Columna9493" dataDxfId="6919"/>
    <tableColumn id="9500" xr3:uid="{CA267193-1E59-42F3-84A1-6FB0364E755F}" name="Columna9494" dataDxfId="6918"/>
    <tableColumn id="9501" xr3:uid="{8E2816B7-680F-4BD6-BFFB-2E4FBB86D589}" name="Columna9495" dataDxfId="6917"/>
    <tableColumn id="9502" xr3:uid="{5AA98B89-582A-47D1-8101-7531BE5CB558}" name="Columna9496" dataDxfId="6916"/>
    <tableColumn id="9503" xr3:uid="{CE5ED3CA-1D9E-49B2-90DB-1C80DF80A6A0}" name="Columna9497" dataDxfId="6915"/>
    <tableColumn id="9504" xr3:uid="{E57713DD-D261-445F-9F4E-7ACD1B04ED4F}" name="Columna9498" dataDxfId="6914"/>
    <tableColumn id="9505" xr3:uid="{34A58CAD-E375-4780-AAA6-3B65A3D8E0FC}" name="Columna9499" dataDxfId="6913"/>
    <tableColumn id="9506" xr3:uid="{449CF60D-A80F-4253-AF33-0038D302D6A2}" name="Columna9500" dataDxfId="6912"/>
    <tableColumn id="9507" xr3:uid="{3BA46846-0D93-44F6-AFE4-C58A967BB81D}" name="Columna9501" dataDxfId="6911"/>
    <tableColumn id="9508" xr3:uid="{C0902457-5638-4453-9BF5-6F716E34B956}" name="Columna9502" dataDxfId="6910"/>
    <tableColumn id="9509" xr3:uid="{DCCDE1FB-8404-4132-BAE8-360063B19BAB}" name="Columna9503" dataDxfId="6909"/>
    <tableColumn id="9510" xr3:uid="{5EF988F7-EB38-4DB5-8CEA-FA76165D354E}" name="Columna9504" dataDxfId="6908"/>
    <tableColumn id="9511" xr3:uid="{70E6DBC5-C3A2-4CEC-9FB4-8A74F59F1950}" name="Columna9505" dataDxfId="6907"/>
    <tableColumn id="9512" xr3:uid="{C9B0145A-53CA-4343-9477-FC6E864DF2BC}" name="Columna9506" dataDxfId="6906"/>
    <tableColumn id="9513" xr3:uid="{48657E08-C889-4938-A81A-270AABD2F6D0}" name="Columna9507" dataDxfId="6905"/>
    <tableColumn id="9514" xr3:uid="{7D187401-5F84-43B3-B6FC-12463BFA09EA}" name="Columna9508" dataDxfId="6904"/>
    <tableColumn id="9515" xr3:uid="{A8FD357F-9167-4B99-B4B5-035F313BE044}" name="Columna9509" dataDxfId="6903"/>
    <tableColumn id="9516" xr3:uid="{6D3A87B0-E415-4BA3-872F-AE6C9991D476}" name="Columna9510" dataDxfId="6902"/>
    <tableColumn id="9517" xr3:uid="{19F91C0F-4A2D-45F0-96FF-2A001A6DC5C4}" name="Columna9511" dataDxfId="6901"/>
    <tableColumn id="9518" xr3:uid="{B7BEBFB5-9DA6-4118-B08E-EAE91A5EB9FF}" name="Columna9512" dataDxfId="6900"/>
    <tableColumn id="9519" xr3:uid="{B1C01B8A-0D89-452B-9089-C7B244BE1A3A}" name="Columna9513" dataDxfId="6899"/>
    <tableColumn id="9520" xr3:uid="{645968DD-07AA-4BDF-BD10-8C181D607C7D}" name="Columna9514" dataDxfId="6898"/>
    <tableColumn id="9521" xr3:uid="{37FF9451-3FE5-4247-B58A-1D5E1681566D}" name="Columna9515" dataDxfId="6897"/>
    <tableColumn id="9522" xr3:uid="{627C23A6-E678-4637-8D32-CB8F3EAFF182}" name="Columna9516" dataDxfId="6896"/>
    <tableColumn id="9523" xr3:uid="{3DF4EF29-C98A-4C4C-A685-EABBCFA5C7FF}" name="Columna9517" dataDxfId="6895"/>
    <tableColumn id="9524" xr3:uid="{09EBB428-327D-40CC-8A6A-6CE7D411871B}" name="Columna9518" dataDxfId="6894"/>
    <tableColumn id="9525" xr3:uid="{9CEB0ECF-8114-4C28-8EB0-6F6432FA57B9}" name="Columna9519" dataDxfId="6893"/>
    <tableColumn id="9526" xr3:uid="{CA7591ED-1846-4617-867E-1420CEC80DB3}" name="Columna9520" dataDxfId="6892"/>
    <tableColumn id="9527" xr3:uid="{972E6DE2-4742-4650-A5B9-6D48113B1C8E}" name="Columna9521" dataDxfId="6891"/>
    <tableColumn id="9528" xr3:uid="{9D1BE8B7-01BB-440B-9873-404331021FAF}" name="Columna9522" dataDxfId="6890"/>
    <tableColumn id="9529" xr3:uid="{E8A3F7F5-DDB5-4D00-A32F-3E9914796515}" name="Columna9523" dataDxfId="6889"/>
    <tableColumn id="9530" xr3:uid="{8FDF985A-3EA4-4183-A153-8C3792A65067}" name="Columna9524" dataDxfId="6888"/>
    <tableColumn id="9531" xr3:uid="{00CABDC2-D574-4F2D-9017-3E551E474FD6}" name="Columna9525" dataDxfId="6887"/>
    <tableColumn id="9532" xr3:uid="{7F4262F7-FFF0-48EB-82A8-FDCE759FECC2}" name="Columna9526" dataDxfId="6886"/>
    <tableColumn id="9533" xr3:uid="{6FEFB689-FA8C-42D7-B756-28609F97C54F}" name="Columna9527" dataDxfId="6885"/>
    <tableColumn id="9534" xr3:uid="{48A3FE82-F142-4F21-91BC-634F6CE87D88}" name="Columna9528" dataDxfId="6884"/>
    <tableColumn id="9535" xr3:uid="{B01460A2-4EAC-4B4D-890A-DE459CE19065}" name="Columna9529" dataDxfId="6883"/>
    <tableColumn id="9536" xr3:uid="{D32B446E-0C0C-42B7-97DD-23A7F5C22A65}" name="Columna9530" dataDxfId="6882"/>
    <tableColumn id="9537" xr3:uid="{93C92224-D090-499C-8FB5-1557FDFA9B94}" name="Columna9531" dataDxfId="6881"/>
    <tableColumn id="9538" xr3:uid="{576BBF07-C8AC-4A3D-AE3A-F9A428424DC4}" name="Columna9532" dataDxfId="6880"/>
    <tableColumn id="9539" xr3:uid="{13CAA75A-A926-4CFF-98A9-73FCE5A4FE45}" name="Columna9533" dataDxfId="6879"/>
    <tableColumn id="9540" xr3:uid="{3CCF53A2-AA87-40E1-AE72-EE7AF61F7AB0}" name="Columna9534" dataDxfId="6878"/>
    <tableColumn id="9541" xr3:uid="{1E79748C-41A8-44D6-A17E-460CBC41293D}" name="Columna9535" dataDxfId="6877"/>
    <tableColumn id="9542" xr3:uid="{6C40F826-C9CC-43EE-BE43-726E9D2345EF}" name="Columna9536" dataDxfId="6876"/>
    <tableColumn id="9543" xr3:uid="{62777606-AB31-40AE-B557-B4BC520982A7}" name="Columna9537" dataDxfId="6875"/>
    <tableColumn id="9544" xr3:uid="{375E7632-3926-4236-A219-7AAD1EF87292}" name="Columna9538" dataDxfId="6874"/>
    <tableColumn id="9545" xr3:uid="{77FBFE4E-17B1-4719-9B52-EAF79BADD1B3}" name="Columna9539" dataDxfId="6873"/>
    <tableColumn id="9546" xr3:uid="{E4CA12DF-6D2F-491D-A97F-08BB30B309EC}" name="Columna9540" dataDxfId="6872"/>
    <tableColumn id="9547" xr3:uid="{CFBD0A89-DA9B-45EF-9FE3-4A2A2CCEC928}" name="Columna9541" dataDxfId="6871"/>
    <tableColumn id="9548" xr3:uid="{44F23FA5-3697-4184-A33E-AD0E10521ECD}" name="Columna9542" dataDxfId="6870"/>
    <tableColumn id="9549" xr3:uid="{7B3472D2-2CF2-4885-B611-A0BD6FBF389D}" name="Columna9543" dataDxfId="6869"/>
    <tableColumn id="9550" xr3:uid="{32832FE0-B2B0-446E-82DF-D58210855BB4}" name="Columna9544" dataDxfId="6868"/>
    <tableColumn id="9551" xr3:uid="{06E05002-DB07-4D24-8839-78E7FF5AB8C9}" name="Columna9545" dataDxfId="6867"/>
    <tableColumn id="9552" xr3:uid="{EC3657C1-D53A-43B2-8711-0A64CB59CD66}" name="Columna9546" dataDxfId="6866"/>
    <tableColumn id="9553" xr3:uid="{4025F0F8-4026-4AE3-91B4-A38AF1D012C6}" name="Columna9547" dataDxfId="6865"/>
    <tableColumn id="9554" xr3:uid="{F7068827-0859-434D-A5CA-8578B20EE597}" name="Columna9548" dataDxfId="6864"/>
    <tableColumn id="9555" xr3:uid="{2A5E6FCC-A7E6-47D0-889C-45D92EF721C6}" name="Columna9549" dataDxfId="6863"/>
    <tableColumn id="9556" xr3:uid="{49957C4D-FCF7-4DCF-8A7A-2AF5956CE856}" name="Columna9550" dataDxfId="6862"/>
    <tableColumn id="9557" xr3:uid="{FA9716F9-7894-43B4-972D-17A75D640839}" name="Columna9551" dataDxfId="6861"/>
    <tableColumn id="9558" xr3:uid="{12667D4A-37D2-4EB5-80B5-F6315C629601}" name="Columna9552" dataDxfId="6860"/>
    <tableColumn id="9559" xr3:uid="{7F0558D8-91E1-4492-BF9B-C5D739FF8B51}" name="Columna9553" dataDxfId="6859"/>
    <tableColumn id="9560" xr3:uid="{DBB35BE5-850E-4A1D-A1D2-753116363159}" name="Columna9554" dataDxfId="6858"/>
    <tableColumn id="9561" xr3:uid="{358F6306-02E2-4742-B385-F99A2631BE94}" name="Columna9555" dataDxfId="6857"/>
    <tableColumn id="9562" xr3:uid="{DA886A3C-C471-4553-851B-B92DDD4F3297}" name="Columna9556" dataDxfId="6856"/>
    <tableColumn id="9563" xr3:uid="{4B3E3A42-12A9-43EA-8580-A679D6A8674C}" name="Columna9557" dataDxfId="6855"/>
    <tableColumn id="9564" xr3:uid="{E381199D-C0FC-4228-8139-38ACBAF13F4E}" name="Columna9558" dataDxfId="6854"/>
    <tableColumn id="9565" xr3:uid="{720B9E6F-0A53-4A40-9B3F-EEF1B2A2BE63}" name="Columna9559" dataDxfId="6853"/>
    <tableColumn id="9566" xr3:uid="{8111FF5F-C523-4234-9777-63922B57A054}" name="Columna9560" dataDxfId="6852"/>
    <tableColumn id="9567" xr3:uid="{EB85E5DE-CF0A-45B7-B8A9-BD76542920C3}" name="Columna9561" dataDxfId="6851"/>
    <tableColumn id="9568" xr3:uid="{247173C8-4F96-4A6F-83EB-D6FDFEE9F082}" name="Columna9562" dataDxfId="6850"/>
    <tableColumn id="9569" xr3:uid="{5930445A-5D6E-433B-8ECD-2BE4A5FF9ADB}" name="Columna9563" dataDxfId="6849"/>
    <tableColumn id="9570" xr3:uid="{C7128868-2C41-4465-ACD3-13DDE38D7C64}" name="Columna9564" dataDxfId="6848"/>
    <tableColumn id="9571" xr3:uid="{9C8B5591-99EB-4D97-BCE1-40B33E49AE3D}" name="Columna9565" dataDxfId="6847"/>
    <tableColumn id="9572" xr3:uid="{C2855825-7E43-4599-A054-C1EE96E2B5A2}" name="Columna9566" dataDxfId="6846"/>
    <tableColumn id="9573" xr3:uid="{FC34DB12-FFE5-48C0-B319-D34A4845828E}" name="Columna9567" dataDxfId="6845"/>
    <tableColumn id="9574" xr3:uid="{020017CE-4799-48D4-A78D-7BB05C304F37}" name="Columna9568" dataDxfId="6844"/>
    <tableColumn id="9575" xr3:uid="{A4A27CB3-DF44-4559-8653-69F046556CEE}" name="Columna9569" dataDxfId="6843"/>
    <tableColumn id="9576" xr3:uid="{4ABA4954-905F-4619-9172-4F0657F18713}" name="Columna9570" dataDxfId="6842"/>
    <tableColumn id="9577" xr3:uid="{7FC29BC5-6FBA-477D-A888-D32AFF5A052E}" name="Columna9571" dataDxfId="6841"/>
    <tableColumn id="9578" xr3:uid="{0F723854-665F-4DC6-9B61-0B08D0B5B834}" name="Columna9572" dataDxfId="6840"/>
    <tableColumn id="9579" xr3:uid="{627A5012-1B68-4F4F-9B32-618794E639E4}" name="Columna9573" dataDxfId="6839"/>
    <tableColumn id="9580" xr3:uid="{438B47CC-ECED-44C2-BF7B-9CACA5B684C1}" name="Columna9574" dataDxfId="6838"/>
    <tableColumn id="9581" xr3:uid="{046173BA-9F31-4452-8139-3660FFD77970}" name="Columna9575" dataDxfId="6837"/>
    <tableColumn id="9582" xr3:uid="{130DDCDE-4200-41FE-805A-F7BAD3866115}" name="Columna9576" dataDxfId="6836"/>
    <tableColumn id="9583" xr3:uid="{119A1A2C-DE29-453B-8D7C-77557B2CC0B7}" name="Columna9577" dataDxfId="6835"/>
    <tableColumn id="9584" xr3:uid="{6288BBA2-56AE-462D-ABFA-7FFF0B8A6BCE}" name="Columna9578" dataDxfId="6834"/>
    <tableColumn id="9585" xr3:uid="{197F2FEF-2D6C-40F6-9FF0-38638D891F6A}" name="Columna9579" dataDxfId="6833"/>
    <tableColumn id="9586" xr3:uid="{C8B5CC28-ADF7-44BD-91D4-A6CC3022EE22}" name="Columna9580" dataDxfId="6832"/>
    <tableColumn id="9587" xr3:uid="{2A30E2C8-D56A-4317-A0C7-6726E3900D53}" name="Columna9581" dataDxfId="6831"/>
    <tableColumn id="9588" xr3:uid="{7BA43F0E-7A3F-487B-B9B1-F467FB7BF7BC}" name="Columna9582" dataDxfId="6830"/>
    <tableColumn id="9589" xr3:uid="{8862A1C1-03F8-4B24-84FF-B57431A3E9AE}" name="Columna9583" dataDxfId="6829"/>
    <tableColumn id="9590" xr3:uid="{0FCF6BA7-4A8D-4513-9885-1E0BC7802308}" name="Columna9584" dataDxfId="6828"/>
    <tableColumn id="9591" xr3:uid="{0B88EA9B-E082-45D1-884C-62D171FD3A2C}" name="Columna9585" dataDxfId="6827"/>
    <tableColumn id="9592" xr3:uid="{0415B237-F80A-48FF-B495-62796D211507}" name="Columna9586" dataDxfId="6826"/>
    <tableColumn id="9593" xr3:uid="{A12649BF-38BD-4CDE-AC94-815E79A526A8}" name="Columna9587" dataDxfId="6825"/>
    <tableColumn id="9594" xr3:uid="{AA7F5027-D154-475D-BA66-BF9D4B2D5DD3}" name="Columna9588" dataDxfId="6824"/>
    <tableColumn id="9595" xr3:uid="{69B8757C-644E-4DFF-BF93-C863515A1905}" name="Columna9589" dataDxfId="6823"/>
    <tableColumn id="9596" xr3:uid="{541263C5-4872-43DA-861F-656AA7D75DD9}" name="Columna9590" dataDxfId="6822"/>
    <tableColumn id="9597" xr3:uid="{39F0B62C-3493-4ADC-AF2D-AFFE071A4F81}" name="Columna9591" dataDxfId="6821"/>
    <tableColumn id="9598" xr3:uid="{A04A05B6-4786-4880-AB89-D748A69E6146}" name="Columna9592" dataDxfId="6820"/>
    <tableColumn id="9599" xr3:uid="{1D6BD831-9F77-443C-A35D-1E4E3DDF0C91}" name="Columna9593" dataDxfId="6819"/>
    <tableColumn id="9600" xr3:uid="{AFD7095D-F31D-47DC-B2A9-36403C0342C4}" name="Columna9594" dataDxfId="6818"/>
    <tableColumn id="9601" xr3:uid="{DF5171A1-21CF-4921-9501-C6E6ACD0B6F0}" name="Columna9595" dataDxfId="6817"/>
    <tableColumn id="9602" xr3:uid="{C25F2C87-FEE4-4161-BB17-5CC695D16BB7}" name="Columna9596" dataDxfId="6816"/>
    <tableColumn id="9603" xr3:uid="{53969BAB-A92C-4D58-A3D1-BEC811D18D2C}" name="Columna9597" dataDxfId="6815"/>
    <tableColumn id="9604" xr3:uid="{CDD2688A-CA97-4C2F-94ED-ABD563733297}" name="Columna9598" dataDxfId="6814"/>
    <tableColumn id="9605" xr3:uid="{2DEF7830-CA2B-4F9F-B4F6-513764B16DC8}" name="Columna9599" dataDxfId="6813"/>
    <tableColumn id="9606" xr3:uid="{85C58C35-77F0-491D-8973-9F8D49D4BECA}" name="Columna9600" dataDxfId="6812"/>
    <tableColumn id="9607" xr3:uid="{49230D11-E417-45DA-AE40-BCC13B025191}" name="Columna9601" dataDxfId="6811"/>
    <tableColumn id="9608" xr3:uid="{E2B46A4F-F041-4558-A244-B02430433B66}" name="Columna9602" dataDxfId="6810"/>
    <tableColumn id="9609" xr3:uid="{9FF63D24-AABD-4B38-BC05-74FF095AE152}" name="Columna9603" dataDxfId="6809"/>
    <tableColumn id="9610" xr3:uid="{1C212354-457E-42CC-B914-98FFA40F5509}" name="Columna9604" dataDxfId="6808"/>
    <tableColumn id="9611" xr3:uid="{66FDEA08-0D07-44AF-8352-05B06321BF3F}" name="Columna9605" dataDxfId="6807"/>
    <tableColumn id="9612" xr3:uid="{60717B3B-9DA7-4F23-8737-EF3457D01C06}" name="Columna9606" dataDxfId="6806"/>
    <tableColumn id="9613" xr3:uid="{FDBF1240-8B9C-4724-8F2C-C3945FADC2D7}" name="Columna9607" dataDxfId="6805"/>
    <tableColumn id="9614" xr3:uid="{DB05C644-E88E-448A-9232-2DBCA96DAE37}" name="Columna9608" dataDxfId="6804"/>
    <tableColumn id="9615" xr3:uid="{E8E8FF02-BD49-49DF-BE36-046E57C914F2}" name="Columna9609" dataDxfId="6803"/>
    <tableColumn id="9616" xr3:uid="{137711F7-17D6-4D07-AB59-083C1A4101C7}" name="Columna9610" dataDxfId="6802"/>
    <tableColumn id="9617" xr3:uid="{81137479-63DE-4FAD-8D22-82B487ECAC2C}" name="Columna9611" dataDxfId="6801"/>
    <tableColumn id="9618" xr3:uid="{A8D5984D-CDA6-4636-A301-9AEC55E2CF94}" name="Columna9612" dataDxfId="6800"/>
    <tableColumn id="9619" xr3:uid="{A5D9A395-30DE-4A68-8F41-813C0BCABB9B}" name="Columna9613" dataDxfId="6799"/>
    <tableColumn id="9620" xr3:uid="{772A6713-0054-4599-B2EA-251030B7BC4A}" name="Columna9614" dataDxfId="6798"/>
    <tableColumn id="9621" xr3:uid="{3F828466-7CCA-4A65-BFAC-D7A47B356657}" name="Columna9615" dataDxfId="6797"/>
    <tableColumn id="9622" xr3:uid="{79789AC0-890A-40BB-94CD-E4E995A0F964}" name="Columna9616" dataDxfId="6796"/>
    <tableColumn id="9623" xr3:uid="{B294DD9D-F2AD-4B07-8027-969DBE2529F2}" name="Columna9617" dataDxfId="6795"/>
    <tableColumn id="9624" xr3:uid="{B78BACB6-0708-4B50-9C78-F16157977015}" name="Columna9618" dataDxfId="6794"/>
    <tableColumn id="9625" xr3:uid="{A74EA637-B2F3-4D29-8976-2131F7345FB7}" name="Columna9619" dataDxfId="6793"/>
    <tableColumn id="9626" xr3:uid="{947FC54A-6FF5-41E6-96B1-E06CF2A8F77A}" name="Columna9620" dataDxfId="6792"/>
    <tableColumn id="9627" xr3:uid="{C0CFA830-5113-4510-96CD-01B4A7C7F3C9}" name="Columna9621" dataDxfId="6791"/>
    <tableColumn id="9628" xr3:uid="{4A05395A-A370-4A31-8D01-959DA98CCF43}" name="Columna9622" dataDxfId="6790"/>
    <tableColumn id="9629" xr3:uid="{4F528E69-9DAD-4B48-8EFE-08C0048379C9}" name="Columna9623" dataDxfId="6789"/>
    <tableColumn id="9630" xr3:uid="{44C098CE-1FE9-4AF3-BC83-6662E6995197}" name="Columna9624" dataDxfId="6788"/>
    <tableColumn id="9631" xr3:uid="{731B9AB6-3E67-47EA-9B75-727A75EC277B}" name="Columna9625" dataDxfId="6787"/>
    <tableColumn id="9632" xr3:uid="{DBF15B55-FB82-406D-8134-5386FCAB559E}" name="Columna9626" dataDxfId="6786"/>
    <tableColumn id="9633" xr3:uid="{2CC87832-D632-4F08-B174-6289CCCC1AC4}" name="Columna9627" dataDxfId="6785"/>
    <tableColumn id="9634" xr3:uid="{EE175B06-EAA6-4411-853F-67FE07C12E55}" name="Columna9628" dataDxfId="6784"/>
    <tableColumn id="9635" xr3:uid="{55BD7386-DA96-4E85-8E4E-A370457B4909}" name="Columna9629" dataDxfId="6783"/>
    <tableColumn id="9636" xr3:uid="{CED8F287-2DA6-4A0E-A898-94222FA61BD7}" name="Columna9630" dataDxfId="6782"/>
    <tableColumn id="9637" xr3:uid="{E9D656F8-4567-490C-873C-DE1BA6F2E941}" name="Columna9631" dataDxfId="6781"/>
    <tableColumn id="9638" xr3:uid="{3EF70B9A-2EFA-487B-A9F8-C969D691E04A}" name="Columna9632" dataDxfId="6780"/>
    <tableColumn id="9639" xr3:uid="{54B76FB1-04F0-496E-8CC6-413444D07622}" name="Columna9633" dataDxfId="6779"/>
    <tableColumn id="9640" xr3:uid="{1EC7751D-C2D4-43F5-8EC9-3FAE302A717C}" name="Columna9634" dataDxfId="6778"/>
    <tableColumn id="9641" xr3:uid="{806A3B2C-78EF-47E0-A8C2-53DFB0179DA9}" name="Columna9635" dataDxfId="6777"/>
    <tableColumn id="9642" xr3:uid="{0E9A46A3-AC1D-4857-8B01-7F8E27178723}" name="Columna9636" dataDxfId="6776"/>
    <tableColumn id="9643" xr3:uid="{2E7D4CAB-C0BA-46E4-8FE8-557B218D714A}" name="Columna9637" dataDxfId="6775"/>
    <tableColumn id="9644" xr3:uid="{EE87B901-DE30-44F8-8D4B-F1D0FAF5DACE}" name="Columna9638" dataDxfId="6774"/>
    <tableColumn id="9645" xr3:uid="{00AB0775-C5F8-49A5-BB9D-62A78138C93D}" name="Columna9639" dataDxfId="6773"/>
    <tableColumn id="9646" xr3:uid="{C32F30AD-E3B7-4EB3-B477-4D46CD230B59}" name="Columna9640" dataDxfId="6772"/>
    <tableColumn id="9647" xr3:uid="{E674D820-F367-4536-928F-CA3EF9FE564A}" name="Columna9641" dataDxfId="6771"/>
    <tableColumn id="9648" xr3:uid="{FA52993A-C584-4F46-B8DD-892A19F64BFD}" name="Columna9642" dataDxfId="6770"/>
    <tableColumn id="9649" xr3:uid="{E359F65C-07FA-4096-8A4F-DB3A9AAA9F58}" name="Columna9643" dataDxfId="6769"/>
    <tableColumn id="9650" xr3:uid="{8DF7F83D-2EEF-4151-AB24-9BD35FB0E1BE}" name="Columna9644" dataDxfId="6768"/>
    <tableColumn id="9651" xr3:uid="{68354731-BA18-4160-BD2E-6BC9699F5FB7}" name="Columna9645" dataDxfId="6767"/>
    <tableColumn id="9652" xr3:uid="{534A4EA3-D7E7-4AE2-BF20-CDF393B18AF0}" name="Columna9646" dataDxfId="6766"/>
    <tableColumn id="9653" xr3:uid="{7F43A49B-53FA-4286-853F-A5E654EC978D}" name="Columna9647" dataDxfId="6765"/>
    <tableColumn id="9654" xr3:uid="{B277A5AC-8929-4CD4-9ADD-145C222722FB}" name="Columna9648" dataDxfId="6764"/>
    <tableColumn id="9655" xr3:uid="{FF7E465D-AF53-4271-8269-FD8BECE245F9}" name="Columna9649" dataDxfId="6763"/>
    <tableColumn id="9656" xr3:uid="{809A4A8B-0F5C-4364-B521-136362C30780}" name="Columna9650" dataDxfId="6762"/>
    <tableColumn id="9657" xr3:uid="{D88E6A34-E656-4021-9EC1-08CF6CE01FAA}" name="Columna9651" dataDxfId="6761"/>
    <tableColumn id="9658" xr3:uid="{CE707E10-4476-4C36-BB97-006FEB45581D}" name="Columna9652" dataDxfId="6760"/>
    <tableColumn id="9659" xr3:uid="{AC2D7CDB-A9D8-477E-B7B4-48D9D04993AC}" name="Columna9653" dataDxfId="6759"/>
    <tableColumn id="9660" xr3:uid="{479182C1-811A-472A-970B-8ECC001050F1}" name="Columna9654" dataDxfId="6758"/>
    <tableColumn id="9661" xr3:uid="{E003162C-23CD-4144-83A8-5FE725F1693C}" name="Columna9655" dataDxfId="6757"/>
    <tableColumn id="9662" xr3:uid="{A30C6C79-EE8D-4D2B-9EF0-B1DFC7BC5995}" name="Columna9656" dataDxfId="6756"/>
    <tableColumn id="9663" xr3:uid="{6EB1259A-F0CD-424C-A88C-B6DCD41F99C0}" name="Columna9657" dataDxfId="6755"/>
    <tableColumn id="9664" xr3:uid="{AE6CE39B-D8E6-49B5-B5CA-8B1D2A16ADC3}" name="Columna9658" dataDxfId="6754"/>
    <tableColumn id="9665" xr3:uid="{D7425A85-48C2-453D-B2DE-D6D4065D0918}" name="Columna9659" dataDxfId="6753"/>
    <tableColumn id="9666" xr3:uid="{894EF685-9F8A-4AFC-A74E-110581860917}" name="Columna9660" dataDxfId="6752"/>
    <tableColumn id="9667" xr3:uid="{4522C32B-FECF-4CEE-87C9-5D95F883FA3B}" name="Columna9661" dataDxfId="6751"/>
    <tableColumn id="9668" xr3:uid="{E2A8B1FF-0738-40C4-B17F-5B2CC0A59613}" name="Columna9662" dataDxfId="6750"/>
    <tableColumn id="9669" xr3:uid="{212CD577-C823-4460-98D3-41615A68CE3C}" name="Columna9663" dataDxfId="6749"/>
    <tableColumn id="9670" xr3:uid="{39A688C5-BAAC-4215-B935-023A38DB6574}" name="Columna9664" dataDxfId="6748"/>
    <tableColumn id="9671" xr3:uid="{B7AF96D0-43C4-4AD0-BDBB-BAC774AC36EB}" name="Columna9665" dataDxfId="6747"/>
    <tableColumn id="9672" xr3:uid="{EF7F3A6E-D8E8-4B03-9696-998A323A2CDC}" name="Columna9666" dataDxfId="6746"/>
    <tableColumn id="9673" xr3:uid="{65122FF6-702A-467C-B068-2E4388BC3904}" name="Columna9667" dataDxfId="6745"/>
    <tableColumn id="9674" xr3:uid="{AA20861E-9B16-4703-BC72-01B7DE8A9EA4}" name="Columna9668" dataDxfId="6744"/>
    <tableColumn id="9675" xr3:uid="{3A5231F4-A2C5-4656-96D0-0C704B39AE77}" name="Columna9669" dataDxfId="6743"/>
    <tableColumn id="9676" xr3:uid="{6AB2561B-0AFA-4C5B-9F55-C5044AD0AFC1}" name="Columna9670" dataDxfId="6742"/>
    <tableColumn id="9677" xr3:uid="{B307F5DB-2F89-4A6E-A3FE-4AEA3CB85B45}" name="Columna9671" dataDxfId="6741"/>
    <tableColumn id="9678" xr3:uid="{541C02ED-2587-44AF-8703-B19BD795C5FC}" name="Columna9672" dataDxfId="6740"/>
    <tableColumn id="9679" xr3:uid="{7F4B3A8E-4340-4CDC-ADBA-2A867ABF9CD8}" name="Columna9673" dataDxfId="6739"/>
    <tableColumn id="9680" xr3:uid="{F36E5169-107F-4C3B-B510-11BECAF00505}" name="Columna9674" dataDxfId="6738"/>
    <tableColumn id="9681" xr3:uid="{A83E1EAB-70F5-448B-89ED-F53F53D4357D}" name="Columna9675" dataDxfId="6737"/>
    <tableColumn id="9682" xr3:uid="{01C9B92F-DE86-4D6B-9A83-7400A0A51184}" name="Columna9676" dataDxfId="6736"/>
    <tableColumn id="9683" xr3:uid="{AF0270C5-76C3-4EEF-9C9E-91118EE563DB}" name="Columna9677" dataDxfId="6735"/>
    <tableColumn id="9684" xr3:uid="{E3994D95-3C00-47DA-BDB9-36CD27C9679B}" name="Columna9678" dataDxfId="6734"/>
    <tableColumn id="9685" xr3:uid="{48C2C1ED-E016-4130-97B5-DAC778D4E9F2}" name="Columna9679" dataDxfId="6733"/>
    <tableColumn id="9686" xr3:uid="{5EE87ED7-3A09-4328-B1B7-8EA9B9253DF9}" name="Columna9680" dataDxfId="6732"/>
    <tableColumn id="9687" xr3:uid="{F6E14558-1407-4F0A-AAEC-D47EFC3D6904}" name="Columna9681" dataDxfId="6731"/>
    <tableColumn id="9688" xr3:uid="{47C02C42-A8CF-426D-81E1-41F697302AC4}" name="Columna9682" dataDxfId="6730"/>
    <tableColumn id="9689" xr3:uid="{713104E8-3D06-41ED-A6DE-97FFFC2510A0}" name="Columna9683" dataDxfId="6729"/>
    <tableColumn id="9690" xr3:uid="{AB87828E-E96D-429A-B864-57CAFEAD788D}" name="Columna9684" dataDxfId="6728"/>
    <tableColumn id="9691" xr3:uid="{137684D3-1F6F-4835-BAD7-63430382940A}" name="Columna9685" dataDxfId="6727"/>
    <tableColumn id="9692" xr3:uid="{FDD25BCC-D0A8-4C32-A0E3-2B5C0EDC4B02}" name="Columna9686" dataDxfId="6726"/>
    <tableColumn id="9693" xr3:uid="{7584CA90-E8DB-4F42-A427-C19EA444DB51}" name="Columna9687" dataDxfId="6725"/>
    <tableColumn id="9694" xr3:uid="{A0C820AA-8314-429A-A9EE-A8FC22EB1158}" name="Columna9688" dataDxfId="6724"/>
    <tableColumn id="9695" xr3:uid="{21FE0601-E088-4BEA-AD10-C77D102E862E}" name="Columna9689" dataDxfId="6723"/>
    <tableColumn id="9696" xr3:uid="{F6A4E8C4-35F1-417C-8FAA-CD7061A2ACBA}" name="Columna9690" dataDxfId="6722"/>
    <tableColumn id="9697" xr3:uid="{7160A27B-417D-4F09-8673-50813D92E670}" name="Columna9691" dataDxfId="6721"/>
    <tableColumn id="9698" xr3:uid="{C7830463-7811-444C-BE2C-BECD5B1F8E5B}" name="Columna9692" dataDxfId="6720"/>
    <tableColumn id="9699" xr3:uid="{BD6EE107-EC93-4A3D-8960-F3337B3B6A65}" name="Columna9693" dataDxfId="6719"/>
    <tableColumn id="9700" xr3:uid="{C3686ECA-FF06-44EF-923F-E607650845D3}" name="Columna9694" dataDxfId="6718"/>
    <tableColumn id="9701" xr3:uid="{BC76D03C-9C78-4788-A621-A80AAA6402FC}" name="Columna9695" dataDxfId="6717"/>
    <tableColumn id="9702" xr3:uid="{49C736E7-D13E-471E-B1E5-3C7972C48AEA}" name="Columna9696" dataDxfId="6716"/>
    <tableColumn id="9703" xr3:uid="{08D2F46A-826B-4E49-876F-6D85EEA5C70F}" name="Columna9697" dataDxfId="6715"/>
    <tableColumn id="9704" xr3:uid="{A617C4FB-E5BA-4889-9D5A-BA7E0E06DD64}" name="Columna9698" dataDxfId="6714"/>
    <tableColumn id="9705" xr3:uid="{5A8B072F-4564-4CD5-BBB0-A6D8E7942BAC}" name="Columna9699" dataDxfId="6713"/>
    <tableColumn id="9706" xr3:uid="{C79AD2FD-09F8-43DA-AA6A-AEC2C5935908}" name="Columna9700" dataDxfId="6712"/>
    <tableColumn id="9707" xr3:uid="{21FCC9AB-0E98-47F0-89D3-48EE50EF9818}" name="Columna9701" dataDxfId="6711"/>
    <tableColumn id="9708" xr3:uid="{34E70CB3-1398-4374-82E4-5E61AB0715C9}" name="Columna9702" dataDxfId="6710"/>
    <tableColumn id="9709" xr3:uid="{5BC36C10-6A3E-45BD-89FB-231223A9170D}" name="Columna9703" dataDxfId="6709"/>
    <tableColumn id="9710" xr3:uid="{F10A20BF-5725-4C98-8754-F73C60B44AB8}" name="Columna9704" dataDxfId="6708"/>
    <tableColumn id="9711" xr3:uid="{3087C915-D7FC-465E-835D-2EA262645EE4}" name="Columna9705" dataDxfId="6707"/>
    <tableColumn id="9712" xr3:uid="{40CB5704-69DD-4309-95B6-BF8412279D65}" name="Columna9706" dataDxfId="6706"/>
    <tableColumn id="9713" xr3:uid="{D03698E2-6011-4A1E-92FE-22345CAFA73D}" name="Columna9707" dataDxfId="6705"/>
    <tableColumn id="9714" xr3:uid="{8A193700-31FC-4D93-8ACF-52882238D47F}" name="Columna9708" dataDxfId="6704"/>
    <tableColumn id="9715" xr3:uid="{4AE42CE5-9DE6-4B68-98DE-D722A57E8E37}" name="Columna9709" dataDxfId="6703"/>
    <tableColumn id="9716" xr3:uid="{1E0B43B9-D3B0-4369-AB35-F1F23289B424}" name="Columna9710" dataDxfId="6702"/>
    <tableColumn id="9717" xr3:uid="{D58F3227-A0FD-49FE-BF0A-53FCE2C426F2}" name="Columna9711" dataDxfId="6701"/>
    <tableColumn id="9718" xr3:uid="{BB2378CB-D8E9-4D2A-8D08-D619C99D3FFE}" name="Columna9712" dataDxfId="6700"/>
    <tableColumn id="9719" xr3:uid="{B9192254-BC66-4E25-B9F6-CE04D6B6FC4C}" name="Columna9713" dataDxfId="6699"/>
    <tableColumn id="9720" xr3:uid="{AA4E50B8-410E-4B24-960D-59AB97963594}" name="Columna9714" dataDxfId="6698"/>
    <tableColumn id="9721" xr3:uid="{800DF849-1BE6-493C-808D-76B5FCB71556}" name="Columna9715" dataDxfId="6697"/>
    <tableColumn id="9722" xr3:uid="{57C4C3EB-9D96-4D2B-9D1E-D77C38F9761A}" name="Columna9716" dataDxfId="6696"/>
    <tableColumn id="9723" xr3:uid="{1FC854FB-63A1-4B54-85E5-40808A1CF5DB}" name="Columna9717" dataDxfId="6695"/>
    <tableColumn id="9724" xr3:uid="{13511379-38EB-4BE9-BEDD-94D14E253D5F}" name="Columna9718" dataDxfId="6694"/>
    <tableColumn id="9725" xr3:uid="{E952BC91-BF9E-4CED-A5A3-C8331F20814F}" name="Columna9719" dataDxfId="6693"/>
    <tableColumn id="9726" xr3:uid="{3B25FBAC-A947-45F9-90FE-755C00A292A2}" name="Columna9720" dataDxfId="6692"/>
    <tableColumn id="9727" xr3:uid="{75C7328C-0BFC-47A7-ACC2-DD2DDB4B525F}" name="Columna9721" dataDxfId="6691"/>
    <tableColumn id="9728" xr3:uid="{6548E2E4-B2A8-499F-9E8F-2B72464FCFA6}" name="Columna9722" dataDxfId="6690"/>
    <tableColumn id="9729" xr3:uid="{8E3BBE6D-989C-4992-B208-AF6A8742A01B}" name="Columna9723" dataDxfId="6689"/>
    <tableColumn id="9730" xr3:uid="{9FEFD20F-8FFE-4B71-A77D-99FDAD5A2385}" name="Columna9724" dataDxfId="6688"/>
    <tableColumn id="9731" xr3:uid="{F5FB69B9-CB0E-495A-97EF-1B6627200793}" name="Columna9725" dataDxfId="6687"/>
    <tableColumn id="9732" xr3:uid="{D5B5AB3A-6594-4213-AB35-689137C330BA}" name="Columna9726" dataDxfId="6686"/>
    <tableColumn id="9733" xr3:uid="{D8BCCDC6-5AC5-468D-A12B-C509F450C2E5}" name="Columna9727" dataDxfId="6685"/>
    <tableColumn id="9734" xr3:uid="{871C56F9-048E-4411-A067-33F471177EDC}" name="Columna9728" dataDxfId="6684"/>
    <tableColumn id="9735" xr3:uid="{8B9C0002-6230-463C-8792-5FFDCDBA48B2}" name="Columna9729" dataDxfId="6683"/>
    <tableColumn id="9736" xr3:uid="{4B722CAD-EEC9-4708-99A5-1C40B2EAF3EB}" name="Columna9730" dataDxfId="6682"/>
    <tableColumn id="9737" xr3:uid="{0E694A48-11B3-49DB-AADC-1FCD827F6256}" name="Columna9731" dataDxfId="6681"/>
    <tableColumn id="9738" xr3:uid="{2B9CF99E-AEFF-47DB-B052-FF1612F4A89F}" name="Columna9732" dataDxfId="6680"/>
    <tableColumn id="9739" xr3:uid="{0AFAB7CB-2ABC-4767-8ED7-00BF7214E98A}" name="Columna9733" dataDxfId="6679"/>
    <tableColumn id="9740" xr3:uid="{76DA49F1-55EC-4ACF-86F5-CF72E6F1F0D5}" name="Columna9734" dataDxfId="6678"/>
    <tableColumn id="9741" xr3:uid="{5C7D737E-3296-421B-BA17-E0FBF29E588C}" name="Columna9735" dataDxfId="6677"/>
    <tableColumn id="9742" xr3:uid="{193F8D7A-24CB-44FD-9F8D-F27C4D15C452}" name="Columna9736" dataDxfId="6676"/>
    <tableColumn id="9743" xr3:uid="{DA7A5655-6370-4806-96E1-F569F95736DE}" name="Columna9737" dataDxfId="6675"/>
    <tableColumn id="9744" xr3:uid="{91AC8D47-A0ED-4E4C-97EC-F60F2A072C61}" name="Columna9738" dataDxfId="6674"/>
    <tableColumn id="9745" xr3:uid="{2F52499C-C69A-40D8-9ADB-F0D75D56D253}" name="Columna9739" dataDxfId="6673"/>
    <tableColumn id="9746" xr3:uid="{E0B9A5FA-AC3B-40DF-B4BD-63E7069AECD2}" name="Columna9740" dataDxfId="6672"/>
    <tableColumn id="9747" xr3:uid="{FD80B623-7B0B-496A-922A-0AD44714EA37}" name="Columna9741" dataDxfId="6671"/>
    <tableColumn id="9748" xr3:uid="{76272780-16F3-43A5-8EA5-2F343A0ED931}" name="Columna9742" dataDxfId="6670"/>
    <tableColumn id="9749" xr3:uid="{FE0184BC-31CB-4FD0-BC4E-A5A9762AB344}" name="Columna9743" dataDxfId="6669"/>
    <tableColumn id="9750" xr3:uid="{A22BCB4A-21FD-43D9-8D19-F426C9FD65B8}" name="Columna9744" dataDxfId="6668"/>
    <tableColumn id="9751" xr3:uid="{8C759FE4-7625-4D98-8F8B-19759AB02B3F}" name="Columna9745" dataDxfId="6667"/>
    <tableColumn id="9752" xr3:uid="{E52E8496-537A-4700-8D10-58D8A7D570D2}" name="Columna9746" dataDxfId="6666"/>
    <tableColumn id="9753" xr3:uid="{FD0039A5-81E9-4FC6-8D9C-50524E5AD585}" name="Columna9747" dataDxfId="6665"/>
    <tableColumn id="9754" xr3:uid="{CF82321A-BE72-4925-9473-B4F8E7D28B28}" name="Columna9748" dataDxfId="6664"/>
    <tableColumn id="9755" xr3:uid="{7091F3D3-02DE-46DC-8F9F-BE85DB9C16AA}" name="Columna9749" dataDxfId="6663"/>
    <tableColumn id="9756" xr3:uid="{952B8661-A0E3-402F-A9A4-7C66EBF57BD0}" name="Columna9750" dataDxfId="6662"/>
    <tableColumn id="9757" xr3:uid="{1C119BC3-D064-45F9-990B-453BA9E31FD4}" name="Columna9751" dataDxfId="6661"/>
    <tableColumn id="9758" xr3:uid="{B3C4C33D-3F97-443B-99A7-3DEC04EC0CAD}" name="Columna9752" dataDxfId="6660"/>
    <tableColumn id="9759" xr3:uid="{D53F28BE-B4B0-4174-A0F9-F8572B465CAE}" name="Columna9753" dataDxfId="6659"/>
    <tableColumn id="9760" xr3:uid="{B6EDA6C8-3B16-4EC6-A005-6489D905D1ED}" name="Columna9754" dataDxfId="6658"/>
    <tableColumn id="9761" xr3:uid="{A244CC7B-42BB-4917-B93B-E2B247411E66}" name="Columna9755" dataDxfId="6657"/>
    <tableColumn id="9762" xr3:uid="{4A86A2F2-2D1B-49EC-9F2C-67D5CE58017C}" name="Columna9756" dataDxfId="6656"/>
    <tableColumn id="9763" xr3:uid="{D9F080EF-93BB-4262-8376-C6241F765E54}" name="Columna9757" dataDxfId="6655"/>
    <tableColumn id="9764" xr3:uid="{40A46018-3F47-4E8A-83CC-D4C9F7D1F1CD}" name="Columna9758" dataDxfId="6654"/>
    <tableColumn id="9765" xr3:uid="{BFDD927C-2470-4475-B2DF-376104D6D251}" name="Columna9759" dataDxfId="6653"/>
    <tableColumn id="9766" xr3:uid="{CFDA8F5B-F918-4575-8F0A-7AC6C136EE0E}" name="Columna9760" dataDxfId="6652"/>
    <tableColumn id="9767" xr3:uid="{0563DF9C-87D1-4760-AB00-511AE377364B}" name="Columna9761" dataDxfId="6651"/>
    <tableColumn id="9768" xr3:uid="{9C655931-D43E-4B05-9A1F-DCA73E3E6BAA}" name="Columna9762" dataDxfId="6650"/>
    <tableColumn id="9769" xr3:uid="{ACA16E7E-F70F-404A-A583-661A4EC6CBE6}" name="Columna9763" dataDxfId="6649"/>
    <tableColumn id="9770" xr3:uid="{5064014B-038C-4AC3-A186-03EF928E0353}" name="Columna9764" dataDxfId="6648"/>
    <tableColumn id="9771" xr3:uid="{B9C77EB2-2FD7-4E48-9F13-F5E8860295D7}" name="Columna9765" dataDxfId="6647"/>
    <tableColumn id="9772" xr3:uid="{E196F18E-A999-4B6D-AC56-19E106FF0E3E}" name="Columna9766" dataDxfId="6646"/>
    <tableColumn id="9773" xr3:uid="{AC2B7922-8310-476E-B69F-99B0C6A28325}" name="Columna9767" dataDxfId="6645"/>
    <tableColumn id="9774" xr3:uid="{4D5644F0-9864-446B-8BF7-3798FD4A6538}" name="Columna9768" dataDxfId="6644"/>
    <tableColumn id="9775" xr3:uid="{A970085F-EBE9-4BEF-A9AD-F2592A459BF0}" name="Columna9769" dataDxfId="6643"/>
    <tableColumn id="9776" xr3:uid="{485A419D-E91A-4708-A8D9-628EF47F163B}" name="Columna9770" dataDxfId="6642"/>
    <tableColumn id="9777" xr3:uid="{EAC9CA99-32C2-4416-A429-B34CEC5FCFAA}" name="Columna9771" dataDxfId="6641"/>
    <tableColumn id="9778" xr3:uid="{49F4D9D8-FDFD-4E53-9B21-D8DA13AF8ECB}" name="Columna9772" dataDxfId="6640"/>
    <tableColumn id="9779" xr3:uid="{D43FDC56-AB16-4C1E-AA58-501B86729FFC}" name="Columna9773" dataDxfId="6639"/>
    <tableColumn id="9780" xr3:uid="{FE992AC4-E4A9-4735-AC89-6CCAD19240D7}" name="Columna9774" dataDxfId="6638"/>
    <tableColumn id="9781" xr3:uid="{B53BBD04-9029-462E-90CD-160A3D4A4184}" name="Columna9775" dataDxfId="6637"/>
    <tableColumn id="9782" xr3:uid="{E7012B85-2AA6-4743-A748-7D37BDF18A7C}" name="Columna9776" dataDxfId="6636"/>
    <tableColumn id="9783" xr3:uid="{1E7F4E54-22C4-48C7-99A9-CAC0DA16A815}" name="Columna9777" dataDxfId="6635"/>
    <tableColumn id="9784" xr3:uid="{65F6EE21-6ED4-4BDF-9C20-2AED79EFBF34}" name="Columna9778" dataDxfId="6634"/>
    <tableColumn id="9785" xr3:uid="{1D86083E-E712-4AFF-B65A-0E69638788D3}" name="Columna9779" dataDxfId="6633"/>
    <tableColumn id="9786" xr3:uid="{FDB8D6D3-A63D-473A-BEC5-0442328C7A86}" name="Columna9780" dataDxfId="6632"/>
    <tableColumn id="9787" xr3:uid="{6FAA985B-4DDB-4EDD-A423-B1F996C37EF7}" name="Columna9781" dataDxfId="6631"/>
    <tableColumn id="9788" xr3:uid="{EFC792F3-5C56-4C36-9D09-A587C9AC186F}" name="Columna9782" dataDxfId="6630"/>
    <tableColumn id="9789" xr3:uid="{D9C1AB71-A579-4DC9-BD62-F1E5E100617C}" name="Columna9783" dataDxfId="6629"/>
    <tableColumn id="9790" xr3:uid="{ADDF1157-9497-4852-A24C-E88AC40FBF23}" name="Columna9784" dataDxfId="6628"/>
    <tableColumn id="9791" xr3:uid="{AFBF8D42-E736-4D32-BC8E-28EAFDA7C52A}" name="Columna9785" dataDxfId="6627"/>
    <tableColumn id="9792" xr3:uid="{4FC39AEA-D68D-44AF-A9DB-FF839E3747B9}" name="Columna9786" dataDxfId="6626"/>
    <tableColumn id="9793" xr3:uid="{8E5F57A4-EF7C-4078-818C-962601FEA54B}" name="Columna9787" dataDxfId="6625"/>
    <tableColumn id="9794" xr3:uid="{00C30D70-F24C-4466-AAA7-CBD78081D190}" name="Columna9788" dataDxfId="6624"/>
    <tableColumn id="9795" xr3:uid="{7C90FFFB-3A3C-4336-96D5-3E970304BC35}" name="Columna9789" dataDxfId="6623"/>
    <tableColumn id="9796" xr3:uid="{ECE44A70-BF14-44C6-A427-7EC0D96B6C86}" name="Columna9790" dataDxfId="6622"/>
    <tableColumn id="9797" xr3:uid="{D62744DF-56D8-4097-95B6-59E8F027CE46}" name="Columna9791" dataDxfId="6621"/>
    <tableColumn id="9798" xr3:uid="{903943A5-C9AF-4DDC-9D71-E304F594849F}" name="Columna9792" dataDxfId="6620"/>
    <tableColumn id="9799" xr3:uid="{BE66234E-5F07-4D95-B165-B2F8C3499456}" name="Columna9793" dataDxfId="6619"/>
    <tableColumn id="9800" xr3:uid="{A84BE805-1AB6-4E92-B0D1-A695D73C7C88}" name="Columna9794" dataDxfId="6618"/>
    <tableColumn id="9801" xr3:uid="{96AF2512-CE90-4C9A-94B7-13DB5E3D59F1}" name="Columna9795" dataDxfId="6617"/>
    <tableColumn id="9802" xr3:uid="{2E5D809B-1EB7-4622-B25C-A5BA66873F7B}" name="Columna9796" dataDxfId="6616"/>
    <tableColumn id="9803" xr3:uid="{54B1E2AF-2C9B-4BCD-BF5A-E6C2462F9A84}" name="Columna9797" dataDxfId="6615"/>
    <tableColumn id="9804" xr3:uid="{CC914C42-A926-46FC-9696-5603D23EE3CB}" name="Columna9798" dataDxfId="6614"/>
    <tableColumn id="9805" xr3:uid="{2F669030-C83F-4507-BE2A-F21BC46F65FD}" name="Columna9799" dataDxfId="6613"/>
    <tableColumn id="9806" xr3:uid="{0288E4C6-EF2C-475A-8566-40914C54BA70}" name="Columna9800" dataDxfId="6612"/>
    <tableColumn id="9807" xr3:uid="{FAE95C62-A38C-4BCA-9ED5-74B9B847A4A6}" name="Columna9801" dataDxfId="6611"/>
    <tableColumn id="9808" xr3:uid="{022A96A3-7BF6-4FA8-8F3E-058AA41FCBA4}" name="Columna9802" dataDxfId="6610"/>
    <tableColumn id="9809" xr3:uid="{7C991CC5-1C27-442F-9EFC-E1595079C809}" name="Columna9803" dataDxfId="6609"/>
    <tableColumn id="9810" xr3:uid="{6DC3F91F-6869-4A4B-BFB6-D35A23A94E7E}" name="Columna9804" dataDxfId="6608"/>
    <tableColumn id="9811" xr3:uid="{3918AAF9-2808-4519-9FD3-1B3C5F93A8A6}" name="Columna9805" dataDxfId="6607"/>
    <tableColumn id="9812" xr3:uid="{55774CD1-EC0E-407C-BA12-CAD6DB095B72}" name="Columna9806" dataDxfId="6606"/>
    <tableColumn id="9813" xr3:uid="{01404DC4-DFDA-4A2E-A588-52FF30257481}" name="Columna9807" dataDxfId="6605"/>
    <tableColumn id="9814" xr3:uid="{37F3137C-BDEC-44BB-A296-FAEC9668E5C0}" name="Columna9808" dataDxfId="6604"/>
    <tableColumn id="9815" xr3:uid="{C80442AF-5A6C-4F80-82BD-D39BDDE94455}" name="Columna9809" dataDxfId="6603"/>
    <tableColumn id="9816" xr3:uid="{2957DFD2-C8FA-47CF-96D4-E3B3AC4C9E33}" name="Columna9810" dataDxfId="6602"/>
    <tableColumn id="9817" xr3:uid="{EAEEA9D4-3BB4-4037-A9E3-ADF3BDC76022}" name="Columna9811" dataDxfId="6601"/>
    <tableColumn id="9818" xr3:uid="{C9FE1286-78B0-4A1D-A12C-6BAA8843E4E7}" name="Columna9812" dataDxfId="6600"/>
    <tableColumn id="9819" xr3:uid="{BD911E74-1328-495B-872B-579F77DFA7F2}" name="Columna9813" dataDxfId="6599"/>
    <tableColumn id="9820" xr3:uid="{CA45DE1A-67DD-4C78-9B35-D97BD6CFA8A7}" name="Columna9814" dataDxfId="6598"/>
    <tableColumn id="9821" xr3:uid="{DF27B79E-D5A9-4961-B749-5F6BDEA40725}" name="Columna9815" dataDxfId="6597"/>
    <tableColumn id="9822" xr3:uid="{8B9FEFA9-B4B7-4F4E-A588-4F03707F2CE7}" name="Columna9816" dataDxfId="6596"/>
    <tableColumn id="9823" xr3:uid="{4977ED7E-B2EF-44C0-A123-72B62D228FBF}" name="Columna9817" dataDxfId="6595"/>
    <tableColumn id="9824" xr3:uid="{0D67D1AF-2EBF-4773-BA2D-69CFD66735AF}" name="Columna9818" dataDxfId="6594"/>
    <tableColumn id="9825" xr3:uid="{0F6F446D-B74E-4C3E-BD1E-F621DE131DAC}" name="Columna9819" dataDxfId="6593"/>
    <tableColumn id="9826" xr3:uid="{19300B70-20AA-4ABC-A59F-DB40A7F69590}" name="Columna9820" dataDxfId="6592"/>
    <tableColumn id="9827" xr3:uid="{CDB6ADDE-C4E2-4B5F-8202-B69AABEB857B}" name="Columna9821" dataDxfId="6591"/>
    <tableColumn id="9828" xr3:uid="{814945B4-9514-46FA-B9D1-5B0E339F8889}" name="Columna9822" dataDxfId="6590"/>
    <tableColumn id="9829" xr3:uid="{41F7F351-5453-4E3B-A4EF-07F48717634F}" name="Columna9823" dataDxfId="6589"/>
    <tableColumn id="9830" xr3:uid="{F77A9043-6368-4B82-BC72-46AC729BF3CA}" name="Columna9824" dataDxfId="6588"/>
    <tableColumn id="9831" xr3:uid="{BF7176CB-6242-406B-9C26-6EA5B86F8549}" name="Columna9825" dataDxfId="6587"/>
    <tableColumn id="9832" xr3:uid="{F446C6F7-874E-4B66-B326-924188B0C874}" name="Columna9826" dataDxfId="6586"/>
    <tableColumn id="9833" xr3:uid="{0A887935-D788-413A-A53B-83E3FF0427D6}" name="Columna9827" dataDxfId="6585"/>
    <tableColumn id="9834" xr3:uid="{AA199A69-5DCD-4BDF-8428-531604564433}" name="Columna9828" dataDxfId="6584"/>
    <tableColumn id="9835" xr3:uid="{B20A0171-A765-47F4-86EE-65B8E3EACA89}" name="Columna9829" dataDxfId="6583"/>
    <tableColumn id="9836" xr3:uid="{D2A7AF69-7508-44E8-B7E6-C7004549D8CD}" name="Columna9830" dataDxfId="6582"/>
    <tableColumn id="9837" xr3:uid="{5492AC32-3541-484B-94AA-3B1B4FD1D52E}" name="Columna9831" dataDxfId="6581"/>
    <tableColumn id="9838" xr3:uid="{1C37E289-474E-4B33-80D3-A2EB2874E6A5}" name="Columna9832" dataDxfId="6580"/>
    <tableColumn id="9839" xr3:uid="{C835963E-85E6-45FE-9177-04873D310125}" name="Columna9833" dataDxfId="6579"/>
    <tableColumn id="9840" xr3:uid="{D98F0FBD-81F0-4431-B472-166BD2570757}" name="Columna9834" dataDxfId="6578"/>
    <tableColumn id="9841" xr3:uid="{8F0934F7-5FF7-46B4-A428-FF87D45C3488}" name="Columna9835" dataDxfId="6577"/>
    <tableColumn id="9842" xr3:uid="{8F7DC17E-0A34-4D90-A376-8ACEB3D3CCD8}" name="Columna9836" dataDxfId="6576"/>
    <tableColumn id="9843" xr3:uid="{2BC9FD69-58B2-4540-92D7-C96DD03A1DD8}" name="Columna9837" dataDxfId="6575"/>
    <tableColumn id="9844" xr3:uid="{B097B003-3F64-4023-B6A1-D4BDB785F8DD}" name="Columna9838" dataDxfId="6574"/>
    <tableColumn id="9845" xr3:uid="{AAB6A949-A0E3-431F-8116-B9271DB04C53}" name="Columna9839" dataDxfId="6573"/>
    <tableColumn id="9846" xr3:uid="{D0CCC943-337D-4C56-A408-E6FE03E0C082}" name="Columna9840" dataDxfId="6572"/>
    <tableColumn id="9847" xr3:uid="{7829DB39-DDDB-4D48-BAE9-046A67D8C56E}" name="Columna9841" dataDxfId="6571"/>
    <tableColumn id="9848" xr3:uid="{F2A8716D-AF87-40A0-94ED-BF322A390328}" name="Columna9842" dataDxfId="6570"/>
    <tableColumn id="9849" xr3:uid="{5C1BF1C0-0471-46CE-B593-1AE7B441ED57}" name="Columna9843" dataDxfId="6569"/>
    <tableColumn id="9850" xr3:uid="{D8E21CF8-886E-48D1-A339-75DDBB99C95F}" name="Columna9844" dataDxfId="6568"/>
    <tableColumn id="9851" xr3:uid="{9B0D7A62-3507-49F9-9BC9-195747794873}" name="Columna9845" dataDxfId="6567"/>
    <tableColumn id="9852" xr3:uid="{8E8C1058-3EA3-4242-840F-6B1F6A32141B}" name="Columna9846" dataDxfId="6566"/>
    <tableColumn id="9853" xr3:uid="{21BD6396-F44A-4FEC-A632-6AE64EF30E79}" name="Columna9847" dataDxfId="6565"/>
    <tableColumn id="9854" xr3:uid="{0D707D2F-FECF-427E-A40D-C14246C7ED69}" name="Columna9848" dataDxfId="6564"/>
    <tableColumn id="9855" xr3:uid="{5C86DCAD-943C-4F08-9DC4-BD87278EB60F}" name="Columna9849" dataDxfId="6563"/>
    <tableColumn id="9856" xr3:uid="{47A6C8BF-9920-43BC-9547-5981D5103A30}" name="Columna9850" dataDxfId="6562"/>
    <tableColumn id="9857" xr3:uid="{96411FAA-A52A-4A59-904A-064C919F47DB}" name="Columna9851" dataDxfId="6561"/>
    <tableColumn id="9858" xr3:uid="{30EF7E4B-7271-49B0-A2F5-D1F631DD940B}" name="Columna9852" dataDxfId="6560"/>
    <tableColumn id="9859" xr3:uid="{85BB31BF-D2C7-4D36-B66C-05E4B84D863A}" name="Columna9853" dataDxfId="6559"/>
    <tableColumn id="9860" xr3:uid="{1E81A456-727C-4881-9E4C-114BAEA6C145}" name="Columna9854" dataDxfId="6558"/>
    <tableColumn id="9861" xr3:uid="{C29532F1-DB8E-4E26-84B3-F7D688159A41}" name="Columna9855" dataDxfId="6557"/>
    <tableColumn id="9862" xr3:uid="{9EB73611-40FB-4FAC-BFD5-629C69708937}" name="Columna9856" dataDxfId="6556"/>
    <tableColumn id="9863" xr3:uid="{BE852F33-C11A-41C8-B966-444E2CFFDAA8}" name="Columna9857" dataDxfId="6555"/>
    <tableColumn id="9864" xr3:uid="{1DB3943E-9209-43AB-BA3C-D39252B70F79}" name="Columna9858" dataDxfId="6554"/>
    <tableColumn id="9865" xr3:uid="{087F61A6-A172-47AA-AC1B-AD2126275042}" name="Columna9859" dataDxfId="6553"/>
    <tableColumn id="9866" xr3:uid="{DD5CA1E6-75EB-4BD5-AEBD-4DBA6B588B02}" name="Columna9860" dataDxfId="6552"/>
    <tableColumn id="9867" xr3:uid="{97053057-3181-444D-B4B6-5CE498984A89}" name="Columna9861" dataDxfId="6551"/>
    <tableColumn id="9868" xr3:uid="{8F4F9B6A-2A1F-429F-9920-ECE61F723317}" name="Columna9862" dataDxfId="6550"/>
    <tableColumn id="9869" xr3:uid="{5A480F77-4651-4E44-BEB8-D8EE3840D5E6}" name="Columna9863" dataDxfId="6549"/>
    <tableColumn id="9870" xr3:uid="{35D8A55B-4D5A-47B7-9864-23EB2672EF3B}" name="Columna9864" dataDxfId="6548"/>
    <tableColumn id="9871" xr3:uid="{929FD9D5-BB79-402D-96F2-786E9482ED0B}" name="Columna9865" dataDxfId="6547"/>
    <tableColumn id="9872" xr3:uid="{9012FAE5-398F-4F54-9B4A-BDBAC6C30F90}" name="Columna9866" dataDxfId="6546"/>
    <tableColumn id="9873" xr3:uid="{959773AC-D95F-4FA5-9E36-D1E6F7EB11AE}" name="Columna9867" dataDxfId="6545"/>
    <tableColumn id="9874" xr3:uid="{04C6D7C3-423D-4529-B213-AB32F77BB9BF}" name="Columna9868" dataDxfId="6544"/>
    <tableColumn id="9875" xr3:uid="{7CCF498B-3E30-4F7A-BFF8-BC460E87A89A}" name="Columna9869" dataDxfId="6543"/>
    <tableColumn id="9876" xr3:uid="{8AF4742C-F05F-4D9E-B92F-FE4D88E46499}" name="Columna9870" dataDxfId="6542"/>
    <tableColumn id="9877" xr3:uid="{23EA86D8-32A6-4CA7-95E5-929C0A3CC921}" name="Columna9871" dataDxfId="6541"/>
    <tableColumn id="9878" xr3:uid="{1C3E2C1A-BB70-48ED-9EF6-850FA3FCF946}" name="Columna9872" dataDxfId="6540"/>
    <tableColumn id="9879" xr3:uid="{61286013-7CB8-4677-9EFB-1667BA556CC9}" name="Columna9873" dataDxfId="6539"/>
    <tableColumn id="9880" xr3:uid="{F7A83D03-F7B8-4734-9BD7-DFBA0130944E}" name="Columna9874" dataDxfId="6538"/>
    <tableColumn id="9881" xr3:uid="{F89BBB15-A675-47B3-A6D9-6C808352AC7B}" name="Columna9875" dataDxfId="6537"/>
    <tableColumn id="9882" xr3:uid="{8D16DD95-03C5-4A7D-B9AA-1AC753783240}" name="Columna9876" dataDxfId="6536"/>
    <tableColumn id="9883" xr3:uid="{54D44A75-8BA5-4158-97DA-D8CD15582601}" name="Columna9877" dataDxfId="6535"/>
    <tableColumn id="9884" xr3:uid="{3B17DEBC-06A9-4DD8-8E1D-7D9D71A48406}" name="Columna9878" dataDxfId="6534"/>
    <tableColumn id="9885" xr3:uid="{21BB4A23-D58F-4E39-9410-54EE7C99DBBB}" name="Columna9879" dataDxfId="6533"/>
    <tableColumn id="9886" xr3:uid="{F26D41E9-4296-472B-B3D5-7B2A0BF9FEB8}" name="Columna9880" dataDxfId="6532"/>
    <tableColumn id="9887" xr3:uid="{80FBFD14-9C75-44EE-B872-4CC6987FA6F9}" name="Columna9881" dataDxfId="6531"/>
    <tableColumn id="9888" xr3:uid="{3CC2C92C-0D64-4300-A7AF-CC4523539445}" name="Columna9882" dataDxfId="6530"/>
    <tableColumn id="9889" xr3:uid="{72933B41-21DD-4895-974F-7F49CC7C2F6D}" name="Columna9883" dataDxfId="6529"/>
    <tableColumn id="9890" xr3:uid="{0DFDA477-AB77-4AAB-8C07-8871AFC34385}" name="Columna9884" dataDxfId="6528"/>
    <tableColumn id="9891" xr3:uid="{6B1CBB44-9D46-4F68-8C6E-AA3B308D1777}" name="Columna9885" dataDxfId="6527"/>
    <tableColumn id="9892" xr3:uid="{20207C19-CF36-4F5F-BBE4-6C9B462903D3}" name="Columna9886" dataDxfId="6526"/>
    <tableColumn id="9893" xr3:uid="{80A1C552-91F0-4B36-9157-BCBB68CBF046}" name="Columna9887" dataDxfId="6525"/>
    <tableColumn id="9894" xr3:uid="{B45AF2D0-BC7F-412C-958E-82B773F4FC08}" name="Columna9888" dataDxfId="6524"/>
    <tableColumn id="9895" xr3:uid="{B256BD8F-F68F-4888-8800-2B50B5A8D737}" name="Columna9889" dataDxfId="6523"/>
    <tableColumn id="9896" xr3:uid="{4093A2FF-6D6A-49A1-8E9B-0FADDD2B680B}" name="Columna9890" dataDxfId="6522"/>
    <tableColumn id="9897" xr3:uid="{301532BA-B7EE-4B63-A28E-DC8BC346165E}" name="Columna9891" dataDxfId="6521"/>
    <tableColumn id="9898" xr3:uid="{35E5D6F9-1308-4348-B004-0B8C51461ECE}" name="Columna9892" dataDxfId="6520"/>
    <tableColumn id="9899" xr3:uid="{ACD27CB4-26E2-478C-82D0-45C3136A33DF}" name="Columna9893" dataDxfId="6519"/>
    <tableColumn id="9900" xr3:uid="{260C7766-8502-46BB-B206-E5273DA8A69E}" name="Columna9894" dataDxfId="6518"/>
    <tableColumn id="9901" xr3:uid="{0F09E2F0-D4F2-44CC-BF0B-8608EFD93491}" name="Columna9895" dataDxfId="6517"/>
    <tableColumn id="9902" xr3:uid="{E78465D5-4ECC-4738-8EB5-F148EB9C3ED1}" name="Columna9896" dataDxfId="6516"/>
    <tableColumn id="9903" xr3:uid="{08CB245F-978C-4A9B-9C60-C8014D9FAA4E}" name="Columna9897" dataDxfId="6515"/>
    <tableColumn id="9904" xr3:uid="{01F90B6C-8CEC-40E0-BB58-840CF4DD12A3}" name="Columna9898" dataDxfId="6514"/>
    <tableColumn id="9905" xr3:uid="{ACA03505-70FA-4321-9AED-7A115ADED574}" name="Columna9899" dataDxfId="6513"/>
    <tableColumn id="9906" xr3:uid="{2C2005F4-33DA-4B2A-AC55-38943C24B437}" name="Columna9900" dataDxfId="6512"/>
    <tableColumn id="9907" xr3:uid="{223C4E70-3ACF-43EB-B993-547FBF05C5DB}" name="Columna9901" dataDxfId="6511"/>
    <tableColumn id="9908" xr3:uid="{FBA905A2-50D5-48E9-89E5-496E001BFA08}" name="Columna9902" dataDxfId="6510"/>
    <tableColumn id="9909" xr3:uid="{89C096B9-9E5C-4C49-B389-317C838571E4}" name="Columna9903" dataDxfId="6509"/>
    <tableColumn id="9910" xr3:uid="{1473D006-324F-4B45-AAFF-A3EEE379F36D}" name="Columna9904" dataDxfId="6508"/>
    <tableColumn id="9911" xr3:uid="{465216C3-DA03-4CCB-A17E-800A3886BA98}" name="Columna9905" dataDxfId="6507"/>
    <tableColumn id="9912" xr3:uid="{158989A7-C982-4C3A-B02E-0C0F7C4DA2A7}" name="Columna9906" dataDxfId="6506"/>
    <tableColumn id="9913" xr3:uid="{7B410463-848C-4D37-AA9B-CC6ADB57B341}" name="Columna9907" dataDxfId="6505"/>
    <tableColumn id="9914" xr3:uid="{F525D605-6490-4CDE-BBB1-F9517B015ECF}" name="Columna9908" dataDxfId="6504"/>
    <tableColumn id="9915" xr3:uid="{DB36E6C0-D21D-4D48-9B50-28AA9F08E104}" name="Columna9909" dataDxfId="6503"/>
    <tableColumn id="9916" xr3:uid="{4F305247-6656-48AF-ADE2-095B774F8D82}" name="Columna9910" dataDxfId="6502"/>
    <tableColumn id="9917" xr3:uid="{B245A89D-6BEC-4653-BBB3-3E9E160EDFB3}" name="Columna9911" dataDxfId="6501"/>
    <tableColumn id="9918" xr3:uid="{7A62BE21-9202-457B-9974-96633235E19F}" name="Columna9912" dataDxfId="6500"/>
    <tableColumn id="9919" xr3:uid="{6D05D5CB-A69F-4EF8-B834-C887A575F88D}" name="Columna9913" dataDxfId="6499"/>
    <tableColumn id="9920" xr3:uid="{69C7B5BC-BF5E-4F16-854C-D780738AC899}" name="Columna9914" dataDxfId="6498"/>
    <tableColumn id="9921" xr3:uid="{7DE15572-2AE2-4528-B8F7-1FFBF311D248}" name="Columna9915" dataDxfId="6497"/>
    <tableColumn id="9922" xr3:uid="{27056443-8B10-4FC6-B6E5-DD5F10F4B1F9}" name="Columna9916" dataDxfId="6496"/>
    <tableColumn id="9923" xr3:uid="{908683BC-96B2-41FE-91D7-C5858EE20375}" name="Columna9917" dataDxfId="6495"/>
    <tableColumn id="9924" xr3:uid="{18B2F054-2AD1-4732-AAC5-E78B1C9EE68C}" name="Columna9918" dataDxfId="6494"/>
    <tableColumn id="9925" xr3:uid="{C741D39A-D24D-4F8B-91FC-3CDA30BD3CDF}" name="Columna9919" dataDxfId="6493"/>
    <tableColumn id="9926" xr3:uid="{DF673C34-FCFF-46F4-8462-7ED48159E51B}" name="Columna9920" dataDxfId="6492"/>
    <tableColumn id="9927" xr3:uid="{7C782542-60CC-4B32-AE3E-54ED56363573}" name="Columna9921" dataDxfId="6491"/>
    <tableColumn id="9928" xr3:uid="{2AD3B414-4DA9-4E90-BF96-A6122628773A}" name="Columna9922" dataDxfId="6490"/>
    <tableColumn id="9929" xr3:uid="{E0DBCCF0-ACA5-448A-BC90-DD47C1564D0A}" name="Columna9923" dataDxfId="6489"/>
    <tableColumn id="9930" xr3:uid="{8EFAD5E2-4C06-4153-BFD9-64264C101102}" name="Columna9924" dataDxfId="6488"/>
    <tableColumn id="9931" xr3:uid="{006A6359-EA5D-4ADA-B0B3-A25280D2E11B}" name="Columna9925" dataDxfId="6487"/>
    <tableColumn id="9932" xr3:uid="{44FBC327-666D-4EE8-9046-EBF3D8791E65}" name="Columna9926" dataDxfId="6486"/>
    <tableColumn id="9933" xr3:uid="{EF4642B2-2E84-43A7-979C-CE5B414814EF}" name="Columna9927" dataDxfId="6485"/>
    <tableColumn id="9934" xr3:uid="{F2B9C0C1-4FEB-4FDD-9399-9C539430B057}" name="Columna9928" dataDxfId="6484"/>
    <tableColumn id="9935" xr3:uid="{51731410-F5F0-413B-9F93-DE2CED8424C4}" name="Columna9929" dataDxfId="6483"/>
    <tableColumn id="9936" xr3:uid="{71754477-D2EB-4293-A330-F766B5E7AB95}" name="Columna9930" dataDxfId="6482"/>
    <tableColumn id="9937" xr3:uid="{C7507EE6-0A81-4AB1-9596-74DAB09AAE6A}" name="Columna9931" dataDxfId="6481"/>
    <tableColumn id="9938" xr3:uid="{986EDC37-21FD-43B1-A466-A4B0CF84AB45}" name="Columna9932" dataDxfId="6480"/>
    <tableColumn id="9939" xr3:uid="{1ECC1B97-C69A-47B2-B8E1-150C12D028C9}" name="Columna9933" dataDxfId="6479"/>
    <tableColumn id="9940" xr3:uid="{7F03C06C-458B-44B4-8E0F-F81FD8570141}" name="Columna9934" dataDxfId="6478"/>
    <tableColumn id="9941" xr3:uid="{EEF3DA55-3502-4DC8-8C9B-C2D7A10AC2F4}" name="Columna9935" dataDxfId="6477"/>
    <tableColumn id="9942" xr3:uid="{7AB01500-940F-4E40-8FB5-CCC88365EEFF}" name="Columna9936" dataDxfId="6476"/>
    <tableColumn id="9943" xr3:uid="{426BCB85-E00E-4A7E-80DB-74D2B0122D16}" name="Columna9937" dataDxfId="6475"/>
    <tableColumn id="9944" xr3:uid="{D854EFFC-8ED2-4EF8-8B59-CC62E4ACDA7F}" name="Columna9938" dataDxfId="6474"/>
    <tableColumn id="9945" xr3:uid="{C5F8595E-540E-4A06-9113-1917821E19D5}" name="Columna9939" dataDxfId="6473"/>
    <tableColumn id="9946" xr3:uid="{96176095-B43C-45E2-A409-9672143EEDA6}" name="Columna9940" dataDxfId="6472"/>
    <tableColumn id="9947" xr3:uid="{02539374-230A-4066-9167-56428C102A55}" name="Columna9941" dataDxfId="6471"/>
    <tableColumn id="9948" xr3:uid="{9816CB2A-68BD-460F-8407-CE2BF98EFB91}" name="Columna9942" dataDxfId="6470"/>
    <tableColumn id="9949" xr3:uid="{5C16AA49-EE2F-4E01-AEF4-6C1BFD98B87A}" name="Columna9943" dataDxfId="6469"/>
    <tableColumn id="9950" xr3:uid="{C22B14E8-B27E-4CAA-A92B-AE3D59D1F591}" name="Columna9944" dataDxfId="6468"/>
    <tableColumn id="9951" xr3:uid="{4B89C1A3-DEA8-4DA3-81EB-F81F676BA045}" name="Columna9945" dataDxfId="6467"/>
    <tableColumn id="9952" xr3:uid="{14C401A7-679C-41E2-8A05-CC5089183187}" name="Columna9946" dataDxfId="6466"/>
    <tableColumn id="9953" xr3:uid="{B88D6757-FF22-42AF-80DC-105BFDC35729}" name="Columna9947" dataDxfId="6465"/>
    <tableColumn id="9954" xr3:uid="{06A65BB5-7C84-4D7E-A30C-66DC342B5C9F}" name="Columna9948" dataDxfId="6464"/>
    <tableColumn id="9955" xr3:uid="{FC6C9484-4F5E-43F4-A2FB-BD0F3CE6B19F}" name="Columna9949" dataDxfId="6463"/>
    <tableColumn id="9956" xr3:uid="{C35A0FBA-40AE-413C-B600-BE37B7AF75E2}" name="Columna9950" dataDxfId="6462"/>
    <tableColumn id="9957" xr3:uid="{44E4CF84-8D19-4D52-A146-9861BC922285}" name="Columna9951" dataDxfId="6461"/>
    <tableColumn id="9958" xr3:uid="{B3FB43C4-645B-4C55-82DA-F42ADE5A1991}" name="Columna9952" dataDxfId="6460"/>
    <tableColumn id="9959" xr3:uid="{AFFA60D7-F530-40C5-8E6B-A08EEC44E241}" name="Columna9953" dataDxfId="6459"/>
    <tableColumn id="9960" xr3:uid="{74D96CF7-93F4-45EC-8A4E-267E1003D574}" name="Columna9954" dataDxfId="6458"/>
    <tableColumn id="9961" xr3:uid="{582EA495-2F30-4675-BCF3-80B773DD7295}" name="Columna9955" dataDxfId="6457"/>
    <tableColumn id="9962" xr3:uid="{85320917-BD43-47AB-83BD-E6B77DC56DE8}" name="Columna9956" dataDxfId="6456"/>
    <tableColumn id="9963" xr3:uid="{CAB05F86-ADDF-4405-8C8B-64D71F42D9D8}" name="Columna9957" dataDxfId="6455"/>
    <tableColumn id="9964" xr3:uid="{04686F50-C35C-490D-A80D-4C491A2E3026}" name="Columna9958" dataDxfId="6454"/>
    <tableColumn id="9965" xr3:uid="{A6AF4C97-DF34-4F19-AE78-D69BAB962373}" name="Columna9959" dataDxfId="6453"/>
    <tableColumn id="9966" xr3:uid="{A5C4F558-E0F9-4712-A3C5-DD72E7F69566}" name="Columna9960" dataDxfId="6452"/>
    <tableColumn id="9967" xr3:uid="{7A42DFC5-D400-4AEB-B229-5D9F06BE1523}" name="Columna9961" dataDxfId="6451"/>
    <tableColumn id="9968" xr3:uid="{8C0B8AFC-6734-4333-9C39-5B11DA1BA041}" name="Columna9962" dataDxfId="6450"/>
    <tableColumn id="9969" xr3:uid="{7D5C4123-70CC-4FB4-B648-542CCE7503F9}" name="Columna9963" dataDxfId="6449"/>
    <tableColumn id="9970" xr3:uid="{DA7C20E3-FE17-4B1E-A1EC-F5823523EBB0}" name="Columna9964" dataDxfId="6448"/>
    <tableColumn id="9971" xr3:uid="{CEF50B4E-4D1E-491D-AB1C-C05E3FF8ECE6}" name="Columna9965" dataDxfId="6447"/>
    <tableColumn id="9972" xr3:uid="{F8D58098-9847-417D-B153-76E2381D26ED}" name="Columna9966" dataDxfId="6446"/>
    <tableColumn id="9973" xr3:uid="{1C0AE008-BE45-41AD-A4AF-55633700A678}" name="Columna9967" dataDxfId="6445"/>
    <tableColumn id="9974" xr3:uid="{BACC7626-4A03-494A-8FEB-74348561E773}" name="Columna9968" dataDxfId="6444"/>
    <tableColumn id="9975" xr3:uid="{0709FE69-9E8D-4C58-ABDF-8B819F70984B}" name="Columna9969" dataDxfId="6443"/>
    <tableColumn id="9976" xr3:uid="{8502DC72-356D-403A-B91B-19957012F6D3}" name="Columna9970" dataDxfId="6442"/>
    <tableColumn id="9977" xr3:uid="{223FA36A-1E36-4CD1-9F9E-C0D78E25732E}" name="Columna9971" dataDxfId="6441"/>
    <tableColumn id="9978" xr3:uid="{2B25EE11-A1EF-422F-A38E-D19C94B2E158}" name="Columna9972" dataDxfId="6440"/>
    <tableColumn id="9979" xr3:uid="{175EA5F2-094E-4483-B9D0-F1A15F74DD2F}" name="Columna9973" dataDxfId="6439"/>
    <tableColumn id="9980" xr3:uid="{CEA832CD-08CB-490D-8805-9E597FC92A95}" name="Columna9974" dataDxfId="6438"/>
    <tableColumn id="9981" xr3:uid="{218642A1-7CEB-4991-984B-ADF9108A4A10}" name="Columna9975" dataDxfId="6437"/>
    <tableColumn id="9982" xr3:uid="{038B447C-E1C2-4993-8EA8-6EA14261C830}" name="Columna9976" dataDxfId="6436"/>
    <tableColumn id="9983" xr3:uid="{309DC6A0-1ADA-4CDF-AC39-35FB8983A939}" name="Columna9977" dataDxfId="6435"/>
    <tableColumn id="9984" xr3:uid="{3301669D-C72A-415F-922A-A785FAB165D2}" name="Columna9978" dataDxfId="6434"/>
    <tableColumn id="9985" xr3:uid="{CD8A75E9-1D89-4C4B-ADDB-513881EB6309}" name="Columna9979" dataDxfId="6433"/>
    <tableColumn id="9986" xr3:uid="{FE2AA316-52C7-451D-9800-827033ECC045}" name="Columna9980" dataDxfId="6432"/>
    <tableColumn id="9987" xr3:uid="{7A975A18-3F6E-4C2E-B001-F6DCBD265089}" name="Columna9981" dataDxfId="6431"/>
    <tableColumn id="9988" xr3:uid="{008323A6-CDA0-42C2-AB84-C75C294B6C4D}" name="Columna9982" dataDxfId="6430"/>
    <tableColumn id="9989" xr3:uid="{44D3B4DB-F460-438C-8B29-0C394755E2A9}" name="Columna9983" dataDxfId="6429"/>
    <tableColumn id="9990" xr3:uid="{FBC80238-EB14-4F00-AF1F-173818F2797B}" name="Columna9984" dataDxfId="6428"/>
    <tableColumn id="9991" xr3:uid="{28895BC3-8BC8-4937-A253-59333458FE63}" name="Columna9985" dataDxfId="6427"/>
    <tableColumn id="9992" xr3:uid="{E15FA503-02ED-4A18-9222-39F89CC8E0A8}" name="Columna9986" dataDxfId="6426"/>
    <tableColumn id="9993" xr3:uid="{F07A81AD-A621-41FE-9E95-709D2B1306AD}" name="Columna9987" dataDxfId="6425"/>
    <tableColumn id="9994" xr3:uid="{E02B6801-7DA6-4B50-BE04-5D9819D52191}" name="Columna9988" dataDxfId="6424"/>
    <tableColumn id="9995" xr3:uid="{4D7DF4E1-EF6B-44E0-B77A-9F89C4621A01}" name="Columna9989" dataDxfId="6423"/>
    <tableColumn id="9996" xr3:uid="{D5668F8E-3A33-4B5C-8E1F-A76284AF9094}" name="Columna9990" dataDxfId="6422"/>
    <tableColumn id="9997" xr3:uid="{5C362A1D-0A0B-40D9-8674-C348A43A2651}" name="Columna9991" dataDxfId="6421"/>
    <tableColumn id="9998" xr3:uid="{09224F36-F050-4A16-A15F-5764060A6482}" name="Columna9992" dataDxfId="6420"/>
    <tableColumn id="9999" xr3:uid="{A5F6E950-F7C7-47AD-9DAF-CD724D4B8497}" name="Columna9993" dataDxfId="6419"/>
    <tableColumn id="10000" xr3:uid="{B5C11DBA-C687-4544-BB7E-A06BF0E70ACC}" name="Columna9994" dataDxfId="6418"/>
    <tableColumn id="10001" xr3:uid="{CCD7E907-3461-4A92-8D21-76B9E77BFD23}" name="Columna9995" dataDxfId="6417"/>
    <tableColumn id="10002" xr3:uid="{DBB31F23-0B3C-4983-9298-2CA9615D145C}" name="Columna9996" dataDxfId="6416"/>
    <tableColumn id="10003" xr3:uid="{9E4243B5-16B7-41B1-8829-5013BF8067AB}" name="Columna9997" dataDxfId="6415"/>
    <tableColumn id="10004" xr3:uid="{60460B59-28A3-46E4-BDFB-9B27631A9409}" name="Columna9998" dataDxfId="6414"/>
    <tableColumn id="10005" xr3:uid="{63BEAA3F-631F-4F8E-AD8D-930C78C1C09B}" name="Columna9999" dataDxfId="6413"/>
    <tableColumn id="10006" xr3:uid="{FFB530C1-FD09-4300-AD97-826065AAD72D}" name="Columna10000" dataDxfId="6412"/>
    <tableColumn id="10007" xr3:uid="{0715EC6D-4695-4386-86E5-92268015F509}" name="Columna10001" dataDxfId="6411"/>
    <tableColumn id="10008" xr3:uid="{A7B5C1B1-2A71-4C79-9258-3507CE9C6C25}" name="Columna10002" dataDxfId="6410"/>
    <tableColumn id="10009" xr3:uid="{343BAD2E-190C-41C2-A7D8-C2517110C817}" name="Columna10003" dataDxfId="6409"/>
    <tableColumn id="10010" xr3:uid="{A2DDB67B-9DA5-46D0-8D8C-3C9CE9A57D79}" name="Columna10004" dataDxfId="6408"/>
    <tableColumn id="10011" xr3:uid="{0BEF0FFB-C9E0-4A0C-B079-6A3C8FAC343D}" name="Columna10005" dataDxfId="6407"/>
    <tableColumn id="10012" xr3:uid="{79257759-DB99-4BA1-9C83-7772FAC128CF}" name="Columna10006" dataDxfId="6406"/>
    <tableColumn id="10013" xr3:uid="{8263E0DB-03E4-4BA0-A2D7-3FD5ACD578ED}" name="Columna10007" dataDxfId="6405"/>
    <tableColumn id="10014" xr3:uid="{0B5084F1-0212-4863-87F0-42451CF844DF}" name="Columna10008" dataDxfId="6404"/>
    <tableColumn id="10015" xr3:uid="{5310AACD-C4BC-4D59-BB21-309A228FB379}" name="Columna10009" dataDxfId="6403"/>
    <tableColumn id="10016" xr3:uid="{A599E481-0C1A-4992-A6D6-BAA16F851EEC}" name="Columna10010" dataDxfId="6402"/>
    <tableColumn id="10017" xr3:uid="{28F482D1-CE3A-41A3-A995-B815B8CAF164}" name="Columna10011" dataDxfId="6401"/>
    <tableColumn id="10018" xr3:uid="{20B5F061-8A40-4128-A7D5-AAE16B7158FB}" name="Columna10012" dataDxfId="6400"/>
    <tableColumn id="10019" xr3:uid="{4C644CE6-142D-4C30-A815-E0FF880F5461}" name="Columna10013" dataDxfId="6399"/>
    <tableColumn id="10020" xr3:uid="{4205FE2F-662D-450A-AA96-C33E41C8B1CC}" name="Columna10014" dataDxfId="6398"/>
    <tableColumn id="10021" xr3:uid="{7E28BE68-F500-40C2-8A3A-9B4588963B9A}" name="Columna10015" dataDxfId="6397"/>
    <tableColumn id="10022" xr3:uid="{007857B0-3A38-4722-80B5-DBC8D75C1138}" name="Columna10016" dataDxfId="6396"/>
    <tableColumn id="10023" xr3:uid="{0AE2CF20-5807-4492-97CC-9CC08C08EFD7}" name="Columna10017" dataDxfId="6395"/>
    <tableColumn id="10024" xr3:uid="{5D35632C-DD3C-4665-A083-0F248C952F1F}" name="Columna10018" dataDxfId="6394"/>
    <tableColumn id="10025" xr3:uid="{726672D7-1C6B-4239-816D-4AA44AE64989}" name="Columna10019" dataDxfId="6393"/>
    <tableColumn id="10026" xr3:uid="{ED0DE3C0-06FD-4736-8283-C4FB86580786}" name="Columna10020" dataDxfId="6392"/>
    <tableColumn id="10027" xr3:uid="{71CC57D4-84C9-4513-9678-20ABC60F0F66}" name="Columna10021" dataDxfId="6391"/>
    <tableColumn id="10028" xr3:uid="{3E66023B-15F4-4D3D-915A-E8C36A15DCD3}" name="Columna10022" dataDxfId="6390"/>
    <tableColumn id="10029" xr3:uid="{04BAF189-E23B-4D26-A4F6-7B94D349C666}" name="Columna10023" dataDxfId="6389"/>
    <tableColumn id="10030" xr3:uid="{EBAADDF4-DEAB-405B-A7E0-D0DE34779591}" name="Columna10024" dataDxfId="6388"/>
    <tableColumn id="10031" xr3:uid="{7DFD571B-1D92-4397-A3D4-1FBC4D27F179}" name="Columna10025" dataDxfId="6387"/>
    <tableColumn id="10032" xr3:uid="{9EA8A567-A7DC-4928-8BF1-846ACB30AEB0}" name="Columna10026" dataDxfId="6386"/>
    <tableColumn id="10033" xr3:uid="{44779599-41A7-4960-A10E-86032C9FFAD4}" name="Columna10027" dataDxfId="6385"/>
    <tableColumn id="10034" xr3:uid="{AADF3818-66B4-494B-A5C0-DD36ED6C5235}" name="Columna10028" dataDxfId="6384"/>
    <tableColumn id="10035" xr3:uid="{4581F652-1258-4D41-9ABE-D44E7D3C0E5A}" name="Columna10029" dataDxfId="6383"/>
    <tableColumn id="10036" xr3:uid="{308053ED-E340-43CE-8BEA-D225B093B4A6}" name="Columna10030" dataDxfId="6382"/>
    <tableColumn id="10037" xr3:uid="{87311608-FFE2-459A-AC40-42C92427768C}" name="Columna10031" dataDxfId="6381"/>
    <tableColumn id="10038" xr3:uid="{5F3A39B2-B979-4187-9006-2BB8F692ACF6}" name="Columna10032" dataDxfId="6380"/>
    <tableColumn id="10039" xr3:uid="{9292AD16-CCC0-4F8C-889A-FD80C44DCFA8}" name="Columna10033" dataDxfId="6379"/>
    <tableColumn id="10040" xr3:uid="{0A225410-C9A9-4229-916A-92E35021F45A}" name="Columna10034" dataDxfId="6378"/>
    <tableColumn id="10041" xr3:uid="{7F1FC9D0-3473-442D-B54C-97A1827B9F92}" name="Columna10035" dataDxfId="6377"/>
    <tableColumn id="10042" xr3:uid="{6674A144-00FC-4F3B-BB78-2461DD8DE822}" name="Columna10036" dataDxfId="6376"/>
    <tableColumn id="10043" xr3:uid="{54A783F6-3362-436B-8014-3BAF5627D479}" name="Columna10037" dataDxfId="6375"/>
    <tableColumn id="10044" xr3:uid="{900687F9-412C-4B1D-A638-C75FE7BD90F8}" name="Columna10038" dataDxfId="6374"/>
    <tableColumn id="10045" xr3:uid="{EEA92C4F-BA07-49F9-89E0-6B46C3255C48}" name="Columna10039" dataDxfId="6373"/>
    <tableColumn id="10046" xr3:uid="{50A9ABA5-BF67-4E92-8661-727AE938C081}" name="Columna10040" dataDxfId="6372"/>
    <tableColumn id="10047" xr3:uid="{F481BA61-2D0C-40F7-9378-8D912BCC20AC}" name="Columna10041" dataDxfId="6371"/>
    <tableColumn id="10048" xr3:uid="{1AC3A5C2-5DA0-4576-9073-39E65E50ACBD}" name="Columna10042" dataDxfId="6370"/>
    <tableColumn id="10049" xr3:uid="{7E613F0A-1C07-4A95-BDDE-A52B6C5BE438}" name="Columna10043" dataDxfId="6369"/>
    <tableColumn id="10050" xr3:uid="{E1581739-456C-40F3-B4DF-864D8BB94F5D}" name="Columna10044" dataDxfId="6368"/>
    <tableColumn id="10051" xr3:uid="{F8D7F4B1-8561-4927-864D-6A191FE22E52}" name="Columna10045" dataDxfId="6367"/>
    <tableColumn id="10052" xr3:uid="{89BABC99-64E3-40A1-9122-0CACFEF9BF18}" name="Columna10046" dataDxfId="6366"/>
    <tableColumn id="10053" xr3:uid="{A5F1BEB3-DAFF-4271-9723-EE15AD935702}" name="Columna10047" dataDxfId="6365"/>
    <tableColumn id="10054" xr3:uid="{2A09957E-57B6-4CD7-83B2-3B5FDB7C3B95}" name="Columna10048" dataDxfId="6364"/>
    <tableColumn id="10055" xr3:uid="{378112B0-76DF-4018-B862-2F85AB5741A9}" name="Columna10049" dataDxfId="6363"/>
    <tableColumn id="10056" xr3:uid="{A49E0F49-E2A7-4297-918D-71529F088684}" name="Columna10050" dataDxfId="6362"/>
    <tableColumn id="10057" xr3:uid="{52D7520B-43BA-476F-B850-6F702FBD5F48}" name="Columna10051" dataDxfId="6361"/>
    <tableColumn id="10058" xr3:uid="{2CA01F7F-5E0F-4E12-B279-B5EB65359554}" name="Columna10052" dataDxfId="6360"/>
    <tableColumn id="10059" xr3:uid="{995CB104-183E-41D6-BCBB-099764010F33}" name="Columna10053" dataDxfId="6359"/>
    <tableColumn id="10060" xr3:uid="{1649BBCC-F369-47F3-8958-2898F934E6A9}" name="Columna10054" dataDxfId="6358"/>
    <tableColumn id="10061" xr3:uid="{8CB323A5-5098-4613-B199-87713694F328}" name="Columna10055" dataDxfId="6357"/>
    <tableColumn id="10062" xr3:uid="{5CBDF70A-C619-479A-84FF-4E1F09FE0433}" name="Columna10056" dataDxfId="6356"/>
    <tableColumn id="10063" xr3:uid="{FCD0DF96-4609-4568-8907-2012CBAD3C15}" name="Columna10057" dataDxfId="6355"/>
    <tableColumn id="10064" xr3:uid="{457202A6-9A05-4AC1-A896-DE951D81622C}" name="Columna10058" dataDxfId="6354"/>
    <tableColumn id="10065" xr3:uid="{48E32F82-9F76-49D4-8B4C-537192E6E4BF}" name="Columna10059" dataDxfId="6353"/>
    <tableColumn id="10066" xr3:uid="{CA0699B5-6111-4E6C-93CA-34DD458D53D4}" name="Columna10060" dataDxfId="6352"/>
    <tableColumn id="10067" xr3:uid="{435E3AD3-E023-4C12-A811-4BDF8B9935DB}" name="Columna10061" dataDxfId="6351"/>
    <tableColumn id="10068" xr3:uid="{FBF6461F-D120-40FD-8190-759D440CB630}" name="Columna10062" dataDxfId="6350"/>
    <tableColumn id="10069" xr3:uid="{374ED309-8990-48E8-BEAE-081CBFCD8B12}" name="Columna10063" dataDxfId="6349"/>
    <tableColumn id="10070" xr3:uid="{F808B921-62BD-4038-8954-6DF1BA30B898}" name="Columna10064" dataDxfId="6348"/>
    <tableColumn id="10071" xr3:uid="{2A6969BC-19AD-460F-9BED-56C5F9F844AF}" name="Columna10065" dataDxfId="6347"/>
    <tableColumn id="10072" xr3:uid="{BF7CD77B-D4E4-4D09-BF57-BAEAF6EDAB25}" name="Columna10066" dataDxfId="6346"/>
    <tableColumn id="10073" xr3:uid="{4B350DE0-E323-4927-9D72-C035B6BC2930}" name="Columna10067" dataDxfId="6345"/>
    <tableColumn id="10074" xr3:uid="{CB95B959-2A0E-441D-97CE-0504DB5E3C36}" name="Columna10068" dataDxfId="6344"/>
    <tableColumn id="10075" xr3:uid="{BE809906-3DC7-40B1-96DB-F41429FF1A79}" name="Columna10069" dataDxfId="6343"/>
    <tableColumn id="10076" xr3:uid="{70600CFB-1E0E-4D6B-B2E7-716B6120A36D}" name="Columna10070" dataDxfId="6342"/>
    <tableColumn id="10077" xr3:uid="{B9E8AA61-C5B4-43DC-8169-456A63785F80}" name="Columna10071" dataDxfId="6341"/>
    <tableColumn id="10078" xr3:uid="{6BE24FAE-F9B0-4C96-8920-AF71229D10D0}" name="Columna10072" dataDxfId="6340"/>
    <tableColumn id="10079" xr3:uid="{66549A05-B69A-4976-8B39-4F3508B1C518}" name="Columna10073" dataDxfId="6339"/>
    <tableColumn id="10080" xr3:uid="{B2D64F2B-F32D-48BE-BB22-A4801143AFB2}" name="Columna10074" dataDxfId="6338"/>
    <tableColumn id="10081" xr3:uid="{24F36111-B931-478A-9A92-3796E02F8EFF}" name="Columna10075" dataDxfId="6337"/>
    <tableColumn id="10082" xr3:uid="{F14A20E7-1C86-4A34-8B5E-B2CCCE505421}" name="Columna10076" dataDxfId="6336"/>
    <tableColumn id="10083" xr3:uid="{29030CD7-4100-4715-BFEC-95D9A12E467A}" name="Columna10077" dataDxfId="6335"/>
    <tableColumn id="10084" xr3:uid="{68F02327-2B76-4A28-A455-5CAA16C35EAD}" name="Columna10078" dataDxfId="6334"/>
    <tableColumn id="10085" xr3:uid="{5CBC2593-DC5D-4E85-A429-1D4532B99E2A}" name="Columna10079" dataDxfId="6333"/>
    <tableColumn id="10086" xr3:uid="{E81ABE19-949B-4DFA-85E8-C0D54675D0F7}" name="Columna10080" dataDxfId="6332"/>
    <tableColumn id="10087" xr3:uid="{006FE0A2-200F-4BFB-BCCF-B3D4E114C794}" name="Columna10081" dataDxfId="6331"/>
    <tableColumn id="10088" xr3:uid="{2B8D56BB-40EB-4876-A3C6-CC77A246AD6A}" name="Columna10082" dataDxfId="6330"/>
    <tableColumn id="10089" xr3:uid="{80AB28A3-9542-4F58-A137-35D2EED8BDE4}" name="Columna10083" dataDxfId="6329"/>
    <tableColumn id="10090" xr3:uid="{6D96492F-D89B-411D-9176-1A58CDED1873}" name="Columna10084" dataDxfId="6328"/>
    <tableColumn id="10091" xr3:uid="{03179C50-2996-45D4-9872-0189C544C806}" name="Columna10085" dataDxfId="6327"/>
    <tableColumn id="10092" xr3:uid="{B1335830-0DF0-4ACC-93DF-AB22044DFB9E}" name="Columna10086" dataDxfId="6326"/>
    <tableColumn id="10093" xr3:uid="{B6896F98-A0B6-4349-8CF5-0AF50D069CD2}" name="Columna10087" dataDxfId="6325"/>
    <tableColumn id="10094" xr3:uid="{033690FA-B4A6-4089-81EA-418D9E403B1C}" name="Columna10088" dataDxfId="6324"/>
    <tableColumn id="10095" xr3:uid="{225D4EC8-253B-40D0-BAB4-762E745F7AE3}" name="Columna10089" dataDxfId="6323"/>
    <tableColumn id="10096" xr3:uid="{9FD89922-832F-48AD-B050-6294D699765A}" name="Columna10090" dataDxfId="6322"/>
    <tableColumn id="10097" xr3:uid="{03E80BAB-C9EB-4C38-9CB9-F053C62F9D37}" name="Columna10091" dataDxfId="6321"/>
    <tableColumn id="10098" xr3:uid="{BD207F4C-FCA6-4CF6-B75A-F7717C3D96E5}" name="Columna10092" dataDxfId="6320"/>
    <tableColumn id="10099" xr3:uid="{C74C51C1-CE1A-4EC3-BB52-6E66B37C3756}" name="Columna10093" dataDxfId="6319"/>
    <tableColumn id="10100" xr3:uid="{8397EE2F-879F-4914-9115-915B5F4E1F37}" name="Columna10094" dataDxfId="6318"/>
    <tableColumn id="10101" xr3:uid="{9ACC3CF6-0AE4-4E4B-90ED-CAEBC17411DF}" name="Columna10095" dataDxfId="6317"/>
    <tableColumn id="10102" xr3:uid="{71E50CB8-61D5-481B-9D58-AD9ACD8304AD}" name="Columna10096" dataDxfId="6316"/>
    <tableColumn id="10103" xr3:uid="{211DE8CA-0C7B-46FE-97A8-8A6CEBFCCD70}" name="Columna10097" dataDxfId="6315"/>
    <tableColumn id="10104" xr3:uid="{2A62A68D-9A60-4005-9096-A42F2303D02C}" name="Columna10098" dataDxfId="6314"/>
    <tableColumn id="10105" xr3:uid="{265B08AB-5F70-4A95-93F2-9251901D06D2}" name="Columna10099" dataDxfId="6313"/>
    <tableColumn id="10106" xr3:uid="{9DC89FF3-17BC-4D86-92AA-F1272A16A046}" name="Columna10100" dataDxfId="6312"/>
    <tableColumn id="10107" xr3:uid="{C11E968B-0A5E-43E0-A6A5-1A4DD0ECEA92}" name="Columna10101" dataDxfId="6311"/>
    <tableColumn id="10108" xr3:uid="{CA40763C-8010-4634-88D2-525F17B20D49}" name="Columna10102" dataDxfId="6310"/>
    <tableColumn id="10109" xr3:uid="{B4F5D12F-B93B-4447-AB3B-A6367E1F4C54}" name="Columna10103" dataDxfId="6309"/>
    <tableColumn id="10110" xr3:uid="{6EE085C9-ABAA-4ECB-BD1F-98C4FF913F9D}" name="Columna10104" dataDxfId="6308"/>
    <tableColumn id="10111" xr3:uid="{1F754FBC-45F3-4067-BE1D-6703F2D4077A}" name="Columna10105" dataDxfId="6307"/>
    <tableColumn id="10112" xr3:uid="{5836C211-8C16-4346-ABCC-9804FD1F5891}" name="Columna10106" dataDxfId="6306"/>
    <tableColumn id="10113" xr3:uid="{49C5EAE1-9791-4DA6-8FC9-7E4768CF6BCA}" name="Columna10107" dataDxfId="6305"/>
    <tableColumn id="10114" xr3:uid="{83BE5260-FC39-4BE4-B117-476C6CB27171}" name="Columna10108" dataDxfId="6304"/>
    <tableColumn id="10115" xr3:uid="{11098178-7144-4006-A5D6-34366EAB26B6}" name="Columna10109" dataDxfId="6303"/>
    <tableColumn id="10116" xr3:uid="{540B1C8E-5A2E-4B32-B610-FED0E6026878}" name="Columna10110" dataDxfId="6302"/>
    <tableColumn id="10117" xr3:uid="{5C53701C-94ED-433E-B6CF-6366F821CBC7}" name="Columna10111" dataDxfId="6301"/>
    <tableColumn id="10118" xr3:uid="{6DA10DC1-4974-43DE-AF8B-6545CB7C2D22}" name="Columna10112" dataDxfId="6300"/>
    <tableColumn id="10119" xr3:uid="{50C011E8-FEAE-4CD5-910C-5C058B23F398}" name="Columna10113" dataDxfId="6299"/>
    <tableColumn id="10120" xr3:uid="{96DC7815-D4CB-4598-99A8-CDF95517B71A}" name="Columna10114" dataDxfId="6298"/>
    <tableColumn id="10121" xr3:uid="{866BF651-0048-4EAF-A1A5-1A1AA2761F81}" name="Columna10115" dataDxfId="6297"/>
    <tableColumn id="10122" xr3:uid="{856882CF-26A4-4E49-A629-63178EC4F6E3}" name="Columna10116" dataDxfId="6296"/>
    <tableColumn id="10123" xr3:uid="{C7370E50-F4B9-4AA1-8705-EFF9B90DC75F}" name="Columna10117" dataDxfId="6295"/>
    <tableColumn id="10124" xr3:uid="{071ED847-A8AD-42C3-8FA4-5A97BB1601C3}" name="Columna10118" dataDxfId="6294"/>
    <tableColumn id="10125" xr3:uid="{73F48DC3-484E-48BF-8028-ABAB88413476}" name="Columna10119" dataDxfId="6293"/>
    <tableColumn id="10126" xr3:uid="{088C8C9C-6106-4042-B9F8-91EF0618BCD2}" name="Columna10120" dataDxfId="6292"/>
    <tableColumn id="10127" xr3:uid="{E1C395FC-1374-463E-ABAF-244FBF4EE4B0}" name="Columna10121" dataDxfId="6291"/>
    <tableColumn id="10128" xr3:uid="{DF97F520-9CAF-4BF6-B30B-61E5178331A5}" name="Columna10122" dataDxfId="6290"/>
    <tableColumn id="10129" xr3:uid="{4C4F2821-6849-4DD2-9FBB-DC50E98B657F}" name="Columna10123" dataDxfId="6289"/>
    <tableColumn id="10130" xr3:uid="{045C8847-559D-459E-ADBF-6E17C697912F}" name="Columna10124" dataDxfId="6288"/>
    <tableColumn id="10131" xr3:uid="{F5EC4884-BE2C-4BDE-BB4E-C6EDDF4DA569}" name="Columna10125" dataDxfId="6287"/>
    <tableColumn id="10132" xr3:uid="{1253CE89-298B-4E86-AD21-1E31475ACB4C}" name="Columna10126" dataDxfId="6286"/>
    <tableColumn id="10133" xr3:uid="{5535C3C2-26C3-4439-B86B-483A8D424BA6}" name="Columna10127" dataDxfId="6285"/>
    <tableColumn id="10134" xr3:uid="{875941B2-A4B5-4AFB-ADB8-468A92BEB514}" name="Columna10128" dataDxfId="6284"/>
    <tableColumn id="10135" xr3:uid="{996E2314-6BFF-4861-827A-17A359BFC2FA}" name="Columna10129" dataDxfId="6283"/>
    <tableColumn id="10136" xr3:uid="{754BF0EB-D1A0-41C3-B5AA-C4DB17F32DD0}" name="Columna10130" dataDxfId="6282"/>
    <tableColumn id="10137" xr3:uid="{E4D63F75-3188-497E-87CD-79B457EBD822}" name="Columna10131" dataDxfId="6281"/>
    <tableColumn id="10138" xr3:uid="{DEEF3865-2789-4146-8E8F-09DFA64A36DE}" name="Columna10132" dataDxfId="6280"/>
    <tableColumn id="10139" xr3:uid="{6D68AB4C-FBEE-4D24-A5EA-730B65010DF7}" name="Columna10133" dataDxfId="6279"/>
    <tableColumn id="10140" xr3:uid="{6DE9EAA3-6DCD-45BD-94C1-A33C3AD79675}" name="Columna10134" dataDxfId="6278"/>
    <tableColumn id="10141" xr3:uid="{AB60D271-AC11-4AC7-ACB3-8F8C6FDAC9F3}" name="Columna10135" dataDxfId="6277"/>
    <tableColumn id="10142" xr3:uid="{9F1CF37A-45EA-4C08-8B06-5ABF2E1A3C81}" name="Columna10136" dataDxfId="6276"/>
    <tableColumn id="10143" xr3:uid="{1DE6F5C5-CDA2-4C29-8A3E-766D6F68B331}" name="Columna10137" dataDxfId="6275"/>
    <tableColumn id="10144" xr3:uid="{B7A284F3-375E-4D4E-8270-0EFFC0BC4176}" name="Columna10138" dataDxfId="6274"/>
    <tableColumn id="10145" xr3:uid="{611DF188-331C-4F35-9F9F-AFB61F13779C}" name="Columna10139" dataDxfId="6273"/>
    <tableColumn id="10146" xr3:uid="{EF8E6650-6C51-4CBD-B346-AD90987CD6AB}" name="Columna10140" dataDxfId="6272"/>
    <tableColumn id="10147" xr3:uid="{A1A8DCB5-D5B3-4892-B4A7-7982675D6974}" name="Columna10141" dataDxfId="6271"/>
    <tableColumn id="10148" xr3:uid="{DCC28207-2E70-4495-B6F9-1408E00BD693}" name="Columna10142" dataDxfId="6270"/>
    <tableColumn id="10149" xr3:uid="{F0FFDDB0-614F-4344-8BF8-B98E4FF39CC3}" name="Columna10143" dataDxfId="6269"/>
    <tableColumn id="10150" xr3:uid="{CC50F9C1-5FD9-4B44-A29C-AB295DDFE512}" name="Columna10144" dataDxfId="6268"/>
    <tableColumn id="10151" xr3:uid="{6D884977-553E-4088-B639-8212071B2C28}" name="Columna10145" dataDxfId="6267"/>
    <tableColumn id="10152" xr3:uid="{40FD51EE-A322-4B99-A904-65191C6DCACA}" name="Columna10146" dataDxfId="6266"/>
    <tableColumn id="10153" xr3:uid="{D3D07FA4-79E9-4134-A16F-F739175A5787}" name="Columna10147" dataDxfId="6265"/>
    <tableColumn id="10154" xr3:uid="{2D590246-8D81-49A1-AE4B-52874AB812CC}" name="Columna10148" dataDxfId="6264"/>
    <tableColumn id="10155" xr3:uid="{076C71A8-08E9-41DE-A83E-B2D641B061A5}" name="Columna10149" dataDxfId="6263"/>
    <tableColumn id="10156" xr3:uid="{4A060C75-73CA-4035-9341-797226BE3561}" name="Columna10150" dataDxfId="6262"/>
    <tableColumn id="10157" xr3:uid="{5DD047B0-60B9-4186-B45E-F8546A5B2EF6}" name="Columna10151" dataDxfId="6261"/>
    <tableColumn id="10158" xr3:uid="{EFCDE64B-EE4B-49F4-9525-167DDEC1E443}" name="Columna10152" dataDxfId="6260"/>
    <tableColumn id="10159" xr3:uid="{DE4D2953-9725-4CEE-AEB4-AA887E1D4670}" name="Columna10153" dataDxfId="6259"/>
    <tableColumn id="10160" xr3:uid="{68C77F19-9241-4BAE-9EA2-6E599EBE68CE}" name="Columna10154" dataDxfId="6258"/>
    <tableColumn id="10161" xr3:uid="{ADD95ED2-2CC0-436A-A773-747192AEC8FA}" name="Columna10155" dataDxfId="6257"/>
    <tableColumn id="10162" xr3:uid="{A9FDB6E2-6920-44CC-85D0-7FB53ACA6928}" name="Columna10156" dataDxfId="6256"/>
    <tableColumn id="10163" xr3:uid="{4FB46C9D-95C9-4961-B3FA-A6A5257D30D8}" name="Columna10157" dataDxfId="6255"/>
    <tableColumn id="10164" xr3:uid="{5682D511-E5D1-4BAA-8734-7DE6C02D2247}" name="Columna10158" dataDxfId="6254"/>
    <tableColumn id="10165" xr3:uid="{6FBA6A63-A1EF-420A-B2CB-20B35773F5A5}" name="Columna10159" dataDxfId="6253"/>
    <tableColumn id="10166" xr3:uid="{78195B2B-DAF9-4394-BBAF-05701334FBBE}" name="Columna10160" dataDxfId="6252"/>
    <tableColumn id="10167" xr3:uid="{E54D0451-4A49-4C86-B7AE-9C07FB47375A}" name="Columna10161" dataDxfId="6251"/>
    <tableColumn id="10168" xr3:uid="{592F9AE1-E23C-4BB4-9BB5-D06D67430CEA}" name="Columna10162" dataDxfId="6250"/>
    <tableColumn id="10169" xr3:uid="{C212D89D-456C-4BC1-AB66-0CE8ED9C4AC1}" name="Columna10163" dataDxfId="6249"/>
    <tableColumn id="10170" xr3:uid="{5C012D78-1189-42CE-9AB9-9E9A447A0689}" name="Columna10164" dataDxfId="6248"/>
    <tableColumn id="10171" xr3:uid="{13C147AF-D3A2-4BB8-9E0E-8C2C15AB6EF2}" name="Columna10165" dataDxfId="6247"/>
    <tableColumn id="10172" xr3:uid="{ED4A0599-53D1-41AB-BE39-7C6CA37C1478}" name="Columna10166" dataDxfId="6246"/>
    <tableColumn id="10173" xr3:uid="{5451A718-4F76-4528-960E-355185AD6C82}" name="Columna10167" dataDxfId="6245"/>
    <tableColumn id="10174" xr3:uid="{4C15AFFE-81EE-48DF-A048-620268000F02}" name="Columna10168" dataDxfId="6244"/>
    <tableColumn id="10175" xr3:uid="{C1EA8293-EE8A-4BFC-9A28-90A3D1DD8AC7}" name="Columna10169" dataDxfId="6243"/>
    <tableColumn id="10176" xr3:uid="{0210E586-20B6-41D2-A7F8-3A077EDFA69A}" name="Columna10170" dataDxfId="6242"/>
    <tableColumn id="10177" xr3:uid="{1C70C7F1-73EE-443A-A273-137C4750EAEA}" name="Columna10171" dataDxfId="6241"/>
    <tableColumn id="10178" xr3:uid="{08321E76-2737-4119-AA33-92377FB564B1}" name="Columna10172" dataDxfId="6240"/>
    <tableColumn id="10179" xr3:uid="{99C426D9-609C-4EED-A67B-D5BE440E48D3}" name="Columna10173" dataDxfId="6239"/>
    <tableColumn id="10180" xr3:uid="{8184D3A2-1BD0-4485-8B75-1D1D16A1807A}" name="Columna10174" dataDxfId="6238"/>
    <tableColumn id="10181" xr3:uid="{BDBC6638-6C7E-4977-8761-FACD3B3A5BA3}" name="Columna10175" dataDxfId="6237"/>
    <tableColumn id="10182" xr3:uid="{5EAE44E8-5252-43FD-BFA9-954191A2AC2D}" name="Columna10176" dataDxfId="6236"/>
    <tableColumn id="10183" xr3:uid="{3F3440A0-841B-4F35-AEC3-768ABC207A86}" name="Columna10177" dataDxfId="6235"/>
    <tableColumn id="10184" xr3:uid="{E57D6B20-FEF5-4330-A277-4411A66AE342}" name="Columna10178" dataDxfId="6234"/>
    <tableColumn id="10185" xr3:uid="{4192B686-15EC-4473-AD12-9B02937E5803}" name="Columna10179" dataDxfId="6233"/>
    <tableColumn id="10186" xr3:uid="{C0BE9FD8-D995-47D8-B701-454B82DE8163}" name="Columna10180" dataDxfId="6232"/>
    <tableColumn id="10187" xr3:uid="{B6F8323A-FB2F-479F-A2A0-E9E0F19DF7B7}" name="Columna10181" dataDxfId="6231"/>
    <tableColumn id="10188" xr3:uid="{1C44D1DC-59CE-4C48-B158-86CDFB883674}" name="Columna10182" dataDxfId="6230"/>
    <tableColumn id="10189" xr3:uid="{D8AB0AE3-A04B-4ECA-8BBC-0D0118C2AB78}" name="Columna10183" dataDxfId="6229"/>
    <tableColumn id="10190" xr3:uid="{6D2278F0-25BB-47F3-B82E-5F8D9CA9CB2E}" name="Columna10184" dataDxfId="6228"/>
    <tableColumn id="10191" xr3:uid="{E951E043-5C2A-46B4-8701-7B611C7E2840}" name="Columna10185" dataDxfId="6227"/>
    <tableColumn id="10192" xr3:uid="{24082E86-505A-42E5-AAB9-45BF663196AE}" name="Columna10186" dataDxfId="6226"/>
    <tableColumn id="10193" xr3:uid="{08BFAAAB-2494-4092-9DAD-75FE31EB3D91}" name="Columna10187" dataDxfId="6225"/>
    <tableColumn id="10194" xr3:uid="{4362560D-BA11-4FA0-96A3-FEA93AF51B34}" name="Columna10188" dataDxfId="6224"/>
    <tableColumn id="10195" xr3:uid="{EE628880-AE8C-4CF9-A8A5-F5632FB03920}" name="Columna10189" dataDxfId="6223"/>
    <tableColumn id="10196" xr3:uid="{611255FC-2829-49A1-BE36-11491F2FC6B4}" name="Columna10190" dataDxfId="6222"/>
    <tableColumn id="10197" xr3:uid="{DEFC72A6-2F88-4E64-8E0C-C3C94C03A58B}" name="Columna10191" dataDxfId="6221"/>
    <tableColumn id="10198" xr3:uid="{A6DEDC98-6EA4-4874-B90F-65D7E39874AC}" name="Columna10192" dataDxfId="6220"/>
    <tableColumn id="10199" xr3:uid="{2A75E82B-D58B-444E-AE60-BE91FA24E427}" name="Columna10193" dataDxfId="6219"/>
    <tableColumn id="10200" xr3:uid="{0F7A3146-2A99-4E6A-B636-F27D112BF8B9}" name="Columna10194" dataDxfId="6218"/>
    <tableColumn id="10201" xr3:uid="{4C988BA1-BCC0-47AC-850F-85353F330B57}" name="Columna10195" dataDxfId="6217"/>
    <tableColumn id="10202" xr3:uid="{50CCE161-D16A-40EB-B635-D467868AE10A}" name="Columna10196" dataDxfId="6216"/>
    <tableColumn id="10203" xr3:uid="{82E7A7B9-829E-4BD0-B045-C26030C6FEB9}" name="Columna10197" dataDxfId="6215"/>
    <tableColumn id="10204" xr3:uid="{1288A607-2FE7-479D-9470-C102BBA97FF5}" name="Columna10198" dataDxfId="6214"/>
    <tableColumn id="10205" xr3:uid="{6C6A6E1F-5998-4907-A9E7-49210E4DB3DE}" name="Columna10199" dataDxfId="6213"/>
    <tableColumn id="10206" xr3:uid="{94A8F49E-5CD4-4751-A71A-469F8E1A9587}" name="Columna10200" dataDxfId="6212"/>
    <tableColumn id="10207" xr3:uid="{A1DF2425-8C15-4943-B29F-CA46F7F0C3AE}" name="Columna10201" dataDxfId="6211"/>
    <tableColumn id="10208" xr3:uid="{1C01E295-1888-4AB4-B1E9-8CE62774D8AF}" name="Columna10202" dataDxfId="6210"/>
    <tableColumn id="10209" xr3:uid="{D62AB421-8C2B-4324-AE66-7DFEB44B9A83}" name="Columna10203" dataDxfId="6209"/>
    <tableColumn id="10210" xr3:uid="{7B70B03C-1659-44B0-94E8-86A55658B4FB}" name="Columna10204" dataDxfId="6208"/>
    <tableColumn id="10211" xr3:uid="{1F2C3180-2532-44E1-BB56-443B6C6323CB}" name="Columna10205" dataDxfId="6207"/>
    <tableColumn id="10212" xr3:uid="{7AFE64FD-DB65-4E8F-B7EA-520813154B98}" name="Columna10206" dataDxfId="6206"/>
    <tableColumn id="10213" xr3:uid="{BD989DC6-6EC8-4AC4-928D-328D6FEB334A}" name="Columna10207" dataDxfId="6205"/>
    <tableColumn id="10214" xr3:uid="{2E0A8DD2-0649-4FAC-ABAB-3A544D4446D1}" name="Columna10208" dataDxfId="6204"/>
    <tableColumn id="10215" xr3:uid="{8A535561-AA08-4EE7-8A1E-ABCBCC350D7E}" name="Columna10209" dataDxfId="6203"/>
    <tableColumn id="10216" xr3:uid="{DB84A1E1-E24F-4A4B-9A89-BD5A29E27D13}" name="Columna10210" dataDxfId="6202"/>
    <tableColumn id="10217" xr3:uid="{B8AEEC2D-8D4D-4B08-BEC7-7502748EB448}" name="Columna10211" dataDxfId="6201"/>
    <tableColumn id="10218" xr3:uid="{6FD3D56D-55C1-4412-B6BE-38BA9EAF3DC0}" name="Columna10212" dataDxfId="6200"/>
    <tableColumn id="10219" xr3:uid="{DFE47F3E-E1C5-4E83-8E2B-E8D94ECF9E41}" name="Columna10213" dataDxfId="6199"/>
    <tableColumn id="10220" xr3:uid="{D443D631-5CC9-4D0D-8142-80FE2CFBFE91}" name="Columna10214" dataDxfId="6198"/>
    <tableColumn id="10221" xr3:uid="{156D4264-5B33-404F-9594-5575A7831FC0}" name="Columna10215" dataDxfId="6197"/>
    <tableColumn id="10222" xr3:uid="{1775F24D-C11C-43EA-991B-F12A8F71D2BF}" name="Columna10216" dataDxfId="6196"/>
    <tableColumn id="10223" xr3:uid="{774E0EB9-EB1D-49C9-B766-D4148E5467C1}" name="Columna10217" dataDxfId="6195"/>
    <tableColumn id="10224" xr3:uid="{2602A955-BF69-4E0C-AEC0-9B5669E90841}" name="Columna10218" dataDxfId="6194"/>
    <tableColumn id="10225" xr3:uid="{493F883B-7419-49B8-BA68-D4E0E1AED530}" name="Columna10219" dataDxfId="6193"/>
    <tableColumn id="10226" xr3:uid="{5BD98A3F-76E6-4468-8578-9A974A0282F6}" name="Columna10220" dataDxfId="6192"/>
    <tableColumn id="10227" xr3:uid="{F819434E-A32B-4BB4-B459-C9A6B90FF523}" name="Columna10221" dataDxfId="6191"/>
    <tableColumn id="10228" xr3:uid="{D3D2C62D-6409-4B4E-B096-A6359751FE1C}" name="Columna10222" dataDxfId="6190"/>
    <tableColumn id="10229" xr3:uid="{E77004C7-1D7A-4E32-BE86-1C95C549506A}" name="Columna10223" dataDxfId="6189"/>
    <tableColumn id="10230" xr3:uid="{00F9D086-975C-4E94-95F5-7AFAE2449832}" name="Columna10224" dataDxfId="6188"/>
    <tableColumn id="10231" xr3:uid="{15C6EB54-CE80-49D4-95B6-1790250D159E}" name="Columna10225" dataDxfId="6187"/>
    <tableColumn id="10232" xr3:uid="{718AC3C6-A59F-441F-BEED-BE5A4227DB84}" name="Columna10226" dataDxfId="6186"/>
    <tableColumn id="10233" xr3:uid="{02198A48-0EF6-4FED-93FC-60592D4B938E}" name="Columna10227" dataDxfId="6185"/>
    <tableColumn id="10234" xr3:uid="{D3F455EC-D955-4CB3-8A71-CF082D82C3EC}" name="Columna10228" dataDxfId="6184"/>
    <tableColumn id="10235" xr3:uid="{FB0EB6E5-9C4D-4B86-94F6-68FDBF4521BE}" name="Columna10229" dataDxfId="6183"/>
    <tableColumn id="10236" xr3:uid="{21FCB3D5-9E40-4BCD-8616-EFC8AA10FF7A}" name="Columna10230" dataDxfId="6182"/>
    <tableColumn id="10237" xr3:uid="{49D8D677-3A90-4956-9261-2AD9B3E84DBF}" name="Columna10231" dataDxfId="6181"/>
    <tableColumn id="10238" xr3:uid="{2DC3D8D0-4110-42B6-82DE-938823FE5E88}" name="Columna10232" dataDxfId="6180"/>
    <tableColumn id="10239" xr3:uid="{95587C05-5DA9-4C89-9FD5-E6582111E8EC}" name="Columna10233" dataDxfId="6179"/>
    <tableColumn id="10240" xr3:uid="{1F3E79B7-0BAB-44A4-BF82-5B3CE55FBF74}" name="Columna10234" dataDxfId="6178"/>
    <tableColumn id="10241" xr3:uid="{0B251F15-E5C3-4309-BDF9-B52255779923}" name="Columna10235" dataDxfId="6177"/>
    <tableColumn id="10242" xr3:uid="{E6C00495-DA4C-4EFA-A9EF-496EFA26A5E0}" name="Columna10236" dataDxfId="6176"/>
    <tableColumn id="10243" xr3:uid="{2C835C5C-C632-41DA-ACFD-B83B27364993}" name="Columna10237" dataDxfId="6175"/>
    <tableColumn id="10244" xr3:uid="{040B8987-780C-4C50-A273-B85DFEADEDBC}" name="Columna10238" dataDxfId="6174"/>
    <tableColumn id="10245" xr3:uid="{9F801F26-B111-467E-B036-C5782A94EF56}" name="Columna10239" dataDxfId="6173"/>
    <tableColumn id="10246" xr3:uid="{87C5B7AD-CE79-45A4-AFD9-4600903AAEC0}" name="Columna10240" dataDxfId="6172"/>
    <tableColumn id="10247" xr3:uid="{3BA015A3-D833-4A22-A1D7-118D22BABE25}" name="Columna10241" dataDxfId="6171"/>
    <tableColumn id="10248" xr3:uid="{7F223D65-FF25-41C9-88D1-C951E4EC9B85}" name="Columna10242" dataDxfId="6170"/>
    <tableColumn id="10249" xr3:uid="{FA9C2C92-09B5-44B5-BF9F-61189A6E8C09}" name="Columna10243" dataDxfId="6169"/>
    <tableColumn id="10250" xr3:uid="{0DB280E8-5696-4438-85F4-FB33EA34F921}" name="Columna10244" dataDxfId="6168"/>
    <tableColumn id="10251" xr3:uid="{6893DB1A-2E45-426D-B1F0-518F33539E7F}" name="Columna10245" dataDxfId="6167"/>
    <tableColumn id="10252" xr3:uid="{FF6AE69D-9CCC-4D4F-BB0C-2994B8902BFD}" name="Columna10246" dataDxfId="6166"/>
    <tableColumn id="10253" xr3:uid="{694E3518-7E59-464D-9AB8-456E4299819E}" name="Columna10247" dataDxfId="6165"/>
    <tableColumn id="10254" xr3:uid="{35AFED0E-D4EA-4022-8597-F6A10ABF847D}" name="Columna10248" dataDxfId="6164"/>
    <tableColumn id="10255" xr3:uid="{D00CFA46-A851-409A-B561-1DAA7D7F7EE1}" name="Columna10249" dataDxfId="6163"/>
    <tableColumn id="10256" xr3:uid="{8056A98E-27CC-47BB-BCC0-A1B52EADA39B}" name="Columna10250" dataDxfId="6162"/>
    <tableColumn id="10257" xr3:uid="{8D42B751-9301-46C0-8F55-C87C4F911D64}" name="Columna10251" dataDxfId="6161"/>
    <tableColumn id="10258" xr3:uid="{EEA6E9ED-AC85-4A01-B5C1-07B5BAD270F5}" name="Columna10252" dataDxfId="6160"/>
    <tableColumn id="10259" xr3:uid="{52436EF9-9F75-46EF-A311-B8841FA7197B}" name="Columna10253" dataDxfId="6159"/>
    <tableColumn id="10260" xr3:uid="{DA658743-1D44-42A7-8F17-79180954472E}" name="Columna10254" dataDxfId="6158"/>
    <tableColumn id="10261" xr3:uid="{8424BC60-555D-44BA-8495-CFBCD6797B8A}" name="Columna10255" dataDxfId="6157"/>
    <tableColumn id="10262" xr3:uid="{0810B445-E755-4C87-ACDE-A78BFC53A91D}" name="Columna10256" dataDxfId="6156"/>
    <tableColumn id="10263" xr3:uid="{DAC751B5-ACF0-43A6-BD42-E1356EADB2F2}" name="Columna10257" dataDxfId="6155"/>
    <tableColumn id="10264" xr3:uid="{FD301B67-223E-4E93-B3CC-51C86BDC5EFB}" name="Columna10258" dataDxfId="6154"/>
    <tableColumn id="10265" xr3:uid="{A8D7E576-8BED-4A20-8624-CA3597DFFDED}" name="Columna10259" dataDxfId="6153"/>
    <tableColumn id="10266" xr3:uid="{EE5E8D7A-57FC-44E9-BD25-7820F5AB7844}" name="Columna10260" dataDxfId="6152"/>
    <tableColumn id="10267" xr3:uid="{556FDE30-9C5D-46DA-BE12-B3D94DAD49FC}" name="Columna10261" dataDxfId="6151"/>
    <tableColumn id="10268" xr3:uid="{18F10FD4-64B6-4272-9475-9E49A8E89AFB}" name="Columna10262" dataDxfId="6150"/>
    <tableColumn id="10269" xr3:uid="{726CEE60-07D0-4FD5-9E56-244F98B91748}" name="Columna10263" dataDxfId="6149"/>
    <tableColumn id="10270" xr3:uid="{99DFBF2E-06BB-493A-AD0A-85D898B3F7D2}" name="Columna10264" dataDxfId="6148"/>
    <tableColumn id="10271" xr3:uid="{3013B31F-CFB5-426F-9C63-1E50F298E1FD}" name="Columna10265" dataDxfId="6147"/>
    <tableColumn id="10272" xr3:uid="{86CECD5E-060D-4299-B5A8-5AD3716949AE}" name="Columna10266" dataDxfId="6146"/>
    <tableColumn id="10273" xr3:uid="{8D9E8DE3-E2D0-4800-A8E3-EC305E1F767D}" name="Columna10267" dataDxfId="6145"/>
    <tableColumn id="10274" xr3:uid="{1055CB91-AD0E-45E1-BEC0-979C54C4C263}" name="Columna10268" dataDxfId="6144"/>
    <tableColumn id="10275" xr3:uid="{D7193145-50AC-40EB-9FE0-E0B6492A643C}" name="Columna10269" dataDxfId="6143"/>
    <tableColumn id="10276" xr3:uid="{24393070-4F7E-4312-92E3-FC4AE2B53299}" name="Columna10270" dataDxfId="6142"/>
    <tableColumn id="10277" xr3:uid="{307C964A-FF04-49EA-93DB-E952F8091436}" name="Columna10271" dataDxfId="6141"/>
    <tableColumn id="10278" xr3:uid="{A10F16B6-2914-4D0E-8FF2-1F70F9D7AEFC}" name="Columna10272" dataDxfId="6140"/>
    <tableColumn id="10279" xr3:uid="{216CCC29-C41E-4D06-9331-D1E2629C0AA7}" name="Columna10273" dataDxfId="6139"/>
    <tableColumn id="10280" xr3:uid="{879C3AD8-9776-4FAB-B42F-0E8E76E6413F}" name="Columna10274" dataDxfId="6138"/>
    <tableColumn id="10281" xr3:uid="{41CBD82B-7359-4427-BFCD-A0BF8ECCDC7C}" name="Columna10275" dataDxfId="6137"/>
    <tableColumn id="10282" xr3:uid="{5CC8FC01-F37E-48D4-8F39-0B0718B67E4B}" name="Columna10276" dataDxfId="6136"/>
    <tableColumn id="10283" xr3:uid="{FA13D3F1-AD15-4DEE-BF84-B0FC85E5B492}" name="Columna10277" dataDxfId="6135"/>
    <tableColumn id="10284" xr3:uid="{A0FEF2DF-F2DD-4766-A79D-1279AFA1596E}" name="Columna10278" dataDxfId="6134"/>
    <tableColumn id="10285" xr3:uid="{900000A3-7C52-4A5E-9F4B-3E8568CD436E}" name="Columna10279" dataDxfId="6133"/>
    <tableColumn id="10286" xr3:uid="{DEE6A858-9572-4D1A-BFF9-0179F8E19958}" name="Columna10280" dataDxfId="6132"/>
    <tableColumn id="10287" xr3:uid="{2E4EEDFE-560A-4C05-8B59-581EADE224BE}" name="Columna10281" dataDxfId="6131"/>
    <tableColumn id="10288" xr3:uid="{8EEC4DEB-A83E-4850-9960-BE5E2EFF26F6}" name="Columna10282" dataDxfId="6130"/>
    <tableColumn id="10289" xr3:uid="{789166AD-A142-43DA-9226-DC4F4DC2A9FB}" name="Columna10283" dataDxfId="6129"/>
    <tableColumn id="10290" xr3:uid="{29CFD517-5ABA-4EA4-865C-AC4B3F6AF713}" name="Columna10284" dataDxfId="6128"/>
    <tableColumn id="10291" xr3:uid="{65E655BF-C103-4970-8E28-E541AC99D121}" name="Columna10285" dataDxfId="6127"/>
    <tableColumn id="10292" xr3:uid="{52B200B0-116C-4A0E-A808-E51CBB6695C2}" name="Columna10286" dataDxfId="6126"/>
    <tableColumn id="10293" xr3:uid="{D0F77340-CFF2-4087-A04F-C341B368ED61}" name="Columna10287" dataDxfId="6125"/>
    <tableColumn id="10294" xr3:uid="{7502518B-BA6A-49E0-968E-3F65D60E1645}" name="Columna10288" dataDxfId="6124"/>
    <tableColumn id="10295" xr3:uid="{58BE05A8-6ABF-4D58-9979-6D695ABD7A42}" name="Columna10289" dataDxfId="6123"/>
    <tableColumn id="10296" xr3:uid="{14D39912-4F6A-45B8-A2BF-FC7BEDCBCBAC}" name="Columna10290" dataDxfId="6122"/>
    <tableColumn id="10297" xr3:uid="{B4655375-ADA9-4EC8-BC00-C185A12BCAF4}" name="Columna10291" dataDxfId="6121"/>
    <tableColumn id="10298" xr3:uid="{799D7EFD-9B58-4B48-B772-E2CA4B44BEA3}" name="Columna10292" dataDxfId="6120"/>
    <tableColumn id="10299" xr3:uid="{F21AA722-3C71-4EAC-9A15-9ADC6C0C69A5}" name="Columna10293" dataDxfId="6119"/>
    <tableColumn id="10300" xr3:uid="{1C4CBD77-2EC6-4D43-858B-92F1E3C32F30}" name="Columna10294" dataDxfId="6118"/>
    <tableColumn id="10301" xr3:uid="{835C1168-A117-423C-BEB0-03EE9284648C}" name="Columna10295" dataDxfId="6117"/>
    <tableColumn id="10302" xr3:uid="{8DF45B42-DFD3-47A8-ACE8-5D488B3AF092}" name="Columna10296" dataDxfId="6116"/>
    <tableColumn id="10303" xr3:uid="{A1008CD6-2C93-4B42-8FBB-23E3CE7597FA}" name="Columna10297" dataDxfId="6115"/>
    <tableColumn id="10304" xr3:uid="{C69CB39D-4CE8-4FB7-A3B8-391416FA27F6}" name="Columna10298" dataDxfId="6114"/>
    <tableColumn id="10305" xr3:uid="{88A0C6DC-F8A0-46B4-BFD2-8E7E1FBAD0BD}" name="Columna10299" dataDxfId="6113"/>
    <tableColumn id="10306" xr3:uid="{D38E7D40-803E-4FA2-B9FB-CD73103F44C5}" name="Columna10300" dataDxfId="6112"/>
    <tableColumn id="10307" xr3:uid="{8539B4C8-342F-46A3-A6EE-DB686DEF41C2}" name="Columna10301" dataDxfId="6111"/>
    <tableColumn id="10308" xr3:uid="{1AB1D396-3A5E-4804-B51D-75398B7CB569}" name="Columna10302" dataDxfId="6110"/>
    <tableColumn id="10309" xr3:uid="{80365BD4-1F1A-41EA-8890-08B4C9B727AB}" name="Columna10303" dataDxfId="6109"/>
    <tableColumn id="10310" xr3:uid="{A02BB93C-73E8-4BB3-BD09-BBE007045BE7}" name="Columna10304" dataDxfId="6108"/>
    <tableColumn id="10311" xr3:uid="{DAE8F9F4-97A1-4F9E-B259-76966829D933}" name="Columna10305" dataDxfId="6107"/>
    <tableColumn id="10312" xr3:uid="{993C9EA2-00CC-41BD-B2E6-EE359F4B090E}" name="Columna10306" dataDxfId="6106"/>
    <tableColumn id="10313" xr3:uid="{CE8ADDAE-9BE6-4C06-A466-8DA983360B8D}" name="Columna10307" dataDxfId="6105"/>
    <tableColumn id="10314" xr3:uid="{70113AAA-646E-40B6-8424-AD11FBE5A3C1}" name="Columna10308" dataDxfId="6104"/>
    <tableColumn id="10315" xr3:uid="{6FAD934F-6263-4638-8BDC-D36D4F8A6B62}" name="Columna10309" dataDxfId="6103"/>
    <tableColumn id="10316" xr3:uid="{6B5CF4AB-050E-4616-ABF5-5BA70362A0CF}" name="Columna10310" dataDxfId="6102"/>
    <tableColumn id="10317" xr3:uid="{49D8C1CB-71E0-4599-9A22-1F2F19DA1789}" name="Columna10311" dataDxfId="6101"/>
    <tableColumn id="10318" xr3:uid="{904C5A50-5E63-4059-8A45-CDEC37EEC67B}" name="Columna10312" dataDxfId="6100"/>
    <tableColumn id="10319" xr3:uid="{E0333D9F-DD59-4DB1-9260-5085289B20C6}" name="Columna10313" dataDxfId="6099"/>
    <tableColumn id="10320" xr3:uid="{265B3399-A2B4-4FC4-991D-3B21F6EC7B96}" name="Columna10314" dataDxfId="6098"/>
    <tableColumn id="10321" xr3:uid="{3823C9C2-3CA9-40EB-98BC-091C1D6AAB3E}" name="Columna10315" dataDxfId="6097"/>
    <tableColumn id="10322" xr3:uid="{505B272D-66E7-4D0A-BA8D-928CFB90D2C3}" name="Columna10316" dataDxfId="6096"/>
    <tableColumn id="10323" xr3:uid="{9AD20A49-813B-4AD5-81B9-5423453C223B}" name="Columna10317" dataDxfId="6095"/>
    <tableColumn id="10324" xr3:uid="{E82A4B64-20E9-4F84-8429-E2FB78CC846B}" name="Columna10318" dataDxfId="6094"/>
    <tableColumn id="10325" xr3:uid="{52F294A6-C178-4D90-AB9E-3704936D9657}" name="Columna10319" dataDxfId="6093"/>
    <tableColumn id="10326" xr3:uid="{DFDE0A45-056C-49C6-967B-909DCC39B01D}" name="Columna10320" dataDxfId="6092"/>
    <tableColumn id="10327" xr3:uid="{EFD6B1D6-E05C-4BA0-AC78-61297B97DB96}" name="Columna10321" dataDxfId="6091"/>
    <tableColumn id="10328" xr3:uid="{B958D6DF-7886-4249-BDE1-022B5712CF56}" name="Columna10322" dataDxfId="6090"/>
    <tableColumn id="10329" xr3:uid="{CABC47F6-7068-46DD-979D-816923A66FDE}" name="Columna10323" dataDxfId="6089"/>
    <tableColumn id="10330" xr3:uid="{C700E534-F5D8-416F-854A-87D5C7856513}" name="Columna10324" dataDxfId="6088"/>
    <tableColumn id="10331" xr3:uid="{3B7501AE-8D90-41FE-8BDE-CB4268BD1A8B}" name="Columna10325" dataDxfId="6087"/>
    <tableColumn id="10332" xr3:uid="{5F5A33F0-40A7-47A5-8F84-B902162DC652}" name="Columna10326" dataDxfId="6086"/>
    <tableColumn id="10333" xr3:uid="{F3687B12-8312-4FD2-AA74-879989558DB6}" name="Columna10327" dataDxfId="6085"/>
    <tableColumn id="10334" xr3:uid="{4A9C55DF-552C-4028-820F-DFE558F6AEC5}" name="Columna10328" dataDxfId="6084"/>
    <tableColumn id="10335" xr3:uid="{388640BE-D86C-49D8-B4E7-2FC6E48049A0}" name="Columna10329" dataDxfId="6083"/>
    <tableColumn id="10336" xr3:uid="{98D88032-B489-47DE-BB2E-6EFE02A4421C}" name="Columna10330" dataDxfId="6082"/>
    <tableColumn id="10337" xr3:uid="{1CB92B1E-A297-4818-9C08-CD799DEE3A38}" name="Columna10331" dataDxfId="6081"/>
    <tableColumn id="10338" xr3:uid="{810D8D3F-9195-43C8-9445-0D4341D52378}" name="Columna10332" dataDxfId="6080"/>
    <tableColumn id="10339" xr3:uid="{382B6256-13B4-4CD6-96CA-AEBEA0A1975B}" name="Columna10333" dataDxfId="6079"/>
    <tableColumn id="10340" xr3:uid="{4DDEB231-2E72-4F21-A70D-D23D65D94340}" name="Columna10334" dataDxfId="6078"/>
    <tableColumn id="10341" xr3:uid="{DB958554-20ED-4568-9269-2F3A245E3B52}" name="Columna10335" dataDxfId="6077"/>
    <tableColumn id="10342" xr3:uid="{96C59957-3E63-419C-8EC9-9A8768020E69}" name="Columna10336" dataDxfId="6076"/>
    <tableColumn id="10343" xr3:uid="{CD4E0DE7-E13A-48C8-A212-65DAC1BDFF5D}" name="Columna10337" dataDxfId="6075"/>
    <tableColumn id="10344" xr3:uid="{2BF4E44E-D3F0-428F-BBB6-52422585F211}" name="Columna10338" dataDxfId="6074"/>
    <tableColumn id="10345" xr3:uid="{C620030D-83A1-46D5-BE42-100933052DD2}" name="Columna10339" dataDxfId="6073"/>
    <tableColumn id="10346" xr3:uid="{435AFDFC-004E-4968-ABA2-B0A0C7ED2A43}" name="Columna10340" dataDxfId="6072"/>
    <tableColumn id="10347" xr3:uid="{1C37E98C-9147-4770-974C-5E5DBBA4BF3D}" name="Columna10341" dataDxfId="6071"/>
    <tableColumn id="10348" xr3:uid="{1863989E-22E2-44A8-94AD-97C4D483D231}" name="Columna10342" dataDxfId="6070"/>
    <tableColumn id="10349" xr3:uid="{3EE650F8-C10B-419F-BD68-2A9C87B31B32}" name="Columna10343" dataDxfId="6069"/>
    <tableColumn id="10350" xr3:uid="{D69051DA-CCDD-4D04-89B3-B9E2AF868554}" name="Columna10344" dataDxfId="6068"/>
    <tableColumn id="10351" xr3:uid="{F4F0CCFA-1D51-4825-AFAA-00CA6E76794C}" name="Columna10345" dataDxfId="6067"/>
    <tableColumn id="10352" xr3:uid="{74B40220-661F-4085-A27A-FDAB3DD31907}" name="Columna10346" dataDxfId="6066"/>
    <tableColumn id="10353" xr3:uid="{07BCA9C5-58E5-40E4-ABB7-FAD6A1603B19}" name="Columna10347" dataDxfId="6065"/>
    <tableColumn id="10354" xr3:uid="{90057DC1-DE48-4A28-89AC-174F16E48864}" name="Columna10348" dataDxfId="6064"/>
    <tableColumn id="10355" xr3:uid="{7D42C19C-D91D-4C62-9B75-D86D845747D7}" name="Columna10349" dataDxfId="6063"/>
    <tableColumn id="10356" xr3:uid="{2CE2AAD9-3246-42F1-86F6-3AFCC10D3874}" name="Columna10350" dataDxfId="6062"/>
    <tableColumn id="10357" xr3:uid="{FD9182AF-BDB9-412D-8333-617C2A19D38B}" name="Columna10351" dataDxfId="6061"/>
    <tableColumn id="10358" xr3:uid="{18C5D19C-BEAF-4F3F-946F-683EA447A81D}" name="Columna10352" dataDxfId="6060"/>
    <tableColumn id="10359" xr3:uid="{5D8F2570-C000-4944-BCF7-BCA22A5BABE5}" name="Columna10353" dataDxfId="6059"/>
    <tableColumn id="10360" xr3:uid="{7F46A7C5-4291-470A-8893-9E2C4920DBAC}" name="Columna10354" dataDxfId="6058"/>
    <tableColumn id="10361" xr3:uid="{9E66EEA2-AA2A-48CF-960D-BFE67F510757}" name="Columna10355" dataDxfId="6057"/>
    <tableColumn id="10362" xr3:uid="{2E49036D-C792-4F79-8658-62501E174C04}" name="Columna10356" dataDxfId="6056"/>
    <tableColumn id="10363" xr3:uid="{F1F42AFF-FC44-4D4A-9CB9-64F03E2361D6}" name="Columna10357" dataDxfId="6055"/>
    <tableColumn id="10364" xr3:uid="{A6D4F2A5-4BCA-479F-875D-2E8FFB95073A}" name="Columna10358" dataDxfId="6054"/>
    <tableColumn id="10365" xr3:uid="{B887D711-278F-411D-BA94-AE643AF46A7B}" name="Columna10359" dataDxfId="6053"/>
    <tableColumn id="10366" xr3:uid="{7D9DFAE8-159B-44C5-AC82-59380BBA715B}" name="Columna10360" dataDxfId="6052"/>
    <tableColumn id="10367" xr3:uid="{F751C953-4B26-4F66-B76E-46221FE86871}" name="Columna10361" dataDxfId="6051"/>
    <tableColumn id="10368" xr3:uid="{2FE17C70-5206-4ACF-A816-E25EEC95156B}" name="Columna10362" dataDxfId="6050"/>
    <tableColumn id="10369" xr3:uid="{3115792D-82A7-4AB7-9811-5FBAADC3B4F2}" name="Columna10363" dataDxfId="6049"/>
    <tableColumn id="10370" xr3:uid="{24AC3C99-0187-4822-8C4F-68C29FA5DF0B}" name="Columna10364" dataDxfId="6048"/>
    <tableColumn id="10371" xr3:uid="{8612E7FA-87E8-48C6-9937-DF1C3360FDCD}" name="Columna10365" dataDxfId="6047"/>
    <tableColumn id="10372" xr3:uid="{6F8E7352-27A2-41D6-BDCB-52E320164F6F}" name="Columna10366" dataDxfId="6046"/>
    <tableColumn id="10373" xr3:uid="{4BB3B99F-101D-4C04-A435-807D4CCE3773}" name="Columna10367" dataDxfId="6045"/>
    <tableColumn id="10374" xr3:uid="{B978C053-E67A-49C6-85F0-4CB485E31155}" name="Columna10368" dataDxfId="6044"/>
    <tableColumn id="10375" xr3:uid="{12E08EB4-05BE-4172-A7DB-315FF28092D3}" name="Columna10369" dataDxfId="6043"/>
    <tableColumn id="10376" xr3:uid="{76DB0B9E-5029-475A-BD6A-ED3D74A83CAF}" name="Columna10370" dataDxfId="6042"/>
    <tableColumn id="10377" xr3:uid="{FF7FA352-9BC3-48BC-9655-D66F3937BC38}" name="Columna10371" dataDxfId="6041"/>
    <tableColumn id="10378" xr3:uid="{D4AED357-0878-4BB3-93E9-D05436AAC02C}" name="Columna10372" dataDxfId="6040"/>
    <tableColumn id="10379" xr3:uid="{C91DB4DA-B741-4FFE-8D14-145E1D0B16B3}" name="Columna10373" dataDxfId="6039"/>
    <tableColumn id="10380" xr3:uid="{B1B27CCC-6715-42DC-9008-A346D5B9F3A7}" name="Columna10374" dataDxfId="6038"/>
    <tableColumn id="10381" xr3:uid="{B168585E-99FD-4CB8-B3CB-2EDC4E4F8782}" name="Columna10375" dataDxfId="6037"/>
    <tableColumn id="10382" xr3:uid="{B913232F-D22F-4F05-9A48-CCAAE54AB60D}" name="Columna10376" dataDxfId="6036"/>
    <tableColumn id="10383" xr3:uid="{BE2E3924-F8B1-4F48-81D2-6824D45A1850}" name="Columna10377" dataDxfId="6035"/>
    <tableColumn id="10384" xr3:uid="{924D869D-8116-43A7-BA46-9AF3E7F80531}" name="Columna10378" dataDxfId="6034"/>
    <tableColumn id="10385" xr3:uid="{7C787762-CC39-4175-90BA-59077C481BF5}" name="Columna10379" dataDxfId="6033"/>
    <tableColumn id="10386" xr3:uid="{5F90C10E-3E8A-404D-8ACC-D00D5B12CAA6}" name="Columna10380" dataDxfId="6032"/>
    <tableColumn id="10387" xr3:uid="{42866059-5A65-42C2-B50F-CA2A28BF8F75}" name="Columna10381" dataDxfId="6031"/>
    <tableColumn id="10388" xr3:uid="{FD216EF9-74D4-4264-B413-3300CB287A9A}" name="Columna10382" dataDxfId="6030"/>
    <tableColumn id="10389" xr3:uid="{02EB1FF3-B78B-483C-8012-1DA938CEAF58}" name="Columna10383" dataDxfId="6029"/>
    <tableColumn id="10390" xr3:uid="{0F907AED-7A0D-42BF-A72A-9DBA239549D0}" name="Columna10384" dataDxfId="6028"/>
    <tableColumn id="10391" xr3:uid="{DED20494-AD81-40EE-B9AE-E935ADF3CDCD}" name="Columna10385" dataDxfId="6027"/>
    <tableColumn id="10392" xr3:uid="{174F3A58-37AD-4E6F-9F3D-2014C0B18EF7}" name="Columna10386" dataDxfId="6026"/>
    <tableColumn id="10393" xr3:uid="{D563753D-EEB8-40AD-B3BA-39869010A669}" name="Columna10387" dataDxfId="6025"/>
    <tableColumn id="10394" xr3:uid="{CCD2E02D-8596-4C00-BD59-239685F32321}" name="Columna10388" dataDxfId="6024"/>
    <tableColumn id="10395" xr3:uid="{7802BF46-56CB-49F1-B259-A132353E475D}" name="Columna10389" dataDxfId="6023"/>
    <tableColumn id="10396" xr3:uid="{3B4EA6BF-46DB-48AD-9DFC-DEBD858099CE}" name="Columna10390" dataDxfId="6022"/>
    <tableColumn id="10397" xr3:uid="{AB0CAE2E-C32F-4369-919B-9A36B313F91D}" name="Columna10391" dataDxfId="6021"/>
    <tableColumn id="10398" xr3:uid="{F8726C4D-C8E7-4486-AEE3-EAAA62519CDA}" name="Columna10392" dataDxfId="6020"/>
    <tableColumn id="10399" xr3:uid="{1BBDBE07-78C7-4CB1-A8B1-34AC6DFDF7C9}" name="Columna10393" dataDxfId="6019"/>
    <tableColumn id="10400" xr3:uid="{11DF99B6-1808-43A8-8755-371E5F360738}" name="Columna10394" dataDxfId="6018"/>
    <tableColumn id="10401" xr3:uid="{93D67063-2860-4D7C-8F1A-584FDA2B2046}" name="Columna10395" dataDxfId="6017"/>
    <tableColumn id="10402" xr3:uid="{DAD25E1C-B30C-4A96-BF02-DEBCDEEEC7D9}" name="Columna10396" dataDxfId="6016"/>
    <tableColumn id="10403" xr3:uid="{49FF98E3-D936-488A-A923-917A6E35C000}" name="Columna10397" dataDxfId="6015"/>
    <tableColumn id="10404" xr3:uid="{52CBFD3C-D79C-4D8B-B124-E02C3186810A}" name="Columna10398" dataDxfId="6014"/>
    <tableColumn id="10405" xr3:uid="{9A162776-DE77-4FE6-B314-25C310616CDB}" name="Columna10399" dataDxfId="6013"/>
    <tableColumn id="10406" xr3:uid="{0BEC346A-5A35-44EB-B32F-BC6B144658DC}" name="Columna10400" dataDxfId="6012"/>
    <tableColumn id="10407" xr3:uid="{BA423667-42CE-466B-BFCA-4F5D4EBB1787}" name="Columna10401" dataDxfId="6011"/>
    <tableColumn id="10408" xr3:uid="{BDB5E61F-88D0-4045-B242-D078907B326E}" name="Columna10402" dataDxfId="6010"/>
    <tableColumn id="10409" xr3:uid="{930FDC6F-7932-4BD8-8D04-B99A15873A3D}" name="Columna10403" dataDxfId="6009"/>
    <tableColumn id="10410" xr3:uid="{AC51F079-647F-4E0B-B2AA-ED87514834A8}" name="Columna10404" dataDxfId="6008"/>
    <tableColumn id="10411" xr3:uid="{21CCB5D8-6422-4718-8A62-706157A3E4F3}" name="Columna10405" dataDxfId="6007"/>
    <tableColumn id="10412" xr3:uid="{A5596FB4-6AF5-4FE6-B423-26B808D90D2D}" name="Columna10406" dataDxfId="6006"/>
    <tableColumn id="10413" xr3:uid="{792BCF2B-85C9-4F8F-90A8-200B973C2ED9}" name="Columna10407" dataDxfId="6005"/>
    <tableColumn id="10414" xr3:uid="{77F2D1A0-C2F6-4A6D-A0D7-1C94FA5D89F3}" name="Columna10408" dataDxfId="6004"/>
    <tableColumn id="10415" xr3:uid="{B7E8FDD6-F2E3-4C52-A644-A13BAC2F9D17}" name="Columna10409" dataDxfId="6003"/>
    <tableColumn id="10416" xr3:uid="{6CE6C5C0-794F-4E8B-9643-166F5E05364B}" name="Columna10410" dataDxfId="6002"/>
    <tableColumn id="10417" xr3:uid="{3B0DBD0A-3183-4451-A934-76C81EAC19CA}" name="Columna10411" dataDxfId="6001"/>
    <tableColumn id="10418" xr3:uid="{68336799-B171-44D7-8314-DFFA9A5E9256}" name="Columna10412" dataDxfId="6000"/>
    <tableColumn id="10419" xr3:uid="{1062B269-FB3B-4F9B-A832-C5773A614018}" name="Columna10413" dataDxfId="5999"/>
    <tableColumn id="10420" xr3:uid="{0C62DFC5-9205-4AA0-8BB4-5B65AC54BE17}" name="Columna10414" dataDxfId="5998"/>
    <tableColumn id="10421" xr3:uid="{945ACA2F-9F49-4826-BBC7-4B9472CE7DDE}" name="Columna10415" dataDxfId="5997"/>
    <tableColumn id="10422" xr3:uid="{E63F9C1E-9D0C-4C8E-B940-75DE9B064DCF}" name="Columna10416" dataDxfId="5996"/>
    <tableColumn id="10423" xr3:uid="{F09BD3E1-5860-43D1-A3E2-B00FD4F1D894}" name="Columna10417" dataDxfId="5995"/>
    <tableColumn id="10424" xr3:uid="{FDC2EE70-9A96-417E-B77C-C9E0345E060A}" name="Columna10418" dataDxfId="5994"/>
    <tableColumn id="10425" xr3:uid="{FF668859-0EE2-4AD4-B573-594461D9F39A}" name="Columna10419" dataDxfId="5993"/>
    <tableColumn id="10426" xr3:uid="{6D8369ED-0275-49B0-9E97-332CE656ADB0}" name="Columna10420" dataDxfId="5992"/>
    <tableColumn id="10427" xr3:uid="{FEC7E643-DA6E-4736-9A67-A1A2C40AF8C5}" name="Columna10421" dataDxfId="5991"/>
    <tableColumn id="10428" xr3:uid="{5566081C-4276-4093-A722-96EC23C82C52}" name="Columna10422" dataDxfId="5990"/>
    <tableColumn id="10429" xr3:uid="{BF882713-6B09-4612-BC26-5E4DFBE187BB}" name="Columna10423" dataDxfId="5989"/>
    <tableColumn id="10430" xr3:uid="{B9B079D9-0328-4FFE-BD8E-FFE38E2D0150}" name="Columna10424" dataDxfId="5988"/>
    <tableColumn id="10431" xr3:uid="{D1656F0D-DAD8-46F9-8B92-8B861165DF62}" name="Columna10425" dataDxfId="5987"/>
    <tableColumn id="10432" xr3:uid="{7B314F50-1F52-478B-899A-659545675F00}" name="Columna10426" dataDxfId="5986"/>
    <tableColumn id="10433" xr3:uid="{AF5B59AB-34D1-4E17-8113-A0D9CFB20D00}" name="Columna10427" dataDxfId="5985"/>
    <tableColumn id="10434" xr3:uid="{AF21F032-8E21-46D7-B438-44D98CF00564}" name="Columna10428" dataDxfId="5984"/>
    <tableColumn id="10435" xr3:uid="{4BF5CFA0-214E-4F92-B40F-BF94F81AD368}" name="Columna10429" dataDxfId="5983"/>
    <tableColumn id="10436" xr3:uid="{E630EC03-C43F-4514-8179-24BFDE04E047}" name="Columna10430" dataDxfId="5982"/>
    <tableColumn id="10437" xr3:uid="{32C01EA6-F9E8-4DFB-9F95-9762E6C32C24}" name="Columna10431" dataDxfId="5981"/>
    <tableColumn id="10438" xr3:uid="{0704FE81-86EA-439C-A933-DB946C79273F}" name="Columna10432" dataDxfId="5980"/>
    <tableColumn id="10439" xr3:uid="{D8082F8B-CE70-4BCE-B72B-6B18695B62B7}" name="Columna10433" dataDxfId="5979"/>
    <tableColumn id="10440" xr3:uid="{AD40B9F7-DCA0-47CF-8B1A-81FDE506F16D}" name="Columna10434" dataDxfId="5978"/>
    <tableColumn id="10441" xr3:uid="{6D3FB23D-0C8A-4635-AFF9-223724078FA2}" name="Columna10435" dataDxfId="5977"/>
    <tableColumn id="10442" xr3:uid="{FE571DFD-0B77-41B8-B208-D741A13482C7}" name="Columna10436" dataDxfId="5976"/>
    <tableColumn id="10443" xr3:uid="{1E763156-2E3D-4D06-B6A0-01B1C0FE6571}" name="Columna10437" dataDxfId="5975"/>
    <tableColumn id="10444" xr3:uid="{A6B1E417-D494-4CF5-93EF-5073ED23D89D}" name="Columna10438" dataDxfId="5974"/>
    <tableColumn id="10445" xr3:uid="{18B42402-C486-4358-A323-2B624909C633}" name="Columna10439" dataDxfId="5973"/>
    <tableColumn id="10446" xr3:uid="{9C6C7F7E-454A-4760-ABDA-0EE031C6D862}" name="Columna10440" dataDxfId="5972"/>
    <tableColumn id="10447" xr3:uid="{F1C49736-5829-4256-B884-320A9167BE67}" name="Columna10441" dataDxfId="5971"/>
    <tableColumn id="10448" xr3:uid="{4DC108F1-D34C-4CC2-81B0-EADFEE139142}" name="Columna10442" dataDxfId="5970"/>
    <tableColumn id="10449" xr3:uid="{8B6393A6-B52F-4ABA-A997-3F1ABFEDAFC4}" name="Columna10443" dataDxfId="5969"/>
    <tableColumn id="10450" xr3:uid="{52A2D906-1D7A-490A-8408-811A489CACA1}" name="Columna10444" dataDxfId="5968"/>
    <tableColumn id="10451" xr3:uid="{9F2F040B-4A59-4C2A-8997-E03BBBD54E96}" name="Columna10445" dataDxfId="5967"/>
    <tableColumn id="10452" xr3:uid="{FAB73FAC-3E45-422E-B39C-26E25600421D}" name="Columna10446" dataDxfId="5966"/>
    <tableColumn id="10453" xr3:uid="{6934A420-6350-41A7-970A-F92B0CB41B5C}" name="Columna10447" dataDxfId="5965"/>
    <tableColumn id="10454" xr3:uid="{17F78768-C70C-44B3-9852-2741C30A4405}" name="Columna10448" dataDxfId="5964"/>
    <tableColumn id="10455" xr3:uid="{F98D2873-1829-4FDE-98A1-D27AEA8C7BCD}" name="Columna10449" dataDxfId="5963"/>
    <tableColumn id="10456" xr3:uid="{8DBA1F84-17FD-4C6C-81A1-A4FDF93E26DF}" name="Columna10450" dataDxfId="5962"/>
    <tableColumn id="10457" xr3:uid="{CC2CE46A-0C12-4D21-9E3A-10390F7018CA}" name="Columna10451" dataDxfId="5961"/>
    <tableColumn id="10458" xr3:uid="{3BEFFEE7-E718-4A5E-B45A-BC2C14684269}" name="Columna10452" dataDxfId="5960"/>
    <tableColumn id="10459" xr3:uid="{E64D457D-6AFB-4388-A290-59B4DF7FAD30}" name="Columna10453" dataDxfId="5959"/>
    <tableColumn id="10460" xr3:uid="{3D392109-C0D8-4562-B61D-24DD8F1312AE}" name="Columna10454" dataDxfId="5958"/>
    <tableColumn id="10461" xr3:uid="{331E18E1-7F25-45CF-8626-E7BCCB85C5B1}" name="Columna10455" dataDxfId="5957"/>
    <tableColumn id="10462" xr3:uid="{18537321-4A8B-4AC5-A723-1720E0405A08}" name="Columna10456" dataDxfId="5956"/>
    <tableColumn id="10463" xr3:uid="{A3B1A60E-78A1-401D-B3EA-E63E268E811A}" name="Columna10457" dataDxfId="5955"/>
    <tableColumn id="10464" xr3:uid="{AEEF306F-1BC2-42FE-A2B9-712BBC60A77E}" name="Columna10458" dataDxfId="5954"/>
    <tableColumn id="10465" xr3:uid="{FF9524A3-3ADA-4D53-BEAB-73DE87ECA4BF}" name="Columna10459" dataDxfId="5953"/>
    <tableColumn id="10466" xr3:uid="{A9839A26-D06D-4E8A-B1A5-A92D929D3BB2}" name="Columna10460" dataDxfId="5952"/>
    <tableColumn id="10467" xr3:uid="{0018E04E-DAC4-4B1A-9E9A-7EE79A854ADA}" name="Columna10461" dataDxfId="5951"/>
    <tableColumn id="10468" xr3:uid="{FD9CBD2C-56FE-46F5-83E1-48DF3714FF33}" name="Columna10462" dataDxfId="5950"/>
    <tableColumn id="10469" xr3:uid="{5EA0B1E9-AA0A-4443-B6AC-F90F26B31379}" name="Columna10463" dataDxfId="5949"/>
    <tableColumn id="10470" xr3:uid="{B4439040-2FB6-4AF5-9B30-083DF3B4BADA}" name="Columna10464" dataDxfId="5948"/>
    <tableColumn id="10471" xr3:uid="{B1E8968A-FD7D-4065-AB29-6FD4BC66879B}" name="Columna10465" dataDxfId="5947"/>
    <tableColumn id="10472" xr3:uid="{4C4AC5A8-35F6-47F3-80CF-67F433C4BBC7}" name="Columna10466" dataDxfId="5946"/>
    <tableColumn id="10473" xr3:uid="{AA953310-5817-4DE2-8E01-2CFC78C0EB7D}" name="Columna10467" dataDxfId="5945"/>
    <tableColumn id="10474" xr3:uid="{0E47EED5-1BCF-4125-B1D9-2AE673C7377A}" name="Columna10468" dataDxfId="5944"/>
    <tableColumn id="10475" xr3:uid="{0A2683A5-0D32-453B-BA6C-F90961E8196F}" name="Columna10469" dataDxfId="5943"/>
    <tableColumn id="10476" xr3:uid="{2B1C6564-9722-4DCE-AF53-CC20E2EF4AEB}" name="Columna10470" dataDxfId="5942"/>
    <tableColumn id="10477" xr3:uid="{9EC74D56-6287-47CA-8A4B-F39A0247D5BC}" name="Columna10471" dataDxfId="5941"/>
    <tableColumn id="10478" xr3:uid="{BC69F659-A440-4387-8583-BA000BDACDFF}" name="Columna10472" dataDxfId="5940"/>
    <tableColumn id="10479" xr3:uid="{5630C079-5077-4C3D-8EF9-12747D4E7869}" name="Columna10473" dataDxfId="5939"/>
    <tableColumn id="10480" xr3:uid="{FB68785B-62BD-4A32-A3AE-1FB4E08CA4A5}" name="Columna10474" dataDxfId="5938"/>
    <tableColumn id="10481" xr3:uid="{583E1A64-7C22-4C0C-87A0-258996260517}" name="Columna10475" dataDxfId="5937"/>
    <tableColumn id="10482" xr3:uid="{5D00E8D3-AD79-4D94-93B7-411BA7D80F92}" name="Columna10476" dataDxfId="5936"/>
    <tableColumn id="10483" xr3:uid="{EDF8FFCD-03B0-42B4-BDA3-A521DE4F96CD}" name="Columna10477" dataDxfId="5935"/>
    <tableColumn id="10484" xr3:uid="{3E6DCE3E-6001-4499-A471-EBA29BA4DC7D}" name="Columna10478" dataDxfId="5934"/>
    <tableColumn id="10485" xr3:uid="{CF689E47-A4D2-49B6-A4D8-81B44411DE9F}" name="Columna10479" dataDxfId="5933"/>
    <tableColumn id="10486" xr3:uid="{9CB24380-87C1-4005-A6DC-B3B5C0FC2637}" name="Columna10480" dataDxfId="5932"/>
    <tableColumn id="10487" xr3:uid="{B596B4F8-AFD8-44B8-A0E1-90D37F5C03EF}" name="Columna10481" dataDxfId="5931"/>
    <tableColumn id="10488" xr3:uid="{31B1ABFA-5DA1-4F1A-BD3A-D553BA549F87}" name="Columna10482" dataDxfId="5930"/>
    <tableColumn id="10489" xr3:uid="{A74D5415-F975-41F3-B9FC-8971A86399C6}" name="Columna10483" dataDxfId="5929"/>
    <tableColumn id="10490" xr3:uid="{647782F4-BD81-4941-82E0-6D2FBA413095}" name="Columna10484" dataDxfId="5928"/>
    <tableColumn id="10491" xr3:uid="{B1BFEDC5-C8FB-4E59-B985-B7F7185B5DCC}" name="Columna10485" dataDxfId="5927"/>
    <tableColumn id="10492" xr3:uid="{F20A407F-1B12-4212-BE6A-8B09A6A645F0}" name="Columna10486" dataDxfId="5926"/>
    <tableColumn id="10493" xr3:uid="{B00A51A0-C5A9-4DF8-ACBF-519272EA0AB6}" name="Columna10487" dataDxfId="5925"/>
    <tableColumn id="10494" xr3:uid="{0D199E5A-9F99-484E-9236-504ABD682F69}" name="Columna10488" dataDxfId="5924"/>
    <tableColumn id="10495" xr3:uid="{26888409-7B18-4C5F-A8AC-B077E0BA9FF6}" name="Columna10489" dataDxfId="5923"/>
    <tableColumn id="10496" xr3:uid="{A4572EB3-A291-4DC6-83C1-9C04C45AE8AD}" name="Columna10490" dataDxfId="5922"/>
    <tableColumn id="10497" xr3:uid="{A1AC0091-63EF-4E65-BC71-E34986BF8F89}" name="Columna10491" dataDxfId="5921"/>
    <tableColumn id="10498" xr3:uid="{5B0E443F-A621-4128-92E4-BF1FFD574828}" name="Columna10492" dataDxfId="5920"/>
    <tableColumn id="10499" xr3:uid="{CF38D972-C55B-40C6-878A-796744AF8422}" name="Columna10493" dataDxfId="5919"/>
    <tableColumn id="10500" xr3:uid="{B8267FD9-5028-4029-94FC-C9A9E965F218}" name="Columna10494" dataDxfId="5918"/>
    <tableColumn id="10501" xr3:uid="{F92E0877-6E4B-4E39-BD29-DED5A88C38DF}" name="Columna10495" dataDxfId="5917"/>
    <tableColumn id="10502" xr3:uid="{1C50C6E9-CDB1-4EFA-81C7-FF6137DEBD71}" name="Columna10496" dataDxfId="5916"/>
    <tableColumn id="10503" xr3:uid="{245D240C-70ED-4944-A738-810CCFFD643D}" name="Columna10497" dataDxfId="5915"/>
    <tableColumn id="10504" xr3:uid="{518565F2-7E4A-4581-9505-35646BCE709E}" name="Columna10498" dataDxfId="5914"/>
    <tableColumn id="10505" xr3:uid="{1C885674-9611-4612-B37E-0A61C022E235}" name="Columna10499" dataDxfId="5913"/>
    <tableColumn id="10506" xr3:uid="{BEBBC6FB-102E-4AC6-870C-04AD33FB0065}" name="Columna10500" dataDxfId="5912"/>
    <tableColumn id="10507" xr3:uid="{14BBAF88-A10D-40BC-8EED-9A7DC46A5F44}" name="Columna10501" dataDxfId="5911"/>
    <tableColumn id="10508" xr3:uid="{A4CE6716-5156-43A9-824A-BBC56679923B}" name="Columna10502" dataDxfId="5910"/>
    <tableColumn id="10509" xr3:uid="{7611192D-BF9E-4178-8BBF-03E3F22CB146}" name="Columna10503" dataDxfId="5909"/>
    <tableColumn id="10510" xr3:uid="{F8CD31DF-E334-48A7-A46E-5E4B57E68F99}" name="Columna10504" dataDxfId="5908"/>
    <tableColumn id="10511" xr3:uid="{29E9D302-824C-425E-B523-2F4E0CEC384B}" name="Columna10505" dataDxfId="5907"/>
    <tableColumn id="10512" xr3:uid="{FE5FC40F-4F77-4DF9-B55D-A3164A057AFB}" name="Columna10506" dataDxfId="5906"/>
    <tableColumn id="10513" xr3:uid="{1FB50FC2-8F13-4EF2-84AA-3418A2CE43B9}" name="Columna10507" dataDxfId="5905"/>
    <tableColumn id="10514" xr3:uid="{96EFA4FB-8E76-40DE-B880-CD256F1689E0}" name="Columna10508" dataDxfId="5904"/>
    <tableColumn id="10515" xr3:uid="{3880C60E-269F-4DF9-9E09-786083BBE0C2}" name="Columna10509" dataDxfId="5903"/>
    <tableColumn id="10516" xr3:uid="{4F3E5C36-6A2B-4D85-8E73-97B10ABC2B60}" name="Columna10510" dataDxfId="5902"/>
    <tableColumn id="10517" xr3:uid="{DEA6DF41-77CE-4B73-88BB-D14DFA2EC049}" name="Columna10511" dataDxfId="5901"/>
    <tableColumn id="10518" xr3:uid="{1AD2E2BC-22C4-422E-9B6F-BD0BB5AB87BE}" name="Columna10512" dataDxfId="5900"/>
    <tableColumn id="10519" xr3:uid="{AC572740-E3EA-49F7-90C1-C21749256310}" name="Columna10513" dataDxfId="5899"/>
    <tableColumn id="10520" xr3:uid="{A1F1CA24-81CD-4016-8E6B-EF8FB51CED76}" name="Columna10514" dataDxfId="5898"/>
    <tableColumn id="10521" xr3:uid="{896318F4-6132-4283-824C-691657553667}" name="Columna10515" dataDxfId="5897"/>
    <tableColumn id="10522" xr3:uid="{BF7AD47E-03DC-48D0-9321-BA3FEE7B87E8}" name="Columna10516" dataDxfId="5896"/>
    <tableColumn id="10523" xr3:uid="{9797991F-564B-4404-9945-E16DE2999F8E}" name="Columna10517" dataDxfId="5895"/>
    <tableColumn id="10524" xr3:uid="{072CFFDC-749C-47CB-94D5-DA78E11A0370}" name="Columna10518" dataDxfId="5894"/>
    <tableColumn id="10525" xr3:uid="{FE8A63D7-98C8-4E06-88C5-3BBFE3F48BAD}" name="Columna10519" dataDxfId="5893"/>
    <tableColumn id="10526" xr3:uid="{C27A17B8-6892-47A4-B696-B25760105AD3}" name="Columna10520" dataDxfId="5892"/>
    <tableColumn id="10527" xr3:uid="{D819AC50-B58B-4212-852E-4E6B6F1814DF}" name="Columna10521" dataDxfId="5891"/>
    <tableColumn id="10528" xr3:uid="{87A38776-6283-48A7-A3E8-599D04F9C3F3}" name="Columna10522" dataDxfId="5890"/>
    <tableColumn id="10529" xr3:uid="{C965A05A-B1E6-4A7E-92DE-93F13275E644}" name="Columna10523" dataDxfId="5889"/>
    <tableColumn id="10530" xr3:uid="{CA2C2E73-60C3-4F1D-AB67-F8211E27245D}" name="Columna10524" dataDxfId="5888"/>
    <tableColumn id="10531" xr3:uid="{6D345BC5-B502-4F7F-BDF6-E6639FFEAFA3}" name="Columna10525" dataDxfId="5887"/>
    <tableColumn id="10532" xr3:uid="{6554C8DA-EC4A-4FAD-AF04-B9E17393CB92}" name="Columna10526" dataDxfId="5886"/>
    <tableColumn id="10533" xr3:uid="{FFBDBD06-6E06-4B43-99F8-4E2315EF7F22}" name="Columna10527" dataDxfId="5885"/>
    <tableColumn id="10534" xr3:uid="{4AA02491-593F-44EC-A7E1-6EC0719FFCCB}" name="Columna10528" dataDxfId="5884"/>
    <tableColumn id="10535" xr3:uid="{20337729-F18C-4C6F-BB12-E19BCE180DAB}" name="Columna10529" dataDxfId="5883"/>
    <tableColumn id="10536" xr3:uid="{FEF562A1-BEA9-4924-8E4F-857E95111469}" name="Columna10530" dataDxfId="5882"/>
    <tableColumn id="10537" xr3:uid="{16B4EF8D-D769-4A0C-831B-D3C66E2D8BF9}" name="Columna10531" dataDxfId="5881"/>
    <tableColumn id="10538" xr3:uid="{6CECAD07-1CAF-4DFC-A9C3-3654EB0DBFF9}" name="Columna10532" dataDxfId="5880"/>
    <tableColumn id="10539" xr3:uid="{4063B317-A97B-4888-B33B-E285B6DE3B91}" name="Columna10533" dataDxfId="5879"/>
    <tableColumn id="10540" xr3:uid="{12D9B4D8-259B-4427-9A9A-77CEBAA86119}" name="Columna10534" dataDxfId="5878"/>
    <tableColumn id="10541" xr3:uid="{5184D844-AD1B-4A31-BEB7-F6DAFD2049DE}" name="Columna10535" dataDxfId="5877"/>
    <tableColumn id="10542" xr3:uid="{FF29A5DD-6005-4E00-BDED-6393BA03A0D2}" name="Columna10536" dataDxfId="5876"/>
    <tableColumn id="10543" xr3:uid="{A44A3176-F86A-4CDF-80EB-3875046A879D}" name="Columna10537" dataDxfId="5875"/>
    <tableColumn id="10544" xr3:uid="{7D46EB38-2C47-4344-8395-63A084D7C30E}" name="Columna10538" dataDxfId="5874"/>
    <tableColumn id="10545" xr3:uid="{D169A372-3330-451E-80C9-7FD98CD54E26}" name="Columna10539" dataDxfId="5873"/>
    <tableColumn id="10546" xr3:uid="{1194B1B6-BA39-4D82-96E3-832FC4E1EBCA}" name="Columna10540" dataDxfId="5872"/>
    <tableColumn id="10547" xr3:uid="{0BC11573-DE4D-401B-A6C4-0AA521EE2158}" name="Columna10541" dataDxfId="5871"/>
    <tableColumn id="10548" xr3:uid="{34CAB0D2-B03B-4BCD-9DCE-55C54ED8CEF5}" name="Columna10542" dataDxfId="5870"/>
    <tableColumn id="10549" xr3:uid="{4AF20B84-0962-4A63-A5CA-C89B45A4DFF8}" name="Columna10543" dataDxfId="5869"/>
    <tableColumn id="10550" xr3:uid="{4BEA5332-5ADB-4130-A32F-D33DA28608A1}" name="Columna10544" dataDxfId="5868"/>
    <tableColumn id="10551" xr3:uid="{4375A518-8344-479F-8B3C-B45B5BA01A4D}" name="Columna10545" dataDxfId="5867"/>
    <tableColumn id="10552" xr3:uid="{1360772D-0342-46DB-BBE8-8FB55CEDFDE8}" name="Columna10546" dataDxfId="5866"/>
    <tableColumn id="10553" xr3:uid="{D4F141A2-F909-4288-9087-341E780BD6C2}" name="Columna10547" dataDxfId="5865"/>
    <tableColumn id="10554" xr3:uid="{BCA37350-F815-4573-A011-8D7616C1B009}" name="Columna10548" dataDxfId="5864"/>
    <tableColumn id="10555" xr3:uid="{42339CC8-9255-4ED3-80C3-B593DD2A3E84}" name="Columna10549" dataDxfId="5863"/>
    <tableColumn id="10556" xr3:uid="{E3E4D625-E29F-4EFF-95F3-C5F97B89E731}" name="Columna10550" dataDxfId="5862"/>
    <tableColumn id="10557" xr3:uid="{EF989F03-0613-4098-8FB9-EDC26EE4CBB0}" name="Columna10551" dataDxfId="5861"/>
    <tableColumn id="10558" xr3:uid="{1CFBF502-BB88-43A9-9495-B23E1E1A8CE0}" name="Columna10552" dataDxfId="5860"/>
    <tableColumn id="10559" xr3:uid="{35D131E4-6D17-41A5-8C8B-C5BC4F90C723}" name="Columna10553" dataDxfId="5859"/>
    <tableColumn id="10560" xr3:uid="{B62DA9C9-627C-43F5-B140-BD3C043FC395}" name="Columna10554" dataDxfId="5858"/>
    <tableColumn id="10561" xr3:uid="{526BF8B6-F6CE-4415-875E-AAE0E42378BA}" name="Columna10555" dataDxfId="5857"/>
    <tableColumn id="10562" xr3:uid="{E8F5C664-B665-4B8E-B5C1-A6075FFA4B31}" name="Columna10556" dataDxfId="5856"/>
    <tableColumn id="10563" xr3:uid="{0E8AE5C6-7836-4A9A-81EC-67F33584D33A}" name="Columna10557" dataDxfId="5855"/>
    <tableColumn id="10564" xr3:uid="{9B16B284-5F68-4F5F-802D-F69ECE90187B}" name="Columna10558" dataDxfId="5854"/>
    <tableColumn id="10565" xr3:uid="{BF18AFC0-C1CC-4225-BBF8-B9C82E676337}" name="Columna10559" dataDxfId="5853"/>
    <tableColumn id="10566" xr3:uid="{E6C8080A-6096-417A-B9D4-73E42432220F}" name="Columna10560" dataDxfId="5852"/>
    <tableColumn id="10567" xr3:uid="{6E2536E4-A3B6-4A51-81B3-96BA35E842BF}" name="Columna10561" dataDxfId="5851"/>
    <tableColumn id="10568" xr3:uid="{2C4B6C4C-7AC2-433E-87B9-0B5C7AB22C67}" name="Columna10562" dataDxfId="5850"/>
    <tableColumn id="10569" xr3:uid="{53AACC76-0921-471C-A9F6-C470EE9D4095}" name="Columna10563" dataDxfId="5849"/>
    <tableColumn id="10570" xr3:uid="{ADBBAC94-DDAE-4B40-A3BD-9C785D0232CA}" name="Columna10564" dataDxfId="5848"/>
    <tableColumn id="10571" xr3:uid="{6EEDAA0A-513C-4071-8E91-887A5D773ADC}" name="Columna10565" dataDxfId="5847"/>
    <tableColumn id="10572" xr3:uid="{A660FBFB-4DE4-4711-ABED-58D1399B3600}" name="Columna10566" dataDxfId="5846"/>
    <tableColumn id="10573" xr3:uid="{8C0C4DDF-B604-458E-8DFC-F56D092262A5}" name="Columna10567" dataDxfId="5845"/>
    <tableColumn id="10574" xr3:uid="{DE55FDFE-BF27-4579-97C6-50B4320AAE6B}" name="Columna10568" dataDxfId="5844"/>
    <tableColumn id="10575" xr3:uid="{2320650D-3CAD-4E32-ABC0-AEE4538E9A74}" name="Columna10569" dataDxfId="5843"/>
    <tableColumn id="10576" xr3:uid="{50C0FBAC-EAAA-434D-8003-A91ACB9CE90D}" name="Columna10570" dataDxfId="5842"/>
    <tableColumn id="10577" xr3:uid="{3A81B7A3-C71D-453D-9981-61E7733FDB72}" name="Columna10571" dataDxfId="5841"/>
    <tableColumn id="10578" xr3:uid="{C127B9F0-6381-4030-BC47-3B4EB4958414}" name="Columna10572" dataDxfId="5840"/>
    <tableColumn id="10579" xr3:uid="{7856FBEE-DFBB-4065-B8FA-9E1F559C34DA}" name="Columna10573" dataDxfId="5839"/>
    <tableColumn id="10580" xr3:uid="{244C97A3-D499-4F1A-8423-79DB6D2711D0}" name="Columna10574" dataDxfId="5838"/>
    <tableColumn id="10581" xr3:uid="{3CCAF6E1-BB7A-45A0-849A-F228E99C4812}" name="Columna10575" dataDxfId="5837"/>
    <tableColumn id="10582" xr3:uid="{86DC4ABE-A429-4754-A9A8-D91EC9B56AC6}" name="Columna10576" dataDxfId="5836"/>
    <tableColumn id="10583" xr3:uid="{6C25D65B-C8CF-42EB-8D81-41F510CF701C}" name="Columna10577" dataDxfId="5835"/>
    <tableColumn id="10584" xr3:uid="{68D64738-89B9-4505-B4D6-F9D1AEAEDB6E}" name="Columna10578" dataDxfId="5834"/>
    <tableColumn id="10585" xr3:uid="{29B328B2-CEBA-4F6D-A16C-681A492B2FF6}" name="Columna10579" dataDxfId="5833"/>
    <tableColumn id="10586" xr3:uid="{AA87A0D4-B476-45B9-B196-75767B5D3BDA}" name="Columna10580" dataDxfId="5832"/>
    <tableColumn id="10587" xr3:uid="{AA2F63DE-2C0B-4E24-B16C-153E3B4A8D23}" name="Columna10581" dataDxfId="5831"/>
    <tableColumn id="10588" xr3:uid="{3D09F6FF-FDD2-4201-90A4-0DA23C565A92}" name="Columna10582" dataDxfId="5830"/>
    <tableColumn id="10589" xr3:uid="{4236BF88-FBC4-45D7-8690-4AA8113B287E}" name="Columna10583" dataDxfId="5829"/>
    <tableColumn id="10590" xr3:uid="{2B0C7875-27A1-48B2-9F89-67BDF740D570}" name="Columna10584" dataDxfId="5828"/>
    <tableColumn id="10591" xr3:uid="{39D150EE-C0D1-452B-BBA3-A521E15D2F6F}" name="Columna10585" dataDxfId="5827"/>
    <tableColumn id="10592" xr3:uid="{80264751-3F73-4809-9FAF-36BF15F217B7}" name="Columna10586" dataDxfId="5826"/>
    <tableColumn id="10593" xr3:uid="{768FEABB-5B1C-407C-AE80-B0A54388151F}" name="Columna10587" dataDxfId="5825"/>
    <tableColumn id="10594" xr3:uid="{A53A0EA9-9EF8-49E1-9FC5-D9D5889A97ED}" name="Columna10588" dataDxfId="5824"/>
    <tableColumn id="10595" xr3:uid="{016FFE24-29A4-4D8E-A9B0-DF0896EE225C}" name="Columna10589" dataDxfId="5823"/>
    <tableColumn id="10596" xr3:uid="{FC534669-4D17-4C21-9E67-9E7479651700}" name="Columna10590" dataDxfId="5822"/>
    <tableColumn id="10597" xr3:uid="{F3AD3185-9A13-4746-A86F-1FC66B1E7B0F}" name="Columna10591" dataDxfId="5821"/>
    <tableColumn id="10598" xr3:uid="{42039DD8-B368-438F-88AE-2F8F4237BBE1}" name="Columna10592" dataDxfId="5820"/>
    <tableColumn id="10599" xr3:uid="{0E5C3512-34C6-4CE7-81AE-9CAFD66A14B2}" name="Columna10593" dataDxfId="5819"/>
    <tableColumn id="10600" xr3:uid="{A55084A3-0DE2-4F0B-B686-93275E9F80E9}" name="Columna10594" dataDxfId="5818"/>
    <tableColumn id="10601" xr3:uid="{72A3617E-8DCA-47DD-9321-61FC08265DF7}" name="Columna10595" dataDxfId="5817"/>
    <tableColumn id="10602" xr3:uid="{7A80075E-10FC-4BDF-8543-F212476CF237}" name="Columna10596" dataDxfId="5816"/>
    <tableColumn id="10603" xr3:uid="{C8416B7C-F070-43DE-BDA5-1A75F350F00E}" name="Columna10597" dataDxfId="5815"/>
    <tableColumn id="10604" xr3:uid="{F6BE5F90-914D-4F15-A21E-B0030190E300}" name="Columna10598" dataDxfId="5814"/>
    <tableColumn id="10605" xr3:uid="{B43E128E-7D4A-44EC-A493-6390D54D08F4}" name="Columna10599" dataDxfId="5813"/>
    <tableColumn id="10606" xr3:uid="{AA635869-BB21-457A-AC98-21456C6FC70D}" name="Columna10600" dataDxfId="5812"/>
    <tableColumn id="10607" xr3:uid="{91F2E483-4884-4239-B8AC-1491859D52A4}" name="Columna10601" dataDxfId="5811"/>
    <tableColumn id="10608" xr3:uid="{6FCE4A7E-0B78-484B-AE38-6F256CFAFEAF}" name="Columna10602" dataDxfId="5810"/>
    <tableColumn id="10609" xr3:uid="{7B85C526-44CC-4EA1-AAD0-3B74244D9B42}" name="Columna10603" dataDxfId="5809"/>
    <tableColumn id="10610" xr3:uid="{4A57D872-6BF1-4157-9D2D-38D4034259CE}" name="Columna10604" dataDxfId="5808"/>
    <tableColumn id="10611" xr3:uid="{7D91C4D8-98D1-447E-A258-30CA1EB363D2}" name="Columna10605" dataDxfId="5807"/>
    <tableColumn id="10612" xr3:uid="{0432FA95-3C6A-4731-8CE6-DEC73D53D4C0}" name="Columna10606" dataDxfId="5806"/>
    <tableColumn id="10613" xr3:uid="{6E3E9886-3A80-4346-9468-8F04BED4A388}" name="Columna10607" dataDxfId="5805"/>
    <tableColumn id="10614" xr3:uid="{51492F25-1DA5-4FF2-B275-C71E12906851}" name="Columna10608" dataDxfId="5804"/>
    <tableColumn id="10615" xr3:uid="{82DD8266-FC1F-437E-A6C5-67049E6DBE6F}" name="Columna10609" dataDxfId="5803"/>
    <tableColumn id="10616" xr3:uid="{FCCC2307-17AB-4C06-81D5-93D6E9092832}" name="Columna10610" dataDxfId="5802"/>
    <tableColumn id="10617" xr3:uid="{B483450F-E99C-41E9-B31B-13BA700DD30A}" name="Columna10611" dataDxfId="5801"/>
    <tableColumn id="10618" xr3:uid="{14DEB4B7-85FD-4234-9200-6A7229FC3BE5}" name="Columna10612" dataDxfId="5800"/>
    <tableColumn id="10619" xr3:uid="{31FDBCBE-104C-40A7-97DE-4F3D03CA4B87}" name="Columna10613" dataDxfId="5799"/>
    <tableColumn id="10620" xr3:uid="{FF88BF83-3D94-4B8F-98B1-3E55D48BA232}" name="Columna10614" dataDxfId="5798"/>
    <tableColumn id="10621" xr3:uid="{31634B7D-FA29-4362-AF79-2449E8CC3FCE}" name="Columna10615" dataDxfId="5797"/>
    <tableColumn id="10622" xr3:uid="{D6E3D099-D297-4CD2-80F9-F4968D5EC8E1}" name="Columna10616" dataDxfId="5796"/>
    <tableColumn id="10623" xr3:uid="{ABDE683F-ADE5-4665-BEEF-E390CAA27756}" name="Columna10617" dataDxfId="5795"/>
    <tableColumn id="10624" xr3:uid="{946F122B-75CD-45AA-AA32-27EA535C7B1C}" name="Columna10618" dataDxfId="5794"/>
    <tableColumn id="10625" xr3:uid="{59473F1D-FCAA-4DF6-AF5D-4EA8BCA5DDA7}" name="Columna10619" dataDxfId="5793"/>
    <tableColumn id="10626" xr3:uid="{E6731365-7AB6-480C-964F-C04B0D570E8D}" name="Columna10620" dataDxfId="5792"/>
    <tableColumn id="10627" xr3:uid="{994550A6-B40B-4E3A-B16B-47570141DB92}" name="Columna10621" dataDxfId="5791"/>
    <tableColumn id="10628" xr3:uid="{BD434831-1F25-4E09-8681-D53FDEC00182}" name="Columna10622" dataDxfId="5790"/>
    <tableColumn id="10629" xr3:uid="{6180F9D5-1FA4-4E2C-ACC9-7E008D758140}" name="Columna10623" dataDxfId="5789"/>
    <tableColumn id="10630" xr3:uid="{14736B3F-AC5A-411F-A3FF-78003D4E54E8}" name="Columna10624" dataDxfId="5788"/>
    <tableColumn id="10631" xr3:uid="{B24EBBDB-27D1-4A02-9F42-E7C2FAAB83D7}" name="Columna10625" dataDxfId="5787"/>
    <tableColumn id="10632" xr3:uid="{25D78E21-975C-49AE-B06E-49FC3497A3FC}" name="Columna10626" dataDxfId="5786"/>
    <tableColumn id="10633" xr3:uid="{5EC78045-38F6-47B3-BC6A-C75236DBA335}" name="Columna10627" dataDxfId="5785"/>
    <tableColumn id="10634" xr3:uid="{38EAF448-4EE9-45A4-AA0F-4F41C7F9F313}" name="Columna10628" dataDxfId="5784"/>
    <tableColumn id="10635" xr3:uid="{222D9BFB-14EE-4F02-9189-16D4C4B7A68C}" name="Columna10629" dataDxfId="5783"/>
    <tableColumn id="10636" xr3:uid="{5D3DF5DF-0FBA-4E81-B7D1-10C5FF3B2151}" name="Columna10630" dataDxfId="5782"/>
    <tableColumn id="10637" xr3:uid="{0B5399FA-101E-4D8A-A1A3-C9A27D08B8A6}" name="Columna10631" dataDxfId="5781"/>
    <tableColumn id="10638" xr3:uid="{FAD29285-E473-465A-8119-87A1B4009609}" name="Columna10632" dataDxfId="5780"/>
    <tableColumn id="10639" xr3:uid="{9B25AD58-CB2A-45D2-9780-559904479D3E}" name="Columna10633" dataDxfId="5779"/>
    <tableColumn id="10640" xr3:uid="{B1D1C8D9-2726-4131-861B-C106FA8B4217}" name="Columna10634" dataDxfId="5778"/>
    <tableColumn id="10641" xr3:uid="{FCE2627F-8F7F-48D0-BB56-18142257D922}" name="Columna10635" dataDxfId="5777"/>
    <tableColumn id="10642" xr3:uid="{BE025748-0A7C-431B-916A-769DA7336711}" name="Columna10636" dataDxfId="5776"/>
    <tableColumn id="10643" xr3:uid="{7E28462C-0B63-4B0E-8308-18CCAA94BBFD}" name="Columna10637" dataDxfId="5775"/>
    <tableColumn id="10644" xr3:uid="{15A8C9F5-4811-45EF-A9EE-109B4D84CA97}" name="Columna10638" dataDxfId="5774"/>
    <tableColumn id="10645" xr3:uid="{07BEF33D-A957-45E8-A228-DA28767B9A4B}" name="Columna10639" dataDxfId="5773"/>
    <tableColumn id="10646" xr3:uid="{E2D539A6-7A4C-4D4A-9BB3-BCE07573B600}" name="Columna10640" dataDxfId="5772"/>
    <tableColumn id="10647" xr3:uid="{17E2AFDE-ED56-4384-A44D-A1B98BDB652A}" name="Columna10641" dataDxfId="5771"/>
    <tableColumn id="10648" xr3:uid="{170CC004-5A3E-47E4-9DF3-77ABD6943937}" name="Columna10642" dataDxfId="5770"/>
    <tableColumn id="10649" xr3:uid="{1B87020F-2F9A-465F-8EC7-93A9CD245859}" name="Columna10643" dataDxfId="5769"/>
    <tableColumn id="10650" xr3:uid="{2130F0B7-DE25-4EC4-BB99-06DBFA1CCB3A}" name="Columna10644" dataDxfId="5768"/>
    <tableColumn id="10651" xr3:uid="{1FA202AA-5039-4465-8088-315064BB4B17}" name="Columna10645" dataDxfId="5767"/>
    <tableColumn id="10652" xr3:uid="{22916168-EDCD-456B-839D-E3E8C8422907}" name="Columna10646" dataDxfId="5766"/>
    <tableColumn id="10653" xr3:uid="{36F86CFF-6B79-4122-BAE0-BCB02721F2DB}" name="Columna10647" dataDxfId="5765"/>
    <tableColumn id="10654" xr3:uid="{B6DD458F-32EA-4C01-B9F5-2127248E8647}" name="Columna10648" dataDxfId="5764"/>
    <tableColumn id="10655" xr3:uid="{BED9C6F5-93B1-42BE-AB77-6D0EF38BCA5B}" name="Columna10649" dataDxfId="5763"/>
    <tableColumn id="10656" xr3:uid="{B21B9B91-0678-414C-86B6-26C0F5658B72}" name="Columna10650" dataDxfId="5762"/>
    <tableColumn id="10657" xr3:uid="{25EC0FAD-0D18-4DE0-B664-48EFD69D26F2}" name="Columna10651" dataDxfId="5761"/>
    <tableColumn id="10658" xr3:uid="{46BF0174-B8BE-4815-B3D9-AB48DF840C2B}" name="Columna10652" dataDxfId="5760"/>
    <tableColumn id="10659" xr3:uid="{39B256DC-8CEC-4A87-948C-55AD6FDE1A7D}" name="Columna10653" dataDxfId="5759"/>
    <tableColumn id="10660" xr3:uid="{E526F824-E388-4E36-85C3-5562CE876550}" name="Columna10654" dataDxfId="5758"/>
    <tableColumn id="10661" xr3:uid="{FC737F74-9CE9-4F91-91B4-BCD6E846B95E}" name="Columna10655" dataDxfId="5757"/>
    <tableColumn id="10662" xr3:uid="{E4D148D1-1D3D-40B1-99FE-7EC32A3D74AD}" name="Columna10656" dataDxfId="5756"/>
    <tableColumn id="10663" xr3:uid="{53258740-654E-467F-8BFB-B4D0F04B71C8}" name="Columna10657" dataDxfId="5755"/>
    <tableColumn id="10664" xr3:uid="{37EB960A-6EA6-425C-BBC9-9762B6A52695}" name="Columna10658" dataDxfId="5754"/>
    <tableColumn id="10665" xr3:uid="{07A8DE80-6EF9-48EF-8FD0-302614DAB1A1}" name="Columna10659" dataDxfId="5753"/>
    <tableColumn id="10666" xr3:uid="{C6A7487A-C739-43D6-995A-5DB44D2AAD9A}" name="Columna10660" dataDxfId="5752"/>
    <tableColumn id="10667" xr3:uid="{C2F83363-0B72-43AE-8D2B-9BB6991DFFA6}" name="Columna10661" dataDxfId="5751"/>
    <tableColumn id="10668" xr3:uid="{09BB2B60-CEB6-49A9-A77C-F532030AA5CF}" name="Columna10662" dataDxfId="5750"/>
    <tableColumn id="10669" xr3:uid="{AA4080A1-2B7C-4D5E-A5E3-A47747918A3F}" name="Columna10663" dataDxfId="5749"/>
    <tableColumn id="10670" xr3:uid="{606F46DE-BD30-40A1-86DB-238754E2E97F}" name="Columna10664" dataDxfId="5748"/>
    <tableColumn id="10671" xr3:uid="{26F627AC-F8B3-4C10-841D-D5140C7A2B03}" name="Columna10665" dataDxfId="5747"/>
    <tableColumn id="10672" xr3:uid="{26A39EDC-050F-4ECC-91E3-C49C8C0A3344}" name="Columna10666" dataDxfId="5746"/>
    <tableColumn id="10673" xr3:uid="{AE20123E-3DE8-43C8-90EC-D81B47EBA6C7}" name="Columna10667" dataDxfId="5745"/>
    <tableColumn id="10674" xr3:uid="{438DF87F-5951-4938-ABDE-7CC4F8CD1F51}" name="Columna10668" dataDxfId="5744"/>
    <tableColumn id="10675" xr3:uid="{176FF20A-72A1-4441-8D30-1339FD55FA07}" name="Columna10669" dataDxfId="5743"/>
    <tableColumn id="10676" xr3:uid="{9FCEC26D-AC86-4F0B-9B26-8EC311A225A6}" name="Columna10670" dataDxfId="5742"/>
    <tableColumn id="10677" xr3:uid="{4B0D4DB3-E395-4E76-8EC5-8CF203D47511}" name="Columna10671" dataDxfId="5741"/>
    <tableColumn id="10678" xr3:uid="{A229F951-3A43-4D32-96B4-7271359909A2}" name="Columna10672" dataDxfId="5740"/>
    <tableColumn id="10679" xr3:uid="{0D1A3E4A-56EE-40E1-95C6-4F5A3D7E1534}" name="Columna10673" dataDxfId="5739"/>
    <tableColumn id="10680" xr3:uid="{DF5053D5-B2B7-4AC2-9DFA-B1B7D7D0CAAC}" name="Columna10674" dataDxfId="5738"/>
    <tableColumn id="10681" xr3:uid="{77876AFC-B92B-468F-9EFE-BA8C876D94D8}" name="Columna10675" dataDxfId="5737"/>
    <tableColumn id="10682" xr3:uid="{D4DD23CF-8257-44BF-9A87-41BAA3D6A381}" name="Columna10676" dataDxfId="5736"/>
    <tableColumn id="10683" xr3:uid="{07B5B5BB-BC4E-414B-8771-43E94D8AD527}" name="Columna10677" dataDxfId="5735"/>
    <tableColumn id="10684" xr3:uid="{EA916FFE-7A1B-40F2-A392-A9D982CDA018}" name="Columna10678" dataDxfId="5734"/>
    <tableColumn id="10685" xr3:uid="{9335B192-218F-4763-9968-30068395C19C}" name="Columna10679" dataDxfId="5733"/>
    <tableColumn id="10686" xr3:uid="{BA5BEBA3-AFA2-4C4B-9126-68C3042C1E94}" name="Columna10680" dataDxfId="5732"/>
    <tableColumn id="10687" xr3:uid="{AD1E9F34-534F-4D72-A853-F778248F34ED}" name="Columna10681" dataDxfId="5731"/>
    <tableColumn id="10688" xr3:uid="{2421CBE3-A3F7-4864-90CC-3A6045DDA09D}" name="Columna10682" dataDxfId="5730"/>
    <tableColumn id="10689" xr3:uid="{C3611431-2EA4-4BB0-9490-F6CFC0C1799F}" name="Columna10683" dataDxfId="5729"/>
    <tableColumn id="10690" xr3:uid="{59B06EBF-6DB1-4A10-B0C1-0F717654B03E}" name="Columna10684" dataDxfId="5728"/>
    <tableColumn id="10691" xr3:uid="{AC666B2B-7593-40EC-AC68-2160CEB2A0E4}" name="Columna10685" dataDxfId="5727"/>
    <tableColumn id="10692" xr3:uid="{438B0157-6A62-4179-9679-F2CE653D4943}" name="Columna10686" dataDxfId="5726"/>
    <tableColumn id="10693" xr3:uid="{5CF682F3-3417-4B88-B19D-B80D052B0AEE}" name="Columna10687" dataDxfId="5725"/>
    <tableColumn id="10694" xr3:uid="{EE909CA8-20D3-4E6E-B08D-8CF89113C021}" name="Columna10688" dataDxfId="5724"/>
    <tableColumn id="10695" xr3:uid="{0D14CC1D-FB9B-409C-B083-8329053A48D4}" name="Columna10689" dataDxfId="5723"/>
    <tableColumn id="10696" xr3:uid="{478CEE84-2AA3-4F2E-BE46-9CDF84CD2FA7}" name="Columna10690" dataDxfId="5722"/>
    <tableColumn id="10697" xr3:uid="{50079AC4-1DC3-40C3-BEBE-EDC08B7DE7FE}" name="Columna10691" dataDxfId="5721"/>
    <tableColumn id="10698" xr3:uid="{5F9DF2E4-7BBB-4D96-BF03-9C93088CFE8C}" name="Columna10692" dataDxfId="5720"/>
    <tableColumn id="10699" xr3:uid="{2C452CB9-9A63-4B25-B6D7-09FF8983762A}" name="Columna10693" dataDxfId="5719"/>
    <tableColumn id="10700" xr3:uid="{4207B3C2-9878-496B-B05A-859F2955DC46}" name="Columna10694" dataDxfId="5718"/>
    <tableColumn id="10701" xr3:uid="{52A18938-910F-4FEF-A4DB-C0D38FD7AFE5}" name="Columna10695" dataDxfId="5717"/>
    <tableColumn id="10702" xr3:uid="{33ED88CC-8AAC-4928-94ED-29D41139CC6D}" name="Columna10696" dataDxfId="5716"/>
    <tableColumn id="10703" xr3:uid="{F53009B5-A6C0-42A6-B33B-5CB8EEF5F119}" name="Columna10697" dataDxfId="5715"/>
    <tableColumn id="10704" xr3:uid="{EEC75860-6E4E-4B7D-BFA9-DDFDC2453CB6}" name="Columna10698" dataDxfId="5714"/>
    <tableColumn id="10705" xr3:uid="{B532D1F9-17EE-416B-8722-7E78F8668ADF}" name="Columna10699" dataDxfId="5713"/>
    <tableColumn id="10706" xr3:uid="{9CCB8589-75E9-4BCE-AF81-B36F5202A831}" name="Columna10700" dataDxfId="5712"/>
    <tableColumn id="10707" xr3:uid="{B95077B5-C501-4BB2-AD91-9207B36549BF}" name="Columna10701" dataDxfId="5711"/>
    <tableColumn id="10708" xr3:uid="{CC6BDCAE-8DFA-4FA9-A26C-A66C609AF14C}" name="Columna10702" dataDxfId="5710"/>
    <tableColumn id="10709" xr3:uid="{DB64363E-5303-4E90-8ABB-2B9CB39F0C0E}" name="Columna10703" dataDxfId="5709"/>
    <tableColumn id="10710" xr3:uid="{BA21D96B-AC4D-453F-968E-DFB317D5ACCC}" name="Columna10704" dataDxfId="5708"/>
    <tableColumn id="10711" xr3:uid="{E094605D-3F49-4042-92F2-67BC37DD058D}" name="Columna10705" dataDxfId="5707"/>
    <tableColumn id="10712" xr3:uid="{94036372-D081-4862-B6ED-3E0404C01BA1}" name="Columna10706" dataDxfId="5706"/>
    <tableColumn id="10713" xr3:uid="{873962E7-6606-4B53-A3E9-6D8729A8EFC4}" name="Columna10707" dataDxfId="5705"/>
    <tableColumn id="10714" xr3:uid="{C1D3BBB4-67D4-4F84-8009-5B49319DA77B}" name="Columna10708" dataDxfId="5704"/>
    <tableColumn id="10715" xr3:uid="{EEFD59F0-999C-45F8-97F5-B644DAE74E3F}" name="Columna10709" dataDxfId="5703"/>
    <tableColumn id="10716" xr3:uid="{141D4105-686A-42A2-8288-5E81040A9FB7}" name="Columna10710" dataDxfId="5702"/>
    <tableColumn id="10717" xr3:uid="{532A38E7-ECD2-4B47-ACA7-0CBF19AADD2F}" name="Columna10711" dataDxfId="5701"/>
    <tableColumn id="10718" xr3:uid="{AD886365-1A0A-469C-B59B-72141FC10AEB}" name="Columna10712" dataDxfId="5700"/>
    <tableColumn id="10719" xr3:uid="{881E02F5-E2FB-4690-AC82-935387621C09}" name="Columna10713" dataDxfId="5699"/>
    <tableColumn id="10720" xr3:uid="{9E4BA3C1-3BDF-4FA8-9FC9-9C99C0AF2D06}" name="Columna10714" dataDxfId="5698"/>
    <tableColumn id="10721" xr3:uid="{7B0E76D7-2189-4C2F-B344-0E1D5C7BFAC5}" name="Columna10715" dataDxfId="5697"/>
    <tableColumn id="10722" xr3:uid="{D814ACD6-D917-4404-812D-7CBECA3DC316}" name="Columna10716" dataDxfId="5696"/>
    <tableColumn id="10723" xr3:uid="{2657ABEB-40B7-4E0C-96DA-33BB0F6D1664}" name="Columna10717" dataDxfId="5695"/>
    <tableColumn id="10724" xr3:uid="{DC32AC81-AD00-47E0-9F38-CCF1A23165B6}" name="Columna10718" dataDxfId="5694"/>
    <tableColumn id="10725" xr3:uid="{5746C07B-246B-4CE6-9F6F-7F29171BF8D1}" name="Columna10719" dataDxfId="5693"/>
    <tableColumn id="10726" xr3:uid="{F0B40702-6819-4ECC-B1BE-6F2BE09440DA}" name="Columna10720" dataDxfId="5692"/>
    <tableColumn id="10727" xr3:uid="{968947A9-3A4B-42FB-8D30-D39B07760287}" name="Columna10721" dataDxfId="5691"/>
    <tableColumn id="10728" xr3:uid="{3C765290-3B9A-4151-AB38-6EEAA007CD27}" name="Columna10722" dataDxfId="5690"/>
    <tableColumn id="10729" xr3:uid="{6FAC2250-1363-4FD5-9F45-C472BDBE74C1}" name="Columna10723" dataDxfId="5689"/>
    <tableColumn id="10730" xr3:uid="{6AEF8A7D-B906-4DC3-AE03-406E1F2C8047}" name="Columna10724" dataDxfId="5688"/>
    <tableColumn id="10731" xr3:uid="{9E649BF7-34AF-4C3D-91F2-5B7E5C1873D8}" name="Columna10725" dataDxfId="5687"/>
    <tableColumn id="10732" xr3:uid="{DE546F75-2E8A-41A2-A7B9-25D256D22CB7}" name="Columna10726" dataDxfId="5686"/>
    <tableColumn id="10733" xr3:uid="{EF84690C-B4B7-4B53-8CCB-92BA264A738E}" name="Columna10727" dataDxfId="5685"/>
    <tableColumn id="10734" xr3:uid="{1A0125EB-E5ED-4B61-88EB-590C26DE8D82}" name="Columna10728" dataDxfId="5684"/>
    <tableColumn id="10735" xr3:uid="{4E5294E7-FF51-4304-8F21-45D5618A2C3C}" name="Columna10729" dataDxfId="5683"/>
    <tableColumn id="10736" xr3:uid="{A942ADF6-01CE-4007-B9CE-854CEE01B97C}" name="Columna10730" dataDxfId="5682"/>
    <tableColumn id="10737" xr3:uid="{A05C71C6-507D-4E9C-8FD7-4ACA9D3857A0}" name="Columna10731" dataDxfId="5681"/>
    <tableColumn id="10738" xr3:uid="{59406C99-1870-4337-BC17-A4E34202FA91}" name="Columna10732" dataDxfId="5680"/>
    <tableColumn id="10739" xr3:uid="{6BB7F301-6C36-4B9B-B7B0-18F8C305CF2F}" name="Columna10733" dataDxfId="5679"/>
    <tableColumn id="10740" xr3:uid="{17ED0064-933C-4FEA-B486-9C66821CFDED}" name="Columna10734" dataDxfId="5678"/>
    <tableColumn id="10741" xr3:uid="{8C7D5F35-E733-472D-A088-59C0906E6C3C}" name="Columna10735" dataDxfId="5677"/>
    <tableColumn id="10742" xr3:uid="{2EEAF64D-2BD9-443C-BF4B-AE2AB3C560E9}" name="Columna10736" dataDxfId="5676"/>
    <tableColumn id="10743" xr3:uid="{06FB8CFE-F0F1-4AB5-BE88-9279DD38BF2A}" name="Columna10737" dataDxfId="5675"/>
    <tableColumn id="10744" xr3:uid="{9BCEEC04-5460-4369-A6EC-1BA2563A22D4}" name="Columna10738" dataDxfId="5674"/>
    <tableColumn id="10745" xr3:uid="{8A8D8738-53E0-4ED7-8ACF-B7F7300A6922}" name="Columna10739" dataDxfId="5673"/>
    <tableColumn id="10746" xr3:uid="{4ADB2013-999B-4B5E-A09A-C88558CFE31E}" name="Columna10740" dataDxfId="5672"/>
    <tableColumn id="10747" xr3:uid="{A0E88080-8E5C-44EE-9A5D-65EEE51CFBC1}" name="Columna10741" dataDxfId="5671"/>
    <tableColumn id="10748" xr3:uid="{7124CBDE-F214-468B-9826-2AB5169D98C0}" name="Columna10742" dataDxfId="5670"/>
    <tableColumn id="10749" xr3:uid="{C343DE94-6FDE-42F9-B525-55B3278DF09D}" name="Columna10743" dataDxfId="5669"/>
    <tableColumn id="10750" xr3:uid="{0EB80C94-096E-4BF1-AD6F-E850DB3F9A8F}" name="Columna10744" dataDxfId="5668"/>
    <tableColumn id="10751" xr3:uid="{BBA29A60-2AF7-41F6-8536-98C0B37028AB}" name="Columna10745" dataDxfId="5667"/>
    <tableColumn id="10752" xr3:uid="{26557661-62E5-4404-AB98-19A29CC694BF}" name="Columna10746" dataDxfId="5666"/>
    <tableColumn id="10753" xr3:uid="{45693538-8665-4C72-A912-E8F0A2096D77}" name="Columna10747" dataDxfId="5665"/>
    <tableColumn id="10754" xr3:uid="{D6C0409C-4AF4-45E7-8228-B492714BA3AF}" name="Columna10748" dataDxfId="5664"/>
    <tableColumn id="10755" xr3:uid="{F869C34D-F1A7-44B3-96BE-63DE34122A0A}" name="Columna10749" dataDxfId="5663"/>
    <tableColumn id="10756" xr3:uid="{95155CC2-907C-4E11-BBB0-30608891ABC5}" name="Columna10750" dataDxfId="5662"/>
    <tableColumn id="10757" xr3:uid="{86BA0969-973E-4642-8C18-F1554B371C0E}" name="Columna10751" dataDxfId="5661"/>
    <tableColumn id="10758" xr3:uid="{06822371-A0DF-4961-9BF3-491972EA0914}" name="Columna10752" dataDxfId="5660"/>
    <tableColumn id="10759" xr3:uid="{43343152-9186-4383-B2A4-0F82357E26FC}" name="Columna10753" dataDxfId="5659"/>
    <tableColumn id="10760" xr3:uid="{C5D08ACB-29EC-4C10-86F2-43756384A2D0}" name="Columna10754" dataDxfId="5658"/>
    <tableColumn id="10761" xr3:uid="{566F919A-564D-4455-80A9-79FEB5F7820E}" name="Columna10755" dataDxfId="5657"/>
    <tableColumn id="10762" xr3:uid="{A0FA061C-D71A-45BC-BE11-CB8B627C25CE}" name="Columna10756" dataDxfId="5656"/>
    <tableColumn id="10763" xr3:uid="{37C79C6B-0317-40EA-8F0C-81497BDC43FD}" name="Columna10757" dataDxfId="5655"/>
    <tableColumn id="10764" xr3:uid="{9B85464B-9473-46F9-8950-2DE8847E4BD1}" name="Columna10758" dataDxfId="5654"/>
    <tableColumn id="10765" xr3:uid="{59666167-EC84-48DA-96A9-DD3F3D42F241}" name="Columna10759" dataDxfId="5653"/>
    <tableColumn id="10766" xr3:uid="{241A3B01-8944-46B9-91F3-A665FFA2046B}" name="Columna10760" dataDxfId="5652"/>
    <tableColumn id="10767" xr3:uid="{AB579CEC-143A-4687-8602-0D7E6C426786}" name="Columna10761" dataDxfId="5651"/>
    <tableColumn id="10768" xr3:uid="{4C0D5DCC-CE8F-4DFA-88E1-813B45FA82F0}" name="Columna10762" dataDxfId="5650"/>
    <tableColumn id="10769" xr3:uid="{2DFABE65-5F7E-4A5F-AE38-D56EC3227803}" name="Columna10763" dataDxfId="5649"/>
    <tableColumn id="10770" xr3:uid="{3E0341E9-6F48-4B2C-BC39-DE485B1F00E8}" name="Columna10764" dataDxfId="5648"/>
    <tableColumn id="10771" xr3:uid="{C3A16F77-6250-4F95-89D1-F80717275419}" name="Columna10765" dataDxfId="5647"/>
    <tableColumn id="10772" xr3:uid="{FFE7C8C3-E1AB-491F-9919-EDE0CF47AF59}" name="Columna10766" dataDxfId="5646"/>
    <tableColumn id="10773" xr3:uid="{375D4419-B5E6-4395-8163-D0718FBDCB6D}" name="Columna10767" dataDxfId="5645"/>
    <tableColumn id="10774" xr3:uid="{FD0B80B6-8B10-4BF4-9A12-FCDFC5FB36E5}" name="Columna10768" dataDxfId="5644"/>
    <tableColumn id="10775" xr3:uid="{1B379992-15A0-431B-842A-BA41DC965F4F}" name="Columna10769" dataDxfId="5643"/>
    <tableColumn id="10776" xr3:uid="{5CE87163-ED6A-4180-9F3E-326BE1C4B1CE}" name="Columna10770" dataDxfId="5642"/>
    <tableColumn id="10777" xr3:uid="{D5DEA809-9197-4134-9487-0B4E609A709F}" name="Columna10771" dataDxfId="5641"/>
    <tableColumn id="10778" xr3:uid="{7ADE1C43-17A7-4BB3-849F-D80DC01FF40E}" name="Columna10772" dataDxfId="5640"/>
    <tableColumn id="10779" xr3:uid="{7392D7DC-B560-483F-979E-68C2DD282B9B}" name="Columna10773" dataDxfId="5639"/>
    <tableColumn id="10780" xr3:uid="{47316159-12BC-4945-9A36-78865549B191}" name="Columna10774" dataDxfId="5638"/>
    <tableColumn id="10781" xr3:uid="{F4A307FB-C1DE-43D5-A6F3-483EF8AD083A}" name="Columna10775" dataDxfId="5637"/>
    <tableColumn id="10782" xr3:uid="{E0E41192-E23F-49BC-ADB6-B67B028EAD81}" name="Columna10776" dataDxfId="5636"/>
    <tableColumn id="10783" xr3:uid="{A09CA159-E8E7-4715-9D27-D93D5340D22C}" name="Columna10777" dataDxfId="5635"/>
    <tableColumn id="10784" xr3:uid="{5E0E0A42-95BC-4F48-B1D0-A53B09AEFB2A}" name="Columna10778" dataDxfId="5634"/>
    <tableColumn id="10785" xr3:uid="{53CB2E21-6965-4F28-9349-51DC254E5C9F}" name="Columna10779" dataDxfId="5633"/>
    <tableColumn id="10786" xr3:uid="{ABBD6E52-05B6-45D2-8AF3-972B72D5E582}" name="Columna10780" dataDxfId="5632"/>
    <tableColumn id="10787" xr3:uid="{93BF1ED9-206B-4650-991E-329BF17A9474}" name="Columna10781" dataDxfId="5631"/>
    <tableColumn id="10788" xr3:uid="{9237BE2B-1675-47F7-8756-3F634983EA68}" name="Columna10782" dataDxfId="5630"/>
    <tableColumn id="10789" xr3:uid="{F8BFD530-7237-432F-8902-5A9CFD9A6EB6}" name="Columna10783" dataDxfId="5629"/>
    <tableColumn id="10790" xr3:uid="{50F69CC7-5AA5-4602-A68B-BDD41A022EE8}" name="Columna10784" dataDxfId="5628"/>
    <tableColumn id="10791" xr3:uid="{8A736482-E5F4-4B22-9884-822F4E731B06}" name="Columna10785" dataDxfId="5627"/>
    <tableColumn id="10792" xr3:uid="{FF004DAE-8745-40C0-9662-93630E5DDC54}" name="Columna10786" dataDxfId="5626"/>
    <tableColumn id="10793" xr3:uid="{1C07C2AC-3AA6-49F1-8393-C526632A6088}" name="Columna10787" dataDxfId="5625"/>
    <tableColumn id="10794" xr3:uid="{6032E569-A3C4-47B7-8967-3037E9DCBDE0}" name="Columna10788" dataDxfId="5624"/>
    <tableColumn id="10795" xr3:uid="{6188688F-E526-4A94-A69B-3E69D671BFB2}" name="Columna10789" dataDxfId="5623"/>
    <tableColumn id="10796" xr3:uid="{5ABED870-5947-4621-BCA5-DBF405FDDDD1}" name="Columna10790" dataDxfId="5622"/>
    <tableColumn id="10797" xr3:uid="{17FB9192-1D5F-48C0-8289-C3C04F10C906}" name="Columna10791" dataDxfId="5621"/>
    <tableColumn id="10798" xr3:uid="{956A8945-34EC-4D06-98D5-FAC6D19AAFA3}" name="Columna10792" dataDxfId="5620"/>
    <tableColumn id="10799" xr3:uid="{ACE5BF88-5F39-455A-B173-5A11A4EC8A23}" name="Columna10793" dataDxfId="5619"/>
    <tableColumn id="10800" xr3:uid="{B23A2363-BA3C-494E-A013-8F8E871C0069}" name="Columna10794" dataDxfId="5618"/>
    <tableColumn id="10801" xr3:uid="{C124357C-02B3-4EF6-A3A8-621378B22040}" name="Columna10795" dataDxfId="5617"/>
    <tableColumn id="10802" xr3:uid="{E55131AD-C02B-46B8-AB22-9E470D01410E}" name="Columna10796" dataDxfId="5616"/>
    <tableColumn id="10803" xr3:uid="{66EC9723-F1FB-4A5B-BC5A-A9C5CA6AB3BD}" name="Columna10797" dataDxfId="5615"/>
    <tableColumn id="10804" xr3:uid="{57F77578-9C1E-4DE8-9CC8-88223EB3BF07}" name="Columna10798" dataDxfId="5614"/>
    <tableColumn id="10805" xr3:uid="{E858605E-5242-488A-8BA6-A921A7AB233E}" name="Columna10799" dataDxfId="5613"/>
    <tableColumn id="10806" xr3:uid="{28F95EE6-80D8-4C8A-8E47-1CECD000A6B1}" name="Columna10800" dataDxfId="5612"/>
    <tableColumn id="10807" xr3:uid="{D2C6618E-2BA1-4F2D-910B-A03045ED34B0}" name="Columna10801" dataDxfId="5611"/>
    <tableColumn id="10808" xr3:uid="{6F117EA5-C13C-4972-998B-BEA73AA1F29C}" name="Columna10802" dataDxfId="5610"/>
    <tableColumn id="10809" xr3:uid="{2F6FA8F7-E59A-413C-B0E3-215418AC30DA}" name="Columna10803" dataDxfId="5609"/>
    <tableColumn id="10810" xr3:uid="{21BF7274-492B-430A-9293-43A04CE46542}" name="Columna10804" dataDxfId="5608"/>
    <tableColumn id="10811" xr3:uid="{C6D735A3-2292-46AF-AE9B-8F6E7B510A69}" name="Columna10805" dataDxfId="5607"/>
    <tableColumn id="10812" xr3:uid="{A34874CC-A347-443E-A17F-15FED1B7CBC3}" name="Columna10806" dataDxfId="5606"/>
    <tableColumn id="10813" xr3:uid="{079474C2-E141-46EC-9C91-CD32645CACCF}" name="Columna10807" dataDxfId="5605"/>
    <tableColumn id="10814" xr3:uid="{1573B196-9CEE-42C9-B589-45A38658855F}" name="Columna10808" dataDxfId="5604"/>
    <tableColumn id="10815" xr3:uid="{D4CD07D9-B5ED-4784-A55F-B0116409531C}" name="Columna10809" dataDxfId="5603"/>
    <tableColumn id="10816" xr3:uid="{E50448D8-9E22-44F4-A83B-9F893DD9A503}" name="Columna10810" dataDxfId="5602"/>
    <tableColumn id="10817" xr3:uid="{6917FB53-CA94-45FF-90D0-25CD5F8AD838}" name="Columna10811" dataDxfId="5601"/>
    <tableColumn id="10818" xr3:uid="{B81529F1-9736-43EB-BF3E-3858F29C50B5}" name="Columna10812" dataDxfId="5600"/>
    <tableColumn id="10819" xr3:uid="{B272A3AE-3E91-4DE1-8B3B-B25759840FB4}" name="Columna10813" dataDxfId="5599"/>
    <tableColumn id="10820" xr3:uid="{C2E0319B-1041-420F-8581-F81EC81C4D29}" name="Columna10814" dataDxfId="5598"/>
    <tableColumn id="10821" xr3:uid="{339A9222-27C9-4C61-886B-259A28FE4C67}" name="Columna10815" dataDxfId="5597"/>
    <tableColumn id="10822" xr3:uid="{D319B6E1-A07F-4A2C-84AF-FE9F54A63838}" name="Columna10816" dataDxfId="5596"/>
    <tableColumn id="10823" xr3:uid="{5305CFEA-848F-4398-87E0-E5BAAE24C88E}" name="Columna10817" dataDxfId="5595"/>
    <tableColumn id="10824" xr3:uid="{1356D4D8-F7DA-4DF1-839C-845583EDFE5E}" name="Columna10818" dataDxfId="5594"/>
    <tableColumn id="10825" xr3:uid="{02204A67-B2A1-41B8-A5F9-F94A63225498}" name="Columna10819" dataDxfId="5593"/>
    <tableColumn id="10826" xr3:uid="{0C76A384-C086-4EE4-BF88-345315E9C562}" name="Columna10820" dataDxfId="5592"/>
    <tableColumn id="10827" xr3:uid="{62B44C38-B1A4-461E-8231-49A8B5BAD22C}" name="Columna10821" dataDxfId="5591"/>
    <tableColumn id="10828" xr3:uid="{60D7776A-FF48-4BBE-9FD9-CEA759336BD0}" name="Columna10822" dataDxfId="5590"/>
    <tableColumn id="10829" xr3:uid="{66FE238F-71D6-47E1-BC9A-34EF7425CEBF}" name="Columna10823" dataDxfId="5589"/>
    <tableColumn id="10830" xr3:uid="{51D6B109-C276-49F6-B3D4-A96340705B33}" name="Columna10824" dataDxfId="5588"/>
    <tableColumn id="10831" xr3:uid="{65C2E70F-CE1C-41AD-9B27-4B120CCA2448}" name="Columna10825" dataDxfId="5587"/>
    <tableColumn id="10832" xr3:uid="{3CDD2782-E8E7-4F7D-AD48-AD2FD3BFFE51}" name="Columna10826" dataDxfId="5586"/>
    <tableColumn id="10833" xr3:uid="{32091E5E-604F-40B6-8AA6-DB027D65D317}" name="Columna10827" dataDxfId="5585"/>
    <tableColumn id="10834" xr3:uid="{9CDEE169-1317-4D76-8781-B7050BF31E9C}" name="Columna10828" dataDxfId="5584"/>
    <tableColumn id="10835" xr3:uid="{D60FB525-4E2F-4623-AF74-C1758A729E2B}" name="Columna10829" dataDxfId="5583"/>
    <tableColumn id="10836" xr3:uid="{54C66631-D5F1-451C-9BA6-70A0D7A402FA}" name="Columna10830" dataDxfId="5582"/>
    <tableColumn id="10837" xr3:uid="{232D6B5E-E087-4726-A6CA-EF7B5482F5B1}" name="Columna10831" dataDxfId="5581"/>
    <tableColumn id="10838" xr3:uid="{FD4F84E3-A2BE-4C67-AB5C-378BACC15EC8}" name="Columna10832" dataDxfId="5580"/>
    <tableColumn id="10839" xr3:uid="{3B4D1358-D75F-4CA4-AAD3-BD26AD0D3046}" name="Columna10833" dataDxfId="5579"/>
    <tableColumn id="10840" xr3:uid="{73EAC30C-F300-4A6E-AC6D-5850FFED8635}" name="Columna10834" dataDxfId="5578"/>
    <tableColumn id="10841" xr3:uid="{A9C39729-5BBB-4CAB-B76E-950394FB8E71}" name="Columna10835" dataDxfId="5577"/>
    <tableColumn id="10842" xr3:uid="{06B6BE8E-1FDD-41A8-A0F9-23B327845393}" name="Columna10836" dataDxfId="5576"/>
    <tableColumn id="10843" xr3:uid="{BEED9C70-0B7D-411F-AFAD-DBE6604EA909}" name="Columna10837" dataDxfId="5575"/>
    <tableColumn id="10844" xr3:uid="{6420E68F-7C15-4F57-9D19-DA0284D945E6}" name="Columna10838" dataDxfId="5574"/>
    <tableColumn id="10845" xr3:uid="{B03EFA94-5093-4E15-B209-2CFC84171B85}" name="Columna10839" dataDxfId="5573"/>
    <tableColumn id="10846" xr3:uid="{2CC5D275-F4E2-473F-B294-1187573562BE}" name="Columna10840" dataDxfId="5572"/>
    <tableColumn id="10847" xr3:uid="{F7E6B45E-0959-40D7-B486-F0D6DA7CC810}" name="Columna10841" dataDxfId="5571"/>
    <tableColumn id="10848" xr3:uid="{3C71345E-9999-4B36-9CA8-5F254F09A4DF}" name="Columna10842" dataDxfId="5570"/>
    <tableColumn id="10849" xr3:uid="{6F1DCC51-5628-4301-BD04-93B79CFA7CF0}" name="Columna10843" dataDxfId="5569"/>
    <tableColumn id="10850" xr3:uid="{098ADB12-F6CB-4149-A2A2-DF6F4680E980}" name="Columna10844" dataDxfId="5568"/>
    <tableColumn id="10851" xr3:uid="{F8054DCD-F7D9-41B2-915A-ED458CBE15F7}" name="Columna10845" dataDxfId="5567"/>
    <tableColumn id="10852" xr3:uid="{295C2DF0-84CE-4AAF-90BA-BF0D27AC545C}" name="Columna10846" dataDxfId="5566"/>
    <tableColumn id="10853" xr3:uid="{0CE17FE8-8F90-47CC-AC29-94310394DEF8}" name="Columna10847" dataDxfId="5565"/>
    <tableColumn id="10854" xr3:uid="{8228E730-5087-4439-909F-EB55B73B56DC}" name="Columna10848" dataDxfId="5564"/>
    <tableColumn id="10855" xr3:uid="{752EC2AF-6DA7-4AD1-8AD5-CE6867E7CB39}" name="Columna10849" dataDxfId="5563"/>
    <tableColumn id="10856" xr3:uid="{90560FB7-FF50-4DF8-8644-6E7794DE3721}" name="Columna10850" dataDxfId="5562"/>
    <tableColumn id="10857" xr3:uid="{B77FC513-BCF7-4AB3-9045-FC5815F3816C}" name="Columna10851" dataDxfId="5561"/>
    <tableColumn id="10858" xr3:uid="{DFDEB9C9-D3E9-4123-9298-0CE576809D47}" name="Columna10852" dataDxfId="5560"/>
    <tableColumn id="10859" xr3:uid="{1A676EDC-D63F-4C34-83F2-D952531F9B94}" name="Columna10853" dataDxfId="5559"/>
    <tableColumn id="10860" xr3:uid="{AC162EA0-96A2-477F-9461-876C104D0A5F}" name="Columna10854" dataDxfId="5558"/>
    <tableColumn id="10861" xr3:uid="{0E7F5C0C-B5C1-46E4-A183-FB6702637D19}" name="Columna10855" dataDxfId="5557"/>
    <tableColumn id="10862" xr3:uid="{3FD2BF2D-9F89-4621-B606-20E9EB0BBC9A}" name="Columna10856" dataDxfId="5556"/>
    <tableColumn id="10863" xr3:uid="{E8E211F3-1822-41F0-AB59-661AD02F924F}" name="Columna10857" dataDxfId="5555"/>
    <tableColumn id="10864" xr3:uid="{3A568024-A43E-4C9E-8DC3-41AE6D041DA0}" name="Columna10858" dataDxfId="5554"/>
    <tableColumn id="10865" xr3:uid="{03C24D74-24B8-4672-9838-D30494DCB82B}" name="Columna10859" dataDxfId="5553"/>
    <tableColumn id="10866" xr3:uid="{26C54451-231E-4419-9B3A-E7D531CEB4DE}" name="Columna10860" dataDxfId="5552"/>
    <tableColumn id="10867" xr3:uid="{3AC94633-8E7E-443C-90FF-162D1A1DB74E}" name="Columna10861" dataDxfId="5551"/>
    <tableColumn id="10868" xr3:uid="{B416329B-EEEF-43C0-9533-4DF81FE0908B}" name="Columna10862" dataDxfId="5550"/>
    <tableColumn id="10869" xr3:uid="{73C6B57F-5C3D-4DFB-A29C-196B2E572570}" name="Columna10863" dataDxfId="5549"/>
    <tableColumn id="10870" xr3:uid="{B942993A-F79C-4A66-9194-554150829755}" name="Columna10864" dataDxfId="5548"/>
    <tableColumn id="10871" xr3:uid="{D8446279-678E-46D8-B4C1-03F405C6FF27}" name="Columna10865" dataDxfId="5547"/>
    <tableColumn id="10872" xr3:uid="{70F79287-068E-4879-8CE4-5E27F3243A77}" name="Columna10866" dataDxfId="5546"/>
    <tableColumn id="10873" xr3:uid="{2A26F11D-C2B4-46BD-BD4C-E514900FCEC9}" name="Columna10867" dataDxfId="5545"/>
    <tableColumn id="10874" xr3:uid="{016D4E9D-BAF7-4D1B-8D1B-182970C0A416}" name="Columna10868" dataDxfId="5544"/>
    <tableColumn id="10875" xr3:uid="{93F76B31-B316-4265-A75B-0ECC991F945C}" name="Columna10869" dataDxfId="5543"/>
    <tableColumn id="10876" xr3:uid="{93E22EEB-F5B3-4024-B0FC-53D208DCF190}" name="Columna10870" dataDxfId="5542"/>
    <tableColumn id="10877" xr3:uid="{322C28E2-47F0-40B9-96B3-3DD6F66719EE}" name="Columna10871" dataDxfId="5541"/>
    <tableColumn id="10878" xr3:uid="{F1935CD6-5704-4D86-8D8B-DBEFCD339389}" name="Columna10872" dataDxfId="5540"/>
    <tableColumn id="10879" xr3:uid="{6E9B4BAB-0C04-4101-820B-4817F275EF84}" name="Columna10873" dataDxfId="5539"/>
    <tableColumn id="10880" xr3:uid="{87AE9D73-3480-4595-8814-31C42C1EA057}" name="Columna10874" dataDxfId="5538"/>
    <tableColumn id="10881" xr3:uid="{9E128BAD-7C64-497C-9E0E-16D73C8D28F6}" name="Columna10875" dataDxfId="5537"/>
    <tableColumn id="10882" xr3:uid="{93915091-0098-489A-ADB9-811355305399}" name="Columna10876" dataDxfId="5536"/>
    <tableColumn id="10883" xr3:uid="{5C5E9AB0-18D7-4D4A-928F-A0F3695C5A2F}" name="Columna10877" dataDxfId="5535"/>
    <tableColumn id="10884" xr3:uid="{91A6DFD5-4425-40A5-AA36-50E0536DD32B}" name="Columna10878" dataDxfId="5534"/>
    <tableColumn id="10885" xr3:uid="{9F59749E-938E-4D8C-A9E1-0BEC7E43749A}" name="Columna10879" dataDxfId="5533"/>
    <tableColumn id="10886" xr3:uid="{E8C73A27-530D-4C4E-AA6B-8607483C9CBE}" name="Columna10880" dataDxfId="5532"/>
    <tableColumn id="10887" xr3:uid="{66735C72-16C7-4863-99FA-916BF07A7DBB}" name="Columna10881" dataDxfId="5531"/>
    <tableColumn id="10888" xr3:uid="{B1C4ADEB-E355-4179-8298-2204B5E29839}" name="Columna10882" dataDxfId="5530"/>
    <tableColumn id="10889" xr3:uid="{A88CDD9A-B1C8-4186-8151-9C942095BBBC}" name="Columna10883" dataDxfId="5529"/>
    <tableColumn id="10890" xr3:uid="{F9C8B5F3-E691-4E36-852E-3FC8A026D05E}" name="Columna10884" dataDxfId="5528"/>
    <tableColumn id="10891" xr3:uid="{B611E655-1DA4-4B3C-B222-4E9604A34788}" name="Columna10885" dataDxfId="5527"/>
    <tableColumn id="10892" xr3:uid="{4767FDF5-E354-4E35-ACC0-1D255E9307E7}" name="Columna10886" dataDxfId="5526"/>
    <tableColumn id="10893" xr3:uid="{DBC309A3-7049-46FD-A201-C0D720E6783B}" name="Columna10887" dataDxfId="5525"/>
    <tableColumn id="10894" xr3:uid="{46092CFF-CD93-4CEC-A688-CDB031E489B2}" name="Columna10888" dataDxfId="5524"/>
    <tableColumn id="10895" xr3:uid="{0A939A54-1933-4594-8816-4C30B83BD265}" name="Columna10889" dataDxfId="5523"/>
    <tableColumn id="10896" xr3:uid="{6C8A32F8-27E3-4446-86A8-CD3A657167BC}" name="Columna10890" dataDxfId="5522"/>
    <tableColumn id="10897" xr3:uid="{11F6ED4B-C5ED-4569-9F25-5046145AC9FE}" name="Columna10891" dataDxfId="5521"/>
    <tableColumn id="10898" xr3:uid="{A9040AE6-34E0-41B0-9FC2-AE10B991F984}" name="Columna10892" dataDxfId="5520"/>
    <tableColumn id="10899" xr3:uid="{475DB592-815B-41AE-929B-584BB25BB16D}" name="Columna10893" dataDxfId="5519"/>
    <tableColumn id="10900" xr3:uid="{95233D40-9099-4E8E-ABAD-865A251C281D}" name="Columna10894" dataDxfId="5518"/>
    <tableColumn id="10901" xr3:uid="{6D4B151E-D245-4A4C-AB84-0375B28C7A8E}" name="Columna10895" dataDxfId="5517"/>
    <tableColumn id="10902" xr3:uid="{417E6B86-EBAC-4FDA-9CEA-E486CC3E4B87}" name="Columna10896" dataDxfId="5516"/>
    <tableColumn id="10903" xr3:uid="{7DB03F76-F634-40A1-B253-7EE72095F212}" name="Columna10897" dataDxfId="5515"/>
    <tableColumn id="10904" xr3:uid="{6539D318-6F17-4B62-9F27-AB111A928603}" name="Columna10898" dataDxfId="5514"/>
    <tableColumn id="10905" xr3:uid="{8319BACC-143F-40E5-8206-BC077EC3B7BA}" name="Columna10899" dataDxfId="5513"/>
    <tableColumn id="10906" xr3:uid="{44414DEC-D1B3-4CA8-8AAA-3DCF3EE44335}" name="Columna10900" dataDxfId="5512"/>
    <tableColumn id="10907" xr3:uid="{DC813A15-6EB5-4449-8ADD-FE2DFF9E8F00}" name="Columna10901" dataDxfId="5511"/>
    <tableColumn id="10908" xr3:uid="{DCD18E57-0A96-4764-A966-3C2860FC1594}" name="Columna10902" dataDxfId="5510"/>
    <tableColumn id="10909" xr3:uid="{BEC5A294-1CC7-466F-B6AE-ECD666790402}" name="Columna10903" dataDxfId="5509"/>
    <tableColumn id="10910" xr3:uid="{B04FEB5A-26F8-4BE6-906F-74D6D5AD47D4}" name="Columna10904" dataDxfId="5508"/>
    <tableColumn id="10911" xr3:uid="{8B2B9E7B-EFAD-44E3-8CCF-13CD6633C604}" name="Columna10905" dataDxfId="5507"/>
    <tableColumn id="10912" xr3:uid="{A8391F09-DBA0-43FA-9684-85CB2485931C}" name="Columna10906" dataDxfId="5506"/>
    <tableColumn id="10913" xr3:uid="{75B8C161-426F-434A-A544-5C83B6A34103}" name="Columna10907" dataDxfId="5505"/>
    <tableColumn id="10914" xr3:uid="{6BA4BA3C-195F-4A3C-A9C2-5FC068D21BD9}" name="Columna10908" dataDxfId="5504"/>
    <tableColumn id="10915" xr3:uid="{FCD965A4-9F47-4703-8530-930DDCD484E8}" name="Columna10909" dataDxfId="5503"/>
    <tableColumn id="10916" xr3:uid="{5F1635B5-AA20-41BB-A0E4-4E411E87BB68}" name="Columna10910" dataDxfId="5502"/>
    <tableColumn id="10917" xr3:uid="{100A3FA8-82AB-4FF7-9BA6-9EC63BCF853F}" name="Columna10911" dataDxfId="5501"/>
    <tableColumn id="10918" xr3:uid="{51807212-801B-4968-88E6-6F0FAD6C273E}" name="Columna10912" dataDxfId="5500"/>
    <tableColumn id="10919" xr3:uid="{10C4AD16-579D-4B10-8232-66DEFD7D7D6E}" name="Columna10913" dataDxfId="5499"/>
    <tableColumn id="10920" xr3:uid="{3C1B5219-1F73-4C9F-AD24-BE2BC1FDD0D2}" name="Columna10914" dataDxfId="5498"/>
    <tableColumn id="10921" xr3:uid="{90D109BA-ABF5-40FC-9BB3-8618E2F493AF}" name="Columna10915" dataDxfId="5497"/>
    <tableColumn id="10922" xr3:uid="{D03E5ED4-4F1B-48FD-AC65-8B87104FF498}" name="Columna10916" dataDxfId="5496"/>
    <tableColumn id="10923" xr3:uid="{710D84CA-17C8-433E-A559-B6B2A0AAD0F4}" name="Columna10917" dataDxfId="5495"/>
    <tableColumn id="10924" xr3:uid="{85F2DF6F-402F-4153-9D90-F3651E6136FA}" name="Columna10918" dataDxfId="5494"/>
    <tableColumn id="10925" xr3:uid="{BEAC15CD-4F13-4877-A50B-4C112530024F}" name="Columna10919" dataDxfId="5493"/>
    <tableColumn id="10926" xr3:uid="{4FB735B4-AD9E-46EB-B61D-47E1741A5FFF}" name="Columna10920" dataDxfId="5492"/>
    <tableColumn id="10927" xr3:uid="{16B40F40-BB41-4381-885B-B0FF23079A91}" name="Columna10921" dataDxfId="5491"/>
    <tableColumn id="10928" xr3:uid="{6761FE62-317B-4E5D-832D-92DF8F1F8F56}" name="Columna10922" dataDxfId="5490"/>
    <tableColumn id="10929" xr3:uid="{3D548BD7-66E1-487D-ABDB-83BA3FEC7010}" name="Columna10923" dataDxfId="5489"/>
    <tableColumn id="10930" xr3:uid="{E75515F6-2A8C-427C-85F6-7C843FE6C4CD}" name="Columna10924" dataDxfId="5488"/>
    <tableColumn id="10931" xr3:uid="{F02FA269-8787-4DA4-A53F-4E4057FA4CB2}" name="Columna10925" dataDxfId="5487"/>
    <tableColumn id="10932" xr3:uid="{98FE7FE2-29DD-4C50-8C2C-EAE0190796ED}" name="Columna10926" dataDxfId="5486"/>
    <tableColumn id="10933" xr3:uid="{DBE27E56-4181-4E7D-8F4C-89C802931971}" name="Columna10927" dataDxfId="5485"/>
    <tableColumn id="10934" xr3:uid="{D9C896AE-9881-4164-9F26-FE38183CB897}" name="Columna10928" dataDxfId="5484"/>
    <tableColumn id="10935" xr3:uid="{631410BD-BF8E-441B-864E-4AEFD354B4DA}" name="Columna10929" dataDxfId="5483"/>
    <tableColumn id="10936" xr3:uid="{0DCCDCF6-B69D-4D71-AF75-ADB2102C08E3}" name="Columna10930" dataDxfId="5482"/>
    <tableColumn id="10937" xr3:uid="{6390D055-1903-4423-9DC1-B51122656FFA}" name="Columna10931" dataDxfId="5481"/>
    <tableColumn id="10938" xr3:uid="{2F97B73C-AC0E-4B3E-902F-A2436B5ED4F9}" name="Columna10932" dataDxfId="5480"/>
    <tableColumn id="10939" xr3:uid="{E8269A9B-A78E-45CB-A770-48AB3741B487}" name="Columna10933" dataDxfId="5479"/>
    <tableColumn id="10940" xr3:uid="{0526C130-D465-4F3F-8988-69FD6B68F6D6}" name="Columna10934" dataDxfId="5478"/>
    <tableColumn id="10941" xr3:uid="{E96AA12D-194C-4414-8E87-0D104C780FB1}" name="Columna10935" dataDxfId="5477"/>
    <tableColumn id="10942" xr3:uid="{CEC4FCCE-9F15-468C-B3ED-5A3407B2BB58}" name="Columna10936" dataDxfId="5476"/>
    <tableColumn id="10943" xr3:uid="{9356B489-E4DA-4851-808B-D28509F0BA46}" name="Columna10937" dataDxfId="5475"/>
    <tableColumn id="10944" xr3:uid="{55E8B720-EBEB-4FF1-B0F4-310E17368D81}" name="Columna10938" dataDxfId="5474"/>
    <tableColumn id="10945" xr3:uid="{78A8550B-26E2-4220-8BED-13CB26BA5507}" name="Columna10939" dataDxfId="5473"/>
    <tableColumn id="10946" xr3:uid="{61FD9D62-62BE-4E4F-B8B7-19A0E1F7311D}" name="Columna10940" dataDxfId="5472"/>
    <tableColumn id="10947" xr3:uid="{4D02E871-B19B-475D-92BE-6840E150FD73}" name="Columna10941" dataDxfId="5471"/>
    <tableColumn id="10948" xr3:uid="{F8706AFD-795E-4AFF-A950-83F210FAE877}" name="Columna10942" dataDxfId="5470"/>
    <tableColumn id="10949" xr3:uid="{3FFF0C55-A8C0-4594-A94A-08A53B5C98E6}" name="Columna10943" dataDxfId="5469"/>
    <tableColumn id="10950" xr3:uid="{3B6822E4-9A7E-4CB9-8BD2-38A94DB62406}" name="Columna10944" dataDxfId="5468"/>
    <tableColumn id="10951" xr3:uid="{68895B72-B223-4489-986F-61F8D69401D8}" name="Columna10945" dataDxfId="5467"/>
    <tableColumn id="10952" xr3:uid="{E44FB157-5C43-4891-82EB-1AEEB98BFDB2}" name="Columna10946" dataDxfId="5466"/>
    <tableColumn id="10953" xr3:uid="{8185261E-C094-4AC9-B49D-0038D0F40DE4}" name="Columna10947" dataDxfId="5465"/>
    <tableColumn id="10954" xr3:uid="{91FD9D08-9D25-406D-996D-DF72C533CBC0}" name="Columna10948" dataDxfId="5464"/>
    <tableColumn id="10955" xr3:uid="{FD0F34EE-FA76-4D01-83A3-7D7DF2533BB5}" name="Columna10949" dataDxfId="5463"/>
    <tableColumn id="10956" xr3:uid="{AC101CDF-311A-4EA0-ABE2-27D6C95D84BC}" name="Columna10950" dataDxfId="5462"/>
    <tableColumn id="10957" xr3:uid="{C6423000-5DEF-4633-A6F5-C5B54781B47C}" name="Columna10951" dataDxfId="5461"/>
    <tableColumn id="10958" xr3:uid="{6C58B138-9AA5-4DB3-A11A-43B110B1B55E}" name="Columna10952" dataDxfId="5460"/>
    <tableColumn id="10959" xr3:uid="{C2B304ED-F514-4CEC-8711-57AF62EC197D}" name="Columna10953" dataDxfId="5459"/>
    <tableColumn id="10960" xr3:uid="{C43E8312-2D35-404D-A45D-C8C3E1064863}" name="Columna10954" dataDxfId="5458"/>
    <tableColumn id="10961" xr3:uid="{257BDC5B-2997-48CF-BA55-2900000510D5}" name="Columna10955" dataDxfId="5457"/>
    <tableColumn id="10962" xr3:uid="{15ECD0E2-9B14-4D95-A559-8890A4FD8421}" name="Columna10956" dataDxfId="5456"/>
    <tableColumn id="10963" xr3:uid="{0A3A275B-13C2-41D9-8F45-24FF8F8BE550}" name="Columna10957" dataDxfId="5455"/>
    <tableColumn id="10964" xr3:uid="{01F93824-A814-4A50-89AB-4E2A429F3B53}" name="Columna10958" dataDxfId="5454"/>
    <tableColumn id="10965" xr3:uid="{FAF3A0E6-4A61-49C4-A07B-DE2FF5B11ED6}" name="Columna10959" dataDxfId="5453"/>
    <tableColumn id="10966" xr3:uid="{231CCC26-E538-4F26-B8B8-1E7A945F9E6D}" name="Columna10960" dataDxfId="5452"/>
    <tableColumn id="10967" xr3:uid="{3E2DB144-4332-483A-B150-A35C777F1B20}" name="Columna10961" dataDxfId="5451"/>
    <tableColumn id="10968" xr3:uid="{652564F0-DC22-4A57-9624-2708EDEE9482}" name="Columna10962" dataDxfId="5450"/>
    <tableColumn id="10969" xr3:uid="{4BA7E3B2-E59D-4A7C-AB0C-92505B108B91}" name="Columna10963" dataDxfId="5449"/>
    <tableColumn id="10970" xr3:uid="{E734E0DD-1BC6-4B0B-BA0E-D5F81D5A8DCF}" name="Columna10964" dataDxfId="5448"/>
    <tableColumn id="10971" xr3:uid="{AF3BDA2B-8CAC-4823-B92B-3FCE493D3B9B}" name="Columna10965" dataDxfId="5447"/>
    <tableColumn id="10972" xr3:uid="{72C2879E-1B45-407E-AFB5-127D6DF2EBD1}" name="Columna10966" dataDxfId="5446"/>
    <tableColumn id="10973" xr3:uid="{9DBEB401-13EA-4172-BD5C-E172497610A6}" name="Columna10967" dataDxfId="5445"/>
    <tableColumn id="10974" xr3:uid="{3CD50BF8-BAED-44E6-B4A5-C04173820075}" name="Columna10968" dataDxfId="5444"/>
    <tableColumn id="10975" xr3:uid="{348C12FF-38E3-478A-A011-92C939BFC617}" name="Columna10969" dataDxfId="5443"/>
    <tableColumn id="10976" xr3:uid="{3DFC88BC-C1A7-46B8-9C6D-1721F709DFBF}" name="Columna10970" dataDxfId="5442"/>
    <tableColumn id="10977" xr3:uid="{976579F1-F6CB-4854-83AE-BE1C23C0F561}" name="Columna10971" dataDxfId="5441"/>
    <tableColumn id="10978" xr3:uid="{3D1426F3-284F-4EFC-A151-7ABF74815A68}" name="Columna10972" dataDxfId="5440"/>
    <tableColumn id="10979" xr3:uid="{8AC85460-C22F-4999-8E1D-16D9EAE786FF}" name="Columna10973" dataDxfId="5439"/>
    <tableColumn id="10980" xr3:uid="{83A85172-5B30-427E-9741-FC49BE457B2F}" name="Columna10974" dataDxfId="5438"/>
    <tableColumn id="10981" xr3:uid="{8863F09F-6302-4E1D-92E8-35F095E347FC}" name="Columna10975" dataDxfId="5437"/>
    <tableColumn id="10982" xr3:uid="{BB080862-3EF7-47A0-ACDB-A3879CE8127A}" name="Columna10976" dataDxfId="5436"/>
    <tableColumn id="10983" xr3:uid="{CC976F3A-DD0C-457A-AC43-786F79458365}" name="Columna10977" dataDxfId="5435"/>
    <tableColumn id="10984" xr3:uid="{EF927433-4D88-4D15-9F7A-99E2E8B0F41C}" name="Columna10978" dataDxfId="5434"/>
    <tableColumn id="10985" xr3:uid="{06B912BB-9E03-49F8-AF2B-3E49B1438F45}" name="Columna10979" dataDxfId="5433"/>
    <tableColumn id="10986" xr3:uid="{FF9EF243-0595-49F0-A9B0-5A7A4337827E}" name="Columna10980" dataDxfId="5432"/>
    <tableColumn id="10987" xr3:uid="{A356E425-0266-4C5C-8347-32E641F1E879}" name="Columna10981" dataDxfId="5431"/>
    <tableColumn id="10988" xr3:uid="{FC1DCA88-70D1-443F-AC85-BCBD8DE98E31}" name="Columna10982" dataDxfId="5430"/>
    <tableColumn id="10989" xr3:uid="{EA26B2B8-786B-4463-9955-FAA2AE6804FA}" name="Columna10983" dataDxfId="5429"/>
    <tableColumn id="10990" xr3:uid="{B5DBB54E-E777-4E62-A2EF-EDC307530F95}" name="Columna10984" dataDxfId="5428"/>
    <tableColumn id="10991" xr3:uid="{4F7132AF-F93A-4C5B-9D13-DD266B579C55}" name="Columna10985" dataDxfId="5427"/>
    <tableColumn id="10992" xr3:uid="{321EC0ED-1E2D-4764-A3EA-157C859A3B9A}" name="Columna10986" dataDxfId="5426"/>
    <tableColumn id="10993" xr3:uid="{0C24932A-B63A-4261-AAC7-8F824AD8A21F}" name="Columna10987" dataDxfId="5425"/>
    <tableColumn id="10994" xr3:uid="{EA2FAF36-6C2C-4D78-80DF-3CCCC73C5F32}" name="Columna10988" dataDxfId="5424"/>
    <tableColumn id="10995" xr3:uid="{C985A15A-A207-45C6-9499-4CE920F41779}" name="Columna10989" dataDxfId="5423"/>
    <tableColumn id="10996" xr3:uid="{5D9A8BAB-C422-4BD4-A6C4-19156DF42A3E}" name="Columna10990" dataDxfId="5422"/>
    <tableColumn id="10997" xr3:uid="{F254705A-E684-430A-B604-7EEDDDF02D2B}" name="Columna10991" dataDxfId="5421"/>
    <tableColumn id="10998" xr3:uid="{51B51D41-122B-45AF-A046-30C64959A372}" name="Columna10992" dataDxfId="5420"/>
    <tableColumn id="10999" xr3:uid="{BD3BBDA8-DB1B-4A55-93AC-A9059BD46012}" name="Columna10993" dataDxfId="5419"/>
    <tableColumn id="11000" xr3:uid="{4A3D0C03-6A04-4E90-B131-B815BC78ED15}" name="Columna10994" dataDxfId="5418"/>
    <tableColumn id="11001" xr3:uid="{177CA8AC-FBAD-43E9-8908-7F639508C481}" name="Columna10995" dataDxfId="5417"/>
    <tableColumn id="11002" xr3:uid="{7805690F-5DFB-4B3E-BB47-15F74E2A4131}" name="Columna10996" dataDxfId="5416"/>
    <tableColumn id="11003" xr3:uid="{A73AAEA8-77FB-486E-8962-0439497A5BE7}" name="Columna10997" dataDxfId="5415"/>
    <tableColumn id="11004" xr3:uid="{5CD88890-E276-45ED-94A1-0D4A8458911C}" name="Columna10998" dataDxfId="5414"/>
    <tableColumn id="11005" xr3:uid="{27AA2359-59EA-477D-85F8-B26F328C3767}" name="Columna10999" dataDxfId="5413"/>
    <tableColumn id="11006" xr3:uid="{3F2915B3-04F6-456D-A280-F21F40B175D4}" name="Columna11000" dataDxfId="5412"/>
    <tableColumn id="11007" xr3:uid="{484E89E8-1C13-4853-8AC3-6C7128ABA5F0}" name="Columna11001" dataDxfId="5411"/>
    <tableColumn id="11008" xr3:uid="{0313706A-B5DB-4849-9391-076255F2A5FD}" name="Columna11002" dataDxfId="5410"/>
    <tableColumn id="11009" xr3:uid="{CFC75F7B-5CC2-45D0-A711-0C29010526AB}" name="Columna11003" dataDxfId="5409"/>
    <tableColumn id="11010" xr3:uid="{3223A069-4C50-4E6A-A4FD-230B5EFF2BE1}" name="Columna11004" dataDxfId="5408"/>
    <tableColumn id="11011" xr3:uid="{E96F7FB7-E1FC-4080-BC57-C06C47304BAE}" name="Columna11005" dataDxfId="5407"/>
    <tableColumn id="11012" xr3:uid="{CE46638C-BE73-4075-BD76-052EFD46B7CF}" name="Columna11006" dataDxfId="5406"/>
    <tableColumn id="11013" xr3:uid="{A90BF713-933F-4BE7-BD59-3D153EE1A322}" name="Columna11007" dataDxfId="5405"/>
    <tableColumn id="11014" xr3:uid="{CBA6A592-7D83-4FFC-8857-BCC819EF1552}" name="Columna11008" dataDxfId="5404"/>
    <tableColumn id="11015" xr3:uid="{E2D909FE-3FBA-451F-8736-48BD94FF2DC5}" name="Columna11009" dataDxfId="5403"/>
    <tableColumn id="11016" xr3:uid="{5BDC8B67-799E-470B-94FB-D5B522393DEF}" name="Columna11010" dataDxfId="5402"/>
    <tableColumn id="11017" xr3:uid="{30AC14CB-1957-49BE-B6F1-26CAB1E2C508}" name="Columna11011" dataDxfId="5401"/>
    <tableColumn id="11018" xr3:uid="{A83EC344-7C57-4645-8296-1D6F2E5546AE}" name="Columna11012" dataDxfId="5400"/>
    <tableColumn id="11019" xr3:uid="{E0D3A9E1-4369-48A8-B627-D0F765DF0B94}" name="Columna11013" dataDxfId="5399"/>
    <tableColumn id="11020" xr3:uid="{43088081-3F6C-4D8F-B70D-5877B988C332}" name="Columna11014" dataDxfId="5398"/>
    <tableColumn id="11021" xr3:uid="{8B4E3DAE-DE6B-4A33-B392-69159DD5ADA6}" name="Columna11015" dataDxfId="5397"/>
    <tableColumn id="11022" xr3:uid="{5FCD3B64-9816-4E6E-B1A8-1D1254F21F28}" name="Columna11016" dataDxfId="5396"/>
    <tableColumn id="11023" xr3:uid="{2FAC45B8-3EF5-4CCB-9574-C39625C953F8}" name="Columna11017" dataDxfId="5395"/>
    <tableColumn id="11024" xr3:uid="{B8EF090A-1D5C-4B84-AB28-3AFAE1869F02}" name="Columna11018" dataDxfId="5394"/>
    <tableColumn id="11025" xr3:uid="{A5C0B003-5814-4EF0-B049-D8CF83BF85DF}" name="Columna11019" dataDxfId="5393"/>
    <tableColumn id="11026" xr3:uid="{F070C6B8-C2C3-4262-80B9-D2DE136360D9}" name="Columna11020" dataDxfId="5392"/>
    <tableColumn id="11027" xr3:uid="{EBA260D9-9D20-47DE-BFDE-A4DBBED370E0}" name="Columna11021" dataDxfId="5391"/>
    <tableColumn id="11028" xr3:uid="{406824E4-8E94-4F3E-88CE-8927EE6A638F}" name="Columna11022" dataDxfId="5390"/>
    <tableColumn id="11029" xr3:uid="{48C1538D-39BC-46CD-9E66-9C9199583DDB}" name="Columna11023" dataDxfId="5389"/>
    <tableColumn id="11030" xr3:uid="{B3241735-267F-4291-ACAF-146A34ACCDB5}" name="Columna11024" dataDxfId="5388"/>
    <tableColumn id="11031" xr3:uid="{3B2028F2-DED3-4210-9E3B-0547EB889F14}" name="Columna11025" dataDxfId="5387"/>
    <tableColumn id="11032" xr3:uid="{9E4F2129-3EE4-4F01-9978-726FADAB11C4}" name="Columna11026" dataDxfId="5386"/>
    <tableColumn id="11033" xr3:uid="{90AB80C7-2580-454B-AD82-D0A3B91D56C0}" name="Columna11027" dataDxfId="5385"/>
    <tableColumn id="11034" xr3:uid="{9066F49F-4212-4155-AA52-089E76A86DA1}" name="Columna11028" dataDxfId="5384"/>
    <tableColumn id="11035" xr3:uid="{B8738475-058F-4585-846D-56BCF015AAEE}" name="Columna11029" dataDxfId="5383"/>
    <tableColumn id="11036" xr3:uid="{B110E4AE-4449-4B48-B80A-F23A01CBB0A0}" name="Columna11030" dataDxfId="5382"/>
    <tableColumn id="11037" xr3:uid="{49DD4229-784C-4712-8185-7B12E6FD9DC1}" name="Columna11031" dataDxfId="5381"/>
    <tableColumn id="11038" xr3:uid="{31C408D8-46B6-4BDE-BC2F-06F3A62D4DC2}" name="Columna11032" dataDxfId="5380"/>
    <tableColumn id="11039" xr3:uid="{5315A0A8-55C8-475B-88B4-6B437C6B040A}" name="Columna11033" dataDxfId="5379"/>
    <tableColumn id="11040" xr3:uid="{BAE485CD-0835-46CA-A0FB-708F00F93986}" name="Columna11034" dataDxfId="5378"/>
    <tableColumn id="11041" xr3:uid="{77783932-08FC-4C5B-B302-DA378DA96721}" name="Columna11035" dataDxfId="5377"/>
    <tableColumn id="11042" xr3:uid="{98E7EB84-0860-4A43-BBC3-94BFF59F930A}" name="Columna11036" dataDxfId="5376"/>
    <tableColumn id="11043" xr3:uid="{C21EDA3E-6CD4-4215-9AC9-5BDB07748491}" name="Columna11037" dataDxfId="5375"/>
    <tableColumn id="11044" xr3:uid="{DEFB9A8F-E5AB-47A8-A12F-F529F71F0F5D}" name="Columna11038" dataDxfId="5374"/>
    <tableColumn id="11045" xr3:uid="{3B6B19C3-CE69-484F-A2BC-9785028FDFCC}" name="Columna11039" dataDxfId="5373"/>
    <tableColumn id="11046" xr3:uid="{E191895E-5A0B-42A1-8398-8B58636082CE}" name="Columna11040" dataDxfId="5372"/>
    <tableColumn id="11047" xr3:uid="{DEAFD9A8-6012-40D2-B7AD-11A7CE4272BC}" name="Columna11041" dataDxfId="5371"/>
    <tableColumn id="11048" xr3:uid="{56E2B6F3-D0FA-4390-B2E6-CB24D3CB0B20}" name="Columna11042" dataDxfId="5370"/>
    <tableColumn id="11049" xr3:uid="{8D5F4AB8-5DC1-4E55-B18C-1C40D6676159}" name="Columna11043" dataDxfId="5369"/>
    <tableColumn id="11050" xr3:uid="{E61CDAEF-275F-4885-A82A-5DB5594ACA4B}" name="Columna11044" dataDxfId="5368"/>
    <tableColumn id="11051" xr3:uid="{C2FED9E0-D1DD-4442-A942-07F2D0722312}" name="Columna11045" dataDxfId="5367"/>
    <tableColumn id="11052" xr3:uid="{813FBD21-2273-4FA9-9FC0-608F163D7262}" name="Columna11046" dataDxfId="5366"/>
    <tableColumn id="11053" xr3:uid="{4F50994C-BE0E-45F9-9686-DBA23FD1D37C}" name="Columna11047" dataDxfId="5365"/>
    <tableColumn id="11054" xr3:uid="{354674FF-037F-43FB-BDCA-FB3CD52A53B6}" name="Columna11048" dataDxfId="5364"/>
    <tableColumn id="11055" xr3:uid="{5718553C-1D69-400D-9BA9-BC72AB7E7F30}" name="Columna11049" dataDxfId="5363"/>
    <tableColumn id="11056" xr3:uid="{19EC67DF-6B3D-4D05-A3D6-B930AFED8817}" name="Columna11050" dataDxfId="5362"/>
    <tableColumn id="11057" xr3:uid="{63DCD3E1-9123-4978-AAD8-71EE8D73CF27}" name="Columna11051" dataDxfId="5361"/>
    <tableColumn id="11058" xr3:uid="{8DD84F51-F6B8-4DDB-AA62-D79A9D03F262}" name="Columna11052" dataDxfId="5360"/>
    <tableColumn id="11059" xr3:uid="{9636A0C7-9297-4120-98BF-8D51B968ECCB}" name="Columna11053" dataDxfId="5359"/>
    <tableColumn id="11060" xr3:uid="{D34262E2-16F2-492D-99F2-780F02A31F45}" name="Columna11054" dataDxfId="5358"/>
    <tableColumn id="11061" xr3:uid="{6A2EBEB8-CEF6-466B-989F-D040F6654DA9}" name="Columna11055" dataDxfId="5357"/>
    <tableColumn id="11062" xr3:uid="{AC0C27F1-292A-426A-820F-9C823F480442}" name="Columna11056" dataDxfId="5356"/>
    <tableColumn id="11063" xr3:uid="{54CD6674-9C9F-489D-9C27-F4016DFA4CFC}" name="Columna11057" dataDxfId="5355"/>
    <tableColumn id="11064" xr3:uid="{E809BF10-0F72-47ED-BFDD-4CDB148DCE1D}" name="Columna11058" dataDxfId="5354"/>
    <tableColumn id="11065" xr3:uid="{68AF4B83-35EB-4EEC-86ED-259182958BD0}" name="Columna11059" dataDxfId="5353"/>
    <tableColumn id="11066" xr3:uid="{3ACB22AE-BF9C-411E-866E-D8BBD19790C2}" name="Columna11060" dataDxfId="5352"/>
    <tableColumn id="11067" xr3:uid="{6B18984F-E5A5-4851-8869-F74FB34E8A43}" name="Columna11061" dataDxfId="5351"/>
    <tableColumn id="11068" xr3:uid="{B6FC8F9C-2C95-4DC6-B2B5-C3E40BD57ED4}" name="Columna11062" dataDxfId="5350"/>
    <tableColumn id="11069" xr3:uid="{7307C5F0-52FA-4B24-BB5A-CEBD4E5A4622}" name="Columna11063" dataDxfId="5349"/>
    <tableColumn id="11070" xr3:uid="{3EA31C2D-7BAB-4357-AFDB-7E8ABF2CE277}" name="Columna11064" dataDxfId="5348"/>
    <tableColumn id="11071" xr3:uid="{748A5A0B-010C-4879-BE96-DA251DB434C9}" name="Columna11065" dataDxfId="5347"/>
    <tableColumn id="11072" xr3:uid="{68AE7F5D-8200-4C2D-8BFD-26E81A9E8FCB}" name="Columna11066" dataDxfId="5346"/>
    <tableColumn id="11073" xr3:uid="{D2D48B6B-807C-4644-8986-FAFB2E1FB1E5}" name="Columna11067" dataDxfId="5345"/>
    <tableColumn id="11074" xr3:uid="{4DE29B58-5271-49DA-8271-272E33A61126}" name="Columna11068" dataDxfId="5344"/>
    <tableColumn id="11075" xr3:uid="{EDB6A046-B8AE-4656-AA5D-406B4C10878A}" name="Columna11069" dataDxfId="5343"/>
    <tableColumn id="11076" xr3:uid="{479B2FDD-7E3C-41F2-855E-ECD1B5A30ECE}" name="Columna11070" dataDxfId="5342"/>
    <tableColumn id="11077" xr3:uid="{36AA9ABB-71D5-4146-B6FA-BAE15E242575}" name="Columna11071" dataDxfId="5341"/>
    <tableColumn id="11078" xr3:uid="{3F59EE97-0E84-4109-B955-B16E6FA86A41}" name="Columna11072" dataDxfId="5340"/>
    <tableColumn id="11079" xr3:uid="{FA130D57-2660-494A-A910-130A575ABD6E}" name="Columna11073" dataDxfId="5339"/>
    <tableColumn id="11080" xr3:uid="{6E956AF3-E3E5-4D56-B1D6-C560E8F2EF1B}" name="Columna11074" dataDxfId="5338"/>
    <tableColumn id="11081" xr3:uid="{D4F9BEF5-0690-475D-8276-9C3B15D995D8}" name="Columna11075" dataDxfId="5337"/>
    <tableColumn id="11082" xr3:uid="{7F5C04C6-1893-4AA2-BEDF-1A49D09B216A}" name="Columna11076" dataDxfId="5336"/>
    <tableColumn id="11083" xr3:uid="{BFA84B06-DFE9-4BA9-9252-689BFE05632D}" name="Columna11077" dataDxfId="5335"/>
    <tableColumn id="11084" xr3:uid="{824621D7-1220-479E-8D4C-35B534D09679}" name="Columna11078" dataDxfId="5334"/>
    <tableColumn id="11085" xr3:uid="{A0D45A49-5C53-4D4D-B0D3-74F024486D28}" name="Columna11079" dataDxfId="5333"/>
    <tableColumn id="11086" xr3:uid="{52D5D80A-CCFC-4A97-9E35-0E6CC45977F7}" name="Columna11080" dataDxfId="5332"/>
    <tableColumn id="11087" xr3:uid="{D87B02AA-BF93-44E2-9B88-B0F33CA06F19}" name="Columna11081" dataDxfId="5331"/>
    <tableColumn id="11088" xr3:uid="{01066041-36D2-413E-87E5-8613BC7E7F0D}" name="Columna11082" dataDxfId="5330"/>
    <tableColumn id="11089" xr3:uid="{B90B7F1C-E919-46A6-A171-A746EE0ECE18}" name="Columna11083" dataDxfId="5329"/>
    <tableColumn id="11090" xr3:uid="{CE7FF40B-1027-4162-8629-2FA2AD688DB3}" name="Columna11084" dataDxfId="5328"/>
    <tableColumn id="11091" xr3:uid="{75785D45-D002-4E9C-94D8-CEDE214BF2DD}" name="Columna11085" dataDxfId="5327"/>
    <tableColumn id="11092" xr3:uid="{818783AD-2F9B-4C42-B326-3DAC307D250D}" name="Columna11086" dataDxfId="5326"/>
    <tableColumn id="11093" xr3:uid="{17D4B8AA-6DB1-492C-94F9-AB66B2D6384B}" name="Columna11087" dataDxfId="5325"/>
    <tableColumn id="11094" xr3:uid="{B2A1180F-5347-4B0A-AA26-EC9957F4CAC0}" name="Columna11088" dataDxfId="5324"/>
    <tableColumn id="11095" xr3:uid="{3EB41127-A201-4804-B2AF-FA38FC58D84E}" name="Columna11089" dataDxfId="5323"/>
    <tableColumn id="11096" xr3:uid="{5B1B8EC5-CA79-47EB-833D-0B76ED639EA3}" name="Columna11090" dataDxfId="5322"/>
    <tableColumn id="11097" xr3:uid="{50FC972E-B366-4557-A2FC-CB37EA0FD287}" name="Columna11091" dataDxfId="5321"/>
    <tableColumn id="11098" xr3:uid="{68A9FD68-9166-47D6-8DD8-6522031329A2}" name="Columna11092" dataDxfId="5320"/>
    <tableColumn id="11099" xr3:uid="{2A188E5C-B1D3-4B49-9B98-300DF77205D8}" name="Columna11093" dataDxfId="5319"/>
    <tableColumn id="11100" xr3:uid="{14C94038-84BB-40FB-8213-63104EE71976}" name="Columna11094" dataDxfId="5318"/>
    <tableColumn id="11101" xr3:uid="{0F18C07B-2ACA-4B4A-8EA8-9160B2D70800}" name="Columna11095" dataDxfId="5317"/>
    <tableColumn id="11102" xr3:uid="{9004E869-A94A-4BDA-9772-26B87FB91319}" name="Columna11096" dataDxfId="5316"/>
    <tableColumn id="11103" xr3:uid="{EDB0B2C9-59EB-4E23-B4E3-196C67DBF4B4}" name="Columna11097" dataDxfId="5315"/>
    <tableColumn id="11104" xr3:uid="{0E731F20-BD2D-4FB7-B687-61344EF726D4}" name="Columna11098" dataDxfId="5314"/>
    <tableColumn id="11105" xr3:uid="{F9190049-830D-4E61-854F-6D09BF73C169}" name="Columna11099" dataDxfId="5313"/>
    <tableColumn id="11106" xr3:uid="{AE557F81-38BF-4419-9AE3-920E1C43639E}" name="Columna11100" dataDxfId="5312"/>
    <tableColumn id="11107" xr3:uid="{A379F169-57F5-4F81-9A61-F692B0E7A2F4}" name="Columna11101" dataDxfId="5311"/>
    <tableColumn id="11108" xr3:uid="{52480028-56F5-4649-A1CB-F3D07E4F0FB6}" name="Columna11102" dataDxfId="5310"/>
    <tableColumn id="11109" xr3:uid="{9B22D6C2-CED2-4BDB-B8C2-E83828FDC9DE}" name="Columna11103" dataDxfId="5309"/>
    <tableColumn id="11110" xr3:uid="{14309244-F372-4FB3-9F0A-A90725A60F36}" name="Columna11104" dataDxfId="5308"/>
    <tableColumn id="11111" xr3:uid="{BCE0E5DD-6D67-4E9F-BAEE-730C6178B4AC}" name="Columna11105" dataDxfId="5307"/>
    <tableColumn id="11112" xr3:uid="{B8CC5D4A-268B-4A8B-852C-0072F76F336F}" name="Columna11106" dataDxfId="5306"/>
    <tableColumn id="11113" xr3:uid="{2ADEE71D-1923-4686-9880-0A56D6EB12F5}" name="Columna11107" dataDxfId="5305"/>
    <tableColumn id="11114" xr3:uid="{A7EAFDD4-8CAF-467B-8B09-18C9D87855FA}" name="Columna11108" dataDxfId="5304"/>
    <tableColumn id="11115" xr3:uid="{C07BCC67-1C9F-4EDC-AA5D-8CFE124D3C44}" name="Columna11109" dataDxfId="5303"/>
    <tableColumn id="11116" xr3:uid="{71DB78AD-34E8-4B87-8B4E-CDEB809D0BD8}" name="Columna11110" dataDxfId="5302"/>
    <tableColumn id="11117" xr3:uid="{9B81D3FC-D825-434F-91AD-38BEA9B87028}" name="Columna11111" dataDxfId="5301"/>
    <tableColumn id="11118" xr3:uid="{86897EBD-CA9C-495A-B143-EAD1B42E9AF8}" name="Columna11112" dataDxfId="5300"/>
    <tableColumn id="11119" xr3:uid="{A52DCA09-A35C-4A2B-BCE4-50BC961DC99F}" name="Columna11113" dataDxfId="5299"/>
    <tableColumn id="11120" xr3:uid="{A05EB108-D5FC-4D12-9292-F24A1545FA2E}" name="Columna11114" dataDxfId="5298"/>
    <tableColumn id="11121" xr3:uid="{F8AFD60B-9566-4770-AB85-CBAE9343D222}" name="Columna11115" dataDxfId="5297"/>
    <tableColumn id="11122" xr3:uid="{0A12A4AD-AE26-4A5B-81B8-13C3FE7D2D56}" name="Columna11116" dataDxfId="5296"/>
    <tableColumn id="11123" xr3:uid="{43842073-8526-4C50-B81C-BF5052D3C227}" name="Columna11117" dataDxfId="5295"/>
    <tableColumn id="11124" xr3:uid="{A3A30646-968E-472F-BF47-9D3D8C74B89B}" name="Columna11118" dataDxfId="5294"/>
    <tableColumn id="11125" xr3:uid="{636F925A-3A33-4CE3-B11E-79EC70E1219F}" name="Columna11119" dataDxfId="5293"/>
    <tableColumn id="11126" xr3:uid="{E9EBB498-1161-44CE-B5D2-B44A4899BEF9}" name="Columna11120" dataDxfId="5292"/>
    <tableColumn id="11127" xr3:uid="{D04E7134-11A6-4B3B-94A4-BD0019FBAD57}" name="Columna11121" dataDxfId="5291"/>
    <tableColumn id="11128" xr3:uid="{7E6A00A5-9DF3-485C-86F3-36C563D52284}" name="Columna11122" dataDxfId="5290"/>
    <tableColumn id="11129" xr3:uid="{BA75E01E-B7B2-432E-B67F-90CBF55E3C53}" name="Columna11123" dataDxfId="5289"/>
    <tableColumn id="11130" xr3:uid="{96CDC371-DF46-4A76-91AF-4CC4A019B42B}" name="Columna11124" dataDxfId="5288"/>
    <tableColumn id="11131" xr3:uid="{44A513E1-FB86-48BD-9CD9-C245458533D3}" name="Columna11125" dataDxfId="5287"/>
    <tableColumn id="11132" xr3:uid="{89540711-C2CE-4DF9-B750-6F4998D906A0}" name="Columna11126" dataDxfId="5286"/>
    <tableColumn id="11133" xr3:uid="{15E3C15B-F8D6-4461-9F0C-479679BBFC4F}" name="Columna11127" dataDxfId="5285"/>
    <tableColumn id="11134" xr3:uid="{19F499FE-ADA3-4A59-9323-2995C859FA7D}" name="Columna11128" dataDxfId="5284"/>
    <tableColumn id="11135" xr3:uid="{4C5C3A0F-5816-41DD-8B9C-517B7E3E05BA}" name="Columna11129" dataDxfId="5283"/>
    <tableColumn id="11136" xr3:uid="{8AD3D648-8F21-47E1-9001-6F1DAFBD2C55}" name="Columna11130" dataDxfId="5282"/>
    <tableColumn id="11137" xr3:uid="{B8B13C11-A291-4D60-94C1-D093007247EE}" name="Columna11131" dataDxfId="5281"/>
    <tableColumn id="11138" xr3:uid="{1B05BB62-20DF-47C8-A5E5-12EDFDF79728}" name="Columna11132" dataDxfId="5280"/>
    <tableColumn id="11139" xr3:uid="{75AB032D-D308-4516-84C5-AB11A40E42A3}" name="Columna11133" dataDxfId="5279"/>
    <tableColumn id="11140" xr3:uid="{B2B78AED-3EDD-45AE-B47D-E79D1A1958CA}" name="Columna11134" dataDxfId="5278"/>
    <tableColumn id="11141" xr3:uid="{399F43C5-5FC1-405F-BFC4-91D456680D08}" name="Columna11135" dataDxfId="5277"/>
    <tableColumn id="11142" xr3:uid="{9CF1C86C-3C79-415C-B455-7E68D5DEBC3D}" name="Columna11136" dataDxfId="5276"/>
    <tableColumn id="11143" xr3:uid="{BC991CE7-D57D-4006-AC27-AFCB2AA6396C}" name="Columna11137" dataDxfId="5275"/>
    <tableColumn id="11144" xr3:uid="{E044F715-9267-4ACD-B211-2389157F5CB8}" name="Columna11138" dataDxfId="5274"/>
    <tableColumn id="11145" xr3:uid="{AE690FB1-46A1-43CE-BCA1-2544FF9320A5}" name="Columna11139" dataDxfId="5273"/>
    <tableColumn id="11146" xr3:uid="{594D7654-C39F-4FDA-91DD-919C9E9671B8}" name="Columna11140" dataDxfId="5272"/>
    <tableColumn id="11147" xr3:uid="{E296ED95-B261-407A-83F1-57F1E45DAA47}" name="Columna11141" dataDxfId="5271"/>
    <tableColumn id="11148" xr3:uid="{6EE60C61-D29B-4B0F-827A-32A6DD3DB130}" name="Columna11142" dataDxfId="5270"/>
    <tableColumn id="11149" xr3:uid="{7EB8016A-182A-487C-A9F8-19DCA87DC03F}" name="Columna11143" dataDxfId="5269"/>
    <tableColumn id="11150" xr3:uid="{B62410E7-5CF3-4D9A-997C-E4528BF3C372}" name="Columna11144" dataDxfId="5268"/>
    <tableColumn id="11151" xr3:uid="{9AD77602-A73A-4B11-87DB-2DA93DB2E0E7}" name="Columna11145" dataDxfId="5267"/>
    <tableColumn id="11152" xr3:uid="{B75E7206-19C7-4718-8A47-BBF15CB8C15D}" name="Columna11146" dataDxfId="5266"/>
    <tableColumn id="11153" xr3:uid="{F7E1483E-423C-4C6C-9006-2675329723BA}" name="Columna11147" dataDxfId="5265"/>
    <tableColumn id="11154" xr3:uid="{4A45B219-B5DB-4998-9DF8-0EB0CFD4F295}" name="Columna11148" dataDxfId="5264"/>
    <tableColumn id="11155" xr3:uid="{32177C5C-F818-4DF1-9852-12CAE065BF25}" name="Columna11149" dataDxfId="5263"/>
    <tableColumn id="11156" xr3:uid="{90AA0E21-BAA2-4B81-BD2C-3E7A751E1C58}" name="Columna11150" dataDxfId="5262"/>
    <tableColumn id="11157" xr3:uid="{645D2462-0283-4143-B6CC-DE08E9234B36}" name="Columna11151" dataDxfId="5261"/>
    <tableColumn id="11158" xr3:uid="{5C451156-8F11-45B4-9FD1-E5D0905569C7}" name="Columna11152" dataDxfId="5260"/>
    <tableColumn id="11159" xr3:uid="{67859AE9-1633-41D2-A7B9-D2F2BF7CE62E}" name="Columna11153" dataDxfId="5259"/>
    <tableColumn id="11160" xr3:uid="{E37851FF-EB42-41E2-8C0E-7B050B1338D3}" name="Columna11154" dataDxfId="5258"/>
    <tableColumn id="11161" xr3:uid="{89DFA2F5-6BFD-44F2-89F3-4CE0982028D2}" name="Columna11155" dataDxfId="5257"/>
    <tableColumn id="11162" xr3:uid="{7310144F-C7DB-45F4-905D-36A21498011C}" name="Columna11156" dataDxfId="5256"/>
    <tableColumn id="11163" xr3:uid="{32D42EB5-8DBD-414E-A51F-66CCF99B7C33}" name="Columna11157" dataDxfId="5255"/>
    <tableColumn id="11164" xr3:uid="{6265B3D7-00B2-4EC7-A804-BFABFA77915D}" name="Columna11158" dataDxfId="5254"/>
    <tableColumn id="11165" xr3:uid="{9D526D49-11C2-4190-9262-CDE2F6997362}" name="Columna11159" dataDxfId="5253"/>
    <tableColumn id="11166" xr3:uid="{4F8EC073-0069-4674-978E-7F7E37FA656A}" name="Columna11160" dataDxfId="5252"/>
    <tableColumn id="11167" xr3:uid="{6A3B9265-2D8A-4A48-AE60-1D4F8570E810}" name="Columna11161" dataDxfId="5251"/>
    <tableColumn id="11168" xr3:uid="{2C3BD504-E108-4479-B764-275FBA2A816F}" name="Columna11162" dataDxfId="5250"/>
    <tableColumn id="11169" xr3:uid="{3B9B49F2-1A70-4666-833F-96A02A63F4D7}" name="Columna11163" dataDxfId="5249"/>
    <tableColumn id="11170" xr3:uid="{A2C46E49-133E-45EB-84E2-A6E2B62002D7}" name="Columna11164" dataDxfId="5248"/>
    <tableColumn id="11171" xr3:uid="{75BAF885-E174-4930-83CD-7BA4D6FE0CB2}" name="Columna11165" dataDxfId="5247"/>
    <tableColumn id="11172" xr3:uid="{67CC5F20-1EDE-470E-81E0-68D6D054F79F}" name="Columna11166" dataDxfId="5246"/>
    <tableColumn id="11173" xr3:uid="{60367A25-D657-41C6-A9EA-B3C1486FFDCE}" name="Columna11167" dataDxfId="5245"/>
    <tableColumn id="11174" xr3:uid="{5F4F2BD4-7E68-4E4F-BDE1-CBC952190C9F}" name="Columna11168" dataDxfId="5244"/>
    <tableColumn id="11175" xr3:uid="{0971BCC5-9D0E-41E2-9B63-D7D7F5FDEAEC}" name="Columna11169" dataDxfId="5243"/>
    <tableColumn id="11176" xr3:uid="{0AC61A33-E93C-48EA-A282-FB84FC05FA26}" name="Columna11170" dataDxfId="5242"/>
    <tableColumn id="11177" xr3:uid="{B84ABFC4-FE2D-4A87-BA15-78DF355E7034}" name="Columna11171" dataDxfId="5241"/>
    <tableColumn id="11178" xr3:uid="{B1942529-AEEE-44F0-8A60-896FCEC014E1}" name="Columna11172" dataDxfId="5240"/>
    <tableColumn id="11179" xr3:uid="{A40C4A40-39AC-497A-B9AB-76391F4D7406}" name="Columna11173" dataDxfId="5239"/>
    <tableColumn id="11180" xr3:uid="{236A36C7-5176-4A4A-B159-235029D88439}" name="Columna11174" dataDxfId="5238"/>
    <tableColumn id="11181" xr3:uid="{D9045C5C-95DE-401B-9445-E041E09ADFCB}" name="Columna11175" dataDxfId="5237"/>
    <tableColumn id="11182" xr3:uid="{61A90476-F4B8-4CA8-AFB7-4FEEC0E94B39}" name="Columna11176" dataDxfId="5236"/>
    <tableColumn id="11183" xr3:uid="{96B33482-7B1B-49E7-8258-5973D1D6EAF1}" name="Columna11177" dataDxfId="5235"/>
    <tableColumn id="11184" xr3:uid="{352A8510-0C29-4B7A-A6EA-04EF2AE08DF6}" name="Columna11178" dataDxfId="5234"/>
    <tableColumn id="11185" xr3:uid="{704BADDA-1FA6-4C23-8DB1-7C4AFB027DF2}" name="Columna11179" dataDxfId="5233"/>
    <tableColumn id="11186" xr3:uid="{DB38B642-6593-4D88-9D28-ABCAE6F3713B}" name="Columna11180" dataDxfId="5232"/>
    <tableColumn id="11187" xr3:uid="{D6B360E9-F21E-474E-8EFC-FA87863B35BE}" name="Columna11181" dataDxfId="5231"/>
    <tableColumn id="11188" xr3:uid="{669BCEA5-C053-454C-A82C-40CAA8EE7EB0}" name="Columna11182" dataDxfId="5230"/>
    <tableColumn id="11189" xr3:uid="{CA27F3F8-57AE-4434-A4E8-BE21C3901860}" name="Columna11183" dataDxfId="5229"/>
    <tableColumn id="11190" xr3:uid="{5AAFE8CF-3274-425A-B1A4-22DBD21538C8}" name="Columna11184" dataDxfId="5228"/>
    <tableColumn id="11191" xr3:uid="{880F5544-071B-473C-879C-A92DFE1B1F05}" name="Columna11185" dataDxfId="5227"/>
    <tableColumn id="11192" xr3:uid="{01A501D1-9C0F-4EF5-9827-B42A98133B83}" name="Columna11186" dataDxfId="5226"/>
    <tableColumn id="11193" xr3:uid="{FD602527-36DF-4131-813C-F5E4E4A25220}" name="Columna11187" dataDxfId="5225"/>
    <tableColumn id="11194" xr3:uid="{C8E296E7-7A42-4B3D-9F37-98FBEEFAF463}" name="Columna11188" dataDxfId="5224"/>
    <tableColumn id="11195" xr3:uid="{34275A71-F995-4CE5-A90D-6B966F761D86}" name="Columna11189" dataDxfId="5223"/>
    <tableColumn id="11196" xr3:uid="{A5F22FB5-B52A-4FDF-8FF7-7B2C8836364C}" name="Columna11190" dataDxfId="5222"/>
    <tableColumn id="11197" xr3:uid="{E43592D4-3FC4-4A09-BFD2-0BEF88968683}" name="Columna11191" dataDxfId="5221"/>
    <tableColumn id="11198" xr3:uid="{B0B69B3B-FCF8-451E-AAE8-16E492A31B93}" name="Columna11192" dataDxfId="5220"/>
    <tableColumn id="11199" xr3:uid="{4E410712-FF20-4598-AD6C-4C17E87A9EB6}" name="Columna11193" dataDxfId="5219"/>
    <tableColumn id="11200" xr3:uid="{2E90F0E5-F23D-427C-968B-6F02A02DB84F}" name="Columna11194" dataDxfId="5218"/>
    <tableColumn id="11201" xr3:uid="{E598C474-EDCF-4221-9074-3EC471078F66}" name="Columna11195" dataDxfId="5217"/>
    <tableColumn id="11202" xr3:uid="{6054EE4A-3C1D-4A8B-852D-834A3BADC66A}" name="Columna11196" dataDxfId="5216"/>
    <tableColumn id="11203" xr3:uid="{55F9398C-57A7-43B7-B3B2-76DDB4B7FA9B}" name="Columna11197" dataDxfId="5215"/>
    <tableColumn id="11204" xr3:uid="{4C606DD6-7600-4816-A21A-DB73D650FD9C}" name="Columna11198" dataDxfId="5214"/>
    <tableColumn id="11205" xr3:uid="{853F8D00-0972-4AD3-A6B5-1D43E0977D55}" name="Columna11199" dataDxfId="5213"/>
    <tableColumn id="11206" xr3:uid="{D29088DE-CA51-47EC-82D6-B3E82C0E6A34}" name="Columna11200" dataDxfId="5212"/>
    <tableColumn id="11207" xr3:uid="{F35A882A-1B99-4689-880F-16739C8A6B45}" name="Columna11201" dataDxfId="5211"/>
    <tableColumn id="11208" xr3:uid="{04CED795-D648-4B0E-9429-56E8BEB7FC89}" name="Columna11202" dataDxfId="5210"/>
    <tableColumn id="11209" xr3:uid="{5E6857B3-0E41-4837-9A12-453DF94DA9BD}" name="Columna11203" dataDxfId="5209"/>
    <tableColumn id="11210" xr3:uid="{9F06C04C-AE62-4657-8494-A906D61EAE90}" name="Columna11204" dataDxfId="5208"/>
    <tableColumn id="11211" xr3:uid="{862B5984-9887-49D6-9C9C-515BF93CC2DC}" name="Columna11205" dataDxfId="5207"/>
    <tableColumn id="11212" xr3:uid="{7D872304-07D1-43E7-9C40-815AD912F16D}" name="Columna11206" dataDxfId="5206"/>
    <tableColumn id="11213" xr3:uid="{32456E23-7FD2-40EA-B317-4C3BB51651C5}" name="Columna11207" dataDxfId="5205"/>
    <tableColumn id="11214" xr3:uid="{9000305F-0FAA-4A2D-9664-AE3F255410B9}" name="Columna11208" dataDxfId="5204"/>
    <tableColumn id="11215" xr3:uid="{42EE5751-F95A-40C2-9623-0384F61F80BF}" name="Columna11209" dataDxfId="5203"/>
    <tableColumn id="11216" xr3:uid="{8F7F0A7F-23CB-4D50-93E3-6D7AABAB29EA}" name="Columna11210" dataDxfId="5202"/>
    <tableColumn id="11217" xr3:uid="{25E6A5A7-4E40-45AE-8723-17561FDF2B3C}" name="Columna11211" dataDxfId="5201"/>
    <tableColumn id="11218" xr3:uid="{563FB9C1-6964-49CB-8D7B-75EB52194466}" name="Columna11212" dataDxfId="5200"/>
    <tableColumn id="11219" xr3:uid="{5AEA99E0-DF1F-4C01-AF1F-569EBEFB63D4}" name="Columna11213" dataDxfId="5199"/>
    <tableColumn id="11220" xr3:uid="{EBCE61F7-DBA5-41A0-9D3A-710EB4EDC0DE}" name="Columna11214" dataDxfId="5198"/>
    <tableColumn id="11221" xr3:uid="{2865CDDD-4A18-44E6-8AA4-221ECEDC90CD}" name="Columna11215" dataDxfId="5197"/>
    <tableColumn id="11222" xr3:uid="{5DABFABB-876A-43BC-A238-3597CE24C095}" name="Columna11216" dataDxfId="5196"/>
    <tableColumn id="11223" xr3:uid="{A5E8C2C1-466B-47CB-8BD7-11F9AF735B83}" name="Columna11217" dataDxfId="5195"/>
    <tableColumn id="11224" xr3:uid="{84E98D80-09D9-4215-A055-9FFA56D56C13}" name="Columna11218" dataDxfId="5194"/>
    <tableColumn id="11225" xr3:uid="{E8A3CCBA-5461-438A-BF99-4EC73523B170}" name="Columna11219" dataDxfId="5193"/>
    <tableColumn id="11226" xr3:uid="{D39167F2-682C-4B8D-9664-0A651BEB5195}" name="Columna11220" dataDxfId="5192"/>
    <tableColumn id="11227" xr3:uid="{80409140-2ED4-4D38-A812-52D0614A7791}" name="Columna11221" dataDxfId="5191"/>
    <tableColumn id="11228" xr3:uid="{7B35896D-C94D-41C5-A9AB-7329E02CF2D8}" name="Columna11222" dataDxfId="5190"/>
    <tableColumn id="11229" xr3:uid="{A20FCF9B-7335-4234-90CB-094BDA6A03CA}" name="Columna11223" dataDxfId="5189"/>
    <tableColumn id="11230" xr3:uid="{685194E5-F5C3-4682-8F62-CFA3AE761B67}" name="Columna11224" dataDxfId="5188"/>
    <tableColumn id="11231" xr3:uid="{7CC95EE5-E675-4C61-9DEB-262898856B1B}" name="Columna11225" dataDxfId="5187"/>
    <tableColumn id="11232" xr3:uid="{576F3E5B-0BD7-4EA1-BFC9-674C0F5C3B08}" name="Columna11226" dataDxfId="5186"/>
    <tableColumn id="11233" xr3:uid="{FAE4B676-7598-4E36-B20D-24B4313DFDFA}" name="Columna11227" dataDxfId="5185"/>
    <tableColumn id="11234" xr3:uid="{EBB72A1D-0CBF-43F1-A5B3-39705CC53B9E}" name="Columna11228" dataDxfId="5184"/>
    <tableColumn id="11235" xr3:uid="{6789EF47-6062-4A3F-8F9C-D722020A5A3D}" name="Columna11229" dataDxfId="5183"/>
    <tableColumn id="11236" xr3:uid="{E912EBB0-9FAD-4EDF-A1C6-D10434A62CA9}" name="Columna11230" dataDxfId="5182"/>
    <tableColumn id="11237" xr3:uid="{2491BFE6-803E-4309-B20D-B0366359CBDA}" name="Columna11231" dataDxfId="5181"/>
    <tableColumn id="11238" xr3:uid="{DABA3B21-C052-4F06-918B-57D9BE54604E}" name="Columna11232" dataDxfId="5180"/>
    <tableColumn id="11239" xr3:uid="{409469F9-5A50-4591-AF25-9AA985303427}" name="Columna11233" dataDxfId="5179"/>
    <tableColumn id="11240" xr3:uid="{83751A5E-B80F-42D0-B4F0-20B058F9F59C}" name="Columna11234" dataDxfId="5178"/>
    <tableColumn id="11241" xr3:uid="{CE85DCA4-1EDF-4316-9B9F-C39D3A4476CD}" name="Columna11235" dataDxfId="5177"/>
    <tableColumn id="11242" xr3:uid="{3304EFE2-890B-4112-9FD5-5871140332EC}" name="Columna11236" dataDxfId="5176"/>
    <tableColumn id="11243" xr3:uid="{1C47E54D-EF1D-4D5D-A9E9-2066BC9EBC8B}" name="Columna11237" dataDxfId="5175"/>
    <tableColumn id="11244" xr3:uid="{C333CC39-65E6-4692-B3C6-4B02CB13E243}" name="Columna11238" dataDxfId="5174"/>
    <tableColumn id="11245" xr3:uid="{561B2495-CC90-4F1C-B520-27AB94D50D96}" name="Columna11239" dataDxfId="5173"/>
    <tableColumn id="11246" xr3:uid="{AFFBD607-F9CE-40F1-9FFB-24C788CE966C}" name="Columna11240" dataDxfId="5172"/>
    <tableColumn id="11247" xr3:uid="{87F66391-9DED-464C-ACEC-93C510DA40E5}" name="Columna11241" dataDxfId="5171"/>
    <tableColumn id="11248" xr3:uid="{B77D5E03-8123-4357-AFD4-81958044E2AF}" name="Columna11242" dataDxfId="5170"/>
    <tableColumn id="11249" xr3:uid="{AC2115C6-6609-403A-84CF-202789C7DCE2}" name="Columna11243" dataDxfId="5169"/>
    <tableColumn id="11250" xr3:uid="{DAB3E204-1EFB-461C-B231-62B991C5C3A2}" name="Columna11244" dataDxfId="5168"/>
    <tableColumn id="11251" xr3:uid="{13ADD041-EBEA-4B19-B48D-52EA469A119A}" name="Columna11245" dataDxfId="5167"/>
    <tableColumn id="11252" xr3:uid="{90479245-F832-4931-BD5F-9B13AB74A817}" name="Columna11246" dataDxfId="5166"/>
    <tableColumn id="11253" xr3:uid="{E344CC20-9805-4E19-A88C-F7845CFAEBBA}" name="Columna11247" dataDxfId="5165"/>
    <tableColumn id="11254" xr3:uid="{C0769D69-6F9E-4513-90B5-8FE1DB22FA53}" name="Columna11248" dataDxfId="5164"/>
    <tableColumn id="11255" xr3:uid="{2EA3E578-42B3-4892-8433-0D4E06613E60}" name="Columna11249" dataDxfId="5163"/>
    <tableColumn id="11256" xr3:uid="{D14E9A5D-822E-4816-9B4C-457FFEB5457A}" name="Columna11250" dataDxfId="5162"/>
    <tableColumn id="11257" xr3:uid="{00BC8463-A441-44C3-98A4-7427BEFC25CC}" name="Columna11251" dataDxfId="5161"/>
    <tableColumn id="11258" xr3:uid="{A8149C9D-AD4F-4ECD-9860-64BF689811B4}" name="Columna11252" dataDxfId="5160"/>
    <tableColumn id="11259" xr3:uid="{261D7054-B2C8-4BBB-BCED-1B1FF33455B4}" name="Columna11253" dataDxfId="5159"/>
    <tableColumn id="11260" xr3:uid="{F8DA651B-D19C-4988-B7DF-86381D6A8CB6}" name="Columna11254" dataDxfId="5158"/>
    <tableColumn id="11261" xr3:uid="{20942FD8-B154-4EC4-9564-9FF01F1BDB67}" name="Columna11255" dataDxfId="5157"/>
    <tableColumn id="11262" xr3:uid="{DD171043-16BB-4A71-BE0E-9B80868965FD}" name="Columna11256" dataDxfId="5156"/>
    <tableColumn id="11263" xr3:uid="{FE7327FF-CC7B-4142-AC38-8C1A9639A841}" name="Columna11257" dataDxfId="5155"/>
    <tableColumn id="11264" xr3:uid="{5C70DAF9-FA6A-4DA2-8F55-F25CC9C3E7FE}" name="Columna11258" dataDxfId="5154"/>
    <tableColumn id="11265" xr3:uid="{04F77860-3E4E-4BA0-BDA3-7F69420A4482}" name="Columna11259" dataDxfId="5153"/>
    <tableColumn id="11266" xr3:uid="{4ED1B04D-7341-4BE7-8525-A271D749213A}" name="Columna11260" dataDxfId="5152"/>
    <tableColumn id="11267" xr3:uid="{7585C2EF-068B-4E3A-B60B-43D9794AFC9A}" name="Columna11261" dataDxfId="5151"/>
    <tableColumn id="11268" xr3:uid="{AE173A08-355C-4EBF-9D79-CC2D95B3C9BD}" name="Columna11262" dataDxfId="5150"/>
    <tableColumn id="11269" xr3:uid="{F714CA29-82A1-4AF9-B489-7961A00D3B1E}" name="Columna11263" dataDxfId="5149"/>
    <tableColumn id="11270" xr3:uid="{24D00D60-C1A1-4C7E-B7D5-7E02FA13E052}" name="Columna11264" dataDxfId="5148"/>
    <tableColumn id="11271" xr3:uid="{183B6DA5-E41B-4FF8-A615-9B92F6F2CDC1}" name="Columna11265" dataDxfId="5147"/>
    <tableColumn id="11272" xr3:uid="{C559C972-A647-4281-AA25-2F6A6E647A1B}" name="Columna11266" dataDxfId="5146"/>
    <tableColumn id="11273" xr3:uid="{0600F566-59EE-46DE-B6E6-EA6682D34788}" name="Columna11267" dataDxfId="5145"/>
    <tableColumn id="11274" xr3:uid="{BFBC7104-937F-4C8F-B462-315CBBFE2909}" name="Columna11268" dataDxfId="5144"/>
    <tableColumn id="11275" xr3:uid="{055D8521-CCA1-4D4B-A66E-BEA2E06E3F54}" name="Columna11269" dataDxfId="5143"/>
    <tableColumn id="11276" xr3:uid="{B35C19B1-B0DD-4E31-895B-305D2DBAE9E2}" name="Columna11270" dataDxfId="5142"/>
    <tableColumn id="11277" xr3:uid="{53F65FBF-971E-42E1-AFFC-C4A0896EBB38}" name="Columna11271" dataDxfId="5141"/>
    <tableColumn id="11278" xr3:uid="{578AB5FD-36BD-43AD-A4F1-D8A2390F9B87}" name="Columna11272" dataDxfId="5140"/>
    <tableColumn id="11279" xr3:uid="{8EFCA23C-BCBD-47D6-8862-D1D0B997F038}" name="Columna11273" dataDxfId="5139"/>
    <tableColumn id="11280" xr3:uid="{473396CC-3A59-4CB3-B3E9-93E86D776E2C}" name="Columna11274" dataDxfId="5138"/>
    <tableColumn id="11281" xr3:uid="{F78DB86A-A507-48D3-9BE3-4AD7DE5CA6E0}" name="Columna11275" dataDxfId="5137"/>
    <tableColumn id="11282" xr3:uid="{3DDD684A-84E6-4DE5-85E3-120C9C83137E}" name="Columna11276" dataDxfId="5136"/>
    <tableColumn id="11283" xr3:uid="{F131561B-68CD-4431-8260-B025EA5E8CA8}" name="Columna11277" dataDxfId="5135"/>
    <tableColumn id="11284" xr3:uid="{D4190CDF-A728-41F3-8CBC-113AA5EA830B}" name="Columna11278" dataDxfId="5134"/>
    <tableColumn id="11285" xr3:uid="{681A2D26-50B5-4AFD-8705-B5F1A68A269B}" name="Columna11279" dataDxfId="5133"/>
    <tableColumn id="11286" xr3:uid="{9D2FABC2-23E7-4098-A951-3ED7ED5E50D5}" name="Columna11280" dataDxfId="5132"/>
    <tableColumn id="11287" xr3:uid="{C203B422-F81A-4B15-86BC-B427872BAF70}" name="Columna11281" dataDxfId="5131"/>
    <tableColumn id="11288" xr3:uid="{D22CAC38-151F-4F7A-B803-88E2AA2847AB}" name="Columna11282" dataDxfId="5130"/>
    <tableColumn id="11289" xr3:uid="{57FD4A30-4D0F-4302-8816-AC0C99483ED2}" name="Columna11283" dataDxfId="5129"/>
    <tableColumn id="11290" xr3:uid="{CF49C702-DE3D-45AC-B749-240BC78F976E}" name="Columna11284" dataDxfId="5128"/>
    <tableColumn id="11291" xr3:uid="{E57449AA-6B47-4A52-8BC9-EA5F192E597A}" name="Columna11285" dataDxfId="5127"/>
    <tableColumn id="11292" xr3:uid="{3A96DCAB-00FF-45AC-A1E3-32DF006CEE0A}" name="Columna11286" dataDxfId="5126"/>
    <tableColumn id="11293" xr3:uid="{A56594AB-6132-4898-933B-BC520D200362}" name="Columna11287" dataDxfId="5125"/>
    <tableColumn id="11294" xr3:uid="{69717BD9-E063-4C74-BA35-F219A69EA725}" name="Columna11288" dataDxfId="5124"/>
    <tableColumn id="11295" xr3:uid="{DA94E857-1120-4DD2-9D5D-7695CCB7FFC0}" name="Columna11289" dataDxfId="5123"/>
    <tableColumn id="11296" xr3:uid="{0F7E6137-F46A-42FB-95E2-3E9BD4131F75}" name="Columna11290" dataDxfId="5122"/>
    <tableColumn id="11297" xr3:uid="{1EA554FF-86AF-49FF-BBD3-9EFBA86D623E}" name="Columna11291" dataDxfId="5121"/>
    <tableColumn id="11298" xr3:uid="{6BE13F8E-F031-449E-9539-1A7963E5BA1B}" name="Columna11292" dataDxfId="5120"/>
    <tableColumn id="11299" xr3:uid="{58194C06-9DE6-471F-A9E1-F04D741992F2}" name="Columna11293" dataDxfId="5119"/>
    <tableColumn id="11300" xr3:uid="{E3178060-118A-40CB-AE6B-B0B7BE10EDAC}" name="Columna11294" dataDxfId="5118"/>
    <tableColumn id="11301" xr3:uid="{F8682432-147B-4D5E-BFD4-4C7587FB4BB6}" name="Columna11295" dataDxfId="5117"/>
    <tableColumn id="11302" xr3:uid="{516F0A3D-D269-439F-850B-6F51525AB547}" name="Columna11296" dataDxfId="5116"/>
    <tableColumn id="11303" xr3:uid="{806400F7-C432-4B3B-B484-1F1666184FFA}" name="Columna11297" dataDxfId="5115"/>
    <tableColumn id="11304" xr3:uid="{CF80A9E7-E895-47B8-9F8E-13DCE623E516}" name="Columna11298" dataDxfId="5114"/>
    <tableColumn id="11305" xr3:uid="{A3304CB4-2109-4131-A14E-B925C179650B}" name="Columna11299" dataDxfId="5113"/>
    <tableColumn id="11306" xr3:uid="{8A035503-94AB-4F1B-8F90-A68081C0D48E}" name="Columna11300" dataDxfId="5112"/>
    <tableColumn id="11307" xr3:uid="{4D769862-CF12-4450-AD52-CFA2B66DCCBD}" name="Columna11301" dataDxfId="5111"/>
    <tableColumn id="11308" xr3:uid="{53679783-B247-4160-9403-18FBF703A87E}" name="Columna11302" dataDxfId="5110"/>
    <tableColumn id="11309" xr3:uid="{D15D7C09-2976-4BFD-90E7-CE03C18EFB91}" name="Columna11303" dataDxfId="5109"/>
    <tableColumn id="11310" xr3:uid="{62BA3338-0821-49FC-AED8-C10639C84F1D}" name="Columna11304" dataDxfId="5108"/>
    <tableColumn id="11311" xr3:uid="{F899BAF4-A587-4893-B61B-9A8905DFD43C}" name="Columna11305" dataDxfId="5107"/>
    <tableColumn id="11312" xr3:uid="{BE684162-1ADA-427D-B52A-3AAD24BD3B90}" name="Columna11306" dataDxfId="5106"/>
    <tableColumn id="11313" xr3:uid="{C602B27B-D96F-4C6E-83A3-06F22DC409D5}" name="Columna11307" dataDxfId="5105"/>
    <tableColumn id="11314" xr3:uid="{8E75E19B-E3DA-4427-A809-089FD7E19B30}" name="Columna11308" dataDxfId="5104"/>
    <tableColumn id="11315" xr3:uid="{3EC570FA-FEBC-46C9-BBF4-FEA9DA6B6BB2}" name="Columna11309" dataDxfId="5103"/>
    <tableColumn id="11316" xr3:uid="{259654C4-DAE5-437F-BF44-9D3494D2C394}" name="Columna11310" dataDxfId="5102"/>
    <tableColumn id="11317" xr3:uid="{BEF753C6-E14F-4B16-9D87-113224D9A22B}" name="Columna11311" dataDxfId="5101"/>
    <tableColumn id="11318" xr3:uid="{19CF9E99-065B-4FBE-961E-0EFD3EE4BF59}" name="Columna11312" dataDxfId="5100"/>
    <tableColumn id="11319" xr3:uid="{199D3210-AAF2-4715-A005-B68561CCD2F8}" name="Columna11313" dataDxfId="5099"/>
    <tableColumn id="11320" xr3:uid="{22CE4F4B-3694-48C6-94BA-2B9AA00E242A}" name="Columna11314" dataDxfId="5098"/>
    <tableColumn id="11321" xr3:uid="{50B3D4DF-7965-4B4E-B15B-0E71F437F5E4}" name="Columna11315" dataDxfId="5097"/>
    <tableColumn id="11322" xr3:uid="{C783C113-9BAF-4F13-910D-BEE6E56F6C12}" name="Columna11316" dataDxfId="5096"/>
    <tableColumn id="11323" xr3:uid="{87E23311-C21D-46F3-ABEE-B782CE7C9A3A}" name="Columna11317" dataDxfId="5095"/>
    <tableColumn id="11324" xr3:uid="{A5A8AC18-E5B4-4C8E-88BA-22A27DC0379F}" name="Columna11318" dataDxfId="5094"/>
    <tableColumn id="11325" xr3:uid="{5CCCF6FD-C8A5-413D-B6C6-F189AC9E1287}" name="Columna11319" dataDxfId="5093"/>
    <tableColumn id="11326" xr3:uid="{07FE8AB0-9E63-4C33-A74F-EAE3667F4F2E}" name="Columna11320" dataDxfId="5092"/>
    <tableColumn id="11327" xr3:uid="{ED9D66FB-DC02-419A-98A8-55445C4E6161}" name="Columna11321" dataDxfId="5091"/>
    <tableColumn id="11328" xr3:uid="{823830EF-FBD4-4282-9FEB-89B62083F4D8}" name="Columna11322" dataDxfId="5090"/>
    <tableColumn id="11329" xr3:uid="{31B6EBA7-FFB3-4E9A-98BD-567BF2A09774}" name="Columna11323" dataDxfId="5089"/>
    <tableColumn id="11330" xr3:uid="{AF165B16-70D0-4265-913F-F56465025EBA}" name="Columna11324" dataDxfId="5088"/>
    <tableColumn id="11331" xr3:uid="{E782DB21-17AF-4556-9872-DAD325F04157}" name="Columna11325" dataDxfId="5087"/>
    <tableColumn id="11332" xr3:uid="{5185D6F2-3CB6-4736-A818-3152A88E688C}" name="Columna11326" dataDxfId="5086"/>
    <tableColumn id="11333" xr3:uid="{7A3F2ACB-BD9A-4A58-8EFD-928C3E6D3DBA}" name="Columna11327" dataDxfId="5085"/>
    <tableColumn id="11334" xr3:uid="{4D27EAD4-5462-4A1D-87F5-332D5D74BBAF}" name="Columna11328" dataDxfId="5084"/>
    <tableColumn id="11335" xr3:uid="{66E62A71-F663-4BAB-AD03-A80D2DC3EBC9}" name="Columna11329" dataDxfId="5083"/>
    <tableColumn id="11336" xr3:uid="{C60DD49E-5D79-4A17-9639-3835EBF50177}" name="Columna11330" dataDxfId="5082"/>
    <tableColumn id="11337" xr3:uid="{5245CF29-0E41-441E-85C1-B42E7790F896}" name="Columna11331" dataDxfId="5081"/>
    <tableColumn id="11338" xr3:uid="{FC915512-A5C3-40A3-8561-EB1205D08BCA}" name="Columna11332" dataDxfId="5080"/>
    <tableColumn id="11339" xr3:uid="{1F749A5D-D6A2-4C97-8836-C67E14FB8C8F}" name="Columna11333" dataDxfId="5079"/>
    <tableColumn id="11340" xr3:uid="{3629E193-DDF3-44CB-A8AD-0050B64BC2B1}" name="Columna11334" dataDxfId="5078"/>
    <tableColumn id="11341" xr3:uid="{F664948A-AAFC-408B-B552-9ABFF7CD7F94}" name="Columna11335" dataDxfId="5077"/>
    <tableColumn id="11342" xr3:uid="{E758C7FB-FC99-42F3-ABD4-CC1C8F3C47DA}" name="Columna11336" dataDxfId="5076"/>
    <tableColumn id="11343" xr3:uid="{98279DA5-5F33-4F3A-8A16-F2594F4476FF}" name="Columna11337" dataDxfId="5075"/>
    <tableColumn id="11344" xr3:uid="{37E19261-793C-4021-81F9-193F24933892}" name="Columna11338" dataDxfId="5074"/>
    <tableColumn id="11345" xr3:uid="{0A901D9F-0BEB-4DF2-B71F-F686E055B0E6}" name="Columna11339" dataDxfId="5073"/>
    <tableColumn id="11346" xr3:uid="{C1029603-1C5E-4E13-9EA3-9729EFDD0CE6}" name="Columna11340" dataDxfId="5072"/>
    <tableColumn id="11347" xr3:uid="{C8DBC858-A228-40F2-BE07-0F329FDA49B6}" name="Columna11341" dataDxfId="5071"/>
    <tableColumn id="11348" xr3:uid="{2CE43212-38E7-49A2-BC60-58638EE97E8F}" name="Columna11342" dataDxfId="5070"/>
    <tableColumn id="11349" xr3:uid="{AD44ED6E-B35E-4352-8362-47FF74662057}" name="Columna11343" dataDxfId="5069"/>
    <tableColumn id="11350" xr3:uid="{5701CB69-28E5-4ACF-94DC-C5EB8A95786F}" name="Columna11344" dataDxfId="5068"/>
    <tableColumn id="11351" xr3:uid="{59E37086-7B6F-4B76-B138-A981C1C28625}" name="Columna11345" dataDxfId="5067"/>
    <tableColumn id="11352" xr3:uid="{BA33F7B7-1941-4749-A085-96FD28E18963}" name="Columna11346" dataDxfId="5066"/>
    <tableColumn id="11353" xr3:uid="{840111E9-A324-4339-8081-70A586F55EC5}" name="Columna11347" dataDxfId="5065"/>
    <tableColumn id="11354" xr3:uid="{C1C9D8B9-6061-4A61-8B9E-996D1BBDA255}" name="Columna11348" dataDxfId="5064"/>
    <tableColumn id="11355" xr3:uid="{0B59ED18-0555-4ADD-9749-6BB44D8A0F2B}" name="Columna11349" dataDxfId="5063"/>
    <tableColumn id="11356" xr3:uid="{C1E8418E-3C10-4E16-97B3-A1D88760AE4C}" name="Columna11350" dataDxfId="5062"/>
    <tableColumn id="11357" xr3:uid="{19358755-8889-4B6C-943F-45B5FB61E073}" name="Columna11351" dataDxfId="5061"/>
    <tableColumn id="11358" xr3:uid="{9F65E447-67D2-446D-BF8C-DF8EB081F175}" name="Columna11352" dataDxfId="5060"/>
    <tableColumn id="11359" xr3:uid="{E7A38321-5219-4413-A2B7-79A244E4CB87}" name="Columna11353" dataDxfId="5059"/>
    <tableColumn id="11360" xr3:uid="{10A41504-7535-4429-8E4A-473F4A06C6FE}" name="Columna11354" dataDxfId="5058"/>
    <tableColumn id="11361" xr3:uid="{6C99EEA8-16A6-4F7B-A7D0-2055E7927FB9}" name="Columna11355" dataDxfId="5057"/>
    <tableColumn id="11362" xr3:uid="{E8DEBB87-F342-4C5C-8035-E9FFB950DCF8}" name="Columna11356" dataDxfId="5056"/>
    <tableColumn id="11363" xr3:uid="{24245207-A13D-41D0-AAF5-F6BE5A16D675}" name="Columna11357" dataDxfId="5055"/>
    <tableColumn id="11364" xr3:uid="{36BCB325-446D-4BE2-850D-A26D905D2DD5}" name="Columna11358" dataDxfId="5054"/>
    <tableColumn id="11365" xr3:uid="{61DAFA97-CF0F-48A1-8124-8FF5405CD1B6}" name="Columna11359" dataDxfId="5053"/>
    <tableColumn id="11366" xr3:uid="{5A2FBB66-73CC-429B-AF6C-18C97B0A8BFF}" name="Columna11360" dataDxfId="5052"/>
    <tableColumn id="11367" xr3:uid="{81B9D130-E8D7-4117-B8C3-40F08BE3D82D}" name="Columna11361" dataDxfId="5051"/>
    <tableColumn id="11368" xr3:uid="{05310831-ED88-4454-9D83-690C7B987506}" name="Columna11362" dataDxfId="5050"/>
    <tableColumn id="11369" xr3:uid="{A6837161-18C4-4180-B866-79CA96C5D158}" name="Columna11363" dataDxfId="5049"/>
    <tableColumn id="11370" xr3:uid="{E8561840-0BC2-4AD9-86C2-760D48F103DE}" name="Columna11364" dataDxfId="5048"/>
    <tableColumn id="11371" xr3:uid="{A0E30E0C-3BA7-48C6-A90F-EAD1F315F447}" name="Columna11365" dataDxfId="5047"/>
    <tableColumn id="11372" xr3:uid="{7C062649-D0AB-4845-8768-2C0F687A3429}" name="Columna11366" dataDxfId="5046"/>
    <tableColumn id="11373" xr3:uid="{D0C996A8-822B-4D2D-9240-6372FF53F516}" name="Columna11367" dataDxfId="5045"/>
    <tableColumn id="11374" xr3:uid="{98593515-710B-4B85-B32D-BB57171D3D9F}" name="Columna11368" dataDxfId="5044"/>
    <tableColumn id="11375" xr3:uid="{59F7ADC3-BB9D-4BB0-A2C7-17A7F74E01E4}" name="Columna11369" dataDxfId="5043"/>
    <tableColumn id="11376" xr3:uid="{58DF9A78-E352-492A-B00E-F41C6F3EEE5C}" name="Columna11370" dataDxfId="5042"/>
    <tableColumn id="11377" xr3:uid="{F58A76E3-A2F4-41E7-8B32-59562C6B1FDF}" name="Columna11371" dataDxfId="5041"/>
    <tableColumn id="11378" xr3:uid="{46760E3A-A4A6-496A-8586-4737D9A2BF75}" name="Columna11372" dataDxfId="5040"/>
    <tableColumn id="11379" xr3:uid="{70AAFD70-183B-447E-9EED-987345A727D2}" name="Columna11373" dataDxfId="5039"/>
    <tableColumn id="11380" xr3:uid="{52320C07-F42E-4F44-B6E7-1E231417F478}" name="Columna11374" dataDxfId="5038"/>
    <tableColumn id="11381" xr3:uid="{92226A03-6253-4396-B107-648C43D01421}" name="Columna11375" dataDxfId="5037"/>
    <tableColumn id="11382" xr3:uid="{5880CBC7-0BC2-49B2-9CB2-F7C339A1265E}" name="Columna11376" dataDxfId="5036"/>
    <tableColumn id="11383" xr3:uid="{32234114-7462-4ABC-8F6D-7B377B40F09C}" name="Columna11377" dataDxfId="5035"/>
    <tableColumn id="11384" xr3:uid="{B6B84991-D4FD-47D4-980F-CB550EFDD67B}" name="Columna11378" dataDxfId="5034"/>
    <tableColumn id="11385" xr3:uid="{E871BC01-62D3-4D59-86F6-52102425EC09}" name="Columna11379" dataDxfId="5033"/>
    <tableColumn id="11386" xr3:uid="{9CADCA7B-9B03-4095-A3FF-75158A146FA5}" name="Columna11380" dataDxfId="5032"/>
    <tableColumn id="11387" xr3:uid="{ED5B65FE-6D95-4DD5-BBE4-CCE0FF19BDF7}" name="Columna11381" dataDxfId="5031"/>
    <tableColumn id="11388" xr3:uid="{8CE75237-1F01-47CA-9733-E33BDDE249F3}" name="Columna11382" dataDxfId="5030"/>
    <tableColumn id="11389" xr3:uid="{03AE7ACC-58AE-4266-99D6-4FBF9A22C2B9}" name="Columna11383" dataDxfId="5029"/>
    <tableColumn id="11390" xr3:uid="{14C5340D-84BE-461A-836F-50E4FB4AD1AE}" name="Columna11384" dataDxfId="5028"/>
    <tableColumn id="11391" xr3:uid="{AA4D68B8-20BC-46DC-B067-66B5FF922530}" name="Columna11385" dataDxfId="5027"/>
    <tableColumn id="11392" xr3:uid="{C7A61197-581D-4D0D-A9AC-7A8E54038103}" name="Columna11386" dataDxfId="5026"/>
    <tableColumn id="11393" xr3:uid="{714D89F6-1F48-480D-A0B2-F98B879AD3C0}" name="Columna11387" dataDxfId="5025"/>
    <tableColumn id="11394" xr3:uid="{D8981795-8CA8-4AD5-9A9A-963BD3C5485A}" name="Columna11388" dataDxfId="5024"/>
    <tableColumn id="11395" xr3:uid="{410A27AC-4C28-4BB7-81AA-EE52A605CB5D}" name="Columna11389" dataDxfId="5023"/>
    <tableColumn id="11396" xr3:uid="{828DE685-7159-4942-A42F-90D3F62B4C07}" name="Columna11390" dataDxfId="5022"/>
    <tableColumn id="11397" xr3:uid="{8B977077-AF42-4D2B-B85A-9551FA264899}" name="Columna11391" dataDxfId="5021"/>
    <tableColumn id="11398" xr3:uid="{FD86FDCD-0D11-4214-A03D-FA059A108116}" name="Columna11392" dataDxfId="5020"/>
    <tableColumn id="11399" xr3:uid="{D3F794A2-6F23-49AF-99B0-B07BF4539876}" name="Columna11393" dataDxfId="5019"/>
    <tableColumn id="11400" xr3:uid="{58B62E08-F967-4F17-B57D-048D536E3CA1}" name="Columna11394" dataDxfId="5018"/>
    <tableColumn id="11401" xr3:uid="{BC486AB9-8E27-422A-8DB3-17E7A113D356}" name="Columna11395" dataDxfId="5017"/>
    <tableColumn id="11402" xr3:uid="{1457D2AB-3043-470B-A86D-FB7819234156}" name="Columna11396" dataDxfId="5016"/>
    <tableColumn id="11403" xr3:uid="{EB1C6DD3-C726-4345-856E-074FA8B0519F}" name="Columna11397" dataDxfId="5015"/>
    <tableColumn id="11404" xr3:uid="{07C7CFF7-514D-49B7-BCA2-16C2C28F15E1}" name="Columna11398" dataDxfId="5014"/>
    <tableColumn id="11405" xr3:uid="{0123531C-8E8C-45D9-B630-1D9011F1EF06}" name="Columna11399" dataDxfId="5013"/>
    <tableColumn id="11406" xr3:uid="{8892E595-9A3E-44DB-B929-808EFDD6A1AD}" name="Columna11400" dataDxfId="5012"/>
    <tableColumn id="11407" xr3:uid="{02368CDC-A939-459E-A6B8-84303DE6F00A}" name="Columna11401" dataDxfId="5011"/>
    <tableColumn id="11408" xr3:uid="{AF3C319E-307D-4282-BF1E-DF93AC23DE39}" name="Columna11402" dataDxfId="5010"/>
    <tableColumn id="11409" xr3:uid="{4C57DAA2-C411-4668-BF90-78F87572E4DB}" name="Columna11403" dataDxfId="5009"/>
    <tableColumn id="11410" xr3:uid="{4853E4C2-5088-44CF-8F45-0F27FAEA5A37}" name="Columna11404" dataDxfId="5008"/>
    <tableColumn id="11411" xr3:uid="{D97E4648-115B-40DC-ABDC-77FA0B526326}" name="Columna11405" dataDxfId="5007"/>
    <tableColumn id="11412" xr3:uid="{76ED6633-9FA0-4C5C-9A97-99EC456F3E79}" name="Columna11406" dataDxfId="5006"/>
    <tableColumn id="11413" xr3:uid="{2E55483E-5EBA-4B09-A6E8-0B31370E883D}" name="Columna11407" dataDxfId="5005"/>
    <tableColumn id="11414" xr3:uid="{F9B87E35-606E-4E92-B251-8FD033C6A0BE}" name="Columna11408" dataDxfId="5004"/>
    <tableColumn id="11415" xr3:uid="{53A8E851-27FA-424E-9427-139F9B7CB2AA}" name="Columna11409" dataDxfId="5003"/>
    <tableColumn id="11416" xr3:uid="{A33EABC6-AD23-40C3-9F78-951EA244B2F5}" name="Columna11410" dataDxfId="5002"/>
    <tableColumn id="11417" xr3:uid="{5E88972A-67B4-4C7A-90DB-B07001A071AC}" name="Columna11411" dataDxfId="5001"/>
    <tableColumn id="11418" xr3:uid="{2AC6D693-0AB9-4010-969B-59D298291B44}" name="Columna11412" dataDxfId="5000"/>
    <tableColumn id="11419" xr3:uid="{E08A82A5-C6D4-4C9B-B60C-6003ADA1BB10}" name="Columna11413" dataDxfId="4999"/>
    <tableColumn id="11420" xr3:uid="{0671D113-E417-4930-9C2E-B4949B7B8580}" name="Columna11414" dataDxfId="4998"/>
    <tableColumn id="11421" xr3:uid="{2DE6E613-DB5F-45C5-B420-2084D57F4A7D}" name="Columna11415" dataDxfId="4997"/>
    <tableColumn id="11422" xr3:uid="{FFEC13CD-AC3D-49F6-8AF8-82853CAEE64A}" name="Columna11416" dataDxfId="4996"/>
    <tableColumn id="11423" xr3:uid="{CC02A347-C4FA-44B4-BE28-92B65CE1A250}" name="Columna11417" dataDxfId="4995"/>
    <tableColumn id="11424" xr3:uid="{5BF20EEC-3301-4D53-A45A-E68DA2FAFFD0}" name="Columna11418" dataDxfId="4994"/>
    <tableColumn id="11425" xr3:uid="{91D4A468-44E4-4923-BC61-E4B152044F3F}" name="Columna11419" dataDxfId="4993"/>
    <tableColumn id="11426" xr3:uid="{807AAA46-B66F-40BD-B43B-974C96D98AE8}" name="Columna11420" dataDxfId="4992"/>
    <tableColumn id="11427" xr3:uid="{1F68F0A6-9D64-4AD9-9156-358CA7B124ED}" name="Columna11421" dataDxfId="4991"/>
    <tableColumn id="11428" xr3:uid="{DA211D5C-9E97-44CE-AF93-6C1801D9119B}" name="Columna11422" dataDxfId="4990"/>
    <tableColumn id="11429" xr3:uid="{0B2A20E4-406D-465B-8897-412BE396D26E}" name="Columna11423" dataDxfId="4989"/>
    <tableColumn id="11430" xr3:uid="{94694125-99E5-4282-B68B-B9C05FA63371}" name="Columna11424" dataDxfId="4988"/>
    <tableColumn id="11431" xr3:uid="{BBC95E1B-E0BC-4E70-A012-3648C755325A}" name="Columna11425" dataDxfId="4987"/>
    <tableColumn id="11432" xr3:uid="{4F5772A0-EFFD-466F-8E2B-96C1810ED0D8}" name="Columna11426" dataDxfId="4986"/>
    <tableColumn id="11433" xr3:uid="{6DA13A8D-46A3-4D32-9F47-CCC7DB314D70}" name="Columna11427" dataDxfId="4985"/>
    <tableColumn id="11434" xr3:uid="{4292A488-91C7-46BD-832B-028BB031E739}" name="Columna11428" dataDxfId="4984"/>
    <tableColumn id="11435" xr3:uid="{E301E5EF-596A-415C-A7DA-885978261364}" name="Columna11429" dataDxfId="4983"/>
    <tableColumn id="11436" xr3:uid="{27D15891-C526-4A34-8A55-CADDF3D811D4}" name="Columna11430" dataDxfId="4982"/>
    <tableColumn id="11437" xr3:uid="{CE31AC05-3C63-421A-A45C-67288D925D02}" name="Columna11431" dataDxfId="4981"/>
    <tableColumn id="11438" xr3:uid="{107D839A-337C-4EF4-8EC0-8BE227B631A6}" name="Columna11432" dataDxfId="4980"/>
    <tableColumn id="11439" xr3:uid="{6211DEC0-FCA6-443D-84BA-057FA7AC4BCF}" name="Columna11433" dataDxfId="4979"/>
    <tableColumn id="11440" xr3:uid="{ECDDD596-6481-41C5-8B17-2212E636562B}" name="Columna11434" dataDxfId="4978"/>
    <tableColumn id="11441" xr3:uid="{3D571E5E-4E02-44A1-8307-BE79C8B1D757}" name="Columna11435" dataDxfId="4977"/>
    <tableColumn id="11442" xr3:uid="{04F3D09C-D7F4-4E2C-9BB9-BC26A29EC233}" name="Columna11436" dataDxfId="4976"/>
    <tableColumn id="11443" xr3:uid="{92E55738-FB18-43E7-93D9-81EB539BC2B9}" name="Columna11437" dataDxfId="4975"/>
    <tableColumn id="11444" xr3:uid="{A618976C-777A-4A61-A3C0-5D99A33D7DE7}" name="Columna11438" dataDxfId="4974"/>
    <tableColumn id="11445" xr3:uid="{482204A3-48BA-40CD-BBDF-0E657D336FA5}" name="Columna11439" dataDxfId="4973"/>
    <tableColumn id="11446" xr3:uid="{82705C39-6803-4C08-9F68-A623361D17AA}" name="Columna11440" dataDxfId="4972"/>
    <tableColumn id="11447" xr3:uid="{C1A308D5-A6B7-45C5-8FB6-40018E3B5F14}" name="Columna11441" dataDxfId="4971"/>
    <tableColumn id="11448" xr3:uid="{40F8EDDB-7E39-4E21-922C-1164922C14C7}" name="Columna11442" dataDxfId="4970"/>
    <tableColumn id="11449" xr3:uid="{C56C0B71-2DB1-4CDC-BE42-39A732004820}" name="Columna11443" dataDxfId="4969"/>
    <tableColumn id="11450" xr3:uid="{D399ABBA-72CE-453E-B971-B50C287A946E}" name="Columna11444" dataDxfId="4968"/>
    <tableColumn id="11451" xr3:uid="{C119A755-A9F5-47D0-B452-F9C0ECFE31D6}" name="Columna11445" dataDxfId="4967"/>
    <tableColumn id="11452" xr3:uid="{58718D3F-A056-470A-A7E1-F1F424CC9004}" name="Columna11446" dataDxfId="4966"/>
    <tableColumn id="11453" xr3:uid="{818A6943-0BA7-4E4C-AF56-EFA20B873680}" name="Columna11447" dataDxfId="4965"/>
    <tableColumn id="11454" xr3:uid="{93423C5E-4AFB-4496-8B9F-8962DC1D9F66}" name="Columna11448" dataDxfId="4964"/>
    <tableColumn id="11455" xr3:uid="{F498C665-C524-4381-AC3C-67B989272287}" name="Columna11449" dataDxfId="4963"/>
    <tableColumn id="11456" xr3:uid="{E325A1F4-AA31-4C6C-8CC9-FE82DA929187}" name="Columna11450" dataDxfId="4962"/>
    <tableColumn id="11457" xr3:uid="{70F72EEA-2220-49E7-8634-509DC0CCF776}" name="Columna11451" dataDxfId="4961"/>
    <tableColumn id="11458" xr3:uid="{2733D835-F401-4ED1-B505-855F22EDFE3F}" name="Columna11452" dataDxfId="4960"/>
    <tableColumn id="11459" xr3:uid="{1996FC21-997B-4D3D-B4A9-EEDD267B9D37}" name="Columna11453" dataDxfId="4959"/>
    <tableColumn id="11460" xr3:uid="{D8EF14F6-8E7B-4B4C-ABE1-37002BF36A6B}" name="Columna11454" dataDxfId="4958"/>
    <tableColumn id="11461" xr3:uid="{5E1C7A88-3728-484E-BA68-B71B862DD061}" name="Columna11455" dataDxfId="4957"/>
    <tableColumn id="11462" xr3:uid="{CED86398-8504-4445-BD7E-96CEF858E8BC}" name="Columna11456" dataDxfId="4956"/>
    <tableColumn id="11463" xr3:uid="{DF22A59D-A2C0-4CDD-8444-6AF8EA7D81DF}" name="Columna11457" dataDxfId="4955"/>
    <tableColumn id="11464" xr3:uid="{66853397-E481-41DD-BED4-781EC403F8DD}" name="Columna11458" dataDxfId="4954"/>
    <tableColumn id="11465" xr3:uid="{735D65E0-FFF6-4F1C-BAD4-CE90E8F84884}" name="Columna11459" dataDxfId="4953"/>
    <tableColumn id="11466" xr3:uid="{826D0DC1-FEB0-4043-A28D-0B398BDA9FB4}" name="Columna11460" dataDxfId="4952"/>
    <tableColumn id="11467" xr3:uid="{95FD3454-FEFD-4899-98D5-B4C24BA1E7E7}" name="Columna11461" dataDxfId="4951"/>
    <tableColumn id="11468" xr3:uid="{E857893E-4F91-40E4-8CB0-C180CA28D479}" name="Columna11462" dataDxfId="4950"/>
    <tableColumn id="11469" xr3:uid="{2F709D5A-59CD-4F4E-8161-628E9D3055EC}" name="Columna11463" dataDxfId="4949"/>
    <tableColumn id="11470" xr3:uid="{03E0E8C2-6326-4ACA-91E9-63CF5C9A8703}" name="Columna11464" dataDxfId="4948"/>
    <tableColumn id="11471" xr3:uid="{C709A9A1-DF0D-4EE2-80E4-9CD5EEE12A8E}" name="Columna11465" dataDxfId="4947"/>
    <tableColumn id="11472" xr3:uid="{0E134151-BD54-4536-9E5E-070205FDE68B}" name="Columna11466" dataDxfId="4946"/>
    <tableColumn id="11473" xr3:uid="{70678375-6B5D-4357-A6A4-7D3EEB6A9CD5}" name="Columna11467" dataDxfId="4945"/>
    <tableColumn id="11474" xr3:uid="{8EC5E8E0-0E23-4F6D-8930-4CA8AAA3C946}" name="Columna11468" dataDxfId="4944"/>
    <tableColumn id="11475" xr3:uid="{788A8847-E512-47C4-A770-AA9CEE8A6873}" name="Columna11469" dataDxfId="4943"/>
    <tableColumn id="11476" xr3:uid="{5596630A-43CD-4FB3-8C1B-2476BCEE6ED8}" name="Columna11470" dataDxfId="4942"/>
    <tableColumn id="11477" xr3:uid="{30B5423A-A18B-4D6B-B664-BAE939A7C854}" name="Columna11471" dataDxfId="4941"/>
    <tableColumn id="11478" xr3:uid="{EA472EAF-1F9E-4D72-9978-785C764B3C81}" name="Columna11472" dataDxfId="4940"/>
    <tableColumn id="11479" xr3:uid="{6687A4DA-30F9-4F34-B2EA-19EAC199E883}" name="Columna11473" dataDxfId="4939"/>
    <tableColumn id="11480" xr3:uid="{BEF46129-F645-4B23-A562-08BB73652F2E}" name="Columna11474" dataDxfId="4938"/>
    <tableColumn id="11481" xr3:uid="{9756DDFF-7844-45B2-97C9-6DB9EC419CC3}" name="Columna11475" dataDxfId="4937"/>
    <tableColumn id="11482" xr3:uid="{30C90F4F-7498-464F-8104-3EF0E88D5849}" name="Columna11476" dataDxfId="4936"/>
    <tableColumn id="11483" xr3:uid="{D4C62D68-D2DC-43F8-B537-4D9791A3F9C2}" name="Columna11477" dataDxfId="4935"/>
    <tableColumn id="11484" xr3:uid="{C6CCBB37-4469-4F02-8A37-5CF6555727CC}" name="Columna11478" dataDxfId="4934"/>
    <tableColumn id="11485" xr3:uid="{9C69201E-4E5C-43E4-8EE8-0EC4A9EBF493}" name="Columna11479" dataDxfId="4933"/>
    <tableColumn id="11486" xr3:uid="{4AA4C57F-297C-404C-9EDE-62CD73461C4F}" name="Columna11480" dataDxfId="4932"/>
    <tableColumn id="11487" xr3:uid="{0CCD8604-4AB5-4149-BA43-E3053015C985}" name="Columna11481" dataDxfId="4931"/>
    <tableColumn id="11488" xr3:uid="{6F431A24-5DAF-4101-B3C3-DA66697C60C2}" name="Columna11482" dataDxfId="4930"/>
    <tableColumn id="11489" xr3:uid="{E721629F-6F46-4A42-92CC-FE017C11B812}" name="Columna11483" dataDxfId="4929"/>
    <tableColumn id="11490" xr3:uid="{BDB79FEC-B4BB-453D-80BC-4BB329560054}" name="Columna11484" dataDxfId="4928"/>
    <tableColumn id="11491" xr3:uid="{5AA00FDC-7C33-4E6E-8202-B4BA2C52B404}" name="Columna11485" dataDxfId="4927"/>
    <tableColumn id="11492" xr3:uid="{25271872-0086-4933-944B-6D362EC4AB76}" name="Columna11486" dataDxfId="4926"/>
    <tableColumn id="11493" xr3:uid="{F3AF5915-65F5-4E8C-AC60-FB0DC726912C}" name="Columna11487" dataDxfId="4925"/>
    <tableColumn id="11494" xr3:uid="{F665C43D-77A3-4780-B51C-F6D47BCA8537}" name="Columna11488" dataDxfId="4924"/>
    <tableColumn id="11495" xr3:uid="{9B16FA2F-99BD-4C5F-ABD8-911D21C98E82}" name="Columna11489" dataDxfId="4923"/>
    <tableColumn id="11496" xr3:uid="{5D7BA4A4-9B04-4403-8644-E2A9C6DCE047}" name="Columna11490" dataDxfId="4922"/>
    <tableColumn id="11497" xr3:uid="{400F93B7-2D76-4C82-8032-F1189925D1EF}" name="Columna11491" dataDxfId="4921"/>
    <tableColumn id="11498" xr3:uid="{ED66B906-A5B4-4420-9D8F-882C0FB047A4}" name="Columna11492" dataDxfId="4920"/>
    <tableColumn id="11499" xr3:uid="{5C7B6C40-88B5-4182-BF2E-5BC91056E6E5}" name="Columna11493" dataDxfId="4919"/>
    <tableColumn id="11500" xr3:uid="{6F76E9A5-D928-402C-9B10-AFE181A81E65}" name="Columna11494" dataDxfId="4918"/>
    <tableColumn id="11501" xr3:uid="{342EB176-741C-4A0A-B47D-D9F86D7AAC9E}" name="Columna11495" dataDxfId="4917"/>
    <tableColumn id="11502" xr3:uid="{E3D80A6D-4D9D-423E-8B34-24B72EDA10CF}" name="Columna11496" dataDxfId="4916"/>
    <tableColumn id="11503" xr3:uid="{95E08345-35EA-4B65-90D2-EF5C621C6CB4}" name="Columna11497" dataDxfId="4915"/>
    <tableColumn id="11504" xr3:uid="{02EAF18C-68BD-43A3-B01F-8175B373C40B}" name="Columna11498" dataDxfId="4914"/>
    <tableColumn id="11505" xr3:uid="{6FEF80E3-829B-4D71-93EB-BDC803951A68}" name="Columna11499" dataDxfId="4913"/>
    <tableColumn id="11506" xr3:uid="{0DE37AB2-9BA0-431D-850D-B7BD85123CBB}" name="Columna11500" dataDxfId="4912"/>
    <tableColumn id="11507" xr3:uid="{659E1629-AC1B-4733-AFCF-908D124ED438}" name="Columna11501" dataDxfId="4911"/>
    <tableColumn id="11508" xr3:uid="{AA7937B3-9F24-4B5C-A2CA-67831284856B}" name="Columna11502" dataDxfId="4910"/>
    <tableColumn id="11509" xr3:uid="{41B32541-E813-45FF-98E6-609875AE2616}" name="Columna11503" dataDxfId="4909"/>
    <tableColumn id="11510" xr3:uid="{4501E4B9-404C-4378-ABDB-32891724E7A9}" name="Columna11504" dataDxfId="4908"/>
    <tableColumn id="11511" xr3:uid="{D257F6DE-F390-45C3-BDA6-F8FF11BBCF96}" name="Columna11505" dataDxfId="4907"/>
    <tableColumn id="11512" xr3:uid="{512FB6A1-49DE-4029-B892-64E9CE8D328F}" name="Columna11506" dataDxfId="4906"/>
    <tableColumn id="11513" xr3:uid="{8310AB95-4EFB-4979-A28E-6D3345FC0D2F}" name="Columna11507" dataDxfId="4905"/>
    <tableColumn id="11514" xr3:uid="{78DC4CFE-DE70-42F7-92A3-0D87A21E2373}" name="Columna11508" dataDxfId="4904"/>
    <tableColumn id="11515" xr3:uid="{9AC4C67B-704C-4C0E-BD98-219B2C0656EA}" name="Columna11509" dataDxfId="4903"/>
    <tableColumn id="11516" xr3:uid="{00CBF7FD-255C-45FB-A6D9-72859AD5DFC9}" name="Columna11510" dataDxfId="4902"/>
    <tableColumn id="11517" xr3:uid="{384F8D7C-AC42-4BF1-B707-B3BD8BFF557F}" name="Columna11511" dataDxfId="4901"/>
    <tableColumn id="11518" xr3:uid="{C812EF7A-BEFF-491E-9E5D-090656E1ED06}" name="Columna11512" dataDxfId="4900"/>
    <tableColumn id="11519" xr3:uid="{27FCE095-26F6-4128-B37C-64FD698E2921}" name="Columna11513" dataDxfId="4899"/>
    <tableColumn id="11520" xr3:uid="{B6CAF023-5C72-41D7-92CE-2C1750BF8FDA}" name="Columna11514" dataDxfId="4898"/>
    <tableColumn id="11521" xr3:uid="{A4199783-E707-4313-B7C3-ABB44C70BB25}" name="Columna11515" dataDxfId="4897"/>
    <tableColumn id="11522" xr3:uid="{4CD536AC-7E84-45E6-8982-84049C2C5DB3}" name="Columna11516" dataDxfId="4896"/>
    <tableColumn id="11523" xr3:uid="{E00918B8-5CC6-49EE-AF9F-3D0D2C7CB11A}" name="Columna11517" dataDxfId="4895"/>
    <tableColumn id="11524" xr3:uid="{E689E164-E8F6-4517-845D-CC0AC5853F3C}" name="Columna11518" dataDxfId="4894"/>
    <tableColumn id="11525" xr3:uid="{30F2D7F6-F3FC-46CE-BDD5-9B8CAE00473E}" name="Columna11519" dataDxfId="4893"/>
    <tableColumn id="11526" xr3:uid="{B52111F2-B23A-4B8E-8C71-415479B614E9}" name="Columna11520" dataDxfId="4892"/>
    <tableColumn id="11527" xr3:uid="{C753A704-08F8-4B6A-B5EA-398D5C2F7BE9}" name="Columna11521" dataDxfId="4891"/>
    <tableColumn id="11528" xr3:uid="{E5A10848-56F3-4869-AB61-E760CE579859}" name="Columna11522" dataDxfId="4890"/>
    <tableColumn id="11529" xr3:uid="{7725C140-A44B-4FF9-9C07-ECF94AC9129A}" name="Columna11523" dataDxfId="4889"/>
    <tableColumn id="11530" xr3:uid="{5136E613-8F83-45AB-9306-CE5AF2064C72}" name="Columna11524" dataDxfId="4888"/>
    <tableColumn id="11531" xr3:uid="{E8BAEF25-9FB4-469C-94B3-524B5BE461FD}" name="Columna11525" dataDxfId="4887"/>
    <tableColumn id="11532" xr3:uid="{B5DC091E-8587-4350-89C8-6ECF48CCC250}" name="Columna11526" dataDxfId="4886"/>
    <tableColumn id="11533" xr3:uid="{18059804-8B73-4A3B-A135-8DBA21CA19AC}" name="Columna11527" dataDxfId="4885"/>
    <tableColumn id="11534" xr3:uid="{33A5ADA1-8589-47CB-B4B3-CB78AC1A6878}" name="Columna11528" dataDxfId="4884"/>
    <tableColumn id="11535" xr3:uid="{8A1EA25A-47E4-42B0-A013-8DD714EB130F}" name="Columna11529" dataDxfId="4883"/>
    <tableColumn id="11536" xr3:uid="{20ECC42E-16D1-4926-A1C0-BCBD153FE972}" name="Columna11530" dataDxfId="4882"/>
    <tableColumn id="11537" xr3:uid="{58744417-6DDD-4BC6-B687-DC8121A3E430}" name="Columna11531" dataDxfId="4881"/>
    <tableColumn id="11538" xr3:uid="{45CC9659-1FEA-4049-8823-E6951899B4CF}" name="Columna11532" dataDxfId="4880"/>
    <tableColumn id="11539" xr3:uid="{1F455CDD-AD8A-4819-B898-4894909505DB}" name="Columna11533" dataDxfId="4879"/>
    <tableColumn id="11540" xr3:uid="{FA7E919F-4693-423F-8FB9-0D73D6AB0836}" name="Columna11534" dataDxfId="4878"/>
    <tableColumn id="11541" xr3:uid="{22B059CC-C06D-4FE6-BD9B-B96900306FB5}" name="Columna11535" dataDxfId="4877"/>
    <tableColumn id="11542" xr3:uid="{37ADDCC8-1080-46B3-B42B-542707C7F691}" name="Columna11536" dataDxfId="4876"/>
    <tableColumn id="11543" xr3:uid="{515A78D4-7301-4115-96AC-F87BA971123D}" name="Columna11537" dataDxfId="4875"/>
    <tableColumn id="11544" xr3:uid="{8B57FB53-99F4-469B-B492-D422D3D94C35}" name="Columna11538" dataDxfId="4874"/>
    <tableColumn id="11545" xr3:uid="{CB6BB9FE-376F-4D5A-98B7-C9726253DDDF}" name="Columna11539" dataDxfId="4873"/>
    <tableColumn id="11546" xr3:uid="{8A82B4B9-50B6-499B-9DBF-3BEFCF0A5AA4}" name="Columna11540" dataDxfId="4872"/>
    <tableColumn id="11547" xr3:uid="{CD1959FD-5B8C-498E-A7B1-8EBA4D33DA44}" name="Columna11541" dataDxfId="4871"/>
    <tableColumn id="11548" xr3:uid="{C49FDECB-1DC5-4E74-AA28-E088BCA502D9}" name="Columna11542" dataDxfId="4870"/>
    <tableColumn id="11549" xr3:uid="{16A68CD7-34E2-45B5-91F3-A7BEC76DBF09}" name="Columna11543" dataDxfId="4869"/>
    <tableColumn id="11550" xr3:uid="{FA41C1D0-6F31-4F72-B220-E7D7786A045D}" name="Columna11544" dataDxfId="4868"/>
    <tableColumn id="11551" xr3:uid="{08329D8C-E9C3-41D1-9BA5-02A69B5FCAD7}" name="Columna11545" dataDxfId="4867"/>
    <tableColumn id="11552" xr3:uid="{8F4B5205-ADB9-47B7-850A-D1D4319E5819}" name="Columna11546" dataDxfId="4866"/>
    <tableColumn id="11553" xr3:uid="{0621A1BD-833C-43B3-92E1-B7F533FB0202}" name="Columna11547" dataDxfId="4865"/>
    <tableColumn id="11554" xr3:uid="{EAD92974-42A1-4168-9498-CECC7B503C6D}" name="Columna11548" dataDxfId="4864"/>
    <tableColumn id="11555" xr3:uid="{65F53C2F-1D54-4E49-B798-708954179F74}" name="Columna11549" dataDxfId="4863"/>
    <tableColumn id="11556" xr3:uid="{C1ED90E5-0E1B-4A29-BC23-2C4A44886896}" name="Columna11550" dataDxfId="4862"/>
    <tableColumn id="11557" xr3:uid="{2D71AF27-5B7C-4AF8-BB31-8150CEAB0EE8}" name="Columna11551" dataDxfId="4861"/>
    <tableColumn id="11558" xr3:uid="{AC12E761-ACC4-4CF5-A45B-8B02315F1898}" name="Columna11552" dataDxfId="4860"/>
    <tableColumn id="11559" xr3:uid="{DD955921-C46F-413A-A9C2-E6B020D28B20}" name="Columna11553" dataDxfId="4859"/>
    <tableColumn id="11560" xr3:uid="{526470C3-3845-4A86-BD57-02BD8D3FE999}" name="Columna11554" dataDxfId="4858"/>
    <tableColumn id="11561" xr3:uid="{168F3FD7-FC35-4A71-947B-A747E81D6D9B}" name="Columna11555" dataDxfId="4857"/>
    <tableColumn id="11562" xr3:uid="{F590DEB3-AD55-4E01-876F-5E4295124798}" name="Columna11556" dataDxfId="4856"/>
    <tableColumn id="11563" xr3:uid="{9D113418-2B95-4DF0-AC2E-BD78B86514AC}" name="Columna11557" dataDxfId="4855"/>
    <tableColumn id="11564" xr3:uid="{2D1C1A5F-9A8C-4484-8484-07D44E2B63A8}" name="Columna11558" dataDxfId="4854"/>
    <tableColumn id="11565" xr3:uid="{66CC2D26-93BE-4037-AC6A-C5B9E4790A9C}" name="Columna11559" dataDxfId="4853"/>
    <tableColumn id="11566" xr3:uid="{DDD865B6-50E8-43F8-96FF-EE51688076A6}" name="Columna11560" dataDxfId="4852"/>
    <tableColumn id="11567" xr3:uid="{D2DAB871-0D77-4C53-8623-4DC1F027E262}" name="Columna11561" dataDxfId="4851"/>
    <tableColumn id="11568" xr3:uid="{A1A07535-38FF-4CF3-8952-C0DA5CA23A0F}" name="Columna11562" dataDxfId="4850"/>
    <tableColumn id="11569" xr3:uid="{EF212E9B-B975-4DDE-A604-317500CE37F4}" name="Columna11563" dataDxfId="4849"/>
    <tableColumn id="11570" xr3:uid="{739161BA-E13A-49AA-9E06-0662C8C5C0D5}" name="Columna11564" dataDxfId="4848"/>
    <tableColumn id="11571" xr3:uid="{25811B37-6F23-4F54-86AB-1FE36E237A61}" name="Columna11565" dataDxfId="4847"/>
    <tableColumn id="11572" xr3:uid="{E7B3CAD8-D733-44A3-B2CD-81D0578B521F}" name="Columna11566" dataDxfId="4846"/>
    <tableColumn id="11573" xr3:uid="{6A4E7DDE-E056-4826-89FC-A6AB461ABA74}" name="Columna11567" dataDxfId="4845"/>
    <tableColumn id="11574" xr3:uid="{4ABFDF76-7C1D-4A53-A30F-BF2965C9CAEC}" name="Columna11568" dataDxfId="4844"/>
    <tableColumn id="11575" xr3:uid="{1F9E54D3-1C68-4F0B-B9AC-E412D102881A}" name="Columna11569" dataDxfId="4843"/>
    <tableColumn id="11576" xr3:uid="{78943F4D-C0A3-44BD-9D65-C2A5B676B595}" name="Columna11570" dataDxfId="4842"/>
    <tableColumn id="11577" xr3:uid="{542C787E-C1EA-4B6E-80A9-CB636CB4ED21}" name="Columna11571" dataDxfId="4841"/>
    <tableColumn id="11578" xr3:uid="{A6D993FB-22B8-41AB-B0E2-278209F2EA83}" name="Columna11572" dataDxfId="4840"/>
    <tableColumn id="11579" xr3:uid="{95306FC3-43B4-4898-AE08-19D2DED17C70}" name="Columna11573" dataDxfId="4839"/>
    <tableColumn id="11580" xr3:uid="{BE597A5E-4AD7-40CA-BEFF-6CFC94C6E782}" name="Columna11574" dataDxfId="4838"/>
    <tableColumn id="11581" xr3:uid="{32657FC2-27C7-4FB8-BFD9-7F1EF713AD55}" name="Columna11575" dataDxfId="4837"/>
    <tableColumn id="11582" xr3:uid="{CF135A6F-EDEF-4541-B5BA-95A639B8E92B}" name="Columna11576" dataDxfId="4836"/>
    <tableColumn id="11583" xr3:uid="{A579432D-E6DF-4A8B-B59D-156BADB27C77}" name="Columna11577" dataDxfId="4835"/>
    <tableColumn id="11584" xr3:uid="{F1041C26-F9C4-4D18-BFD3-624C9CB31529}" name="Columna11578" dataDxfId="4834"/>
    <tableColumn id="11585" xr3:uid="{A1D59CB4-F279-4526-9CAF-FC758D53E04E}" name="Columna11579" dataDxfId="4833"/>
    <tableColumn id="11586" xr3:uid="{BFA85C96-2645-47CE-8E8E-BBACB2E65A65}" name="Columna11580" dataDxfId="4832"/>
    <tableColumn id="11587" xr3:uid="{E0A0BD15-48AA-4BD8-A33A-A398832F785F}" name="Columna11581" dataDxfId="4831"/>
    <tableColumn id="11588" xr3:uid="{8330DC72-5FD9-495A-8147-C317204D23B5}" name="Columna11582" dataDxfId="4830"/>
    <tableColumn id="11589" xr3:uid="{EF916449-AB4A-4257-A317-42D36CC22D14}" name="Columna11583" dataDxfId="4829"/>
    <tableColumn id="11590" xr3:uid="{60385A7D-D3B5-4301-9335-81EFF16DE227}" name="Columna11584" dataDxfId="4828"/>
    <tableColumn id="11591" xr3:uid="{3EFB350B-5ED4-4347-95C9-38C0D5815211}" name="Columna11585" dataDxfId="4827"/>
    <tableColumn id="11592" xr3:uid="{93E5104F-F89D-4CE9-AF3E-FFE68CDD8484}" name="Columna11586" dataDxfId="4826"/>
    <tableColumn id="11593" xr3:uid="{56FC8369-E69D-44C7-9FB8-F0A3AB1AC851}" name="Columna11587" dataDxfId="4825"/>
    <tableColumn id="11594" xr3:uid="{3AD54B03-1B8E-4F2B-B96A-4F240FF10DF2}" name="Columna11588" dataDxfId="4824"/>
    <tableColumn id="11595" xr3:uid="{DAEE4518-6587-49FD-9EF5-E039AB33E685}" name="Columna11589" dataDxfId="4823"/>
    <tableColumn id="11596" xr3:uid="{6CC4F965-61CE-46FF-B5FD-3F7351C89779}" name="Columna11590" dataDxfId="4822"/>
    <tableColumn id="11597" xr3:uid="{F92AE249-5C1E-4A92-8573-9948BE07770B}" name="Columna11591" dataDxfId="4821"/>
    <tableColumn id="11598" xr3:uid="{D0C61B2D-0DA5-4025-AB1E-FC12C93163AF}" name="Columna11592" dataDxfId="4820"/>
    <tableColumn id="11599" xr3:uid="{F677EC56-D976-4D6A-A446-2410AC6D0B7B}" name="Columna11593" dataDxfId="4819"/>
    <tableColumn id="11600" xr3:uid="{1EC94ED8-967C-491B-8C8B-2C346116B8F5}" name="Columna11594" dataDxfId="4818"/>
    <tableColumn id="11601" xr3:uid="{505F0FD9-8E9A-473E-839A-575DE36FCE90}" name="Columna11595" dataDxfId="4817"/>
    <tableColumn id="11602" xr3:uid="{C724F24E-7E6D-48D3-8C98-5D8AD7C6EAA5}" name="Columna11596" dataDxfId="4816"/>
    <tableColumn id="11603" xr3:uid="{2CE2A135-60E3-4E50-BB0D-937432F66E69}" name="Columna11597" dataDxfId="4815"/>
    <tableColumn id="11604" xr3:uid="{A49226BB-CABE-4ED2-B587-E1AF7C43D20F}" name="Columna11598" dataDxfId="4814"/>
    <tableColumn id="11605" xr3:uid="{4668ABF4-6FB8-4CF8-BF45-99EA14B33605}" name="Columna11599" dataDxfId="4813"/>
    <tableColumn id="11606" xr3:uid="{6DA32B37-9AE1-43B2-A587-44F7E4E7584A}" name="Columna11600" dataDxfId="4812"/>
    <tableColumn id="11607" xr3:uid="{F9AFEBA6-9EB9-4445-8AB9-C7EB402885B4}" name="Columna11601" dataDxfId="4811"/>
    <tableColumn id="11608" xr3:uid="{D6D59357-47A0-4E89-B113-4955FFC98781}" name="Columna11602" dataDxfId="4810"/>
    <tableColumn id="11609" xr3:uid="{49C24A3E-B4AB-43D2-A536-DD48EF17E4D6}" name="Columna11603" dataDxfId="4809"/>
    <tableColumn id="11610" xr3:uid="{BDD82D75-29BF-4A95-B90A-4DB913811824}" name="Columna11604" dataDxfId="4808"/>
    <tableColumn id="11611" xr3:uid="{ACBEF915-9386-4BD1-890E-253BDD6E4A49}" name="Columna11605" dataDxfId="4807"/>
    <tableColumn id="11612" xr3:uid="{46BF7E16-F613-4480-B33A-404E99FBD5BF}" name="Columna11606" dataDxfId="4806"/>
    <tableColumn id="11613" xr3:uid="{2FFDFD4A-BC88-45F6-9294-FB8CF9984006}" name="Columna11607" dataDxfId="4805"/>
    <tableColumn id="11614" xr3:uid="{3B2507B5-C682-42B7-B3CE-A094E2B8B211}" name="Columna11608" dataDxfId="4804"/>
    <tableColumn id="11615" xr3:uid="{6FEB6FB0-88D0-4786-92D1-A9B4206BDCDB}" name="Columna11609" dataDxfId="4803"/>
    <tableColumn id="11616" xr3:uid="{D3C342F1-BBD5-4AE8-9951-16383314CAAC}" name="Columna11610" dataDxfId="4802"/>
    <tableColumn id="11617" xr3:uid="{1EFBB838-9C67-41DF-BC03-E35177C99BE0}" name="Columna11611" dataDxfId="4801"/>
    <tableColumn id="11618" xr3:uid="{3FE8AA93-1CD9-48A6-ADD4-E9260E6CDD39}" name="Columna11612" dataDxfId="4800"/>
    <tableColumn id="11619" xr3:uid="{F64C0138-71B6-44F6-AC3A-48E1554E8993}" name="Columna11613" dataDxfId="4799"/>
    <tableColumn id="11620" xr3:uid="{CC76EDDE-BF77-4435-8D39-2934DAF1AAEB}" name="Columna11614" dataDxfId="4798"/>
    <tableColumn id="11621" xr3:uid="{468AED98-96FD-4F35-A29B-E47740239059}" name="Columna11615" dataDxfId="4797"/>
    <tableColumn id="11622" xr3:uid="{CDBD05FD-5C16-4A0E-A0AA-6AD901008D59}" name="Columna11616" dataDxfId="4796"/>
    <tableColumn id="11623" xr3:uid="{7DB25DCF-0CDA-413F-818E-ADFC8F2024FB}" name="Columna11617" dataDxfId="4795"/>
    <tableColumn id="11624" xr3:uid="{46F20142-2F62-4B36-B1B5-D5D558A04261}" name="Columna11618" dataDxfId="4794"/>
    <tableColumn id="11625" xr3:uid="{74864DD5-8CB7-4FB5-801C-9E01D2874CE6}" name="Columna11619" dataDxfId="4793"/>
    <tableColumn id="11626" xr3:uid="{22EACC85-0B61-49A0-BF0C-972A4BBCBBF2}" name="Columna11620" dataDxfId="4792"/>
    <tableColumn id="11627" xr3:uid="{F776305E-754C-4955-B21E-0C20CC9F9955}" name="Columna11621" dataDxfId="4791"/>
    <tableColumn id="11628" xr3:uid="{4C71F1A0-053D-44CF-97B8-3A8D0E25B11F}" name="Columna11622" dataDxfId="4790"/>
    <tableColumn id="11629" xr3:uid="{3C1C0F7F-1356-459E-B51D-9A6B81040750}" name="Columna11623" dataDxfId="4789"/>
    <tableColumn id="11630" xr3:uid="{87239C2B-B4B6-4018-82DC-7D3222A3688A}" name="Columna11624" dataDxfId="4788"/>
    <tableColumn id="11631" xr3:uid="{3B20CCB8-0401-4C14-8271-A6A9380B653A}" name="Columna11625" dataDxfId="4787"/>
    <tableColumn id="11632" xr3:uid="{B044C8BB-585E-4738-A3CB-82E586A5EF79}" name="Columna11626" dataDxfId="4786"/>
    <tableColumn id="11633" xr3:uid="{9745F927-E589-432C-AEE7-868EC7049EAA}" name="Columna11627" dataDxfId="4785"/>
    <tableColumn id="11634" xr3:uid="{D5B97E2F-D1B9-4328-B980-36780FC6D12F}" name="Columna11628" dataDxfId="4784"/>
    <tableColumn id="11635" xr3:uid="{BA0BA231-63F5-49F6-B23A-F3A910737FD4}" name="Columna11629" dataDxfId="4783"/>
    <tableColumn id="11636" xr3:uid="{5578D7BF-3DD2-4855-B198-E24160CFA597}" name="Columna11630" dataDxfId="4782"/>
    <tableColumn id="11637" xr3:uid="{58F00958-2906-4398-9B9B-106081677EBF}" name="Columna11631" dataDxfId="4781"/>
    <tableColumn id="11638" xr3:uid="{6FFFA58E-CFF4-4ADA-A805-046A5AF4F295}" name="Columna11632" dataDxfId="4780"/>
    <tableColumn id="11639" xr3:uid="{2A83AB50-E6F4-4121-A59B-128BB4D69EE7}" name="Columna11633" dataDxfId="4779"/>
    <tableColumn id="11640" xr3:uid="{411C1A4D-FC58-40A9-B3C4-E463F61C30A8}" name="Columna11634" dataDxfId="4778"/>
    <tableColumn id="11641" xr3:uid="{BCCA8DDC-67F4-42BA-8576-5DF01931173B}" name="Columna11635" dataDxfId="4777"/>
    <tableColumn id="11642" xr3:uid="{C24A2074-67B6-48CA-82DE-704367F50E6E}" name="Columna11636" dataDxfId="4776"/>
    <tableColumn id="11643" xr3:uid="{25008B4F-1B3D-458F-9C4E-1BDCD48BF79E}" name="Columna11637" dataDxfId="4775"/>
    <tableColumn id="11644" xr3:uid="{92E1713F-04D2-4415-AEB3-B401A162F0EF}" name="Columna11638" dataDxfId="4774"/>
    <tableColumn id="11645" xr3:uid="{47A8D1F5-DFA7-4915-8084-5F49C5B5FD58}" name="Columna11639" dataDxfId="4773"/>
    <tableColumn id="11646" xr3:uid="{09A0D20B-6151-467F-B96D-CFC0C9B04F6D}" name="Columna11640" dataDxfId="4772"/>
    <tableColumn id="11647" xr3:uid="{5FDE3347-CE18-405F-B674-67DEDFEF9561}" name="Columna11641" dataDxfId="4771"/>
    <tableColumn id="11648" xr3:uid="{9B98343E-44AA-487F-9A50-4047FB5E2B31}" name="Columna11642" dataDxfId="4770"/>
    <tableColumn id="11649" xr3:uid="{1555F02C-E5E8-4147-B5B4-2F9A37DA11BD}" name="Columna11643" dataDxfId="4769"/>
    <tableColumn id="11650" xr3:uid="{1547B456-CF42-41E0-80A6-BB4C3CE91983}" name="Columna11644" dataDxfId="4768"/>
    <tableColumn id="11651" xr3:uid="{A5946132-CD9B-4FFF-83AC-04DA6DE2564F}" name="Columna11645" dataDxfId="4767"/>
    <tableColumn id="11652" xr3:uid="{13CDE6C8-A314-44FB-BEA7-795656BD9B78}" name="Columna11646" dataDxfId="4766"/>
    <tableColumn id="11653" xr3:uid="{E1AE139D-1212-47A9-9C5F-22A401FF9C6F}" name="Columna11647" dataDxfId="4765"/>
    <tableColumn id="11654" xr3:uid="{32ECB9AB-DB51-4904-B3E2-B90C45750EC0}" name="Columna11648" dataDxfId="4764"/>
    <tableColumn id="11655" xr3:uid="{17607D25-0783-4D47-A6FB-568B1FE119A3}" name="Columna11649" dataDxfId="4763"/>
    <tableColumn id="11656" xr3:uid="{03CC9EE8-E5C3-4851-B5D3-D4E0D93407C5}" name="Columna11650" dataDxfId="4762"/>
    <tableColumn id="11657" xr3:uid="{85AD4EA1-4F49-49F3-92A6-853DCF2FD0D6}" name="Columna11651" dataDxfId="4761"/>
    <tableColumn id="11658" xr3:uid="{A5915BD3-0996-46FB-A974-699F68C14A69}" name="Columna11652" dataDxfId="4760"/>
    <tableColumn id="11659" xr3:uid="{3A19EDB9-54FC-4A15-9E83-96A5F14C47BD}" name="Columna11653" dataDxfId="4759"/>
    <tableColumn id="11660" xr3:uid="{3FD2116A-2F72-4192-A8EC-49EA7B5EDCDD}" name="Columna11654" dataDxfId="4758"/>
    <tableColumn id="11661" xr3:uid="{BE025470-6EAC-4758-AB41-374275D218D0}" name="Columna11655" dataDxfId="4757"/>
    <tableColumn id="11662" xr3:uid="{54732652-93C7-46BD-9C21-5EEEC88FEA5E}" name="Columna11656" dataDxfId="4756"/>
    <tableColumn id="11663" xr3:uid="{5863229C-8826-4D1A-B7A0-625F89234959}" name="Columna11657" dataDxfId="4755"/>
    <tableColumn id="11664" xr3:uid="{E52C30DA-FE4B-4254-BB5C-DC84EE7372AF}" name="Columna11658" dataDxfId="4754"/>
    <tableColumn id="11665" xr3:uid="{EAE50E5C-7D31-4D8B-A6F9-0D7C6D2A80B2}" name="Columna11659" dataDxfId="4753"/>
    <tableColumn id="11666" xr3:uid="{20B41F13-5D0C-436D-8177-AE0E17441427}" name="Columna11660" dataDxfId="4752"/>
    <tableColumn id="11667" xr3:uid="{80E21417-F20E-442D-BEAD-725DE55943F1}" name="Columna11661" dataDxfId="4751"/>
    <tableColumn id="11668" xr3:uid="{0A292523-96B5-4564-B9DC-EA41F7AD9A9A}" name="Columna11662" dataDxfId="4750"/>
    <tableColumn id="11669" xr3:uid="{89FAA266-BA69-4390-BB67-89173400DA0A}" name="Columna11663" dataDxfId="4749"/>
    <tableColumn id="11670" xr3:uid="{E4C6EFB3-85B8-4F00-8233-A43A2435E37B}" name="Columna11664" dataDxfId="4748"/>
    <tableColumn id="11671" xr3:uid="{73F3A997-CF51-45C2-A674-BCB92721258F}" name="Columna11665" dataDxfId="4747"/>
    <tableColumn id="11672" xr3:uid="{BCCAC378-84CE-4E45-A7B4-CA6315562078}" name="Columna11666" dataDxfId="4746"/>
    <tableColumn id="11673" xr3:uid="{953B0DD4-F827-4467-9FA3-9720F3689926}" name="Columna11667" dataDxfId="4745"/>
    <tableColumn id="11674" xr3:uid="{BF72FC14-4D89-4B6C-82A6-BCE9BFCF1278}" name="Columna11668" dataDxfId="4744"/>
    <tableColumn id="11675" xr3:uid="{C2C29521-D5D6-493E-91C9-DE15A5ED4E2D}" name="Columna11669" dataDxfId="4743"/>
    <tableColumn id="11676" xr3:uid="{C3D0A7F3-F3E1-4D4A-B903-C1A7E9F8B54B}" name="Columna11670" dataDxfId="4742"/>
    <tableColumn id="11677" xr3:uid="{6DEA12C4-3B39-40A5-9F19-0CE5E2742FBC}" name="Columna11671" dataDxfId="4741"/>
    <tableColumn id="11678" xr3:uid="{95956CB6-994A-45C9-82A1-C4F8450803BB}" name="Columna11672" dataDxfId="4740"/>
    <tableColumn id="11679" xr3:uid="{9ED9B4E9-3247-4693-911E-E6D4B94ADC08}" name="Columna11673" dataDxfId="4739"/>
    <tableColumn id="11680" xr3:uid="{A359FDCB-2F33-48E4-B7FD-2ED7F1F8D115}" name="Columna11674" dataDxfId="4738"/>
    <tableColumn id="11681" xr3:uid="{55F51337-8370-4983-9776-5AC124E6F394}" name="Columna11675" dataDxfId="4737"/>
    <tableColumn id="11682" xr3:uid="{09891C49-FF60-4B54-89FD-040F325F2AA7}" name="Columna11676" dataDxfId="4736"/>
    <tableColumn id="11683" xr3:uid="{7B289B47-E54A-4D57-8D70-CF1AE9D63E2A}" name="Columna11677" dataDxfId="4735"/>
    <tableColumn id="11684" xr3:uid="{DEEE9D57-9068-4EB6-9CE1-078E13288916}" name="Columna11678" dataDxfId="4734"/>
    <tableColumn id="11685" xr3:uid="{DD94CA95-8689-4F87-839C-273C974753AA}" name="Columna11679" dataDxfId="4733"/>
    <tableColumn id="11686" xr3:uid="{0793D62F-3BE5-43A4-8FDB-0CC448A94606}" name="Columna11680" dataDxfId="4732"/>
    <tableColumn id="11687" xr3:uid="{5FF5C152-28B9-469E-B32E-A31E7E2F40B0}" name="Columna11681" dataDxfId="4731"/>
    <tableColumn id="11688" xr3:uid="{53DAA5A6-4BF7-47AD-A211-98DB71339764}" name="Columna11682" dataDxfId="4730"/>
    <tableColumn id="11689" xr3:uid="{BF4B4A9C-A08E-4BF8-BBD6-31924BFDB805}" name="Columna11683" dataDxfId="4729"/>
    <tableColumn id="11690" xr3:uid="{5D0B2AB0-73FA-421A-8B66-7C801B3357A6}" name="Columna11684" dataDxfId="4728"/>
    <tableColumn id="11691" xr3:uid="{4545BAEE-9355-429E-B640-2C0E337191F1}" name="Columna11685" dataDxfId="4727"/>
    <tableColumn id="11692" xr3:uid="{DBD52E02-825D-49A4-B98D-EC7A503DC6CC}" name="Columna11686" dataDxfId="4726"/>
    <tableColumn id="11693" xr3:uid="{945B8940-DC4E-4247-845D-1929151E5B86}" name="Columna11687" dataDxfId="4725"/>
    <tableColumn id="11694" xr3:uid="{5FBCE7B6-F6C0-4107-A57F-BEF08B19D386}" name="Columna11688" dataDxfId="4724"/>
    <tableColumn id="11695" xr3:uid="{A4046ED5-D172-43F1-BF91-54729FFE4D69}" name="Columna11689" dataDxfId="4723"/>
    <tableColumn id="11696" xr3:uid="{97A5E2F7-232D-448C-90A3-E2DFE73D2044}" name="Columna11690" dataDxfId="4722"/>
    <tableColumn id="11697" xr3:uid="{287F7D2A-E390-4B98-A438-B91DD0AB06B6}" name="Columna11691" dataDxfId="4721"/>
    <tableColumn id="11698" xr3:uid="{A7CA3C2F-52CC-44BE-9060-1E05576B219B}" name="Columna11692" dataDxfId="4720"/>
    <tableColumn id="11699" xr3:uid="{62277E2D-B9EF-4195-8E82-F00DE61E25FB}" name="Columna11693" dataDxfId="4719"/>
    <tableColumn id="11700" xr3:uid="{A3B801DE-A6E1-456A-B886-F080C2EA87CD}" name="Columna11694" dataDxfId="4718"/>
    <tableColumn id="11701" xr3:uid="{8E2E3EEE-7A99-4378-BEEF-A329B4C7C0FF}" name="Columna11695" dataDxfId="4717"/>
    <tableColumn id="11702" xr3:uid="{53AA0497-8850-4721-B8A5-7CA833C3FD6E}" name="Columna11696" dataDxfId="4716"/>
    <tableColumn id="11703" xr3:uid="{1D26FD56-5B8E-45BA-A329-FCB70E3BC0B6}" name="Columna11697" dataDxfId="4715"/>
    <tableColumn id="11704" xr3:uid="{8BD02AF0-710A-4454-8BAB-19700D328540}" name="Columna11698" dataDxfId="4714"/>
    <tableColumn id="11705" xr3:uid="{0A2E06C7-3E88-4FB8-9C62-9BE380A5B9EE}" name="Columna11699" dataDxfId="4713"/>
    <tableColumn id="11706" xr3:uid="{D7CC4F2D-C146-4A46-9CA7-4F0B814C72FE}" name="Columna11700" dataDxfId="4712"/>
    <tableColumn id="11707" xr3:uid="{1684E256-DC55-4090-9068-7DCF8EDB8325}" name="Columna11701" dataDxfId="4711"/>
    <tableColumn id="11708" xr3:uid="{6342CE1A-09A4-4273-B9A7-C756D6DF53DA}" name="Columna11702" dataDxfId="4710"/>
    <tableColumn id="11709" xr3:uid="{DC5CEDF1-3282-4967-AC47-EDF0395A6BD7}" name="Columna11703" dataDxfId="4709"/>
    <tableColumn id="11710" xr3:uid="{CB9596A4-CE08-4BFE-BF1C-A835C50EEA5E}" name="Columna11704" dataDxfId="4708"/>
    <tableColumn id="11711" xr3:uid="{A1C2A65D-A8EE-4E7B-9282-7F64876892D0}" name="Columna11705" dataDxfId="4707"/>
    <tableColumn id="11712" xr3:uid="{DE314BA2-74A6-4F4C-94E5-17209A53EC38}" name="Columna11706" dataDxfId="4706"/>
    <tableColumn id="11713" xr3:uid="{EBB19BCC-3E5F-415D-85E6-E2B5A0BF6FDA}" name="Columna11707" dataDxfId="4705"/>
    <tableColumn id="11714" xr3:uid="{8B15BCF2-9A63-4424-AF01-E3594F79A2EA}" name="Columna11708" dataDxfId="4704"/>
    <tableColumn id="11715" xr3:uid="{A54E0649-F945-4A66-8C06-23C94E6F4997}" name="Columna11709" dataDxfId="4703"/>
    <tableColumn id="11716" xr3:uid="{F525C4CA-33D1-43C8-B50C-A9EB4DFD9A33}" name="Columna11710" dataDxfId="4702"/>
    <tableColumn id="11717" xr3:uid="{D25184C1-162A-4DA3-93A8-474B2A848454}" name="Columna11711" dataDxfId="4701"/>
    <tableColumn id="11718" xr3:uid="{37E69D9C-FA44-40C2-8651-11FD4563B139}" name="Columna11712" dataDxfId="4700"/>
    <tableColumn id="11719" xr3:uid="{95CCF8AB-23A2-444B-B330-54F5FF508D3C}" name="Columna11713" dataDxfId="4699"/>
    <tableColumn id="11720" xr3:uid="{CC827BA8-C88D-4170-AF00-A67145981799}" name="Columna11714" dataDxfId="4698"/>
    <tableColumn id="11721" xr3:uid="{7CEBA569-0CC5-4902-81FC-E8ACD191D2F1}" name="Columna11715" dataDxfId="4697"/>
    <tableColumn id="11722" xr3:uid="{20997235-E4AD-4DAD-AA9F-A9875ABE8AEF}" name="Columna11716" dataDxfId="4696"/>
    <tableColumn id="11723" xr3:uid="{6FD4E26E-BF2B-412E-B249-E9B8E1EA2F56}" name="Columna11717" dataDxfId="4695"/>
    <tableColumn id="11724" xr3:uid="{D0D4F674-6E5C-4AFF-99FC-5B805A259C8F}" name="Columna11718" dataDxfId="4694"/>
    <tableColumn id="11725" xr3:uid="{C5B5014B-16E4-459D-96A9-BA652D2C461B}" name="Columna11719" dataDxfId="4693"/>
    <tableColumn id="11726" xr3:uid="{34DCA162-536B-4473-A07D-E8E2A1C421B8}" name="Columna11720" dataDxfId="4692"/>
    <tableColumn id="11727" xr3:uid="{723A73A4-ECAC-4458-BF9A-C104D6774DE3}" name="Columna11721" dataDxfId="4691"/>
    <tableColumn id="11728" xr3:uid="{519944C5-928F-491E-BCF5-A05F2E0DEE3F}" name="Columna11722" dataDxfId="4690"/>
    <tableColumn id="11729" xr3:uid="{9DFF0616-4873-44C3-8EE4-4F29ABBAA058}" name="Columna11723" dataDxfId="4689"/>
    <tableColumn id="11730" xr3:uid="{3FD0F21A-0E14-4682-B0E1-3CE4A28E2465}" name="Columna11724" dataDxfId="4688"/>
    <tableColumn id="11731" xr3:uid="{1ABFBB9A-8A37-425C-AEE0-E75CA35EC01E}" name="Columna11725" dataDxfId="4687"/>
    <tableColumn id="11732" xr3:uid="{9A560EC5-F7FE-4124-A5C1-98CEE58F8C5B}" name="Columna11726" dataDxfId="4686"/>
    <tableColumn id="11733" xr3:uid="{A7C3EBA6-340F-4B3B-8211-40D8817CB0B6}" name="Columna11727" dataDxfId="4685"/>
    <tableColumn id="11734" xr3:uid="{FC7A5758-8A77-48CB-923B-AE70C8F01AA2}" name="Columna11728" dataDxfId="4684"/>
    <tableColumn id="11735" xr3:uid="{352FD41C-1E44-4DBA-B3CC-369DE1BED4E3}" name="Columna11729" dataDxfId="4683"/>
    <tableColumn id="11736" xr3:uid="{19CBF3D6-2C02-40EE-833C-56973FD36632}" name="Columna11730" dataDxfId="4682"/>
    <tableColumn id="11737" xr3:uid="{F17853ED-A20A-4E6A-8A3E-1FD5BE009442}" name="Columna11731" dataDxfId="4681"/>
    <tableColumn id="11738" xr3:uid="{3DD69606-90B6-4CE2-A01B-8E23DF42424F}" name="Columna11732" dataDxfId="4680"/>
    <tableColumn id="11739" xr3:uid="{F75BEB20-CF57-4DF7-B0C1-5833CB10E159}" name="Columna11733" dataDxfId="4679"/>
    <tableColumn id="11740" xr3:uid="{0DD7380B-19D0-40BC-AE26-1C263C1BDF9B}" name="Columna11734" dataDxfId="4678"/>
    <tableColumn id="11741" xr3:uid="{06B9FB6A-1EE5-4AD9-902C-DB933A30E5FC}" name="Columna11735" dataDxfId="4677"/>
    <tableColumn id="11742" xr3:uid="{B43F3C0E-34BC-43E1-A878-F6A368020484}" name="Columna11736" dataDxfId="4676"/>
    <tableColumn id="11743" xr3:uid="{C9257452-AA2A-4594-8A1A-F0DAF23B119B}" name="Columna11737" dataDxfId="4675"/>
    <tableColumn id="11744" xr3:uid="{00F021F8-1D4F-497D-9F17-A901510C9F43}" name="Columna11738" dataDxfId="4674"/>
    <tableColumn id="11745" xr3:uid="{3ECA264A-66FB-4867-BC30-055F940B7C93}" name="Columna11739" dataDxfId="4673"/>
    <tableColumn id="11746" xr3:uid="{DDB04F33-69DB-4D2B-A139-DCA2FFE60546}" name="Columna11740" dataDxfId="4672"/>
    <tableColumn id="11747" xr3:uid="{EADE12A1-F58E-4A9B-824A-90B82EDDAC0D}" name="Columna11741" dataDxfId="4671"/>
    <tableColumn id="11748" xr3:uid="{3E35F219-766A-454D-951A-F5A8A6A2938B}" name="Columna11742" dataDxfId="4670"/>
    <tableColumn id="11749" xr3:uid="{419397A6-752C-4A36-8A79-DD7C1FB734D7}" name="Columna11743" dataDxfId="4669"/>
    <tableColumn id="11750" xr3:uid="{0A638652-F64D-4D97-980F-3095F409FBF4}" name="Columna11744" dataDxfId="4668"/>
    <tableColumn id="11751" xr3:uid="{07DCF15C-2B4B-4F0F-9765-4F5BC033BADF}" name="Columna11745" dataDxfId="4667"/>
    <tableColumn id="11752" xr3:uid="{F8C4B5B7-A649-4217-B868-2A872CF65B1C}" name="Columna11746" dataDxfId="4666"/>
    <tableColumn id="11753" xr3:uid="{5159306B-DAB0-471B-A65E-8E27B815F8B5}" name="Columna11747" dataDxfId="4665"/>
    <tableColumn id="11754" xr3:uid="{F45C4050-42E2-4DD4-BE62-18129D5B8C7F}" name="Columna11748" dataDxfId="4664"/>
    <tableColumn id="11755" xr3:uid="{738499AC-2FDC-44DE-93E4-B4A1F81A1303}" name="Columna11749" dataDxfId="4663"/>
    <tableColumn id="11756" xr3:uid="{BCE3D287-6F3B-4D2C-8A8A-77315E34240A}" name="Columna11750" dataDxfId="4662"/>
    <tableColumn id="11757" xr3:uid="{7A8D4DA7-CACD-4D27-90E5-27DE4BB2C1E1}" name="Columna11751" dataDxfId="4661"/>
    <tableColumn id="11758" xr3:uid="{BF78A884-6483-4AE8-9E96-05AC671BB17E}" name="Columna11752" dataDxfId="4660"/>
    <tableColumn id="11759" xr3:uid="{D792D2C4-741F-47DD-902F-EC8C7699CBE4}" name="Columna11753" dataDxfId="4659"/>
    <tableColumn id="11760" xr3:uid="{D7796E48-C064-426F-B894-3D6386EF5C5F}" name="Columna11754" dataDxfId="4658"/>
    <tableColumn id="11761" xr3:uid="{CA496CBC-3559-4CB5-A313-C576608F83C4}" name="Columna11755" dataDxfId="4657"/>
    <tableColumn id="11762" xr3:uid="{37F6ECBC-ABB6-44AB-B9B5-D85F26B07C1C}" name="Columna11756" dataDxfId="4656"/>
    <tableColumn id="11763" xr3:uid="{07597E09-B5C7-4745-B70D-1A884704DD2D}" name="Columna11757" dataDxfId="4655"/>
    <tableColumn id="11764" xr3:uid="{83735065-E682-42E8-AF83-E0B7259F9B12}" name="Columna11758" dataDxfId="4654"/>
    <tableColumn id="11765" xr3:uid="{2B3E1B18-F67C-4516-96E0-982F83B45E09}" name="Columna11759" dataDxfId="4653"/>
    <tableColumn id="11766" xr3:uid="{EBBF3184-F3C0-435A-8F46-BCF6B72FFD21}" name="Columna11760" dataDxfId="4652"/>
    <tableColumn id="11767" xr3:uid="{5392B5CF-C3E8-4C10-AFE9-28D59C8E9C46}" name="Columna11761" dataDxfId="4651"/>
    <tableColumn id="11768" xr3:uid="{296AA12A-E3B3-4F79-A780-45B309538E44}" name="Columna11762" dataDxfId="4650"/>
    <tableColumn id="11769" xr3:uid="{E9C2E7E6-258B-48A9-8783-F9CA9651EF51}" name="Columna11763" dataDxfId="4649"/>
    <tableColumn id="11770" xr3:uid="{D66C9AC6-8F3C-4790-9FF8-AD0173E6CA7E}" name="Columna11764" dataDxfId="4648"/>
    <tableColumn id="11771" xr3:uid="{C0973FA0-FAF4-4888-8B40-D78F556E1703}" name="Columna11765" dataDxfId="4647"/>
    <tableColumn id="11772" xr3:uid="{CACA1BAD-43C2-4B7A-9895-EA1E8C805FB4}" name="Columna11766" dataDxfId="4646"/>
    <tableColumn id="11773" xr3:uid="{FEAA20C7-7958-49FA-BB54-A6401C26F258}" name="Columna11767" dataDxfId="4645"/>
    <tableColumn id="11774" xr3:uid="{816852B4-3852-4CD4-87D9-4E49E287157E}" name="Columna11768" dataDxfId="4644"/>
    <tableColumn id="11775" xr3:uid="{9B5E0CB6-31FF-4C01-A571-93F99D4B3E89}" name="Columna11769" dataDxfId="4643"/>
    <tableColumn id="11776" xr3:uid="{D1010714-9418-44F5-AF5A-3342CFBFF4A1}" name="Columna11770" dataDxfId="4642"/>
    <tableColumn id="11777" xr3:uid="{0E73C927-30B9-47B7-9A89-C99E33E2C654}" name="Columna11771" dataDxfId="4641"/>
    <tableColumn id="11778" xr3:uid="{052D0F6A-C47F-460B-8EA2-3BCC301CEC36}" name="Columna11772" dataDxfId="4640"/>
    <tableColumn id="11779" xr3:uid="{6E9B58A2-DDCA-49CA-947F-69E6224347B4}" name="Columna11773" dataDxfId="4639"/>
    <tableColumn id="11780" xr3:uid="{FC706BA3-520A-4068-AE04-99C11391702C}" name="Columna11774" dataDxfId="4638"/>
    <tableColumn id="11781" xr3:uid="{EB9BECE4-2E39-4672-93EF-584FAA89A018}" name="Columna11775" dataDxfId="4637"/>
    <tableColumn id="11782" xr3:uid="{E8D8D599-EA21-4CC4-9A85-4C1B1E78AEA5}" name="Columna11776" dataDxfId="4636"/>
    <tableColumn id="11783" xr3:uid="{4021D4B2-0C33-419F-B4C5-22E4E8257C39}" name="Columna11777" dataDxfId="4635"/>
    <tableColumn id="11784" xr3:uid="{DC592443-6535-4489-8996-202D0BA628D7}" name="Columna11778" dataDxfId="4634"/>
    <tableColumn id="11785" xr3:uid="{C62CDE97-B312-4C7B-AB81-E2B3EFF06A39}" name="Columna11779" dataDxfId="4633"/>
    <tableColumn id="11786" xr3:uid="{07D8E220-94DF-4944-BB57-1B045E0A6B4A}" name="Columna11780" dataDxfId="4632"/>
    <tableColumn id="11787" xr3:uid="{AC299026-F97A-4C30-B510-F011FCA1B43A}" name="Columna11781" dataDxfId="4631"/>
    <tableColumn id="11788" xr3:uid="{5C407D52-F04F-4B64-BD78-D3357ADA71CD}" name="Columna11782" dataDxfId="4630"/>
    <tableColumn id="11789" xr3:uid="{3BD869EF-D10C-4A0A-BC1F-BA42B5C82DB6}" name="Columna11783" dataDxfId="4629"/>
    <tableColumn id="11790" xr3:uid="{3358EB5B-E6E1-4D6B-BD73-77B4518FAFA5}" name="Columna11784" dataDxfId="4628"/>
    <tableColumn id="11791" xr3:uid="{A70FD240-637D-4A8D-8C70-D327D1822AD8}" name="Columna11785" dataDxfId="4627"/>
    <tableColumn id="11792" xr3:uid="{A7C5C072-D567-4848-9651-EDEFD2B0DB9A}" name="Columna11786" dataDxfId="4626"/>
    <tableColumn id="11793" xr3:uid="{850D482B-F81F-4EDD-94B0-41F36CC21F83}" name="Columna11787" dataDxfId="4625"/>
    <tableColumn id="11794" xr3:uid="{A19CCEF4-CFE6-49B7-8014-2156C104B890}" name="Columna11788" dataDxfId="4624"/>
    <tableColumn id="11795" xr3:uid="{BB5272A3-B66F-41C6-B210-311A71B57803}" name="Columna11789" dataDxfId="4623"/>
    <tableColumn id="11796" xr3:uid="{A83A8111-B9B4-4499-963C-49C68FA83152}" name="Columna11790" dataDxfId="4622"/>
    <tableColumn id="11797" xr3:uid="{78EF89B2-C5E0-4512-9184-7E1B8461BCC3}" name="Columna11791" dataDxfId="4621"/>
    <tableColumn id="11798" xr3:uid="{9026BACE-119D-4681-96BD-744711CA0BEE}" name="Columna11792" dataDxfId="4620"/>
    <tableColumn id="11799" xr3:uid="{497EF05F-8D46-4812-A97E-D137143123C2}" name="Columna11793" dataDxfId="4619"/>
    <tableColumn id="11800" xr3:uid="{CE01275F-4032-4C25-A16E-5C48FB6EDDC8}" name="Columna11794" dataDxfId="4618"/>
    <tableColumn id="11801" xr3:uid="{A41CA105-E9DD-488A-988B-104DE71FF5E3}" name="Columna11795" dataDxfId="4617"/>
    <tableColumn id="11802" xr3:uid="{821ECAD6-4D5D-4788-99F7-513F6FDC47C0}" name="Columna11796" dataDxfId="4616"/>
    <tableColumn id="11803" xr3:uid="{7EA6478D-5DD2-4979-8045-6E35FA0576F7}" name="Columna11797" dataDxfId="4615"/>
    <tableColumn id="11804" xr3:uid="{CD83256E-9BE2-423F-B428-F0748BC4919B}" name="Columna11798" dataDxfId="4614"/>
    <tableColumn id="11805" xr3:uid="{5549B2AA-E161-4A69-94C8-E4342D2A6714}" name="Columna11799" dataDxfId="4613"/>
    <tableColumn id="11806" xr3:uid="{2B8757A7-9F72-4069-BAC8-58ED8D01B643}" name="Columna11800" dataDxfId="4612"/>
    <tableColumn id="11807" xr3:uid="{4C47B168-0F41-4065-89C6-D3F3EF6E805E}" name="Columna11801" dataDxfId="4611"/>
    <tableColumn id="11808" xr3:uid="{A3DEF4A2-ADD8-4ABF-9AB2-8A60872F0BD4}" name="Columna11802" dataDxfId="4610"/>
    <tableColumn id="11809" xr3:uid="{E7B9A93F-FD3D-42A5-A1BE-F5B20B5C66AD}" name="Columna11803" dataDxfId="4609"/>
    <tableColumn id="11810" xr3:uid="{746C6674-0764-4643-BCD4-F4324A1CCC08}" name="Columna11804" dataDxfId="4608"/>
    <tableColumn id="11811" xr3:uid="{EF02F50B-CD7C-40F7-A23F-21E9CEF281AF}" name="Columna11805" dataDxfId="4607"/>
    <tableColumn id="11812" xr3:uid="{A49CC19A-AA53-42CB-9217-B1140DF65125}" name="Columna11806" dataDxfId="4606"/>
    <tableColumn id="11813" xr3:uid="{20B230A8-B411-49C0-B901-9010E594D282}" name="Columna11807" dataDxfId="4605"/>
    <tableColumn id="11814" xr3:uid="{29BDB41C-4FB9-45BF-9FE0-E6F84B32C7D9}" name="Columna11808" dataDxfId="4604"/>
    <tableColumn id="11815" xr3:uid="{66A9E253-5B68-4D74-9199-32DC1CAECE67}" name="Columna11809" dataDxfId="4603"/>
    <tableColumn id="11816" xr3:uid="{53B1DFDC-3705-4C91-BFA3-FF82ABD59034}" name="Columna11810" dataDxfId="4602"/>
    <tableColumn id="11817" xr3:uid="{6F681A56-955A-472F-BAB1-D419E194D6E3}" name="Columna11811" dataDxfId="4601"/>
    <tableColumn id="11818" xr3:uid="{6BA19E4E-C80D-471B-8FD8-81955C514EF9}" name="Columna11812" dataDxfId="4600"/>
    <tableColumn id="11819" xr3:uid="{E7D8C90D-EE20-4347-AC0B-973E4EFB1CCD}" name="Columna11813" dataDxfId="4599"/>
    <tableColumn id="11820" xr3:uid="{E70CBAAD-4DB8-4EED-9486-BE790419B530}" name="Columna11814" dataDxfId="4598"/>
    <tableColumn id="11821" xr3:uid="{E3A5AB5C-DBBF-458D-A46E-F2853FC2918F}" name="Columna11815" dataDxfId="4597"/>
    <tableColumn id="11822" xr3:uid="{E144871D-10AA-414A-AFCE-3A12B4DF4136}" name="Columna11816" dataDxfId="4596"/>
    <tableColumn id="11823" xr3:uid="{C7F24AC1-BD2D-4ADF-A040-043173836C4A}" name="Columna11817" dataDxfId="4595"/>
    <tableColumn id="11824" xr3:uid="{7741C7A1-4F61-40A9-B5E8-18A38042A5EB}" name="Columna11818" dataDxfId="4594"/>
    <tableColumn id="11825" xr3:uid="{8ED1243B-DA3F-4FA0-A1BD-AFB03CB15CEB}" name="Columna11819" dataDxfId="4593"/>
    <tableColumn id="11826" xr3:uid="{F6C6B978-0A68-424D-8246-3DE914793771}" name="Columna11820" dataDxfId="4592"/>
    <tableColumn id="11827" xr3:uid="{2D8B5132-ACC7-4CC9-86F2-2399CEA8073C}" name="Columna11821" dataDxfId="4591"/>
    <tableColumn id="11828" xr3:uid="{7DF92735-8D13-495E-B231-3566A279F2E1}" name="Columna11822" dataDxfId="4590"/>
    <tableColumn id="11829" xr3:uid="{62D44E56-8479-468A-844B-BD90A1404B14}" name="Columna11823" dataDxfId="4589"/>
    <tableColumn id="11830" xr3:uid="{48B3B989-7C5A-4864-9C56-CC35D734F809}" name="Columna11824" dataDxfId="4588"/>
    <tableColumn id="11831" xr3:uid="{4F344BA6-A6C5-4ECA-9C7F-88872F29F737}" name="Columna11825" dataDxfId="4587"/>
    <tableColumn id="11832" xr3:uid="{F2C10583-F299-4E0F-9E80-56EA978EE93C}" name="Columna11826" dataDxfId="4586"/>
    <tableColumn id="11833" xr3:uid="{AEB76F88-B85C-4607-857B-6AC08EDED68F}" name="Columna11827" dataDxfId="4585"/>
    <tableColumn id="11834" xr3:uid="{DCAF86FC-B372-4F14-83DC-CCB7583712EF}" name="Columna11828" dataDxfId="4584"/>
    <tableColumn id="11835" xr3:uid="{870BA4CA-5249-4274-BAC2-C1103FA02744}" name="Columna11829" dataDxfId="4583"/>
    <tableColumn id="11836" xr3:uid="{5546C759-7C59-4A84-B055-FC55C8BDEF5C}" name="Columna11830" dataDxfId="4582"/>
    <tableColumn id="11837" xr3:uid="{D0C620D6-37A6-4B29-98A1-376635797B08}" name="Columna11831" dataDxfId="4581"/>
    <tableColumn id="11838" xr3:uid="{D6070C44-B07A-4867-8EE2-595DA626D880}" name="Columna11832" dataDxfId="4580"/>
    <tableColumn id="11839" xr3:uid="{8DDAB64A-6B2F-437A-BAC2-95EB9D7A0D40}" name="Columna11833" dataDxfId="4579"/>
    <tableColumn id="11840" xr3:uid="{D3DB3BD0-5B13-497C-A1C1-21411F748D25}" name="Columna11834" dataDxfId="4578"/>
    <tableColumn id="11841" xr3:uid="{2E9E6FE9-2F5B-464E-A7E8-D5609F1ADE89}" name="Columna11835" dataDxfId="4577"/>
    <tableColumn id="11842" xr3:uid="{6862BFBB-1855-48A2-A26E-ADD60C9C5BBE}" name="Columna11836" dataDxfId="4576"/>
    <tableColumn id="11843" xr3:uid="{4E3E6C70-5EC4-4029-A286-682A3E4702EC}" name="Columna11837" dataDxfId="4575"/>
    <tableColumn id="11844" xr3:uid="{8E35658F-E4D5-49E1-8249-D0D2AB8FC508}" name="Columna11838" dataDxfId="4574"/>
    <tableColumn id="11845" xr3:uid="{1F23B0FE-94A8-4595-9241-BE31662EB297}" name="Columna11839" dataDxfId="4573"/>
    <tableColumn id="11846" xr3:uid="{A9DA6A36-3A3F-403B-B9C8-EE047F78DBA1}" name="Columna11840" dataDxfId="4572"/>
    <tableColumn id="11847" xr3:uid="{5CC77334-0827-4223-BC76-7073696A3B11}" name="Columna11841" dataDxfId="4571"/>
    <tableColumn id="11848" xr3:uid="{67DFB6A4-8C23-4B32-8617-92CC4E59C544}" name="Columna11842" dataDxfId="4570"/>
    <tableColumn id="11849" xr3:uid="{A7532CD0-BC4C-4730-AA2A-CD6DAC67ED34}" name="Columna11843" dataDxfId="4569"/>
    <tableColumn id="11850" xr3:uid="{EB6756F9-CE8E-42AC-BFA4-8EDCE66B728D}" name="Columna11844" dataDxfId="4568"/>
    <tableColumn id="11851" xr3:uid="{3E9805F6-61CB-4047-84E3-A707583A1E0F}" name="Columna11845" dataDxfId="4567"/>
    <tableColumn id="11852" xr3:uid="{940D7003-8407-458E-AA4C-C7FD6D212858}" name="Columna11846" dataDxfId="4566"/>
    <tableColumn id="11853" xr3:uid="{D39875CC-74E9-482A-9133-AEC9FE943466}" name="Columna11847" dataDxfId="4565"/>
    <tableColumn id="11854" xr3:uid="{0600841E-092D-463B-B817-C12FCD434AFE}" name="Columna11848" dataDxfId="4564"/>
    <tableColumn id="11855" xr3:uid="{58BC462F-923C-433B-BBC4-F087BFF50798}" name="Columna11849" dataDxfId="4563"/>
    <tableColumn id="11856" xr3:uid="{B79B10CE-1445-49E4-96D3-03D4AC59C027}" name="Columna11850" dataDxfId="4562"/>
    <tableColumn id="11857" xr3:uid="{86FB8791-FE1C-49E3-84F8-966C05E27959}" name="Columna11851" dataDxfId="4561"/>
    <tableColumn id="11858" xr3:uid="{389C41E3-5796-436B-AD41-E22503620056}" name="Columna11852" dataDxfId="4560"/>
    <tableColumn id="11859" xr3:uid="{19DA2D6C-78F6-44A5-A2AD-C68D271A2C93}" name="Columna11853" dataDxfId="4559"/>
    <tableColumn id="11860" xr3:uid="{4F0C4D78-C40C-45FB-8211-C480457CCC19}" name="Columna11854" dataDxfId="4558"/>
    <tableColumn id="11861" xr3:uid="{3991D8FB-D218-46CD-A79F-AC4CBB872E8F}" name="Columna11855" dataDxfId="4557"/>
    <tableColumn id="11862" xr3:uid="{49AEC7AA-E63E-4D3D-9E26-90FADB79D92F}" name="Columna11856" dataDxfId="4556"/>
    <tableColumn id="11863" xr3:uid="{FC76DB02-A168-4ACC-9767-1B29943E7065}" name="Columna11857" dataDxfId="4555"/>
    <tableColumn id="11864" xr3:uid="{1E1184F1-FE1E-4278-9DB0-AEDD6A707900}" name="Columna11858" dataDxfId="4554"/>
    <tableColumn id="11865" xr3:uid="{925F7789-F19C-407D-B13A-66B8661AA014}" name="Columna11859" dataDxfId="4553"/>
    <tableColumn id="11866" xr3:uid="{E75023F0-6AD0-49D1-A3CF-EEA0D9E17FAD}" name="Columna11860" dataDxfId="4552"/>
    <tableColumn id="11867" xr3:uid="{B5F4B235-A0F5-48B3-8D69-FE4BB4E9FAC9}" name="Columna11861" dataDxfId="4551"/>
    <tableColumn id="11868" xr3:uid="{3C607F65-F5CF-4989-852B-2B5A2B9FAE7A}" name="Columna11862" dataDxfId="4550"/>
    <tableColumn id="11869" xr3:uid="{843D1771-7764-4FC5-86D1-905141AFDBAD}" name="Columna11863" dataDxfId="4549"/>
    <tableColumn id="11870" xr3:uid="{6393A3D5-9681-477E-97B9-B47588A7D4D6}" name="Columna11864" dataDxfId="4548"/>
    <tableColumn id="11871" xr3:uid="{47C8B820-F383-4E1A-9DDB-3C2D777AC1A6}" name="Columna11865" dataDxfId="4547"/>
    <tableColumn id="11872" xr3:uid="{5DB09E8D-F3C6-4EF4-94A2-5F0E9C04CC49}" name="Columna11866" dataDxfId="4546"/>
    <tableColumn id="11873" xr3:uid="{B3634E7A-E6AF-4DFA-AED6-24264A51C000}" name="Columna11867" dataDxfId="4545"/>
    <tableColumn id="11874" xr3:uid="{05090FC5-303E-4258-8CF6-7BEBC2541962}" name="Columna11868" dataDxfId="4544"/>
    <tableColumn id="11875" xr3:uid="{44EC2005-E81A-4904-B772-7DD4DE547B85}" name="Columna11869" dataDxfId="4543"/>
    <tableColumn id="11876" xr3:uid="{689C1770-373A-4894-B30D-A2DA611EC15F}" name="Columna11870" dataDxfId="4542"/>
    <tableColumn id="11877" xr3:uid="{1CEA8A2C-E4FD-4AD0-A6DB-F4882E8BB68B}" name="Columna11871" dataDxfId="4541"/>
    <tableColumn id="11878" xr3:uid="{4737340B-C83A-401C-895C-325BF345166E}" name="Columna11872" dataDxfId="4540"/>
    <tableColumn id="11879" xr3:uid="{B85323D8-0137-4141-9045-070AA1A26532}" name="Columna11873" dataDxfId="4539"/>
    <tableColumn id="11880" xr3:uid="{34826A92-5E5A-479E-962E-B647528AFF49}" name="Columna11874" dataDxfId="4538"/>
    <tableColumn id="11881" xr3:uid="{CCFDFDE5-05FC-434A-B88A-5AB5EC5CA802}" name="Columna11875" dataDxfId="4537"/>
    <tableColumn id="11882" xr3:uid="{EE26CC03-555D-4F28-A425-54EA0B099A85}" name="Columna11876" dataDxfId="4536"/>
    <tableColumn id="11883" xr3:uid="{1E9EDAB7-8020-42DC-9561-BA2D2B05ED80}" name="Columna11877" dataDxfId="4535"/>
    <tableColumn id="11884" xr3:uid="{896FA769-9EC3-4A20-B011-CB1F980F1519}" name="Columna11878" dataDxfId="4534"/>
    <tableColumn id="11885" xr3:uid="{BD19E026-0BE4-418A-B290-97274AC5AB6C}" name="Columna11879" dataDxfId="4533"/>
    <tableColumn id="11886" xr3:uid="{67717571-C2EA-42A6-9A26-C242374A9E34}" name="Columna11880" dataDxfId="4532"/>
    <tableColumn id="11887" xr3:uid="{1DB8C6F0-9784-469B-BD9C-56C7CCAC66E1}" name="Columna11881" dataDxfId="4531"/>
    <tableColumn id="11888" xr3:uid="{027FE3BC-F874-43E2-BAAA-F7A0AE7EAEE3}" name="Columna11882" dataDxfId="4530"/>
    <tableColumn id="11889" xr3:uid="{427B7DAA-9FE7-48F1-AF15-9DB9E41EDC4F}" name="Columna11883" dataDxfId="4529"/>
    <tableColumn id="11890" xr3:uid="{EFEA2973-5E40-4039-947C-5776BFE0B011}" name="Columna11884" dataDxfId="4528"/>
    <tableColumn id="11891" xr3:uid="{6BD9DEC9-4953-44A4-81FA-EE97863175B5}" name="Columna11885" dataDxfId="4527"/>
    <tableColumn id="11892" xr3:uid="{866B4E67-C9D6-4F43-91B5-03156A01767F}" name="Columna11886" dataDxfId="4526"/>
    <tableColumn id="11893" xr3:uid="{ED51CD5C-F21A-4EB7-AB07-4C3A348B586F}" name="Columna11887" dataDxfId="4525"/>
    <tableColumn id="11894" xr3:uid="{C6FCAF4B-C6AB-4AB6-8CAE-B98022C427C3}" name="Columna11888" dataDxfId="4524"/>
    <tableColumn id="11895" xr3:uid="{50B018EF-4863-402B-893E-D1602C346D69}" name="Columna11889" dataDxfId="4523"/>
    <tableColumn id="11896" xr3:uid="{2F47C090-327A-4616-9B2F-2A31803B134F}" name="Columna11890" dataDxfId="4522"/>
    <tableColumn id="11897" xr3:uid="{CAFB5463-8A89-454C-884B-E2FA112CF887}" name="Columna11891" dataDxfId="4521"/>
    <tableColumn id="11898" xr3:uid="{751EFA37-FAA8-43E6-B13B-D80270CB3DA9}" name="Columna11892" dataDxfId="4520"/>
    <tableColumn id="11899" xr3:uid="{B3725137-5F34-4285-AA19-8AD535C627F8}" name="Columna11893" dataDxfId="4519"/>
    <tableColumn id="11900" xr3:uid="{871263C3-1DD8-4279-B34B-505339F49D6C}" name="Columna11894" dataDxfId="4518"/>
    <tableColumn id="11901" xr3:uid="{116AD3E8-D2E3-47C6-A55E-5C957195BB64}" name="Columna11895" dataDxfId="4517"/>
    <tableColumn id="11902" xr3:uid="{3CAFFD46-D201-4BA8-A30E-49C4C8385517}" name="Columna11896" dataDxfId="4516"/>
    <tableColumn id="11903" xr3:uid="{73D8555D-9404-45C1-95DB-04CA365B08F4}" name="Columna11897" dataDxfId="4515"/>
    <tableColumn id="11904" xr3:uid="{5A11F786-255C-4F2F-A6AC-B30C2E200F06}" name="Columna11898" dataDxfId="4514"/>
    <tableColumn id="11905" xr3:uid="{6960A17F-0FB0-41D3-88E0-2BA393F7BF18}" name="Columna11899" dataDxfId="4513"/>
    <tableColumn id="11906" xr3:uid="{42BCB9B0-D8B9-4412-95F5-F169DA1338F3}" name="Columna11900" dataDxfId="4512"/>
    <tableColumn id="11907" xr3:uid="{ACEB130A-DDBE-49E1-8C7E-99736F228C35}" name="Columna11901" dataDxfId="4511"/>
    <tableColumn id="11908" xr3:uid="{0C73A01E-0161-45A0-B3F3-F861B49589BE}" name="Columna11902" dataDxfId="4510"/>
    <tableColumn id="11909" xr3:uid="{14A6CBDD-367E-468B-A37C-8BCC9AC744AD}" name="Columna11903" dataDxfId="4509"/>
    <tableColumn id="11910" xr3:uid="{45D90883-EC63-42D4-BE7A-DC4C2D19D9CB}" name="Columna11904" dataDxfId="4508"/>
    <tableColumn id="11911" xr3:uid="{4174FA33-7207-4F66-A495-99993703D8FE}" name="Columna11905" dataDxfId="4507"/>
    <tableColumn id="11912" xr3:uid="{69BB5ED1-04B7-42CE-908B-E7F2DADB7D84}" name="Columna11906" dataDxfId="4506"/>
    <tableColumn id="11913" xr3:uid="{4A16D7C1-6C09-4636-8FF8-50AAE3C1484F}" name="Columna11907" dataDxfId="4505"/>
    <tableColumn id="11914" xr3:uid="{903B8201-FB0D-42FB-8D8B-9B553EB4D169}" name="Columna11908" dataDxfId="4504"/>
    <tableColumn id="11915" xr3:uid="{F9D942EA-E787-482C-B3D2-BAB0738AB199}" name="Columna11909" dataDxfId="4503"/>
    <tableColumn id="11916" xr3:uid="{F934D654-DCF0-415E-92B0-9F1967CEB360}" name="Columna11910" dataDxfId="4502"/>
    <tableColumn id="11917" xr3:uid="{2043E2C0-3626-422A-B5D7-4F9B23713758}" name="Columna11911" dataDxfId="4501"/>
    <tableColumn id="11918" xr3:uid="{4BF89A5B-0067-475A-80C8-C0CB0069473D}" name="Columna11912" dataDxfId="4500"/>
    <tableColumn id="11919" xr3:uid="{E3E1963C-0805-47D2-AD87-DDA00D384ECF}" name="Columna11913" dataDxfId="4499"/>
    <tableColumn id="11920" xr3:uid="{3EB2EAC4-CA27-480F-BA2A-6D83F1C00C05}" name="Columna11914" dataDxfId="4498"/>
    <tableColumn id="11921" xr3:uid="{0E3898BB-064B-4D2C-810E-CC54A93BED44}" name="Columna11915" dataDxfId="4497"/>
    <tableColumn id="11922" xr3:uid="{6F7728FD-2E47-458E-9880-E01712AD23B3}" name="Columna11916" dataDxfId="4496"/>
    <tableColumn id="11923" xr3:uid="{DB685573-5929-48DA-9264-C6FED8721A12}" name="Columna11917" dataDxfId="4495"/>
    <tableColumn id="11924" xr3:uid="{4CF1F184-D016-4915-998B-55D091148024}" name="Columna11918" dataDxfId="4494"/>
    <tableColumn id="11925" xr3:uid="{F9C564B4-0767-42D2-A40F-2092699D3406}" name="Columna11919" dataDxfId="4493"/>
    <tableColumn id="11926" xr3:uid="{85182ED0-E4A1-43F4-93BF-DF54EA3304D6}" name="Columna11920" dataDxfId="4492"/>
    <tableColumn id="11927" xr3:uid="{3F68BE14-DE66-4AE7-A6AB-49DFE28AD5FB}" name="Columna11921" dataDxfId="4491"/>
    <tableColumn id="11928" xr3:uid="{D04C5EBB-31B1-46BC-9FBC-A206CC9DB51C}" name="Columna11922" dataDxfId="4490"/>
    <tableColumn id="11929" xr3:uid="{E1FD0FCD-46CF-4C6F-BE27-C77401751FB6}" name="Columna11923" dataDxfId="4489"/>
    <tableColumn id="11930" xr3:uid="{A61254BB-674D-4AA7-91CC-B087018B7136}" name="Columna11924" dataDxfId="4488"/>
    <tableColumn id="11931" xr3:uid="{F8FDADBF-E3A9-4F15-A8A5-7F766877E556}" name="Columna11925" dataDxfId="4487"/>
    <tableColumn id="11932" xr3:uid="{21CAD202-C870-450C-8DA7-3C2256614D28}" name="Columna11926" dataDxfId="4486"/>
    <tableColumn id="11933" xr3:uid="{9AEF002E-DC4A-4C6D-8237-325AC672A739}" name="Columna11927" dataDxfId="4485"/>
    <tableColumn id="11934" xr3:uid="{3AFAFA05-7BC5-4E1C-97E0-1B778B5E171E}" name="Columna11928" dataDxfId="4484"/>
    <tableColumn id="11935" xr3:uid="{D3E85792-2B7B-44CC-906F-9714E1729EFB}" name="Columna11929" dataDxfId="4483"/>
    <tableColumn id="11936" xr3:uid="{21DADFF0-8C6F-4FF8-A26E-29E242483520}" name="Columna11930" dataDxfId="4482"/>
    <tableColumn id="11937" xr3:uid="{32A9FFFC-3B79-4BFD-AF53-59E7EEF30585}" name="Columna11931" dataDxfId="4481"/>
    <tableColumn id="11938" xr3:uid="{6EF7FBF7-90DD-44D6-AD38-A9A37ADCE7D4}" name="Columna11932" dataDxfId="4480"/>
    <tableColumn id="11939" xr3:uid="{3724B362-C0A1-4879-9159-278CB583C829}" name="Columna11933" dataDxfId="4479"/>
    <tableColumn id="11940" xr3:uid="{FE5FA39D-6452-4856-8508-D824C0F2E629}" name="Columna11934" dataDxfId="4478"/>
    <tableColumn id="11941" xr3:uid="{5508F187-78C1-4A5A-9A60-3769B98746EF}" name="Columna11935" dataDxfId="4477"/>
    <tableColumn id="11942" xr3:uid="{111D80AB-232E-41D5-8467-4D490DBEA41D}" name="Columna11936" dataDxfId="4476"/>
    <tableColumn id="11943" xr3:uid="{8A3D477E-37ED-4BCA-8E25-A2ED037C655C}" name="Columna11937" dataDxfId="4475"/>
    <tableColumn id="11944" xr3:uid="{4B1549A5-F3FF-4953-B195-64CFB74422FD}" name="Columna11938" dataDxfId="4474"/>
    <tableColumn id="11945" xr3:uid="{CB3651BE-352A-4DBC-AA96-04F2140F1F7E}" name="Columna11939" dataDxfId="4473"/>
    <tableColumn id="11946" xr3:uid="{ADD8CA32-0359-43F4-BA6E-6834DB0FBD9F}" name="Columna11940" dataDxfId="4472"/>
    <tableColumn id="11947" xr3:uid="{42DAAB80-021A-47C0-B578-F3D800D835E3}" name="Columna11941" dataDxfId="4471"/>
    <tableColumn id="11948" xr3:uid="{82E6D442-4228-43F5-BA3A-0E79EDDD41CD}" name="Columna11942" dataDxfId="4470"/>
    <tableColumn id="11949" xr3:uid="{C689D12E-4803-4AFE-80B4-F4959A6A274E}" name="Columna11943" dataDxfId="4469"/>
    <tableColumn id="11950" xr3:uid="{83877F7F-D64A-47B5-964D-3F84E648980A}" name="Columna11944" dataDxfId="4468"/>
    <tableColumn id="11951" xr3:uid="{3AFE919B-34F4-41C6-A592-BA63C65FC0BA}" name="Columna11945" dataDxfId="4467"/>
    <tableColumn id="11952" xr3:uid="{101D9664-719C-4C0C-B837-679FCDEECB86}" name="Columna11946" dataDxfId="4466"/>
    <tableColumn id="11953" xr3:uid="{608FA55B-1428-4C80-9CC5-6E43F0FBB48B}" name="Columna11947" dataDxfId="4465"/>
    <tableColumn id="11954" xr3:uid="{724C8D28-53EB-4388-8F40-9F87C97ED649}" name="Columna11948" dataDxfId="4464"/>
    <tableColumn id="11955" xr3:uid="{C3190D80-2C96-4D03-B6DE-0C7DF6726731}" name="Columna11949" dataDxfId="4463"/>
    <tableColumn id="11956" xr3:uid="{56BE54CF-7DB0-4B10-B63B-F603D95B6DAA}" name="Columna11950" dataDxfId="4462"/>
    <tableColumn id="11957" xr3:uid="{2E6C8D84-90AE-4EE4-9470-DFDC8E10518F}" name="Columna11951" dataDxfId="4461"/>
    <tableColumn id="11958" xr3:uid="{B0B98408-7F55-444E-B7D1-5E37D83FE1CC}" name="Columna11952" dataDxfId="4460"/>
    <tableColumn id="11959" xr3:uid="{C052E875-623C-4C82-AD1E-016BC94C4654}" name="Columna11953" dataDxfId="4459"/>
    <tableColumn id="11960" xr3:uid="{48485521-EC5A-473C-B552-ACF47BCC4305}" name="Columna11954" dataDxfId="4458"/>
    <tableColumn id="11961" xr3:uid="{339EBB81-B535-4AF3-9EEC-980CCBAC14F3}" name="Columna11955" dataDxfId="4457"/>
    <tableColumn id="11962" xr3:uid="{3D81B069-0C91-44D4-A49C-6BEEA1943C29}" name="Columna11956" dataDxfId="4456"/>
    <tableColumn id="11963" xr3:uid="{F42A0EC5-5DCA-45C7-B0C4-2C0B9676F754}" name="Columna11957" dataDxfId="4455"/>
    <tableColumn id="11964" xr3:uid="{29E9C428-9390-4FE4-84A1-E0ED2F34B7D0}" name="Columna11958" dataDxfId="4454"/>
    <tableColumn id="11965" xr3:uid="{BC741D5F-347E-4DD8-8C05-6BC5C78EB4B4}" name="Columna11959" dataDxfId="4453"/>
    <tableColumn id="11966" xr3:uid="{96EA22B2-B133-4833-93B6-8463BD59224F}" name="Columna11960" dataDxfId="4452"/>
    <tableColumn id="11967" xr3:uid="{C683F886-7F64-431F-B48B-962A1C9ABBF7}" name="Columna11961" dataDxfId="4451"/>
    <tableColumn id="11968" xr3:uid="{39783CE9-4240-417C-99CB-64E8E63429F1}" name="Columna11962" dataDxfId="4450"/>
    <tableColumn id="11969" xr3:uid="{E19DAFDF-DFFE-4EA9-9CBE-BC924A4F3BB3}" name="Columna11963" dataDxfId="4449"/>
    <tableColumn id="11970" xr3:uid="{1C4B1F74-4AA9-4EF6-ACAE-50B8EBFCC133}" name="Columna11964" dataDxfId="4448"/>
    <tableColumn id="11971" xr3:uid="{2EB97613-89FF-4318-BAF1-7FDA66FAD238}" name="Columna11965" dataDxfId="4447"/>
    <tableColumn id="11972" xr3:uid="{D75C483E-3CB8-43FF-A71B-8AACE3E2EDC3}" name="Columna11966" dataDxfId="4446"/>
    <tableColumn id="11973" xr3:uid="{56290606-C22B-4B7A-8F47-8841668E751A}" name="Columna11967" dataDxfId="4445"/>
    <tableColumn id="11974" xr3:uid="{B774EF12-ABC1-4505-9D3A-84CF6FE9EE93}" name="Columna11968" dataDxfId="4444"/>
    <tableColumn id="11975" xr3:uid="{48969BEB-98F0-4B55-856A-AF4D4CDC5FC5}" name="Columna11969" dataDxfId="4443"/>
    <tableColumn id="11976" xr3:uid="{FB1A4C83-D0C6-4A0E-BE50-806BF0C6E236}" name="Columna11970" dataDxfId="4442"/>
    <tableColumn id="11977" xr3:uid="{4E5B838F-13F6-4EEA-A119-13093168EF1C}" name="Columna11971" dataDxfId="4441"/>
    <tableColumn id="11978" xr3:uid="{37AF82B6-4147-4554-935B-8B4540B2E6F8}" name="Columna11972" dataDxfId="4440"/>
    <tableColumn id="11979" xr3:uid="{5AEE0BE7-A954-449E-BF9A-B72BB3B413F8}" name="Columna11973" dataDxfId="4439"/>
    <tableColumn id="11980" xr3:uid="{1C83E298-3153-4EC6-B71D-FE873B4319A7}" name="Columna11974" dataDxfId="4438"/>
    <tableColumn id="11981" xr3:uid="{43315F69-7E63-47BE-9971-5AAA922B63D6}" name="Columna11975" dataDxfId="4437"/>
    <tableColumn id="11982" xr3:uid="{16F95357-8339-4030-BA71-05E5B73BB78F}" name="Columna11976" dataDxfId="4436"/>
    <tableColumn id="11983" xr3:uid="{7B907176-1DF4-4055-8F43-C6E4DFD35955}" name="Columna11977" dataDxfId="4435"/>
    <tableColumn id="11984" xr3:uid="{3AA77601-A52F-4D60-BE3E-4C0EF3370753}" name="Columna11978" dataDxfId="4434"/>
    <tableColumn id="11985" xr3:uid="{5E197D23-C423-4566-AA11-0796B7127F9C}" name="Columna11979" dataDxfId="4433"/>
    <tableColumn id="11986" xr3:uid="{CEE5A6F6-D961-4816-BD0A-7E8685E84CA3}" name="Columna11980" dataDxfId="4432"/>
    <tableColumn id="11987" xr3:uid="{9650B2D0-73F0-4303-829C-191876FE617E}" name="Columna11981" dataDxfId="4431"/>
    <tableColumn id="11988" xr3:uid="{3A0B9592-4B5D-4F60-8C15-F4962B9ED6B6}" name="Columna11982" dataDxfId="4430"/>
    <tableColumn id="11989" xr3:uid="{1620DA88-B05D-49C3-906E-2006759A902F}" name="Columna11983" dataDxfId="4429"/>
    <tableColumn id="11990" xr3:uid="{F88B7113-D939-4644-AAC7-C05AC12DA51F}" name="Columna11984" dataDxfId="4428"/>
    <tableColumn id="11991" xr3:uid="{6F849A20-818B-45DE-85D9-7DDDB8FC2624}" name="Columna11985" dataDxfId="4427"/>
    <tableColumn id="11992" xr3:uid="{74864F43-01A0-4690-B181-AAE143780312}" name="Columna11986" dataDxfId="4426"/>
    <tableColumn id="11993" xr3:uid="{78CB9B61-EA38-4D8F-AE1C-C7E2D5AFBAB9}" name="Columna11987" dataDxfId="4425"/>
    <tableColumn id="11994" xr3:uid="{D691066E-B8F5-46FC-8D0E-E01C8B775AE7}" name="Columna11988" dataDxfId="4424"/>
    <tableColumn id="11995" xr3:uid="{5EC535B3-7683-4D94-85E9-08AF05908D2F}" name="Columna11989" dataDxfId="4423"/>
    <tableColumn id="11996" xr3:uid="{B2C295FB-A776-4666-A877-E38A7D5E274B}" name="Columna11990" dataDxfId="4422"/>
    <tableColumn id="11997" xr3:uid="{E396B508-F82E-4E43-BB8E-2FDDF5422266}" name="Columna11991" dataDxfId="4421"/>
    <tableColumn id="11998" xr3:uid="{2EB84B23-5E2D-4A11-AF0C-41DB58964383}" name="Columna11992" dataDxfId="4420"/>
    <tableColumn id="11999" xr3:uid="{294EF698-8905-4968-8165-ADDD8C0BA794}" name="Columna11993" dataDxfId="4419"/>
    <tableColumn id="12000" xr3:uid="{7A48140C-FE0F-4933-84E1-C0D6A23BA045}" name="Columna11994" dataDxfId="4418"/>
    <tableColumn id="12001" xr3:uid="{A728EE86-E7CE-4441-8813-A369C8C29FA5}" name="Columna11995" dataDxfId="4417"/>
    <tableColumn id="12002" xr3:uid="{8B7134C5-E3E2-45DF-88FE-F4652FCBF8D5}" name="Columna11996" dataDxfId="4416"/>
    <tableColumn id="12003" xr3:uid="{D3B6D8D1-72BD-4E36-9594-7B21607F3531}" name="Columna11997" dataDxfId="4415"/>
    <tableColumn id="12004" xr3:uid="{D4DA3B4D-AD3D-4F1F-ABC8-A51C290BAF74}" name="Columna11998" dataDxfId="4414"/>
    <tableColumn id="12005" xr3:uid="{4CF61C34-F058-437B-A049-6FFA7C085B95}" name="Columna11999" dataDxfId="4413"/>
    <tableColumn id="12006" xr3:uid="{4786E0CB-79A3-4FE6-89E5-828F84696E8F}" name="Columna12000" dataDxfId="4412"/>
    <tableColumn id="12007" xr3:uid="{03583A24-F152-4932-A6CE-B8E56411F74F}" name="Columna12001" dataDxfId="4411"/>
    <tableColumn id="12008" xr3:uid="{3EF34BAC-8AD3-401C-A465-2E5F2DC3011F}" name="Columna12002" dataDxfId="4410"/>
    <tableColumn id="12009" xr3:uid="{BA205530-E91B-4B35-A657-75AB2D886B98}" name="Columna12003" dataDxfId="4409"/>
    <tableColumn id="12010" xr3:uid="{A65F4BD3-2A9A-4375-93C4-C03A78B5E413}" name="Columna12004" dataDxfId="4408"/>
    <tableColumn id="12011" xr3:uid="{1E840F31-68BC-44AB-BE24-C653B398A7CE}" name="Columna12005" dataDxfId="4407"/>
    <tableColumn id="12012" xr3:uid="{FD48DB92-6EA4-4812-9E12-E705F380C1A5}" name="Columna12006" dataDxfId="4406"/>
    <tableColumn id="12013" xr3:uid="{169EB738-081F-4B33-A8F9-7B821A1056B2}" name="Columna12007" dataDxfId="4405"/>
    <tableColumn id="12014" xr3:uid="{7A04D899-139D-4E88-919F-00A1ED611B84}" name="Columna12008" dataDxfId="4404"/>
    <tableColumn id="12015" xr3:uid="{F4E7D60E-F1EB-46F8-9C2A-17DB21640E37}" name="Columna12009" dataDxfId="4403"/>
    <tableColumn id="12016" xr3:uid="{6F565DC7-ECF8-4904-9D3F-A8A2CDC916F0}" name="Columna12010" dataDxfId="4402"/>
    <tableColumn id="12017" xr3:uid="{4BA2E006-4974-436B-B761-976D94122C8C}" name="Columna12011" dataDxfId="4401"/>
    <tableColumn id="12018" xr3:uid="{39A4C9FA-E6B0-44D2-9422-2E4C79096935}" name="Columna12012" dataDxfId="4400"/>
    <tableColumn id="12019" xr3:uid="{CB9F77CE-8075-4003-87FA-F379606B2AB5}" name="Columna12013" dataDxfId="4399"/>
    <tableColumn id="12020" xr3:uid="{C3D15435-1772-42AA-8114-393E5D902BDA}" name="Columna12014" dataDxfId="4398"/>
    <tableColumn id="12021" xr3:uid="{9165AF26-D564-4986-8073-87278BC263D0}" name="Columna12015" dataDxfId="4397"/>
    <tableColumn id="12022" xr3:uid="{C178900D-6D5E-4193-8D9A-230506E22290}" name="Columna12016" dataDxfId="4396"/>
    <tableColumn id="12023" xr3:uid="{88108DA8-90EF-4F80-ACA7-3CB0E6D22127}" name="Columna12017" dataDxfId="4395"/>
    <tableColumn id="12024" xr3:uid="{CF390683-3E23-4BCA-BF0F-61D9A490175F}" name="Columna12018" dataDxfId="4394"/>
    <tableColumn id="12025" xr3:uid="{493F2A64-91AC-47F3-A2BB-3C3342B9A4D9}" name="Columna12019" dataDxfId="4393"/>
    <tableColumn id="12026" xr3:uid="{F458A7A5-6643-438A-9257-4576B1BDA5F4}" name="Columna12020" dataDxfId="4392"/>
    <tableColumn id="12027" xr3:uid="{6A6BAB97-CDC7-414C-9974-147BE0815F35}" name="Columna12021" dataDxfId="4391"/>
    <tableColumn id="12028" xr3:uid="{1903A833-2A03-4B0F-AE54-EA76D9B8B743}" name="Columna12022" dataDxfId="4390"/>
    <tableColumn id="12029" xr3:uid="{144CE1A8-901B-4DC4-98A4-D7B85F515BB7}" name="Columna12023" dataDxfId="4389"/>
    <tableColumn id="12030" xr3:uid="{8489931F-24E3-4C20-B741-97D39E508645}" name="Columna12024" dataDxfId="4388"/>
    <tableColumn id="12031" xr3:uid="{CA933BE5-46D0-4690-B130-73493CCD8D95}" name="Columna12025" dataDxfId="4387"/>
    <tableColumn id="12032" xr3:uid="{4572AEB0-BC8A-4B4E-9EE3-79D4B6FD531C}" name="Columna12026" dataDxfId="4386"/>
    <tableColumn id="12033" xr3:uid="{168FE51D-D9B4-4006-B090-DCCF0899E1FB}" name="Columna12027" dataDxfId="4385"/>
    <tableColumn id="12034" xr3:uid="{25FAF089-7D8A-4CE3-B48F-829C82E70C1A}" name="Columna12028" dataDxfId="4384"/>
    <tableColumn id="12035" xr3:uid="{CB6157D8-23C3-4E16-9418-3DD5032B50EB}" name="Columna12029" dataDxfId="4383"/>
    <tableColumn id="12036" xr3:uid="{C4DE4CAE-8ED5-4DEE-A490-18C50ABE81F0}" name="Columna12030" dataDxfId="4382"/>
    <tableColumn id="12037" xr3:uid="{8E30BBCE-B67F-46ED-82D4-B86CD58EADCB}" name="Columna12031" dataDxfId="4381"/>
    <tableColumn id="12038" xr3:uid="{543F121A-E215-4619-8555-A478F64D9EEE}" name="Columna12032" dataDxfId="4380"/>
    <tableColumn id="12039" xr3:uid="{E9D78F25-21FD-462A-B6B2-61D562D2EC29}" name="Columna12033" dataDxfId="4379"/>
    <tableColumn id="12040" xr3:uid="{AE415684-855E-4301-939A-528D17F8D562}" name="Columna12034" dataDxfId="4378"/>
    <tableColumn id="12041" xr3:uid="{2CA179EE-AF93-40F0-AD74-7E13EB6ECC22}" name="Columna12035" dataDxfId="4377"/>
    <tableColumn id="12042" xr3:uid="{5FB7E8B8-F046-4753-A55F-CB65B7796923}" name="Columna12036" dataDxfId="4376"/>
    <tableColumn id="12043" xr3:uid="{D4FD9634-AC03-4B81-888F-DBB168C5C7C2}" name="Columna12037" dataDxfId="4375"/>
    <tableColumn id="12044" xr3:uid="{4F3EEA60-57B7-4468-B44E-83684FE6B129}" name="Columna12038" dataDxfId="4374"/>
    <tableColumn id="12045" xr3:uid="{5B8AA10E-0733-4211-AD9A-199A22812ACC}" name="Columna12039" dataDxfId="4373"/>
    <tableColumn id="12046" xr3:uid="{604465F6-8330-4685-BA15-70035BF5F65D}" name="Columna12040" dataDxfId="4372"/>
    <tableColumn id="12047" xr3:uid="{8C896BA6-9E2D-4909-A39D-B19266C1EDB0}" name="Columna12041" dataDxfId="4371"/>
    <tableColumn id="12048" xr3:uid="{BE3AF356-3250-486C-906D-E3B0239F4FE0}" name="Columna12042" dataDxfId="4370"/>
    <tableColumn id="12049" xr3:uid="{D4B0DBD7-1DC0-4BDF-9256-0813F075F707}" name="Columna12043" dataDxfId="4369"/>
    <tableColumn id="12050" xr3:uid="{BE274BB1-A190-4D77-96E6-48D197AAB4EC}" name="Columna12044" dataDxfId="4368"/>
    <tableColumn id="12051" xr3:uid="{44BC845A-1AC7-44BB-A9B4-433F3225060F}" name="Columna12045" dataDxfId="4367"/>
    <tableColumn id="12052" xr3:uid="{A707C868-ECDB-4A16-B102-85D2186E1ECD}" name="Columna12046" dataDxfId="4366"/>
    <tableColumn id="12053" xr3:uid="{B40F7DEF-7949-4412-8EA0-930491116AFE}" name="Columna12047" dataDxfId="4365"/>
    <tableColumn id="12054" xr3:uid="{ED4DC51C-971C-44F8-A089-E123B6CC01DB}" name="Columna12048" dataDxfId="4364"/>
    <tableColumn id="12055" xr3:uid="{5CAB7F0F-637A-416A-910D-E1A9F79FB910}" name="Columna12049" dataDxfId="4363"/>
    <tableColumn id="12056" xr3:uid="{92FA1E75-ED3B-4C28-A10D-CD442DF21C08}" name="Columna12050" dataDxfId="4362"/>
    <tableColumn id="12057" xr3:uid="{87495845-353B-4D74-A37C-1E34E9E1A8D5}" name="Columna12051" dataDxfId="4361"/>
    <tableColumn id="12058" xr3:uid="{0703EBB5-95FC-4B97-9804-9841ADEC279E}" name="Columna12052" dataDxfId="4360"/>
    <tableColumn id="12059" xr3:uid="{99BABA0D-D8EC-48FA-9FB8-D86EB19664CF}" name="Columna12053" dataDxfId="4359"/>
    <tableColumn id="12060" xr3:uid="{9A2A8F90-4C37-4018-9AE1-B3E8B11E50BC}" name="Columna12054" dataDxfId="4358"/>
    <tableColumn id="12061" xr3:uid="{D9084555-DAE0-4084-8E84-E6669C45CF50}" name="Columna12055" dataDxfId="4357"/>
    <tableColumn id="12062" xr3:uid="{3F9612EB-1B34-4C1B-B2A7-F044C5D81878}" name="Columna12056" dataDxfId="4356"/>
    <tableColumn id="12063" xr3:uid="{494E7592-8B02-42BA-846A-126E5C19D5F9}" name="Columna12057" dataDxfId="4355"/>
    <tableColumn id="12064" xr3:uid="{61A427A3-62D3-4070-89A8-E7ACE6795A80}" name="Columna12058" dataDxfId="4354"/>
    <tableColumn id="12065" xr3:uid="{683C11F7-4907-4742-B112-6DC9A95C4F89}" name="Columna12059" dataDxfId="4353"/>
    <tableColumn id="12066" xr3:uid="{3F27C5F6-48BB-493F-AC16-C4343AA47CBF}" name="Columna12060" dataDxfId="4352"/>
    <tableColumn id="12067" xr3:uid="{6468ADDF-E494-41B3-9BF5-4D278BD7A5BC}" name="Columna12061" dataDxfId="4351"/>
    <tableColumn id="12068" xr3:uid="{A99D3234-11A7-420A-8AD9-92AAF0E9FF59}" name="Columna12062" dataDxfId="4350"/>
    <tableColumn id="12069" xr3:uid="{7430BB14-A6F6-4851-8E30-C989B7F291AF}" name="Columna12063" dataDxfId="4349"/>
    <tableColumn id="12070" xr3:uid="{617CCB5F-2CF6-4FCB-B1E3-F7756839F7A5}" name="Columna12064" dataDxfId="4348"/>
    <tableColumn id="12071" xr3:uid="{A7E101D1-974E-44A5-A6E3-2D14845DECA8}" name="Columna12065" dataDxfId="4347"/>
    <tableColumn id="12072" xr3:uid="{D8BE130E-B56E-4806-BBB6-1B76892E03B2}" name="Columna12066" dataDxfId="4346"/>
    <tableColumn id="12073" xr3:uid="{ACC3B954-F019-455D-B122-A26BC736F311}" name="Columna12067" dataDxfId="4345"/>
    <tableColumn id="12074" xr3:uid="{1D9EFF1D-F2C4-4D09-8685-81C16720834C}" name="Columna12068" dataDxfId="4344"/>
    <tableColumn id="12075" xr3:uid="{A4B1FC0E-AA39-463C-B60A-648F6E86FA8A}" name="Columna12069" dataDxfId="4343"/>
    <tableColumn id="12076" xr3:uid="{043DB5AB-8006-49C1-85A1-C08A5F073650}" name="Columna12070" dataDxfId="4342"/>
    <tableColumn id="12077" xr3:uid="{1BE3E8B1-1A8B-4EB4-92EE-27E9106CA132}" name="Columna12071" dataDxfId="4341"/>
    <tableColumn id="12078" xr3:uid="{0D48CBDC-91EB-46DE-AC10-6B97FFBB9111}" name="Columna12072" dataDxfId="4340"/>
    <tableColumn id="12079" xr3:uid="{C4F04C5F-D9BC-43B8-9B30-7938AD808F3B}" name="Columna12073" dataDxfId="4339"/>
    <tableColumn id="12080" xr3:uid="{DF5D286A-0719-4D7A-A07F-DCC65927EDA9}" name="Columna12074" dataDxfId="4338"/>
    <tableColumn id="12081" xr3:uid="{F7323D0D-BEA5-49E5-9EC1-5D983C005749}" name="Columna12075" dataDxfId="4337"/>
    <tableColumn id="12082" xr3:uid="{B4058960-18D8-4E57-B276-998E58C88A05}" name="Columna12076" dataDxfId="4336"/>
    <tableColumn id="12083" xr3:uid="{A395050F-0C5B-42E5-9AAB-4721E1EE201D}" name="Columna12077" dataDxfId="4335"/>
    <tableColumn id="12084" xr3:uid="{C86F48D5-59BB-4A5E-B7C1-2D56DFA92C9D}" name="Columna12078" dataDxfId="4334"/>
    <tableColumn id="12085" xr3:uid="{4E147127-1E3D-48EE-9DEB-CE05DBADB131}" name="Columna12079" dataDxfId="4333"/>
    <tableColumn id="12086" xr3:uid="{78487550-B1D5-440A-A217-FD3A91065363}" name="Columna12080" dataDxfId="4332"/>
    <tableColumn id="12087" xr3:uid="{9BA6A13B-F0DF-47DC-80CB-67B4CE2B2F47}" name="Columna12081" dataDxfId="4331"/>
    <tableColumn id="12088" xr3:uid="{99267C83-4C0B-4383-BC2E-2A849E2835D2}" name="Columna12082" dataDxfId="4330"/>
    <tableColumn id="12089" xr3:uid="{C9B5BCA7-B308-467F-A347-4AB4D9052F37}" name="Columna12083" dataDxfId="4329"/>
    <tableColumn id="12090" xr3:uid="{54CEDE9E-B54A-4CA7-A27A-DA0C598F3B7A}" name="Columna12084" dataDxfId="4328"/>
    <tableColumn id="12091" xr3:uid="{940B9F83-286D-4870-86E0-0CF1B388F2F6}" name="Columna12085" dataDxfId="4327"/>
    <tableColumn id="12092" xr3:uid="{2CC82197-D055-411C-B501-F60FB82DDD4B}" name="Columna12086" dataDxfId="4326"/>
    <tableColumn id="12093" xr3:uid="{F106917B-E8F1-40A2-A3DF-5A2CB99EABA2}" name="Columna12087" dataDxfId="4325"/>
    <tableColumn id="12094" xr3:uid="{1D5F4827-5BD2-4E00-BE4D-5A9A79CD0508}" name="Columna12088" dataDxfId="4324"/>
    <tableColumn id="12095" xr3:uid="{E539E560-61E4-42BF-AE4D-0BA2F3EA95E2}" name="Columna12089" dataDxfId="4323"/>
    <tableColumn id="12096" xr3:uid="{7A441758-76D1-4E39-8D82-9D8DA3ED7834}" name="Columna12090" dataDxfId="4322"/>
    <tableColumn id="12097" xr3:uid="{167708D6-6389-4FE1-AC23-AC8807ABE1CD}" name="Columna12091" dataDxfId="4321"/>
    <tableColumn id="12098" xr3:uid="{0950A599-DC92-4128-ABEF-B8A5AC207FD9}" name="Columna12092" dataDxfId="4320"/>
    <tableColumn id="12099" xr3:uid="{856E3199-3755-44DA-8824-5838735925D2}" name="Columna12093" dataDxfId="4319"/>
    <tableColumn id="12100" xr3:uid="{23AE6439-5F45-4B1F-8C2B-9FE2DDA16B08}" name="Columna12094" dataDxfId="4318"/>
    <tableColumn id="12101" xr3:uid="{26704D48-A70C-4A39-B251-F0CA03F6CA12}" name="Columna12095" dataDxfId="4317"/>
    <tableColumn id="12102" xr3:uid="{B006386A-CF38-4C19-8F6A-44F222582FF9}" name="Columna12096" dataDxfId="4316"/>
    <tableColumn id="12103" xr3:uid="{42CC0D5D-C667-42BB-A86D-5058D6B55BC4}" name="Columna12097" dataDxfId="4315"/>
    <tableColumn id="12104" xr3:uid="{E1E7B334-41FF-452C-9226-C54C5DF75958}" name="Columna12098" dataDxfId="4314"/>
    <tableColumn id="12105" xr3:uid="{EF282A43-0D92-4615-8BA9-D1CAD7F3D96A}" name="Columna12099" dataDxfId="4313"/>
    <tableColumn id="12106" xr3:uid="{20DE03B1-1357-4044-ACB6-F8C8EA7C46E7}" name="Columna12100" dataDxfId="4312"/>
    <tableColumn id="12107" xr3:uid="{AF4BF606-E213-481D-9238-31E595A001CA}" name="Columna12101" dataDxfId="4311"/>
    <tableColumn id="12108" xr3:uid="{E7EF8431-5AA9-4926-8A1D-F7C392605DF4}" name="Columna12102" dataDxfId="4310"/>
    <tableColumn id="12109" xr3:uid="{65B58A53-AC03-4D86-A81E-7880CF9AA015}" name="Columna12103" dataDxfId="4309"/>
    <tableColumn id="12110" xr3:uid="{999F1FD3-015B-460E-81B9-3F2CF34E8EDD}" name="Columna12104" dataDxfId="4308"/>
    <tableColumn id="12111" xr3:uid="{4A8EBF1B-A84E-45B2-ACD5-CA3FF888FD7C}" name="Columna12105" dataDxfId="4307"/>
    <tableColumn id="12112" xr3:uid="{7A4743B2-6987-4107-A471-DAA451C9BCEC}" name="Columna12106" dataDxfId="4306"/>
    <tableColumn id="12113" xr3:uid="{4F7D888D-7B80-4B63-A123-DFD8E38D0AA6}" name="Columna12107" dataDxfId="4305"/>
    <tableColumn id="12114" xr3:uid="{F5869880-DA14-49C2-B922-6FC6E98DD7DC}" name="Columna12108" dataDxfId="4304"/>
    <tableColumn id="12115" xr3:uid="{D9A45B57-50A8-46F2-B001-E6DE9DA42A09}" name="Columna12109" dataDxfId="4303"/>
    <tableColumn id="12116" xr3:uid="{0378D9D9-28E3-4918-A37A-6B61F9A5B7C4}" name="Columna12110" dataDxfId="4302"/>
    <tableColumn id="12117" xr3:uid="{1260C361-2BE7-4990-87BC-6F485B244034}" name="Columna12111" dataDxfId="4301"/>
    <tableColumn id="12118" xr3:uid="{F54F0DDE-A952-455E-8E96-6FBBF362A09E}" name="Columna12112" dataDxfId="4300"/>
    <tableColumn id="12119" xr3:uid="{393A22E9-95F6-4D72-BC26-D449FA274E20}" name="Columna12113" dataDxfId="4299"/>
    <tableColumn id="12120" xr3:uid="{DC642E3A-F57D-447A-9738-97C7CFB100BF}" name="Columna12114" dataDxfId="4298"/>
    <tableColumn id="12121" xr3:uid="{4ABAED42-4602-4060-BF2A-66D2422034DE}" name="Columna12115" dataDxfId="4297"/>
    <tableColumn id="12122" xr3:uid="{2434EAA3-FBBE-4FAB-A37E-AE0A1342FC95}" name="Columna12116" dataDxfId="4296"/>
    <tableColumn id="12123" xr3:uid="{90EF450C-140E-482A-BA2A-B00129656895}" name="Columna12117" dataDxfId="4295"/>
    <tableColumn id="12124" xr3:uid="{A3AAA242-DB99-4F58-869D-3AF7530911C7}" name="Columna12118" dataDxfId="4294"/>
    <tableColumn id="12125" xr3:uid="{CD6DF303-8E54-4C40-99CE-996EBA483777}" name="Columna12119" dataDxfId="4293"/>
    <tableColumn id="12126" xr3:uid="{4EB3DA56-6776-4D58-9880-411397D08B9D}" name="Columna12120" dataDxfId="4292"/>
    <tableColumn id="12127" xr3:uid="{8972813B-86FD-4A79-9D73-BF141A1E7B29}" name="Columna12121" dataDxfId="4291"/>
    <tableColumn id="12128" xr3:uid="{54CE1704-4410-4E7B-B1F7-2E99150F1E27}" name="Columna12122" dataDxfId="4290"/>
    <tableColumn id="12129" xr3:uid="{CFAE4AF8-2ABC-43F8-B04A-300BE6226594}" name="Columna12123" dataDxfId="4289"/>
    <tableColumn id="12130" xr3:uid="{E2E7D31F-E199-47F7-AFCB-3005BB5EE1DC}" name="Columna12124" dataDxfId="4288"/>
    <tableColumn id="12131" xr3:uid="{BA971CBD-C9FE-47AF-BCE1-EBAF941554C2}" name="Columna12125" dataDxfId="4287"/>
    <tableColumn id="12132" xr3:uid="{2C717828-8568-44C4-8929-A3352C636F5D}" name="Columna12126" dataDxfId="4286"/>
    <tableColumn id="12133" xr3:uid="{54D0B10A-0E26-4E04-8004-91DBDEB58D2F}" name="Columna12127" dataDxfId="4285"/>
    <tableColumn id="12134" xr3:uid="{28F0C782-4D16-4EFD-AF11-F936A4BE091A}" name="Columna12128" dataDxfId="4284"/>
    <tableColumn id="12135" xr3:uid="{59C50B93-D731-40E8-9F20-5941EA5CACE5}" name="Columna12129" dataDxfId="4283"/>
    <tableColumn id="12136" xr3:uid="{9B08DDA4-3C63-4A9C-BBF4-6583567F75F5}" name="Columna12130" dataDxfId="4282"/>
    <tableColumn id="12137" xr3:uid="{22F5F193-0B9B-4566-95E9-1DD0B76AF362}" name="Columna12131" dataDxfId="4281"/>
    <tableColumn id="12138" xr3:uid="{966EC02F-3659-48D1-A5FF-1299DD597C2F}" name="Columna12132" dataDxfId="4280"/>
    <tableColumn id="12139" xr3:uid="{F35D3E73-57AE-4454-BA5B-A688F10C49F9}" name="Columna12133" dataDxfId="4279"/>
    <tableColumn id="12140" xr3:uid="{DB919614-9488-428F-BB19-59F52671A9C6}" name="Columna12134" dataDxfId="4278"/>
    <tableColumn id="12141" xr3:uid="{3BDEE42E-D98D-4C02-8C2D-59AEC6C93242}" name="Columna12135" dataDxfId="4277"/>
    <tableColumn id="12142" xr3:uid="{35D1CDEA-C580-46D3-A7B6-3A1EA0489CE5}" name="Columna12136" dataDxfId="4276"/>
    <tableColumn id="12143" xr3:uid="{DBBB90E0-D87B-4159-AC02-5C1E7843621C}" name="Columna12137" dataDxfId="4275"/>
    <tableColumn id="12144" xr3:uid="{A2B42833-AEF4-4A6A-8509-6145F6C56588}" name="Columna12138" dataDxfId="4274"/>
    <tableColumn id="12145" xr3:uid="{A3BDE7D3-9FB1-4C37-88BE-295D1B198C6A}" name="Columna12139" dataDxfId="4273"/>
    <tableColumn id="12146" xr3:uid="{F3482CB7-150E-4AA8-BCE4-83E3AD16EACF}" name="Columna12140" dataDxfId="4272"/>
    <tableColumn id="12147" xr3:uid="{61B4E83F-0BEE-4020-A0B4-F768481BE808}" name="Columna12141" dataDxfId="4271"/>
    <tableColumn id="12148" xr3:uid="{3FC15D6B-5892-4307-8593-CFB5E153A328}" name="Columna12142" dataDxfId="4270"/>
    <tableColumn id="12149" xr3:uid="{EC4F5597-9346-4515-B01F-EBFD8D345186}" name="Columna12143" dataDxfId="4269"/>
    <tableColumn id="12150" xr3:uid="{950CC785-1E1E-444F-82B1-753B0AB771C0}" name="Columna12144" dataDxfId="4268"/>
    <tableColumn id="12151" xr3:uid="{20C5B689-8888-4092-9580-DBD21521A6EB}" name="Columna12145" dataDxfId="4267"/>
    <tableColumn id="12152" xr3:uid="{550AF02C-6D6E-488B-8463-CA2C9A7DB365}" name="Columna12146" dataDxfId="4266"/>
    <tableColumn id="12153" xr3:uid="{4A2B1772-FD71-4194-8AA8-3779C2B19E63}" name="Columna12147" dataDxfId="4265"/>
    <tableColumn id="12154" xr3:uid="{195DF2A6-1FCB-4F97-AE4C-F32DC0823403}" name="Columna12148" dataDxfId="4264"/>
    <tableColumn id="12155" xr3:uid="{C3A5DB82-645D-4691-8319-0E9748A9AAF6}" name="Columna12149" dataDxfId="4263"/>
    <tableColumn id="12156" xr3:uid="{0FFA3ACF-289E-4DA4-B6C2-D46F93522FE1}" name="Columna12150" dataDxfId="4262"/>
    <tableColumn id="12157" xr3:uid="{5F0978CC-1D66-4AC8-A670-584018ED2B5B}" name="Columna12151" dataDxfId="4261"/>
    <tableColumn id="12158" xr3:uid="{9183EEA1-1052-4113-A249-5A4ADCF7C9CD}" name="Columna12152" dataDxfId="4260"/>
    <tableColumn id="12159" xr3:uid="{5FC412A0-1E85-4B66-B984-D6D8EBF6DEE7}" name="Columna12153" dataDxfId="4259"/>
    <tableColumn id="12160" xr3:uid="{F416BD6C-AF81-4500-9921-1B1A21FF8E62}" name="Columna12154" dataDxfId="4258"/>
    <tableColumn id="12161" xr3:uid="{92D8DB78-45C4-4581-B8F8-FB09C562B10B}" name="Columna12155" dataDxfId="4257"/>
    <tableColumn id="12162" xr3:uid="{25C72BC1-1FC6-4C3F-9E7E-657C1FBF26B5}" name="Columna12156" dataDxfId="4256"/>
    <tableColumn id="12163" xr3:uid="{B3099CC6-C0E3-48CF-9867-FDA14779EF6B}" name="Columna12157" dataDxfId="4255"/>
    <tableColumn id="12164" xr3:uid="{610A57FD-BA07-4627-9024-4CD1DD729865}" name="Columna12158" dataDxfId="4254"/>
    <tableColumn id="12165" xr3:uid="{28A195EC-6D88-49A3-8067-7B4F3B861E12}" name="Columna12159" dataDxfId="4253"/>
    <tableColumn id="12166" xr3:uid="{70D9827C-4176-4B34-ACD9-008EDEF11CCD}" name="Columna12160" dataDxfId="4252"/>
    <tableColumn id="12167" xr3:uid="{7D82E903-4091-483E-A62B-00230F56E612}" name="Columna12161" dataDxfId="4251"/>
    <tableColumn id="12168" xr3:uid="{A5DCD70D-F8AC-47E3-9B4D-177C6B3F9413}" name="Columna12162" dataDxfId="4250"/>
    <tableColumn id="12169" xr3:uid="{E7CC62FF-93E1-4E45-AD0D-BB50FA6410BD}" name="Columna12163" dataDxfId="4249"/>
    <tableColumn id="12170" xr3:uid="{4B29A0B4-EF4B-4141-A406-8CD6BFFFFAA2}" name="Columna12164" dataDxfId="4248"/>
    <tableColumn id="12171" xr3:uid="{00FEAC03-D82A-404F-B73B-34D6F05572F5}" name="Columna12165" dataDxfId="4247"/>
    <tableColumn id="12172" xr3:uid="{31582FD3-E7CB-4F37-B1EE-96A2AA01C96B}" name="Columna12166" dataDxfId="4246"/>
    <tableColumn id="12173" xr3:uid="{B7B1F5A8-EDA0-4863-9100-2D15C9A0EE47}" name="Columna12167" dataDxfId="4245"/>
    <tableColumn id="12174" xr3:uid="{B708A504-00C7-4044-B153-F7463A06ADD2}" name="Columna12168" dataDxfId="4244"/>
    <tableColumn id="12175" xr3:uid="{8D8455C8-CE7F-4677-B4BE-34F45C378A44}" name="Columna12169" dataDxfId="4243"/>
    <tableColumn id="12176" xr3:uid="{50BC4A95-31B8-49F3-8E37-C4104D344364}" name="Columna12170" dataDxfId="4242"/>
    <tableColumn id="12177" xr3:uid="{586CF16F-0813-4661-9EDF-C760AC0790BE}" name="Columna12171" dataDxfId="4241"/>
    <tableColumn id="12178" xr3:uid="{E8AA6256-2463-4F6A-B06F-2E316DD1A358}" name="Columna12172" dataDxfId="4240"/>
    <tableColumn id="12179" xr3:uid="{6F938B2F-80F8-40A4-9FAA-5CE27DB2665B}" name="Columna12173" dataDxfId="4239"/>
    <tableColumn id="12180" xr3:uid="{2D0AD07B-8036-4DAD-98F8-CBDFE8622D6F}" name="Columna12174" dataDxfId="4238"/>
    <tableColumn id="12181" xr3:uid="{898CD226-CEFC-43D7-9AAD-048D793CBD5B}" name="Columna12175" dataDxfId="4237"/>
    <tableColumn id="12182" xr3:uid="{7F20E5DB-565D-45B8-9ED1-717A8CD0C5A4}" name="Columna12176" dataDxfId="4236"/>
    <tableColumn id="12183" xr3:uid="{A152F045-C965-4CE9-BBE7-C42D926A09C2}" name="Columna12177" dataDxfId="4235"/>
    <tableColumn id="12184" xr3:uid="{0B54F6A1-257E-40BA-AC6D-10B02B922529}" name="Columna12178" dataDxfId="4234"/>
    <tableColumn id="12185" xr3:uid="{1166D037-4BAC-46E9-94D2-C9A2AC97A730}" name="Columna12179" dataDxfId="4233"/>
    <tableColumn id="12186" xr3:uid="{89D984CC-7B8B-4F54-A225-257FA6F90619}" name="Columna12180" dataDxfId="4232"/>
    <tableColumn id="12187" xr3:uid="{94FAF536-EF9E-4C99-9AC4-64C3212F4780}" name="Columna12181" dataDxfId="4231"/>
    <tableColumn id="12188" xr3:uid="{39078E06-9A6B-4FE0-A4FE-D8330F0B9AF1}" name="Columna12182" dataDxfId="4230"/>
    <tableColumn id="12189" xr3:uid="{3D5CABB8-717A-4191-9A75-01EFE6CDDAA3}" name="Columna12183" dataDxfId="4229"/>
    <tableColumn id="12190" xr3:uid="{D481D9AC-4190-4B2F-A364-46AD2979131C}" name="Columna12184" dataDxfId="4228"/>
    <tableColumn id="12191" xr3:uid="{4CC272E8-8F11-4EEE-AFE8-B748655E8A66}" name="Columna12185" dataDxfId="4227"/>
    <tableColumn id="12192" xr3:uid="{0DA029B4-4F56-42A4-94F7-FDEAEE404AFC}" name="Columna12186" dataDxfId="4226"/>
    <tableColumn id="12193" xr3:uid="{9323B060-6728-45A9-9980-ADD7BEDED6ED}" name="Columna12187" dataDxfId="4225"/>
    <tableColumn id="12194" xr3:uid="{CEDF8296-921F-48DE-A5B1-031CC892A927}" name="Columna12188" dataDxfId="4224"/>
    <tableColumn id="12195" xr3:uid="{4116D97E-0306-4EB5-B0CC-E914AE428325}" name="Columna12189" dataDxfId="4223"/>
    <tableColumn id="12196" xr3:uid="{233CC871-06AF-4165-9F73-1B3F350EC272}" name="Columna12190" dataDxfId="4222"/>
    <tableColumn id="12197" xr3:uid="{1700EA6D-EAC3-4FC2-8750-FAD789E6876A}" name="Columna12191" dataDxfId="4221"/>
    <tableColumn id="12198" xr3:uid="{BED354BA-133E-4038-BEDD-05BC7A4F1320}" name="Columna12192" dataDxfId="4220"/>
    <tableColumn id="12199" xr3:uid="{4D2D24C0-6901-4EAA-9874-2858F8C5D84A}" name="Columna12193" dataDxfId="4219"/>
    <tableColumn id="12200" xr3:uid="{8C0D0D43-6B83-41C9-A1BA-5F0662B398CD}" name="Columna12194" dataDxfId="4218"/>
    <tableColumn id="12201" xr3:uid="{A6A0513E-68E3-4D8A-8738-5CE846BBB70F}" name="Columna12195" dataDxfId="4217"/>
    <tableColumn id="12202" xr3:uid="{032128D9-47C9-4CC9-9ABE-07600C85B247}" name="Columna12196" dataDxfId="4216"/>
    <tableColumn id="12203" xr3:uid="{6B947D55-821B-44EC-9BFA-88A267B7E468}" name="Columna12197" dataDxfId="4215"/>
    <tableColumn id="12204" xr3:uid="{81BDAFED-74B8-42BF-94EF-4F0E77003904}" name="Columna12198" dataDxfId="4214"/>
    <tableColumn id="12205" xr3:uid="{631E8112-D08B-41C4-BA15-D4BD013DF0F9}" name="Columna12199" dataDxfId="4213"/>
    <tableColumn id="12206" xr3:uid="{385FDA99-7236-470D-BB79-C8C687666811}" name="Columna12200" dataDxfId="4212"/>
    <tableColumn id="12207" xr3:uid="{B4B2E2EA-92B3-45C8-8179-AE56B3D9473C}" name="Columna12201" dataDxfId="4211"/>
    <tableColumn id="12208" xr3:uid="{E094B33C-6AAB-40E5-9376-831D47A6C925}" name="Columna12202" dataDxfId="4210"/>
    <tableColumn id="12209" xr3:uid="{60E7153D-060E-4930-B1FD-0B0B75A72804}" name="Columna12203" dataDxfId="4209"/>
    <tableColumn id="12210" xr3:uid="{8286F604-E53C-46AF-97B8-9878835420CC}" name="Columna12204" dataDxfId="4208"/>
    <tableColumn id="12211" xr3:uid="{5DC02590-4543-4BDA-BE9F-F14ED18C3F4E}" name="Columna12205" dataDxfId="4207"/>
    <tableColumn id="12212" xr3:uid="{8FFA0271-FFEE-47DC-99CD-15175685F587}" name="Columna12206" dataDxfId="4206"/>
    <tableColumn id="12213" xr3:uid="{A593BD15-5ECE-453A-B18C-F9B7392DA471}" name="Columna12207" dataDxfId="4205"/>
    <tableColumn id="12214" xr3:uid="{CC796049-15E6-47AB-A036-742DD601CA50}" name="Columna12208" dataDxfId="4204"/>
    <tableColumn id="12215" xr3:uid="{6D4ED3BF-6BCC-44E6-BDCA-F5045BC452AC}" name="Columna12209" dataDxfId="4203"/>
    <tableColumn id="12216" xr3:uid="{1452127E-A44F-4185-B191-B4688FBCB022}" name="Columna12210" dataDxfId="4202"/>
    <tableColumn id="12217" xr3:uid="{6A5841BF-C12E-44C1-A23C-17C9B799CE4B}" name="Columna12211" dataDxfId="4201"/>
    <tableColumn id="12218" xr3:uid="{0E982727-5E56-4C1B-B562-475228F1C2D2}" name="Columna12212" dataDxfId="4200"/>
    <tableColumn id="12219" xr3:uid="{7C0B6DD9-41CB-420E-8EA5-3D30969F75D7}" name="Columna12213" dataDxfId="4199"/>
    <tableColumn id="12220" xr3:uid="{99894218-04E6-4132-978E-0D8374AC62FB}" name="Columna12214" dataDxfId="4198"/>
    <tableColumn id="12221" xr3:uid="{FE5325D8-0A1A-486D-B258-6528BE7E0BFE}" name="Columna12215" dataDxfId="4197"/>
    <tableColumn id="12222" xr3:uid="{B541196C-7F55-4934-9803-55EA06B96216}" name="Columna12216" dataDxfId="4196"/>
    <tableColumn id="12223" xr3:uid="{782AFE94-2C45-4197-940F-5A5C0A9AC585}" name="Columna12217" dataDxfId="4195"/>
    <tableColumn id="12224" xr3:uid="{5CB5FAFF-1346-4B4D-86F6-8F1FB07B6369}" name="Columna12218" dataDxfId="4194"/>
    <tableColumn id="12225" xr3:uid="{A0DF1C67-FA43-4B99-AC1E-0631070970A1}" name="Columna12219" dataDxfId="4193"/>
    <tableColumn id="12226" xr3:uid="{2889B781-2004-4CBD-AFC5-22B045C50767}" name="Columna12220" dataDxfId="4192"/>
    <tableColumn id="12227" xr3:uid="{9F18D80C-28FF-4E23-8DBC-C1B4C0591D39}" name="Columna12221" dataDxfId="4191"/>
    <tableColumn id="12228" xr3:uid="{BE34B793-A491-4592-8EC7-9B6C3CEF42EA}" name="Columna12222" dataDxfId="4190"/>
    <tableColumn id="12229" xr3:uid="{55ACB7EE-2A2D-484B-A344-F64EDACE1E1C}" name="Columna12223" dataDxfId="4189"/>
    <tableColumn id="12230" xr3:uid="{5E390D03-27C5-4F0F-88AA-5BA77C5A6E7D}" name="Columna12224" dataDxfId="4188"/>
    <tableColumn id="12231" xr3:uid="{5FC013A3-9096-4FF2-9808-39A8F6FD39C6}" name="Columna12225" dataDxfId="4187"/>
    <tableColumn id="12232" xr3:uid="{B8E4F9DE-EA4F-4569-8BC0-9A597EEC0355}" name="Columna12226" dataDxfId="4186"/>
    <tableColumn id="12233" xr3:uid="{81597F60-8C47-42B9-BD8D-0C8C43012EA4}" name="Columna12227" dataDxfId="4185"/>
    <tableColumn id="12234" xr3:uid="{5C8DCD5C-5CDB-4E94-9BA1-115516779DA0}" name="Columna12228" dataDxfId="4184"/>
    <tableColumn id="12235" xr3:uid="{F926CD09-B7E5-44D7-BF0B-395B6BA503E3}" name="Columna12229" dataDxfId="4183"/>
    <tableColumn id="12236" xr3:uid="{E1598F45-9450-4254-A10E-A0E6B04D49A4}" name="Columna12230" dataDxfId="4182"/>
    <tableColumn id="12237" xr3:uid="{68632D66-0946-4C59-BD7E-D2DB584784ED}" name="Columna12231" dataDxfId="4181"/>
    <tableColumn id="12238" xr3:uid="{C5EB913E-F2FE-48EB-AD0A-322983AA0E11}" name="Columna12232" dataDxfId="4180"/>
    <tableColumn id="12239" xr3:uid="{85303DE1-F6FE-4B74-AA1B-803BB66FB10F}" name="Columna12233" dataDxfId="4179"/>
    <tableColumn id="12240" xr3:uid="{6C858C22-0701-4BAA-ACA2-D98623901847}" name="Columna12234" dataDxfId="4178"/>
    <tableColumn id="12241" xr3:uid="{397E21C3-42FC-4242-85A3-9C24C6B28A9F}" name="Columna12235" dataDxfId="4177"/>
    <tableColumn id="12242" xr3:uid="{BE5CEEF4-404C-495A-BADD-43129D9E7C52}" name="Columna12236" dataDxfId="4176"/>
    <tableColumn id="12243" xr3:uid="{5C0F33E6-B454-4AA8-9B04-A66A71750046}" name="Columna12237" dataDxfId="4175"/>
    <tableColumn id="12244" xr3:uid="{AE863BF6-1139-4861-A685-49BC0CD2DD93}" name="Columna12238" dataDxfId="4174"/>
    <tableColumn id="12245" xr3:uid="{B0C0B663-F43F-4F3A-B657-10C81412270C}" name="Columna12239" dataDxfId="4173"/>
    <tableColumn id="12246" xr3:uid="{8443CBA5-BC85-4133-9D4E-CDFADC59B2BD}" name="Columna12240" dataDxfId="4172"/>
    <tableColumn id="12247" xr3:uid="{9ADE2871-40F2-4443-9BF9-EE7A3EA69B87}" name="Columna12241" dataDxfId="4171"/>
    <tableColumn id="12248" xr3:uid="{12B0896C-14C1-4EDF-8521-F16C2EB9CDF0}" name="Columna12242" dataDxfId="4170"/>
    <tableColumn id="12249" xr3:uid="{A6F2431A-1DD9-4005-804A-99CF5F2FB2A7}" name="Columna12243" dataDxfId="4169"/>
    <tableColumn id="12250" xr3:uid="{149AF92F-0715-4480-98BA-8179AFF25E98}" name="Columna12244" dataDxfId="4168"/>
    <tableColumn id="12251" xr3:uid="{C6ED8B9E-675F-4DF3-A776-DDA80E00F7F1}" name="Columna12245" dataDxfId="4167"/>
    <tableColumn id="12252" xr3:uid="{93C8C5E3-E5EC-43BF-B507-114F7C91106D}" name="Columna12246" dataDxfId="4166"/>
    <tableColumn id="12253" xr3:uid="{C0B56061-D4EC-46FB-A2EF-EDA74F07AA41}" name="Columna12247" dataDxfId="4165"/>
    <tableColumn id="12254" xr3:uid="{DF95D99D-40FD-4F5B-BD16-759E832AD23C}" name="Columna12248" dataDxfId="4164"/>
    <tableColumn id="12255" xr3:uid="{0B96456C-3801-45ED-A041-197C32E0E727}" name="Columna12249" dataDxfId="4163"/>
    <tableColumn id="12256" xr3:uid="{F366E587-B16A-4457-9469-FAF15815D766}" name="Columna12250" dataDxfId="4162"/>
    <tableColumn id="12257" xr3:uid="{9D527F29-2288-4F8C-AF2A-C281A8E6C3CA}" name="Columna12251" dataDxfId="4161"/>
    <tableColumn id="12258" xr3:uid="{432C76A6-F8A9-48CF-B48C-348E9E647D41}" name="Columna12252" dataDxfId="4160"/>
    <tableColumn id="12259" xr3:uid="{9CB71A79-F4A1-4ADA-A0DE-14FC269ADB40}" name="Columna12253" dataDxfId="4159"/>
    <tableColumn id="12260" xr3:uid="{BDA22808-5418-4DBD-BD3D-000A59B1DD47}" name="Columna12254" dataDxfId="4158"/>
    <tableColumn id="12261" xr3:uid="{59A59AA6-1FB4-4675-8212-49AB4902DA1E}" name="Columna12255" dataDxfId="4157"/>
    <tableColumn id="12262" xr3:uid="{65024E10-DC36-4AAE-9C57-F113FCD5B0D6}" name="Columna12256" dataDxfId="4156"/>
    <tableColumn id="12263" xr3:uid="{75CD631C-F490-424D-BFD6-89858184D2E5}" name="Columna12257" dataDxfId="4155"/>
    <tableColumn id="12264" xr3:uid="{8FCD6FFC-0CD6-4D4C-B977-D55A98A63C4A}" name="Columna12258" dataDxfId="4154"/>
    <tableColumn id="12265" xr3:uid="{F4AD13CA-675E-480C-AF3E-F6718AFF490A}" name="Columna12259" dataDxfId="4153"/>
    <tableColumn id="12266" xr3:uid="{2679E5E5-72E0-4344-80D8-42DB94DA89C8}" name="Columna12260" dataDxfId="4152"/>
    <tableColumn id="12267" xr3:uid="{FFDCD2D3-9BC3-4B6A-8333-AC7C5A9A9DAD}" name="Columna12261" dataDxfId="4151"/>
    <tableColumn id="12268" xr3:uid="{246F25C3-9E71-4A1D-AF93-415CFCCC6454}" name="Columna12262" dataDxfId="4150"/>
    <tableColumn id="12269" xr3:uid="{A198A196-8098-4243-BB59-882BC53C0D53}" name="Columna12263" dataDxfId="4149"/>
    <tableColumn id="12270" xr3:uid="{61629667-7A7D-4BB4-9A5B-1B1C67DADF59}" name="Columna12264" dataDxfId="4148"/>
    <tableColumn id="12271" xr3:uid="{0D273D6C-8806-4945-BDDB-116948767A6F}" name="Columna12265" dataDxfId="4147"/>
    <tableColumn id="12272" xr3:uid="{3DDF553B-47A2-4B85-B4EA-E3C2E6352C66}" name="Columna12266" dataDxfId="4146"/>
    <tableColumn id="12273" xr3:uid="{93F63057-B8E8-454E-8553-83441258C0A0}" name="Columna12267" dataDxfId="4145"/>
    <tableColumn id="12274" xr3:uid="{6FB54D95-28F0-4C7C-A62B-98DBFE414C43}" name="Columna12268" dataDxfId="4144"/>
    <tableColumn id="12275" xr3:uid="{D24C591C-01D9-47C7-9EC0-D083B0E568E2}" name="Columna12269" dataDxfId="4143"/>
    <tableColumn id="12276" xr3:uid="{A5D767B1-08E2-47BA-B87A-BB2F09CD7314}" name="Columna12270" dataDxfId="4142"/>
    <tableColumn id="12277" xr3:uid="{0689F2AF-405B-4558-938C-B47586090280}" name="Columna12271" dataDxfId="4141"/>
    <tableColumn id="12278" xr3:uid="{9D533F70-33A7-4D40-AA8D-8CFE3C5F10F4}" name="Columna12272" dataDxfId="4140"/>
    <tableColumn id="12279" xr3:uid="{9C4D5750-04B2-4B13-A8A5-138D454E0F81}" name="Columna12273" dataDxfId="4139"/>
    <tableColumn id="12280" xr3:uid="{7B60D444-5373-48FC-8683-F45C7F4AF9E9}" name="Columna12274" dataDxfId="4138"/>
    <tableColumn id="12281" xr3:uid="{CFFC53FC-48F6-4253-B247-D02C0F99DE4E}" name="Columna12275" dataDxfId="4137"/>
    <tableColumn id="12282" xr3:uid="{F75726C3-27DF-4034-8160-FC5137BFD238}" name="Columna12276" dataDxfId="4136"/>
    <tableColumn id="12283" xr3:uid="{7BA49E7D-C5DF-46EE-AA1E-36AC905F21FC}" name="Columna12277" dataDxfId="4135"/>
    <tableColumn id="12284" xr3:uid="{48ED38E7-0EB7-489B-A9C3-3E149DBD9D16}" name="Columna12278" dataDxfId="4134"/>
    <tableColumn id="12285" xr3:uid="{2697F693-C4DD-4C7E-A901-99D2FAE1E6BD}" name="Columna12279" dataDxfId="4133"/>
    <tableColumn id="12286" xr3:uid="{29BD0D42-209E-48B4-8A8E-05F4E47B8489}" name="Columna12280" dataDxfId="4132"/>
    <tableColumn id="12287" xr3:uid="{68F2C80F-1D1D-47BF-97A4-2680EB535CCB}" name="Columna12281" dataDxfId="4131"/>
    <tableColumn id="12288" xr3:uid="{2BBE0085-18DA-443C-A198-60EE547CD522}" name="Columna12282" dataDxfId="4130"/>
    <tableColumn id="12289" xr3:uid="{B69D422B-B147-4967-9177-7D2F66E776AE}" name="Columna12283" dataDxfId="4129"/>
    <tableColumn id="12290" xr3:uid="{56F5E56B-121F-4B18-99BD-A81DE213FAE1}" name="Columna12284" dataDxfId="4128"/>
    <tableColumn id="12291" xr3:uid="{9080EA53-E267-403E-9665-FFEE71915F70}" name="Columna12285" dataDxfId="4127"/>
    <tableColumn id="12292" xr3:uid="{069A65C3-6EE6-4D9E-90DE-D4C5EAFC40CB}" name="Columna12286" dataDxfId="4126"/>
    <tableColumn id="12293" xr3:uid="{C14B428F-3BD4-4DCC-9100-647CCE0B1326}" name="Columna12287" dataDxfId="4125"/>
    <tableColumn id="12294" xr3:uid="{927D4A26-427E-4B9C-8925-F8B8E8C15369}" name="Columna12288" dataDxfId="4124"/>
    <tableColumn id="12295" xr3:uid="{25D3B2DA-BD0A-44A6-B857-3E831C18912A}" name="Columna12289" dataDxfId="4123"/>
    <tableColumn id="12296" xr3:uid="{817C90F9-7D38-451B-8F3F-9B05A75050E1}" name="Columna12290" dataDxfId="4122"/>
    <tableColumn id="12297" xr3:uid="{977D8D73-03C2-4287-9075-B6A84F7F046C}" name="Columna12291" dataDxfId="4121"/>
    <tableColumn id="12298" xr3:uid="{5C1AA669-D222-40D6-AB8B-F6F1C94A1E02}" name="Columna12292" dataDxfId="4120"/>
    <tableColumn id="12299" xr3:uid="{E1852D27-E0B8-459B-AA12-8201550E5094}" name="Columna12293" dataDxfId="4119"/>
    <tableColumn id="12300" xr3:uid="{6C660F99-E75E-4F98-9B33-468807DC04C3}" name="Columna12294" dataDxfId="4118"/>
    <tableColumn id="12301" xr3:uid="{1576B0E0-D9BD-4CE4-90B7-DC16FC8BF328}" name="Columna12295" dataDxfId="4117"/>
    <tableColumn id="12302" xr3:uid="{A57B7D8B-3155-4E7C-978F-5E37229241AF}" name="Columna12296" dataDxfId="4116"/>
    <tableColumn id="12303" xr3:uid="{35FAE709-5F39-4727-8403-0410081EF496}" name="Columna12297" dataDxfId="4115"/>
    <tableColumn id="12304" xr3:uid="{723603E4-B53C-49A4-9EF7-6E1B9FF161D8}" name="Columna12298" dataDxfId="4114"/>
    <tableColumn id="12305" xr3:uid="{D5265D50-DBDE-48F1-BBA6-EA3C231C045A}" name="Columna12299" dataDxfId="4113"/>
    <tableColumn id="12306" xr3:uid="{CD9AF443-88EA-46B4-9FAC-ED92A60FF9D7}" name="Columna12300" dataDxfId="4112"/>
    <tableColumn id="12307" xr3:uid="{D3B340B5-C7B5-43E2-9A2D-AE23E737E786}" name="Columna12301" dataDxfId="4111"/>
    <tableColumn id="12308" xr3:uid="{96FA3425-98FB-492F-9C49-809AEC8FC396}" name="Columna12302" dataDxfId="4110"/>
    <tableColumn id="12309" xr3:uid="{647597E2-945C-4EE7-A69B-BC4FDC396320}" name="Columna12303" dataDxfId="4109"/>
    <tableColumn id="12310" xr3:uid="{25896D9D-2734-413C-8DFA-083713CCAED4}" name="Columna12304" dataDxfId="4108"/>
    <tableColumn id="12311" xr3:uid="{93FAEA75-1AE9-4A0C-943B-D3F852CE3371}" name="Columna12305" dataDxfId="4107"/>
    <tableColumn id="12312" xr3:uid="{83EFC1FB-B9A0-446C-AFD4-4584CC8BB6EB}" name="Columna12306" dataDxfId="4106"/>
    <tableColumn id="12313" xr3:uid="{358E36E2-12D2-4856-8215-0ED3CC770E3F}" name="Columna12307" dataDxfId="4105"/>
    <tableColumn id="12314" xr3:uid="{396BC49B-2D44-41EC-A010-4F74FFDFF279}" name="Columna12308" dataDxfId="4104"/>
    <tableColumn id="12315" xr3:uid="{6006D83C-21F5-4A5D-8058-D401568F7FAC}" name="Columna12309" dataDxfId="4103"/>
    <tableColumn id="12316" xr3:uid="{86585811-788F-4B35-B3E7-31769D193B74}" name="Columna12310" dataDxfId="4102"/>
    <tableColumn id="12317" xr3:uid="{E2318F64-40DD-406B-BF1D-472B22C41115}" name="Columna12311" dataDxfId="4101"/>
    <tableColumn id="12318" xr3:uid="{A45D7590-955E-4F9A-915F-439C8F738721}" name="Columna12312" dataDxfId="4100"/>
    <tableColumn id="12319" xr3:uid="{FB86381E-2472-4388-8D26-4580F6A3788F}" name="Columna12313" dataDxfId="4099"/>
    <tableColumn id="12320" xr3:uid="{31129BB0-B5BE-4A33-B7DE-C4ECBD3D376A}" name="Columna12314" dataDxfId="4098"/>
    <tableColumn id="12321" xr3:uid="{3DF1CB04-254E-442A-95E4-EF37BF730491}" name="Columna12315" dataDxfId="4097"/>
    <tableColumn id="12322" xr3:uid="{526A03A4-C2B7-4B00-8EF8-54CF090B4E0C}" name="Columna12316" dataDxfId="4096"/>
    <tableColumn id="12323" xr3:uid="{5BC1DE7C-8E08-4CAC-BC04-E78EFAD11104}" name="Columna12317" dataDxfId="4095"/>
    <tableColumn id="12324" xr3:uid="{3251D757-5FCE-46D8-BC8A-4E6736E799C0}" name="Columna12318" dataDxfId="4094"/>
    <tableColumn id="12325" xr3:uid="{3D61FA44-593B-4718-8F00-2528BAF35905}" name="Columna12319" dataDxfId="4093"/>
    <tableColumn id="12326" xr3:uid="{17498556-A15E-4B28-90CA-7164F2DBD86A}" name="Columna12320" dataDxfId="4092"/>
    <tableColumn id="12327" xr3:uid="{ADC83B2B-64D0-4F1E-85C8-2B355344D817}" name="Columna12321" dataDxfId="4091"/>
    <tableColumn id="12328" xr3:uid="{BE95F240-7F33-4390-BD1D-7DDD9AA3FD9F}" name="Columna12322" dataDxfId="4090"/>
    <tableColumn id="12329" xr3:uid="{D6D68E3A-6704-470A-90B6-E7D391DCB3D4}" name="Columna12323" dataDxfId="4089"/>
    <tableColumn id="12330" xr3:uid="{1376118A-B115-486E-BE14-06A604145A38}" name="Columna12324" dataDxfId="4088"/>
    <tableColumn id="12331" xr3:uid="{49FF9554-A046-4D8E-9B77-424496E5E456}" name="Columna12325" dataDxfId="4087"/>
    <tableColumn id="12332" xr3:uid="{D04D41A6-81DA-4926-B30D-57378E8ADA52}" name="Columna12326" dataDxfId="4086"/>
    <tableColumn id="12333" xr3:uid="{5A015771-7C7C-4EF6-AD23-5CE8C79F5144}" name="Columna12327" dataDxfId="4085"/>
    <tableColumn id="12334" xr3:uid="{FB9D7D92-61F1-4D44-89C0-EE0A929220C0}" name="Columna12328" dataDxfId="4084"/>
    <tableColumn id="12335" xr3:uid="{07F645FF-C0F2-497E-A50F-176CD934C818}" name="Columna12329" dataDxfId="4083"/>
    <tableColumn id="12336" xr3:uid="{AD356CEA-02C0-4D87-A712-E1EB2308E957}" name="Columna12330" dataDxfId="4082"/>
    <tableColumn id="12337" xr3:uid="{7C2A8AAA-0656-49B6-A6C0-083C00588918}" name="Columna12331" dataDxfId="4081"/>
    <tableColumn id="12338" xr3:uid="{BCE772CB-B164-438D-9362-00C7A5979F43}" name="Columna12332" dataDxfId="4080"/>
    <tableColumn id="12339" xr3:uid="{E882B72B-1557-406E-AFB1-8E293C98FA7F}" name="Columna12333" dataDxfId="4079"/>
    <tableColumn id="12340" xr3:uid="{3E43C76B-0DE9-4837-A0F5-A6D97A83CCA4}" name="Columna12334" dataDxfId="4078"/>
    <tableColumn id="12341" xr3:uid="{56F20890-103B-4DFC-8252-53426DCD401D}" name="Columna12335" dataDxfId="4077"/>
    <tableColumn id="12342" xr3:uid="{50903123-D2AA-4D0E-8CEF-D9CF2ADBD851}" name="Columna12336" dataDxfId="4076"/>
    <tableColumn id="12343" xr3:uid="{48BD70F9-A435-42F6-9787-5CD728E1ED08}" name="Columna12337" dataDxfId="4075"/>
    <tableColumn id="12344" xr3:uid="{3951E52D-B528-492C-965C-69DAD2086B3B}" name="Columna12338" dataDxfId="4074"/>
    <tableColumn id="12345" xr3:uid="{11E7CFEF-C4BB-49DC-B91E-664D699E118A}" name="Columna12339" dataDxfId="4073"/>
    <tableColumn id="12346" xr3:uid="{3D678B49-BDD1-4FC1-A27A-13E267377F49}" name="Columna12340" dataDxfId="4072"/>
    <tableColumn id="12347" xr3:uid="{99741F68-EB07-4D4B-94B2-9AAB27E11663}" name="Columna12341" dataDxfId="4071"/>
    <tableColumn id="12348" xr3:uid="{60F80630-56C0-4F82-BF1B-88F965406058}" name="Columna12342" dataDxfId="4070"/>
    <tableColumn id="12349" xr3:uid="{2D3D25AB-4723-4258-AC57-FE4375FDA2CA}" name="Columna12343" dataDxfId="4069"/>
    <tableColumn id="12350" xr3:uid="{7DCDC21C-E1C8-4D21-BBFC-8DFFA5620AEF}" name="Columna12344" dataDxfId="4068"/>
    <tableColumn id="12351" xr3:uid="{0723FB7F-DA10-4A59-8C7E-602F667283E1}" name="Columna12345" dataDxfId="4067"/>
    <tableColumn id="12352" xr3:uid="{F459BA11-619B-47BC-8F50-8BF618F882B8}" name="Columna12346" dataDxfId="4066"/>
    <tableColumn id="12353" xr3:uid="{38373FC3-48B0-4217-A506-D4728905208E}" name="Columna12347" dataDxfId="4065"/>
    <tableColumn id="12354" xr3:uid="{171DCDBE-5D8C-41A8-B849-EA1A659A999A}" name="Columna12348" dataDxfId="4064"/>
    <tableColumn id="12355" xr3:uid="{CD492DDC-833C-43A1-A7B2-C1EFBC45769F}" name="Columna12349" dataDxfId="4063"/>
    <tableColumn id="12356" xr3:uid="{E1BF0AD8-6F76-4577-A912-6C9CD282E81B}" name="Columna12350" dataDxfId="4062"/>
    <tableColumn id="12357" xr3:uid="{58C11488-56D5-4ECD-BBD6-F0894F419126}" name="Columna12351" dataDxfId="4061"/>
    <tableColumn id="12358" xr3:uid="{53C5794F-AD28-4329-8DDC-EDDCA3F256F7}" name="Columna12352" dataDxfId="4060"/>
    <tableColumn id="12359" xr3:uid="{2189B141-D7A6-473F-819D-F3EDC356F726}" name="Columna12353" dataDxfId="4059"/>
    <tableColumn id="12360" xr3:uid="{CEE09B41-190F-4C8F-AAE7-F1308C5B3644}" name="Columna12354" dataDxfId="4058"/>
    <tableColumn id="12361" xr3:uid="{CA9FB7ED-3EB6-44C1-8579-9622126B5477}" name="Columna12355" dataDxfId="4057"/>
    <tableColumn id="12362" xr3:uid="{9F354798-5D1B-48A2-940C-91642F35F8E4}" name="Columna12356" dataDxfId="4056"/>
    <tableColumn id="12363" xr3:uid="{A4CDE1D7-3554-485E-9E0E-898D4DB0B540}" name="Columna12357" dataDxfId="4055"/>
    <tableColumn id="12364" xr3:uid="{0B372982-832F-4402-9AAC-850A464A48F4}" name="Columna12358" dataDxfId="4054"/>
    <tableColumn id="12365" xr3:uid="{026453C6-8880-43B6-BEEC-756F5A2DFDEF}" name="Columna12359" dataDxfId="4053"/>
    <tableColumn id="12366" xr3:uid="{7D85B8DE-7211-42AB-BE64-0DF04AE03224}" name="Columna12360" dataDxfId="4052"/>
    <tableColumn id="12367" xr3:uid="{050BD29A-E3CA-4353-AAA7-766B0C2CD2A0}" name="Columna12361" dataDxfId="4051"/>
    <tableColumn id="12368" xr3:uid="{C4B26B4E-C2EB-4A40-A78A-9452910D7DD4}" name="Columna12362" dataDxfId="4050"/>
    <tableColumn id="12369" xr3:uid="{334E5277-7E16-4896-8DB3-3B638001E401}" name="Columna12363" dataDxfId="4049"/>
    <tableColumn id="12370" xr3:uid="{64A9FB68-8B16-49BB-ABA2-C8101EC29F58}" name="Columna12364" dataDxfId="4048"/>
    <tableColumn id="12371" xr3:uid="{B5347E89-84A8-4BEB-ACF2-20CBFC61E34F}" name="Columna12365" dataDxfId="4047"/>
    <tableColumn id="12372" xr3:uid="{2FD0F343-1B41-4529-A3EF-EA5BD6A3FE83}" name="Columna12366" dataDxfId="4046"/>
    <tableColumn id="12373" xr3:uid="{DC2C6394-4A09-4996-A033-5619911D95EA}" name="Columna12367" dataDxfId="4045"/>
    <tableColumn id="12374" xr3:uid="{A862AD19-D06F-42CC-9CB2-BCED7DB02511}" name="Columna12368" dataDxfId="4044"/>
    <tableColumn id="12375" xr3:uid="{F49A629A-DDB9-4E92-91CE-7E5D1E13BE32}" name="Columna12369" dataDxfId="4043"/>
    <tableColumn id="12376" xr3:uid="{DFAC120C-BFD5-425A-AB63-F5A74CAC089D}" name="Columna12370" dataDxfId="4042"/>
    <tableColumn id="12377" xr3:uid="{55DDA4FE-11E2-44A4-8DB8-66B2857B41DF}" name="Columna12371" dataDxfId="4041"/>
    <tableColumn id="12378" xr3:uid="{359A986F-0FC7-40C0-A1D5-ACD6572D17B1}" name="Columna12372" dataDxfId="4040"/>
    <tableColumn id="12379" xr3:uid="{8C9948E1-4E16-4552-A28B-E7013FBCAA16}" name="Columna12373" dataDxfId="4039"/>
    <tableColumn id="12380" xr3:uid="{539BF101-E8EF-4A62-9CC4-1F399C62FBD6}" name="Columna12374" dataDxfId="4038"/>
    <tableColumn id="12381" xr3:uid="{219763F5-3592-4049-BF0F-CA441702A402}" name="Columna12375" dataDxfId="4037"/>
    <tableColumn id="12382" xr3:uid="{47A60B46-E83C-40B8-836D-ADD27BBCD616}" name="Columna12376" dataDxfId="4036"/>
    <tableColumn id="12383" xr3:uid="{78F52D59-48D2-4E28-95ED-D020A0D29CB4}" name="Columna12377" dataDxfId="4035"/>
    <tableColumn id="12384" xr3:uid="{E3063A21-46AB-4CFF-84A0-C1C2BC151DE7}" name="Columna12378" dataDxfId="4034"/>
    <tableColumn id="12385" xr3:uid="{46A83734-A0D2-4554-BB9C-A2B53C0ABB8C}" name="Columna12379" dataDxfId="4033"/>
    <tableColumn id="12386" xr3:uid="{BAD51EF4-5C9A-4D2E-A0FF-C5FA3D1C9EF8}" name="Columna12380" dataDxfId="4032"/>
    <tableColumn id="12387" xr3:uid="{9A879FFE-CC6F-4994-9DEA-C38661895198}" name="Columna12381" dataDxfId="4031"/>
    <tableColumn id="12388" xr3:uid="{1BCCE6F2-DCB6-481A-9874-CCF536B87B7B}" name="Columna12382" dataDxfId="4030"/>
    <tableColumn id="12389" xr3:uid="{15562025-067F-4443-A0EC-410427BD7C25}" name="Columna12383" dataDxfId="4029"/>
    <tableColumn id="12390" xr3:uid="{6F6B5881-799E-4EC0-8152-73DAE8F8F73F}" name="Columna12384" dataDxfId="4028"/>
    <tableColumn id="12391" xr3:uid="{A34138F5-F4E8-4234-A31B-6AEE21404014}" name="Columna12385" dataDxfId="4027"/>
    <tableColumn id="12392" xr3:uid="{76B94543-A929-467B-A89C-5CA8D3AA10B9}" name="Columna12386" dataDxfId="4026"/>
    <tableColumn id="12393" xr3:uid="{1C90F599-0661-4B4F-8657-2C32DFB10903}" name="Columna12387" dataDxfId="4025"/>
    <tableColumn id="12394" xr3:uid="{0A30ECB5-E7F2-4ABA-8519-264F27220796}" name="Columna12388" dataDxfId="4024"/>
    <tableColumn id="12395" xr3:uid="{A720DBA5-B9DB-4A12-8714-30302632E222}" name="Columna12389" dataDxfId="4023"/>
    <tableColumn id="12396" xr3:uid="{F455E100-03C5-49CA-8BEF-CDCD4750E7E8}" name="Columna12390" dataDxfId="4022"/>
    <tableColumn id="12397" xr3:uid="{CB1B640F-66CA-45E5-9306-F728E62DB928}" name="Columna12391" dataDxfId="4021"/>
    <tableColumn id="12398" xr3:uid="{E25AC077-C982-4C6C-8137-B143B53B4CE1}" name="Columna12392" dataDxfId="4020"/>
    <tableColumn id="12399" xr3:uid="{E5391043-6A4F-4A13-B1EA-FFABABED4AC1}" name="Columna12393" dataDxfId="4019"/>
    <tableColumn id="12400" xr3:uid="{A9B45376-7C41-412D-9B54-F2467264B8CC}" name="Columna12394" dataDxfId="4018"/>
    <tableColumn id="12401" xr3:uid="{C2C54143-150F-4ED8-97EA-EFFC2B047DE9}" name="Columna12395" dataDxfId="4017"/>
    <tableColumn id="12402" xr3:uid="{82B5E451-691B-46BC-9198-09FD922091C5}" name="Columna12396" dataDxfId="4016"/>
    <tableColumn id="12403" xr3:uid="{B291FD09-4035-4D59-B1BA-DB429755DBDB}" name="Columna12397" dataDxfId="4015"/>
    <tableColumn id="12404" xr3:uid="{95D2E871-F9E6-40A9-A435-F20F4273F568}" name="Columna12398" dataDxfId="4014"/>
    <tableColumn id="12405" xr3:uid="{BDB111B4-AF29-4F5D-813E-1899A70F6757}" name="Columna12399" dataDxfId="4013"/>
    <tableColumn id="12406" xr3:uid="{DAB7DD05-9585-44A1-AC19-30749FD7697C}" name="Columna12400" dataDxfId="4012"/>
    <tableColumn id="12407" xr3:uid="{65C42F97-DF07-46F5-BDE9-51E9B800818D}" name="Columna12401" dataDxfId="4011"/>
    <tableColumn id="12408" xr3:uid="{C3D55A97-6226-4AD7-9F4E-858500DD8D43}" name="Columna12402" dataDxfId="4010"/>
    <tableColumn id="12409" xr3:uid="{9B21BBED-AC79-4A47-A23C-C8490B15887D}" name="Columna12403" dataDxfId="4009"/>
    <tableColumn id="12410" xr3:uid="{78C8D105-8EFE-41B9-B060-A9C3F44FB924}" name="Columna12404" dataDxfId="4008"/>
    <tableColumn id="12411" xr3:uid="{958BB503-851B-4AFF-B4DC-5557D4A02341}" name="Columna12405" dataDxfId="4007"/>
    <tableColumn id="12412" xr3:uid="{406F8D6F-0433-4F06-AA5F-5FA4E38CA2B0}" name="Columna12406" dataDxfId="4006"/>
    <tableColumn id="12413" xr3:uid="{AD3A2B08-204F-4E0E-A151-A056EE50E259}" name="Columna12407" dataDxfId="4005"/>
    <tableColumn id="12414" xr3:uid="{58643DBA-0283-4B57-B662-3AB1E6271AE8}" name="Columna12408" dataDxfId="4004"/>
    <tableColumn id="12415" xr3:uid="{AE132874-36B0-4BE7-B5B8-FD31663692A8}" name="Columna12409" dataDxfId="4003"/>
    <tableColumn id="12416" xr3:uid="{A30D500A-82AE-4390-B44E-6D10DDAAF577}" name="Columna12410" dataDxfId="4002"/>
    <tableColumn id="12417" xr3:uid="{CC929D8C-CF5D-4FF1-931E-45328EE42EED}" name="Columna12411" dataDxfId="4001"/>
    <tableColumn id="12418" xr3:uid="{09B21C7E-D572-46AB-BEF5-178C27EC291D}" name="Columna12412" dataDxfId="4000"/>
    <tableColumn id="12419" xr3:uid="{76B6EA02-7FBE-4005-8387-24E500FCABFF}" name="Columna12413" dataDxfId="3999"/>
    <tableColumn id="12420" xr3:uid="{84E3DE57-5F4B-41FB-9D2B-0314839DE5F5}" name="Columna12414" dataDxfId="3998"/>
    <tableColumn id="12421" xr3:uid="{6DDB2FFC-C770-45DC-8491-B93EFBD9CF23}" name="Columna12415" dataDxfId="3997"/>
    <tableColumn id="12422" xr3:uid="{66B2291A-3278-4AA7-A213-1EACA0EC6B40}" name="Columna12416" dataDxfId="3996"/>
    <tableColumn id="12423" xr3:uid="{D1BE6678-8CCD-4F2A-8656-F45A5F43024B}" name="Columna12417" dataDxfId="3995"/>
    <tableColumn id="12424" xr3:uid="{0B14CC06-B280-45E7-A4CA-EA52B6C77BA6}" name="Columna12418" dataDxfId="3994"/>
    <tableColumn id="12425" xr3:uid="{95304346-F5F9-4C6B-A697-5771A9EC14C0}" name="Columna12419" dataDxfId="3993"/>
    <tableColumn id="12426" xr3:uid="{60A2D031-8199-4BCD-A4DB-9081C920158F}" name="Columna12420" dataDxfId="3992"/>
    <tableColumn id="12427" xr3:uid="{90061B49-D44F-4669-9F26-186F808F5D42}" name="Columna12421" dataDxfId="3991"/>
    <tableColumn id="12428" xr3:uid="{65CCADF3-69F6-47FE-9625-B9CA186E64FD}" name="Columna12422" dataDxfId="3990"/>
    <tableColumn id="12429" xr3:uid="{31D84F2F-74C5-4FDE-9FFF-71BECDDF9EF8}" name="Columna12423" dataDxfId="3989"/>
    <tableColumn id="12430" xr3:uid="{336A2C9C-4C1E-4007-BF61-D434D4424E90}" name="Columna12424" dataDxfId="3988"/>
    <tableColumn id="12431" xr3:uid="{318CA82C-383A-4B68-B6B8-A9F2DCB9BA40}" name="Columna12425" dataDxfId="3987"/>
    <tableColumn id="12432" xr3:uid="{9466A1A1-CAF7-4012-8B16-87475CDC213B}" name="Columna12426" dataDxfId="3986"/>
    <tableColumn id="12433" xr3:uid="{DAEF57CB-15A8-4CE7-9755-8BF0B9D9D58D}" name="Columna12427" dataDxfId="3985"/>
    <tableColumn id="12434" xr3:uid="{173452CA-F90B-467B-B49B-18A895AC3B50}" name="Columna12428" dataDxfId="3984"/>
    <tableColumn id="12435" xr3:uid="{0C1306C1-77AE-437E-A938-5BDEBBA67F2B}" name="Columna12429" dataDxfId="3983"/>
    <tableColumn id="12436" xr3:uid="{4648747A-BBDF-43F2-A09E-21462014B2AD}" name="Columna12430" dataDxfId="3982"/>
    <tableColumn id="12437" xr3:uid="{4609214D-E6FD-429E-9208-8E5452C1E690}" name="Columna12431" dataDxfId="3981"/>
    <tableColumn id="12438" xr3:uid="{90BA24E8-A3F8-4C2B-86B5-339AEFB4D676}" name="Columna12432" dataDxfId="3980"/>
    <tableColumn id="12439" xr3:uid="{A36B38EE-16B1-4ED3-B37C-69D2F2FA47F4}" name="Columna12433" dataDxfId="3979"/>
    <tableColumn id="12440" xr3:uid="{BDA137BD-8B2E-4B08-AC41-CDF1E0ACA146}" name="Columna12434" dataDxfId="3978"/>
    <tableColumn id="12441" xr3:uid="{4A439473-F09F-485F-B9C9-90C7C827B846}" name="Columna12435" dataDxfId="3977"/>
    <tableColumn id="12442" xr3:uid="{D8CDE915-4458-4D7B-93CC-0A86DF9746F7}" name="Columna12436" dataDxfId="3976"/>
    <tableColumn id="12443" xr3:uid="{9AD29B66-0151-4F1D-A591-A55A0B2B756A}" name="Columna12437" dataDxfId="3975"/>
    <tableColumn id="12444" xr3:uid="{83A637F3-8A14-4F3C-8B79-A2F7A8DF8E29}" name="Columna12438" dataDxfId="3974"/>
    <tableColumn id="12445" xr3:uid="{13876E63-7881-4242-8BB2-B39159313C55}" name="Columna12439" dataDxfId="3973"/>
    <tableColumn id="12446" xr3:uid="{376E7E45-6A38-4AB5-A15F-FFFCFCDD79F7}" name="Columna12440" dataDxfId="3972"/>
    <tableColumn id="12447" xr3:uid="{73871406-BECB-4FA5-9444-3F2FE31714A9}" name="Columna12441" dataDxfId="3971"/>
    <tableColumn id="12448" xr3:uid="{14799EB4-3112-44E5-88CB-E8FF5450F5F3}" name="Columna12442" dataDxfId="3970"/>
    <tableColumn id="12449" xr3:uid="{9E29901C-2B12-4977-BEFB-5DC9C9328C60}" name="Columna12443" dataDxfId="3969"/>
    <tableColumn id="12450" xr3:uid="{D513A1ED-8E03-40E6-B7FC-8DBB141AC846}" name="Columna12444" dataDxfId="3968"/>
    <tableColumn id="12451" xr3:uid="{11659C8E-AF99-4CBD-88FA-89645257FD1C}" name="Columna12445" dataDxfId="3967"/>
    <tableColumn id="12452" xr3:uid="{E33EA179-C62F-4C3A-9193-CB4079E97EA5}" name="Columna12446" dataDxfId="3966"/>
    <tableColumn id="12453" xr3:uid="{D094F2A2-35A0-4D0B-95F5-FF69306646C7}" name="Columna12447" dataDxfId="3965"/>
    <tableColumn id="12454" xr3:uid="{7C1487F3-DFF3-4365-9F12-B7047D35F605}" name="Columna12448" dataDxfId="3964"/>
    <tableColumn id="12455" xr3:uid="{67B7495E-CEEE-4987-9744-356F74CC2C9F}" name="Columna12449" dataDxfId="3963"/>
    <tableColumn id="12456" xr3:uid="{16CE22EA-993A-4EB2-8F1B-473685013FB1}" name="Columna12450" dataDxfId="3962"/>
    <tableColumn id="12457" xr3:uid="{308BF08B-BC2E-4511-8FD0-020F155BB97D}" name="Columna12451" dataDxfId="3961"/>
    <tableColumn id="12458" xr3:uid="{D9ABFD45-62FC-4241-8078-A372D95923F5}" name="Columna12452" dataDxfId="3960"/>
    <tableColumn id="12459" xr3:uid="{CE524C2B-F748-4B6E-8BC8-5BB398394F64}" name="Columna12453" dataDxfId="3959"/>
    <tableColumn id="12460" xr3:uid="{CCD204AA-3727-47DC-B561-F6B7D25655B2}" name="Columna12454" dataDxfId="3958"/>
    <tableColumn id="12461" xr3:uid="{53717EAA-5797-44F1-B427-3BABDD4A196D}" name="Columna12455" dataDxfId="3957"/>
    <tableColumn id="12462" xr3:uid="{649690B3-F5AE-4685-867B-2565DCBF578E}" name="Columna12456" dataDxfId="3956"/>
    <tableColumn id="12463" xr3:uid="{9DB449CA-5147-4CB5-9E2F-C635C1092D4F}" name="Columna12457" dataDxfId="3955"/>
    <tableColumn id="12464" xr3:uid="{445A7F60-8794-41A2-8039-BE7450546E3D}" name="Columna12458" dataDxfId="3954"/>
    <tableColumn id="12465" xr3:uid="{83E3B3D0-A91B-4929-B45E-D6465A299E75}" name="Columna12459" dataDxfId="3953"/>
    <tableColumn id="12466" xr3:uid="{57A258D2-9292-459D-9EDE-982CE950B9B2}" name="Columna12460" dataDxfId="3952"/>
    <tableColumn id="12467" xr3:uid="{B8DEAF77-78A9-443F-85E5-C0E1447B107B}" name="Columna12461" dataDxfId="3951"/>
    <tableColumn id="12468" xr3:uid="{C2B930DF-0A50-4896-A577-C38C4ABC1DEF}" name="Columna12462" dataDxfId="3950"/>
    <tableColumn id="12469" xr3:uid="{D529EF6C-CB4A-4401-9A06-0AAA66CD3887}" name="Columna12463" dataDxfId="3949"/>
    <tableColumn id="12470" xr3:uid="{9385F9CB-A7B1-4774-AA8E-871FCAE9E1D5}" name="Columna12464" dataDxfId="3948"/>
    <tableColumn id="12471" xr3:uid="{092B0AD9-EDE6-48E0-9B42-1DE52905A016}" name="Columna12465" dataDxfId="3947"/>
    <tableColumn id="12472" xr3:uid="{D5DC7DE5-7E06-435F-A361-A4FA4BD9509C}" name="Columna12466" dataDxfId="3946"/>
    <tableColumn id="12473" xr3:uid="{79D5206F-2736-4B42-B310-93EF6ED6F702}" name="Columna12467" dataDxfId="3945"/>
    <tableColumn id="12474" xr3:uid="{99115949-8A51-48A4-A647-8A7D1C0CC390}" name="Columna12468" dataDxfId="3944"/>
    <tableColumn id="12475" xr3:uid="{26D827CA-5031-4ACE-AF1A-4AFEAE488940}" name="Columna12469" dataDxfId="3943"/>
    <tableColumn id="12476" xr3:uid="{D0793370-5D9D-4EC3-A34B-45E51A021326}" name="Columna12470" dataDxfId="3942"/>
    <tableColumn id="12477" xr3:uid="{570368AA-404B-4537-BEEF-D1546DA5EC4D}" name="Columna12471" dataDxfId="3941"/>
    <tableColumn id="12478" xr3:uid="{EED045A4-F917-4BB8-A282-2E8FFA56197B}" name="Columna12472" dataDxfId="3940"/>
    <tableColumn id="12479" xr3:uid="{13E0BF7F-47A1-4E54-801C-C8AE5DEBEF54}" name="Columna12473" dataDxfId="3939"/>
    <tableColumn id="12480" xr3:uid="{FA510BFE-EC19-4CE9-B99D-AD01FF76BAF5}" name="Columna12474" dataDxfId="3938"/>
    <tableColumn id="12481" xr3:uid="{84AE6251-534B-4D49-96FE-FF9DB032D8D6}" name="Columna12475" dataDxfId="3937"/>
    <tableColumn id="12482" xr3:uid="{D8395DC3-A359-4B11-8A6B-B7CF9B4CD579}" name="Columna12476" dataDxfId="3936"/>
    <tableColumn id="12483" xr3:uid="{F3FB8515-FEC6-4FF9-91B1-FF663DC82EE0}" name="Columna12477" dataDxfId="3935"/>
    <tableColumn id="12484" xr3:uid="{0B8320F8-51DC-49B5-BA0B-D1CD743BCA22}" name="Columna12478" dataDxfId="3934"/>
    <tableColumn id="12485" xr3:uid="{6BF3C2A7-F6F2-438A-A246-F3AD7A89F208}" name="Columna12479" dataDxfId="3933"/>
    <tableColumn id="12486" xr3:uid="{B9045D13-0C2F-4CA1-B41F-46BADC907C18}" name="Columna12480" dataDxfId="3932"/>
    <tableColumn id="12487" xr3:uid="{F7668A30-F376-4169-B516-DF40D0E9A5EA}" name="Columna12481" dataDxfId="3931"/>
    <tableColumn id="12488" xr3:uid="{C0BE671E-D7C6-499B-8EA9-332CE9145957}" name="Columna12482" dataDxfId="3930"/>
    <tableColumn id="12489" xr3:uid="{FFB18F59-BA96-4224-A34D-54B8F47F6F7B}" name="Columna12483" dataDxfId="3929"/>
    <tableColumn id="12490" xr3:uid="{FB449209-4D25-4384-B0EA-BF5059D37583}" name="Columna12484" dataDxfId="3928"/>
    <tableColumn id="12491" xr3:uid="{1076D5A3-B56D-4F1B-BA64-36002B16DB8D}" name="Columna12485" dataDxfId="3927"/>
    <tableColumn id="12492" xr3:uid="{ED66D194-CA61-4502-B01A-2BF7EAD4AD53}" name="Columna12486" dataDxfId="3926"/>
    <tableColumn id="12493" xr3:uid="{676529C5-D063-4566-8530-66FC38256C9A}" name="Columna12487" dataDxfId="3925"/>
    <tableColumn id="12494" xr3:uid="{7142B952-640A-4D39-80EB-9BD1AFBCA242}" name="Columna12488" dataDxfId="3924"/>
    <tableColumn id="12495" xr3:uid="{5BB8ACD7-5209-417A-A32F-AF32ED4B7A5B}" name="Columna12489" dataDxfId="3923"/>
    <tableColumn id="12496" xr3:uid="{D4EA5BBB-99D0-4C4C-8271-065C0A23BA98}" name="Columna12490" dataDxfId="3922"/>
    <tableColumn id="12497" xr3:uid="{E5272FE6-21FE-4F97-8064-7A4BB4E8B1C6}" name="Columna12491" dataDxfId="3921"/>
    <tableColumn id="12498" xr3:uid="{2D677E94-F482-4160-8542-77609250890A}" name="Columna12492" dataDxfId="3920"/>
    <tableColumn id="12499" xr3:uid="{5F6B8D7F-B0FA-4B9A-A909-46D92241BBF2}" name="Columna12493" dataDxfId="3919"/>
    <tableColumn id="12500" xr3:uid="{22A4B683-2AC3-446F-BC81-F013BEA00879}" name="Columna12494" dataDxfId="3918"/>
    <tableColumn id="12501" xr3:uid="{5994A183-15A9-4991-B7DC-43376C73EE17}" name="Columna12495" dataDxfId="3917"/>
    <tableColumn id="12502" xr3:uid="{AB759935-F433-487B-936F-B8AEE3A77A35}" name="Columna12496" dataDxfId="3916"/>
    <tableColumn id="12503" xr3:uid="{18DA60E4-0D09-419B-94E6-93BF657E0610}" name="Columna12497" dataDxfId="3915"/>
    <tableColumn id="12504" xr3:uid="{50A62851-BAAD-4DB8-87A7-093C6E20C267}" name="Columna12498" dataDxfId="3914"/>
    <tableColumn id="12505" xr3:uid="{766F574C-06EB-45AE-ABEA-077D7321ABD0}" name="Columna12499" dataDxfId="3913"/>
    <tableColumn id="12506" xr3:uid="{C1F3D643-9C50-45B2-968D-478D25940177}" name="Columna12500" dataDxfId="3912"/>
    <tableColumn id="12507" xr3:uid="{C5BF9E0C-355D-41A0-AAF9-59FA280D69B9}" name="Columna12501" dataDxfId="3911"/>
    <tableColumn id="12508" xr3:uid="{400A2AD0-2C9E-4C00-A332-E9374DA32FCB}" name="Columna12502" dataDxfId="3910"/>
    <tableColumn id="12509" xr3:uid="{F2981459-28C0-4CB3-8974-FD4B1B43BD33}" name="Columna12503" dataDxfId="3909"/>
    <tableColumn id="12510" xr3:uid="{F758AEBA-899A-45B0-ACC2-633DDEA6CA07}" name="Columna12504" dataDxfId="3908"/>
    <tableColumn id="12511" xr3:uid="{5AE4E5E9-E0A4-43DB-8B2A-F4E7B2ED3E51}" name="Columna12505" dataDxfId="3907"/>
    <tableColumn id="12512" xr3:uid="{DAB06583-B910-4397-807E-22F0CB4BF722}" name="Columna12506" dataDxfId="3906"/>
    <tableColumn id="12513" xr3:uid="{4E4F49A7-24E9-49DE-A552-DC4079C01388}" name="Columna12507" dataDxfId="3905"/>
    <tableColumn id="12514" xr3:uid="{F878889A-2905-4A14-B376-D48E4E1ACC3A}" name="Columna12508" dataDxfId="3904"/>
    <tableColumn id="12515" xr3:uid="{5FA93E63-75D0-4CB1-BEF1-3702FF6AFDAD}" name="Columna12509" dataDxfId="3903"/>
    <tableColumn id="12516" xr3:uid="{ECEEFC6B-E41C-494C-8024-C690AC0D9D32}" name="Columna12510" dataDxfId="3902"/>
    <tableColumn id="12517" xr3:uid="{C3137620-6076-4199-BDDA-89E101E1D9B6}" name="Columna12511" dataDxfId="3901"/>
    <tableColumn id="12518" xr3:uid="{632E732B-08CF-4CCA-84EE-E53FB764C854}" name="Columna12512" dataDxfId="3900"/>
    <tableColumn id="12519" xr3:uid="{C11EFED5-BF6D-4A79-8A9D-24C2A7B33688}" name="Columna12513" dataDxfId="3899"/>
    <tableColumn id="12520" xr3:uid="{8ECF846E-970F-4A3C-A7A1-8D16E4536299}" name="Columna12514" dataDxfId="3898"/>
    <tableColumn id="12521" xr3:uid="{880C725E-3495-4906-A0D3-6DDD58A6F64A}" name="Columna12515" dataDxfId="3897"/>
    <tableColumn id="12522" xr3:uid="{9007C1ED-F93F-48E3-8F2C-91B306876EBF}" name="Columna12516" dataDxfId="3896"/>
    <tableColumn id="12523" xr3:uid="{A4BC2A2E-A1D6-4565-A344-674BF586F534}" name="Columna12517" dataDxfId="3895"/>
    <tableColumn id="12524" xr3:uid="{9CE1BDB7-DA57-4662-9A6A-4F23187EB9CD}" name="Columna12518" dataDxfId="3894"/>
    <tableColumn id="12525" xr3:uid="{3A007885-86A1-4540-AFC7-F05A2F24BCBB}" name="Columna12519" dataDxfId="3893"/>
    <tableColumn id="12526" xr3:uid="{7AC38F87-06A7-4FCC-BE71-31784D3C2053}" name="Columna12520" dataDxfId="3892"/>
    <tableColumn id="12527" xr3:uid="{ECA32979-D570-4F00-9A48-C60D7E1646DA}" name="Columna12521" dataDxfId="3891"/>
    <tableColumn id="12528" xr3:uid="{3B27D04C-BDC7-49F7-ACEE-0B00F890A35F}" name="Columna12522" dataDxfId="3890"/>
    <tableColumn id="12529" xr3:uid="{1C2A868F-F406-43A5-B8C5-5A2D1302A793}" name="Columna12523" dataDxfId="3889"/>
    <tableColumn id="12530" xr3:uid="{47B031BF-51EF-4944-82E2-CF71506A544F}" name="Columna12524" dataDxfId="3888"/>
    <tableColumn id="12531" xr3:uid="{158F8688-6C5A-46EE-B454-0D3C15E7D488}" name="Columna12525" dataDxfId="3887"/>
    <tableColumn id="12532" xr3:uid="{BBFBD53F-B072-4EBF-97DC-14B42FE0E8F9}" name="Columna12526" dataDxfId="3886"/>
    <tableColumn id="12533" xr3:uid="{2891CA72-F2AD-4F22-BCDB-69D74216B4D4}" name="Columna12527" dataDxfId="3885"/>
    <tableColumn id="12534" xr3:uid="{2EA113A5-E2EE-4329-8811-57E702E1494E}" name="Columna12528" dataDxfId="3884"/>
    <tableColumn id="12535" xr3:uid="{21C49E4A-4E15-422D-8FA4-D3C451CEE1EB}" name="Columna12529" dataDxfId="3883"/>
    <tableColumn id="12536" xr3:uid="{88EC1EAB-BB29-4334-94B1-33369A77BA86}" name="Columna12530" dataDxfId="3882"/>
    <tableColumn id="12537" xr3:uid="{0C5104F8-C2F7-4C3C-BCBF-E62BF5145F12}" name="Columna12531" dataDxfId="3881"/>
    <tableColumn id="12538" xr3:uid="{4DC88BB9-E6A7-492A-818D-88B233FCDBF2}" name="Columna12532" dataDxfId="3880"/>
    <tableColumn id="12539" xr3:uid="{9413446E-ADB1-47A0-9326-C57EC9487724}" name="Columna12533" dataDxfId="3879"/>
    <tableColumn id="12540" xr3:uid="{541E6B12-27D2-40A4-8549-7E677F8233F7}" name="Columna12534" dataDxfId="3878"/>
    <tableColumn id="12541" xr3:uid="{9F69D919-280E-412C-B6C9-FEA027640B54}" name="Columna12535" dataDxfId="3877"/>
    <tableColumn id="12542" xr3:uid="{46866B13-3324-4C49-A331-351E9DB3ED1F}" name="Columna12536" dataDxfId="3876"/>
    <tableColumn id="12543" xr3:uid="{BDFDB431-8086-427F-A133-E6BF769B6822}" name="Columna12537" dataDxfId="3875"/>
    <tableColumn id="12544" xr3:uid="{50B2EA81-1B95-4970-B840-47BFBB20FB0E}" name="Columna12538" dataDxfId="3874"/>
    <tableColumn id="12545" xr3:uid="{4AD36813-7126-4BC9-826B-F08EAEE0299C}" name="Columna12539" dataDxfId="3873"/>
    <tableColumn id="12546" xr3:uid="{D6A7E117-9403-4989-BEBE-CEF3BCB272EF}" name="Columna12540" dataDxfId="3872"/>
    <tableColumn id="12547" xr3:uid="{27A95E70-7BD7-48F2-A086-AE09C11D3E47}" name="Columna12541" dataDxfId="3871"/>
    <tableColumn id="12548" xr3:uid="{57CA0A40-BD99-400F-A3E6-F5E27543E6BD}" name="Columna12542" dataDxfId="3870"/>
    <tableColumn id="12549" xr3:uid="{142A0BC0-10E6-42E8-AF28-3EEA33F7658A}" name="Columna12543" dataDxfId="3869"/>
    <tableColumn id="12550" xr3:uid="{D5E7ABCC-40B2-4AC4-A0BF-E45FE19B31C9}" name="Columna12544" dataDxfId="3868"/>
    <tableColumn id="12551" xr3:uid="{0098F538-3612-4450-84EF-2FE5BF419FBA}" name="Columna12545" dataDxfId="3867"/>
    <tableColumn id="12552" xr3:uid="{E9B22452-702D-43ED-B9B4-79DDC7F4BEAB}" name="Columna12546" dataDxfId="3866"/>
    <tableColumn id="12553" xr3:uid="{B6EEAFA9-F730-49F7-8710-3EA8F4A7F758}" name="Columna12547" dataDxfId="3865"/>
    <tableColumn id="12554" xr3:uid="{2EFD4F87-1D77-458D-A434-68EF6DDD93A1}" name="Columna12548" dataDxfId="3864"/>
    <tableColumn id="12555" xr3:uid="{A2F88C9E-DAEA-4DB5-999B-4423E10AED63}" name="Columna12549" dataDxfId="3863"/>
    <tableColumn id="12556" xr3:uid="{86D44D86-9689-450A-946D-30FC02DAC978}" name="Columna12550" dataDxfId="3862"/>
    <tableColumn id="12557" xr3:uid="{F8A2DBA0-79CD-4DE8-9234-2A99B3955D26}" name="Columna12551" dataDxfId="3861"/>
    <tableColumn id="12558" xr3:uid="{9FFF09C9-4F22-468F-9207-284AE2FA97A0}" name="Columna12552" dataDxfId="3860"/>
    <tableColumn id="12559" xr3:uid="{A8F6C8D9-138C-4D6A-96DB-BA2E9C62AF9F}" name="Columna12553" dataDxfId="3859"/>
    <tableColumn id="12560" xr3:uid="{74CA209E-4E86-4F3C-B8E0-10F331BBB79A}" name="Columna12554" dataDxfId="3858"/>
    <tableColumn id="12561" xr3:uid="{9C5BF09C-7DA0-4043-BA3B-87182C897875}" name="Columna12555" dataDxfId="3857"/>
    <tableColumn id="12562" xr3:uid="{3F9C6719-7A1B-443F-9608-B59812A6D074}" name="Columna12556" dataDxfId="3856"/>
    <tableColumn id="12563" xr3:uid="{478C5EDE-8AFC-4A46-BB0A-D0B8CF35B623}" name="Columna12557" dataDxfId="3855"/>
    <tableColumn id="12564" xr3:uid="{E7EEEF15-8CF1-4BED-9CAD-AE31794C99AA}" name="Columna12558" dataDxfId="3854"/>
    <tableColumn id="12565" xr3:uid="{BE46E9EA-CABB-4459-8AE1-159176B2BA07}" name="Columna12559" dataDxfId="3853"/>
    <tableColumn id="12566" xr3:uid="{54DACD60-F2B3-43D0-8619-EE39F52695DD}" name="Columna12560" dataDxfId="3852"/>
    <tableColumn id="12567" xr3:uid="{B98B53E1-CC2E-458C-982F-4F8BE08E8D1A}" name="Columna12561" dataDxfId="3851"/>
    <tableColumn id="12568" xr3:uid="{2A40801C-8D1A-4CB4-89DB-31EA70FD48B9}" name="Columna12562" dataDxfId="3850"/>
    <tableColumn id="12569" xr3:uid="{A964BDCB-7E20-4E8A-92E4-8749621DBC35}" name="Columna12563" dataDxfId="3849"/>
    <tableColumn id="12570" xr3:uid="{BD4FB3EB-C567-4B30-8B0D-9AF98783B46F}" name="Columna12564" dataDxfId="3848"/>
    <tableColumn id="12571" xr3:uid="{B56CDAB7-C96E-4ECE-A8DD-3D83DF01A88B}" name="Columna12565" dataDxfId="3847"/>
    <tableColumn id="12572" xr3:uid="{01EB5C5D-F8F8-4CE7-A59C-8E8F77EAAB3A}" name="Columna12566" dataDxfId="3846"/>
    <tableColumn id="12573" xr3:uid="{EDA330EE-F7BA-4A57-8A4F-9DAE2A819A04}" name="Columna12567" dataDxfId="3845"/>
    <tableColumn id="12574" xr3:uid="{A35F8C4A-8F1C-41E1-B41E-6AB67E98A9E1}" name="Columna12568" dataDxfId="3844"/>
    <tableColumn id="12575" xr3:uid="{0A2F33C0-52EC-467E-8FAA-54FAB547A870}" name="Columna12569" dataDxfId="3843"/>
    <tableColumn id="12576" xr3:uid="{B7BFCBF6-A91E-4AC6-9012-E16902699EE9}" name="Columna12570" dataDxfId="3842"/>
    <tableColumn id="12577" xr3:uid="{5283BD87-1B01-4EE8-A442-7571CF07D4B8}" name="Columna12571" dataDxfId="3841"/>
    <tableColumn id="12578" xr3:uid="{EFA74B8D-BDCD-44F0-8485-3156C3F81FC1}" name="Columna12572" dataDxfId="3840"/>
    <tableColumn id="12579" xr3:uid="{91217257-D8FF-4D26-ADAC-BE63C1FC912E}" name="Columna12573" dataDxfId="3839"/>
    <tableColumn id="12580" xr3:uid="{D3D8A9E9-5C02-4D71-9CC5-8FAB9A7FBD7D}" name="Columna12574" dataDxfId="3838"/>
    <tableColumn id="12581" xr3:uid="{D3B17617-760F-4975-8B33-E866F3CC3E48}" name="Columna12575" dataDxfId="3837"/>
    <tableColumn id="12582" xr3:uid="{C7737D73-59B3-45BD-82EA-796D56B68B7D}" name="Columna12576" dataDxfId="3836"/>
    <tableColumn id="12583" xr3:uid="{B4AE9387-9499-4E9A-9F7C-599CD454D0D1}" name="Columna12577" dataDxfId="3835"/>
    <tableColumn id="12584" xr3:uid="{C2FD0CB0-AC05-445C-A3EE-907CA0AECCD2}" name="Columna12578" dataDxfId="3834"/>
    <tableColumn id="12585" xr3:uid="{5B3CB1A3-E3D6-4C33-825A-BA11B2061C2F}" name="Columna12579" dataDxfId="3833"/>
    <tableColumn id="12586" xr3:uid="{432456FB-A63E-47AC-83D4-C22640AAC0C0}" name="Columna12580" dataDxfId="3832"/>
    <tableColumn id="12587" xr3:uid="{709A8E0A-641B-4E11-8F4C-489E6B203D8B}" name="Columna12581" dataDxfId="3831"/>
    <tableColumn id="12588" xr3:uid="{457A4F29-12F4-437A-B8F6-DA1BE6A31900}" name="Columna12582" dataDxfId="3830"/>
    <tableColumn id="12589" xr3:uid="{4B11A66D-A548-4BF3-B1E6-345D6480A8B0}" name="Columna12583" dataDxfId="3829"/>
    <tableColumn id="12590" xr3:uid="{C8482385-EABC-411E-BAB6-FBADC869C376}" name="Columna12584" dataDxfId="3828"/>
    <tableColumn id="12591" xr3:uid="{B008D1C2-06E9-488B-9E38-861F0E97BA43}" name="Columna12585" dataDxfId="3827"/>
    <tableColumn id="12592" xr3:uid="{BF534E06-9E76-42FF-AF0B-CDEB20BA4276}" name="Columna12586" dataDxfId="3826"/>
    <tableColumn id="12593" xr3:uid="{A05AED01-D8BA-42D0-97FF-7C06DEFD29AE}" name="Columna12587" dataDxfId="3825"/>
    <tableColumn id="12594" xr3:uid="{145DE622-A5C2-4178-A627-4BFF3CC3A8D1}" name="Columna12588" dataDxfId="3824"/>
    <tableColumn id="12595" xr3:uid="{17C1B94F-25CB-40BB-B520-4BE476E84D16}" name="Columna12589" dataDxfId="3823"/>
    <tableColumn id="12596" xr3:uid="{143540EA-C590-4C10-8451-A0C6713251FD}" name="Columna12590" dataDxfId="3822"/>
    <tableColumn id="12597" xr3:uid="{F3749ED1-E9C9-4C9D-B68E-84EB8567CCB1}" name="Columna12591" dataDxfId="3821"/>
    <tableColumn id="12598" xr3:uid="{40DD83CC-3FB9-4D41-8119-907111A663CD}" name="Columna12592" dataDxfId="3820"/>
    <tableColumn id="12599" xr3:uid="{BE726497-619C-4516-8B6F-7448D8B69582}" name="Columna12593" dataDxfId="3819"/>
    <tableColumn id="12600" xr3:uid="{8BBD6CC7-66C5-4E79-BB60-E0C98CCE3CBE}" name="Columna12594" dataDxfId="3818"/>
    <tableColumn id="12601" xr3:uid="{F9047A5F-04C1-41CB-9E77-D52EC11B0A95}" name="Columna12595" dataDxfId="3817"/>
    <tableColumn id="12602" xr3:uid="{B990F103-07C4-4252-BFCC-F3515C041BC7}" name="Columna12596" dataDxfId="3816"/>
    <tableColumn id="12603" xr3:uid="{D635E9E2-11A4-4BC0-ADE6-8B17CDF1C8A2}" name="Columna12597" dataDxfId="3815"/>
    <tableColumn id="12604" xr3:uid="{48F17339-7783-45B1-B315-F93EA20D1BB7}" name="Columna12598" dataDxfId="3814"/>
    <tableColumn id="12605" xr3:uid="{F86EFEFD-E679-48AB-9BBD-5C7497892E1F}" name="Columna12599" dataDxfId="3813"/>
    <tableColumn id="12606" xr3:uid="{7BC2D18A-C968-4E9C-8D76-818A03F430CA}" name="Columna12600" dataDxfId="3812"/>
    <tableColumn id="12607" xr3:uid="{E59CCB54-BED9-43ED-A182-38E776D71EF2}" name="Columna12601" dataDxfId="3811"/>
    <tableColumn id="12608" xr3:uid="{B84AFDD9-71CF-43F1-A46D-248B3128B8C8}" name="Columna12602" dataDxfId="3810"/>
    <tableColumn id="12609" xr3:uid="{3E308291-9FF0-4969-8EC7-8D4252637812}" name="Columna12603" dataDxfId="3809"/>
    <tableColumn id="12610" xr3:uid="{558AB954-044C-4508-A67A-F6EBDDB9E1CF}" name="Columna12604" dataDxfId="3808"/>
    <tableColumn id="12611" xr3:uid="{71B0E5EB-0A2F-4471-90B6-15A6DAD76CCD}" name="Columna12605" dataDxfId="3807"/>
    <tableColumn id="12612" xr3:uid="{804DCBD1-8780-4801-A1BD-C2D2B144EE54}" name="Columna12606" dataDxfId="3806"/>
    <tableColumn id="12613" xr3:uid="{FA3D5C23-A71D-4D33-A44D-FCA6803F87B0}" name="Columna12607" dataDxfId="3805"/>
    <tableColumn id="12614" xr3:uid="{11832CEF-CB34-4D7B-B3A7-D38A9746AED5}" name="Columna12608" dataDxfId="3804"/>
    <tableColumn id="12615" xr3:uid="{C0BC8929-05AF-4DCB-90C7-A26057C13E1A}" name="Columna12609" dataDxfId="3803"/>
    <tableColumn id="12616" xr3:uid="{28E7E316-85B7-4974-8D89-DB61FB6358DB}" name="Columna12610" dataDxfId="3802"/>
    <tableColumn id="12617" xr3:uid="{A0B614E0-AD8F-4772-98B9-F55B36F7831F}" name="Columna12611" dataDxfId="3801"/>
    <tableColumn id="12618" xr3:uid="{06FD20D8-95CE-4940-BA89-90F264725772}" name="Columna12612" dataDxfId="3800"/>
    <tableColumn id="12619" xr3:uid="{51249A26-1964-4EB9-972E-9EC013CFFB86}" name="Columna12613" dataDxfId="3799"/>
    <tableColumn id="12620" xr3:uid="{72EDE577-038D-4BBE-8F27-F9EF8649FEDC}" name="Columna12614" dataDxfId="3798"/>
    <tableColumn id="12621" xr3:uid="{5788A0AB-CAA9-4437-964E-ED8A9F2B3019}" name="Columna12615" dataDxfId="3797"/>
    <tableColumn id="12622" xr3:uid="{E5EA83EC-6379-43BF-B929-7ECD61BE51B7}" name="Columna12616" dataDxfId="3796"/>
    <tableColumn id="12623" xr3:uid="{451B868E-002D-48C1-B4D8-64EBD7ED5506}" name="Columna12617" dataDxfId="3795"/>
    <tableColumn id="12624" xr3:uid="{C7474E23-4953-4DAF-9A36-7AF6C9854184}" name="Columna12618" dataDxfId="3794"/>
    <tableColumn id="12625" xr3:uid="{C0AC5AB9-22E7-465F-BDCF-C321E4519D1F}" name="Columna12619" dataDxfId="3793"/>
    <tableColumn id="12626" xr3:uid="{110916A9-C8A9-4CF8-9D39-AF112FDBDDFA}" name="Columna12620" dataDxfId="3792"/>
    <tableColumn id="12627" xr3:uid="{F7FD8C6D-578F-4F8D-8172-AF7EDC1275F3}" name="Columna12621" dataDxfId="3791"/>
    <tableColumn id="12628" xr3:uid="{3BBE8E90-710A-4274-B9D6-59FF50545BF0}" name="Columna12622" dataDxfId="3790"/>
    <tableColumn id="12629" xr3:uid="{4A60A160-C32B-472A-8D4C-4F9D15F20C54}" name="Columna12623" dataDxfId="3789"/>
    <tableColumn id="12630" xr3:uid="{72ED7A45-9FBB-4442-B067-A7EE1A482852}" name="Columna12624" dataDxfId="3788"/>
    <tableColumn id="12631" xr3:uid="{02596FAE-F9A9-4A76-82AB-A002F3C9947C}" name="Columna12625" dataDxfId="3787"/>
    <tableColumn id="12632" xr3:uid="{DFBD7804-A501-45D6-BB36-027E98678B8F}" name="Columna12626" dataDxfId="3786"/>
    <tableColumn id="12633" xr3:uid="{0DEDA010-5D18-4232-BF35-4FCD57F0B42C}" name="Columna12627" dataDxfId="3785"/>
    <tableColumn id="12634" xr3:uid="{CA246F96-2085-4573-BEFE-CBCF480351A4}" name="Columna12628" dataDxfId="3784"/>
    <tableColumn id="12635" xr3:uid="{2AB3B073-5EE0-4838-B3F6-9584C3ECC1DD}" name="Columna12629" dataDxfId="3783"/>
    <tableColumn id="12636" xr3:uid="{ABD64240-C9A9-47A3-A006-23C70C6CE2BF}" name="Columna12630" dataDxfId="3782"/>
    <tableColumn id="12637" xr3:uid="{45F1EE02-1AF0-4CD3-AC5A-BDC2DF8792DF}" name="Columna12631" dataDxfId="3781"/>
    <tableColumn id="12638" xr3:uid="{CD0D1D6B-D6AD-4E5A-A236-B18A58678FF8}" name="Columna12632" dataDxfId="3780"/>
    <tableColumn id="12639" xr3:uid="{C3463251-27EB-43D8-9209-388839BDD6C0}" name="Columna12633" dataDxfId="3779"/>
    <tableColumn id="12640" xr3:uid="{35686664-FE0A-452C-9EC7-BDE00EC07228}" name="Columna12634" dataDxfId="3778"/>
    <tableColumn id="12641" xr3:uid="{1990CF2F-489D-4E70-B190-0EB7D61A4973}" name="Columna12635" dataDxfId="3777"/>
    <tableColumn id="12642" xr3:uid="{32ED1502-C000-4F7C-BE1A-36891561B888}" name="Columna12636" dataDxfId="3776"/>
    <tableColumn id="12643" xr3:uid="{1FF277EC-3F4C-4BD3-8F83-E92054E7137B}" name="Columna12637" dataDxfId="3775"/>
    <tableColumn id="12644" xr3:uid="{541DCB14-8FC7-42E9-8329-AE30CBA65091}" name="Columna12638" dataDxfId="3774"/>
    <tableColumn id="12645" xr3:uid="{9CD07085-4F1B-4084-B0D5-FA58C3BA10AF}" name="Columna12639" dataDxfId="3773"/>
    <tableColumn id="12646" xr3:uid="{9AC3248B-6AF2-453A-9919-66AD038E192B}" name="Columna12640" dataDxfId="3772"/>
    <tableColumn id="12647" xr3:uid="{5912AACB-D063-4954-9227-D975FAD6D11B}" name="Columna12641" dataDxfId="3771"/>
    <tableColumn id="12648" xr3:uid="{FD4D3430-2D55-4A96-B2F5-35996900B93C}" name="Columna12642" dataDxfId="3770"/>
    <tableColumn id="12649" xr3:uid="{A8A0D0C2-9750-40B6-AB67-3D231521965B}" name="Columna12643" dataDxfId="3769"/>
    <tableColumn id="12650" xr3:uid="{193131D6-7FF3-43D5-93E7-47A0AD567EF3}" name="Columna12644" dataDxfId="3768"/>
    <tableColumn id="12651" xr3:uid="{D18A3C9B-8653-43AD-99CC-08A9023891E3}" name="Columna12645" dataDxfId="3767"/>
    <tableColumn id="12652" xr3:uid="{63445073-9558-4D10-B55E-D666867EB1A0}" name="Columna12646" dataDxfId="3766"/>
    <tableColumn id="12653" xr3:uid="{521F369D-F785-416B-B1AF-A736A560A725}" name="Columna12647" dataDxfId="3765"/>
    <tableColumn id="12654" xr3:uid="{B1FD8144-F4F3-43E7-A90D-3B14658CEE01}" name="Columna12648" dataDxfId="3764"/>
    <tableColumn id="12655" xr3:uid="{0F301A82-F56C-4B99-B215-EC93166F237C}" name="Columna12649" dataDxfId="3763"/>
    <tableColumn id="12656" xr3:uid="{E8A05EFA-DA9F-4BDB-AFEC-69F664384095}" name="Columna12650" dataDxfId="3762"/>
    <tableColumn id="12657" xr3:uid="{1D38B2B6-C8C4-4C10-9452-5C98063CBD82}" name="Columna12651" dataDxfId="3761"/>
    <tableColumn id="12658" xr3:uid="{47F4C4BD-1B9B-4115-86F6-197FA7750B21}" name="Columna12652" dataDxfId="3760"/>
    <tableColumn id="12659" xr3:uid="{4B8955BB-5E31-44BE-91C3-9D9948F0B7D5}" name="Columna12653" dataDxfId="3759"/>
    <tableColumn id="12660" xr3:uid="{63B9301B-1CE4-48F9-AB65-83139EDEF9E3}" name="Columna12654" dataDxfId="3758"/>
    <tableColumn id="12661" xr3:uid="{9E857FBD-04C5-4C1F-8B60-A484476CBA3B}" name="Columna12655" dataDxfId="3757"/>
    <tableColumn id="12662" xr3:uid="{A0350F24-ED8E-48FC-82C0-8A54B98EA667}" name="Columna12656" dataDxfId="3756"/>
    <tableColumn id="12663" xr3:uid="{CE274D38-C7FB-4453-8440-A2FFE697E75E}" name="Columna12657" dataDxfId="3755"/>
    <tableColumn id="12664" xr3:uid="{7FF8986D-80E3-4F2A-85CD-A52F0A07D207}" name="Columna12658" dataDxfId="3754"/>
    <tableColumn id="12665" xr3:uid="{870DDA09-5932-4F87-9BC6-99BE400381A2}" name="Columna12659" dataDxfId="3753"/>
    <tableColumn id="12666" xr3:uid="{4C1B775E-AF4A-409F-9658-28896F82C9C5}" name="Columna12660" dataDxfId="3752"/>
    <tableColumn id="12667" xr3:uid="{142E9703-570F-49A5-AB88-A28335832B22}" name="Columna12661" dataDxfId="3751"/>
    <tableColumn id="12668" xr3:uid="{DDF35496-E62C-4E68-A42C-20DC6F04FEA5}" name="Columna12662" dataDxfId="3750"/>
    <tableColumn id="12669" xr3:uid="{0516C2A1-BE80-4B7A-963D-81CDDB4F292A}" name="Columna12663" dataDxfId="3749"/>
    <tableColumn id="12670" xr3:uid="{0165F811-0838-43A0-BDAB-88D2438B25F2}" name="Columna12664" dataDxfId="3748"/>
    <tableColumn id="12671" xr3:uid="{445BB9FC-5BD5-47DB-BC58-8534A758E7F3}" name="Columna12665" dataDxfId="3747"/>
    <tableColumn id="12672" xr3:uid="{3FFFE2AB-AB40-4B9F-BE49-C617910E1ECF}" name="Columna12666" dataDxfId="3746"/>
    <tableColumn id="12673" xr3:uid="{49479C1F-5AB4-4454-A7E4-EABCF76CF6CD}" name="Columna12667" dataDxfId="3745"/>
    <tableColumn id="12674" xr3:uid="{9DC219FB-D491-41ED-9080-AD36D27C55C9}" name="Columna12668" dataDxfId="3744"/>
    <tableColumn id="12675" xr3:uid="{ADB50174-E222-4B1E-9141-3297DF1FC307}" name="Columna12669" dataDxfId="3743"/>
    <tableColumn id="12676" xr3:uid="{00549652-8744-4CF9-B86B-0BD9F79684C9}" name="Columna12670" dataDxfId="3742"/>
    <tableColumn id="12677" xr3:uid="{00AED128-F528-48D2-BD7D-2CB456119683}" name="Columna12671" dataDxfId="3741"/>
    <tableColumn id="12678" xr3:uid="{EC2CA4CF-6D1D-43B1-B6F6-63B38463447F}" name="Columna12672" dataDxfId="3740"/>
    <tableColumn id="12679" xr3:uid="{4D91F35F-61AD-4D53-90BF-C73973294304}" name="Columna12673" dataDxfId="3739"/>
    <tableColumn id="12680" xr3:uid="{D7465ECE-FB80-4955-A8AB-96FCED15EFE4}" name="Columna12674" dataDxfId="3738"/>
    <tableColumn id="12681" xr3:uid="{582EB562-40CB-4D85-84E1-886B044B848B}" name="Columna12675" dataDxfId="3737"/>
    <tableColumn id="12682" xr3:uid="{54894466-9887-495D-BA24-34BCAD3CC2B5}" name="Columna12676" dataDxfId="3736"/>
    <tableColumn id="12683" xr3:uid="{EE671282-42FD-4A84-86D4-2844AA4F7C13}" name="Columna12677" dataDxfId="3735"/>
    <tableColumn id="12684" xr3:uid="{CD5CB65D-4F22-4D02-A229-41326F2E7CC5}" name="Columna12678" dataDxfId="3734"/>
    <tableColumn id="12685" xr3:uid="{7AC2D5DE-E306-4DF9-B13D-54CD927A36B2}" name="Columna12679" dataDxfId="3733"/>
    <tableColumn id="12686" xr3:uid="{C8A55177-8F2C-46B7-8932-05C09AD0CB23}" name="Columna12680" dataDxfId="3732"/>
    <tableColumn id="12687" xr3:uid="{38565BF0-4735-4E64-81EA-A88A0CBD8CB3}" name="Columna12681" dataDxfId="3731"/>
    <tableColumn id="12688" xr3:uid="{4505A14B-0D73-4B60-AB02-0CE0F284CB91}" name="Columna12682" dataDxfId="3730"/>
    <tableColumn id="12689" xr3:uid="{A67B41CF-EE62-436C-ACEE-F13882CD2683}" name="Columna12683" dataDxfId="3729"/>
    <tableColumn id="12690" xr3:uid="{BB6790F9-8F84-4432-8E66-32CC8A78517C}" name="Columna12684" dataDxfId="3728"/>
    <tableColumn id="12691" xr3:uid="{E7CCD2CD-7953-4E8E-A0F1-ACAC3275433D}" name="Columna12685" dataDxfId="3727"/>
    <tableColumn id="12692" xr3:uid="{BDD276D6-FC8B-4FC5-8220-394BE71AC622}" name="Columna12686" dataDxfId="3726"/>
    <tableColumn id="12693" xr3:uid="{E9768A7F-2507-40B4-A705-C66281C3B40B}" name="Columna12687" dataDxfId="3725"/>
    <tableColumn id="12694" xr3:uid="{3E52A4B0-ABEC-464F-9900-E4F6F42D4719}" name="Columna12688" dataDxfId="3724"/>
    <tableColumn id="12695" xr3:uid="{BD3B2FE3-7913-442F-B019-8DBF31680B70}" name="Columna12689" dataDxfId="3723"/>
    <tableColumn id="12696" xr3:uid="{B7016B62-3D4E-4A50-B11C-90ECA2B04654}" name="Columna12690" dataDxfId="3722"/>
    <tableColumn id="12697" xr3:uid="{C6450A53-C173-4BB2-B0AB-BED28AA9A9DA}" name="Columna12691" dataDxfId="3721"/>
    <tableColumn id="12698" xr3:uid="{FA9FF66C-14B4-40D7-9714-DEA96CA393D9}" name="Columna12692" dataDxfId="3720"/>
    <tableColumn id="12699" xr3:uid="{6439338A-5A93-474B-A1A1-EEF0ECF8ED1E}" name="Columna12693" dataDxfId="3719"/>
    <tableColumn id="12700" xr3:uid="{BD5D32EC-2517-4156-A0D0-DE9C7A79180B}" name="Columna12694" dataDxfId="3718"/>
    <tableColumn id="12701" xr3:uid="{60CCCDA8-4D51-4F95-B515-B182C4C424C1}" name="Columna12695" dataDxfId="3717"/>
    <tableColumn id="12702" xr3:uid="{6C11A62C-E9ED-46AB-8E13-3DDDD2A8C2D1}" name="Columna12696" dataDxfId="3716"/>
    <tableColumn id="12703" xr3:uid="{FB0A1412-6EA3-4918-A211-007F19133F89}" name="Columna12697" dataDxfId="3715"/>
    <tableColumn id="12704" xr3:uid="{AED1931A-99BE-4651-84DE-F573630EB7FB}" name="Columna12698" dataDxfId="3714"/>
    <tableColumn id="12705" xr3:uid="{50720D88-2780-4E77-98B5-8AC4766CCC0C}" name="Columna12699" dataDxfId="3713"/>
    <tableColumn id="12706" xr3:uid="{05DF2345-5883-4834-BBA6-4CB2ED38297D}" name="Columna12700" dataDxfId="3712"/>
    <tableColumn id="12707" xr3:uid="{108223FC-FFE5-4380-B692-20E1829F2C07}" name="Columna12701" dataDxfId="3711"/>
    <tableColumn id="12708" xr3:uid="{889A4949-A368-48C5-966B-124B8E6008E0}" name="Columna12702" dataDxfId="3710"/>
    <tableColumn id="12709" xr3:uid="{3E5171BB-4D44-4AE7-A9F6-FCB8183831F6}" name="Columna12703" dataDxfId="3709"/>
    <tableColumn id="12710" xr3:uid="{DC261E5A-2794-42A7-A702-EFE2548545EB}" name="Columna12704" dataDxfId="3708"/>
    <tableColumn id="12711" xr3:uid="{BE438A3A-5802-4564-9D30-3E61CFDE266F}" name="Columna12705" dataDxfId="3707"/>
    <tableColumn id="12712" xr3:uid="{148DF4AD-37FC-46CF-98C4-289D005BA300}" name="Columna12706" dataDxfId="3706"/>
    <tableColumn id="12713" xr3:uid="{D82E4FF5-6A87-43ED-995E-0CE17BC0E509}" name="Columna12707" dataDxfId="3705"/>
    <tableColumn id="12714" xr3:uid="{3F4002AE-BB4B-4F91-9333-78110F46142B}" name="Columna12708" dataDxfId="3704"/>
    <tableColumn id="12715" xr3:uid="{8A7E175F-2F86-4386-AF4C-C5EFE63FAD3E}" name="Columna12709" dataDxfId="3703"/>
    <tableColumn id="12716" xr3:uid="{BF23002F-8CEC-4C9C-8A69-8CF18138F783}" name="Columna12710" dataDxfId="3702"/>
    <tableColumn id="12717" xr3:uid="{A8C5FB24-6D8B-4963-9E16-4EA649807C3F}" name="Columna12711" dataDxfId="3701"/>
    <tableColumn id="12718" xr3:uid="{E76341FA-3C78-4C16-95A9-B9BC7B023912}" name="Columna12712" dataDxfId="3700"/>
    <tableColumn id="12719" xr3:uid="{E506956F-E6C3-443B-BF55-795C79FFD0D5}" name="Columna12713" dataDxfId="3699"/>
    <tableColumn id="12720" xr3:uid="{2BDE2191-FD2D-4896-9EC5-321B99F84B31}" name="Columna12714" dataDxfId="3698"/>
    <tableColumn id="12721" xr3:uid="{85B9FBB5-32B2-4E43-AD67-138BE31D4475}" name="Columna12715" dataDxfId="3697"/>
    <tableColumn id="12722" xr3:uid="{CC2E4B4A-C945-4C91-AB0A-49B09B35B7D0}" name="Columna12716" dataDxfId="3696"/>
    <tableColumn id="12723" xr3:uid="{B422758F-330C-4F4A-AC7C-BCFE8457595D}" name="Columna12717" dataDxfId="3695"/>
    <tableColumn id="12724" xr3:uid="{E6F33381-36A2-4ED8-A713-36CDFDEA36AE}" name="Columna12718" dataDxfId="3694"/>
    <tableColumn id="12725" xr3:uid="{8477E74A-AC73-43F2-898E-B87ACD5DD05B}" name="Columna12719" dataDxfId="3693"/>
    <tableColumn id="12726" xr3:uid="{5B258B31-B7E8-4FFF-AFE4-3B68AA843EAC}" name="Columna12720" dataDxfId="3692"/>
    <tableColumn id="12727" xr3:uid="{5DF1BDAE-1164-4D6B-9680-CA61C720E6E7}" name="Columna12721" dataDxfId="3691"/>
    <tableColumn id="12728" xr3:uid="{3F0CCF03-A110-4A95-91AE-89764A1B1A38}" name="Columna12722" dataDxfId="3690"/>
    <tableColumn id="12729" xr3:uid="{93580162-7B3E-463F-B8B9-4CDF4F5575DC}" name="Columna12723" dataDxfId="3689"/>
    <tableColumn id="12730" xr3:uid="{C59B5AEB-C0C0-4B29-951E-77A454A87379}" name="Columna12724" dataDxfId="3688"/>
    <tableColumn id="12731" xr3:uid="{ED37A42C-7246-49FC-BD38-83952CB07CC0}" name="Columna12725" dataDxfId="3687"/>
    <tableColumn id="12732" xr3:uid="{29D7D519-185D-409C-B52B-4E84D6357D51}" name="Columna12726" dataDxfId="3686"/>
    <tableColumn id="12733" xr3:uid="{40A124D1-4D38-4BBD-BF55-513EE0362962}" name="Columna12727" dataDxfId="3685"/>
    <tableColumn id="12734" xr3:uid="{3604F255-21E0-4123-BDDB-7BEAAB1A8149}" name="Columna12728" dataDxfId="3684"/>
    <tableColumn id="12735" xr3:uid="{3F2742AC-436F-4CED-895F-2241B50F6E5D}" name="Columna12729" dataDxfId="3683"/>
    <tableColumn id="12736" xr3:uid="{7FF599DB-992C-4F90-ACF5-7BCF71DF4809}" name="Columna12730" dataDxfId="3682"/>
    <tableColumn id="12737" xr3:uid="{90771819-5EB8-4C1D-9E19-3BE48EB31A07}" name="Columna12731" dataDxfId="3681"/>
    <tableColumn id="12738" xr3:uid="{56B233FB-F1C9-4B66-BEE2-49EDC572E3AA}" name="Columna12732" dataDxfId="3680"/>
    <tableColumn id="12739" xr3:uid="{91C937F5-8425-459D-AF09-D8C246774699}" name="Columna12733" dataDxfId="3679"/>
    <tableColumn id="12740" xr3:uid="{05B44D5F-6242-4908-890D-304F776E43C1}" name="Columna12734" dataDxfId="3678"/>
    <tableColumn id="12741" xr3:uid="{1D5C893B-1E99-4947-8FD1-8A09D0C2790E}" name="Columna12735" dataDxfId="3677"/>
    <tableColumn id="12742" xr3:uid="{BB808691-A209-46BE-9E31-DAE61C78D5EC}" name="Columna12736" dataDxfId="3676"/>
    <tableColumn id="12743" xr3:uid="{7BC33F75-8310-4798-9AAA-D843FCA3753C}" name="Columna12737" dataDxfId="3675"/>
    <tableColumn id="12744" xr3:uid="{06AA1F38-2FEB-47FF-86A7-DC3E8B9857B8}" name="Columna12738" dataDxfId="3674"/>
    <tableColumn id="12745" xr3:uid="{3466EB2E-3C36-42E8-A456-D1170CF8394A}" name="Columna12739" dataDxfId="3673"/>
    <tableColumn id="12746" xr3:uid="{CB5D3839-F246-4A46-91EC-BF2D78138CDF}" name="Columna12740" dataDxfId="3672"/>
    <tableColumn id="12747" xr3:uid="{22B2DF9D-9230-4F5B-B2B6-4A8DD9518D87}" name="Columna12741" dataDxfId="3671"/>
    <tableColumn id="12748" xr3:uid="{E0F05AC5-8D00-4AB8-8076-E965AAF83E7B}" name="Columna12742" dataDxfId="3670"/>
    <tableColumn id="12749" xr3:uid="{6CE5474C-6E8E-4367-B2A0-FB9B03B27F9F}" name="Columna12743" dataDxfId="3669"/>
    <tableColumn id="12750" xr3:uid="{40A95D45-FC94-4BF9-9E25-7A2B011C2D1D}" name="Columna12744" dataDxfId="3668"/>
    <tableColumn id="12751" xr3:uid="{2A15831B-C4BD-4592-B7F6-160C365E9A2B}" name="Columna12745" dataDxfId="3667"/>
    <tableColumn id="12752" xr3:uid="{94B2D58B-1398-42DB-B656-A9B001AF830C}" name="Columna12746" dataDxfId="3666"/>
    <tableColumn id="12753" xr3:uid="{54C7229B-1F9A-43E1-8468-EE03C0EE307A}" name="Columna12747" dataDxfId="3665"/>
    <tableColumn id="12754" xr3:uid="{0E5F7EA7-F5E3-4B2A-BDC3-B9ABEA309D5D}" name="Columna12748" dataDxfId="3664"/>
    <tableColumn id="12755" xr3:uid="{66498389-8615-4E60-A86D-0B8ABA9B51D9}" name="Columna12749" dataDxfId="3663"/>
    <tableColumn id="12756" xr3:uid="{C7A9ECCB-2747-4EF7-A06E-9F42EC73BB96}" name="Columna12750" dataDxfId="3662"/>
    <tableColumn id="12757" xr3:uid="{3BDC0261-6A20-4212-93E8-E736479AFDA4}" name="Columna12751" dataDxfId="3661"/>
    <tableColumn id="12758" xr3:uid="{EC08D56D-9E45-41C9-B478-1CFA6A2ADA20}" name="Columna12752" dataDxfId="3660"/>
    <tableColumn id="12759" xr3:uid="{472E7EB3-F274-4BA0-8868-4F0ADD49858A}" name="Columna12753" dataDxfId="3659"/>
    <tableColumn id="12760" xr3:uid="{4C4633C6-E69F-44F6-B4BE-15DD9871D18C}" name="Columna12754" dataDxfId="3658"/>
    <tableColumn id="12761" xr3:uid="{68F638FC-B8C6-4AC0-A78F-0FED544C9E04}" name="Columna12755" dataDxfId="3657"/>
    <tableColumn id="12762" xr3:uid="{D49A2CD3-2D9E-4521-92E5-726EC8658D17}" name="Columna12756" dataDxfId="3656"/>
    <tableColumn id="12763" xr3:uid="{AA1B23D8-E4F3-46F6-BCFD-057AFFDF5972}" name="Columna12757" dataDxfId="3655"/>
    <tableColumn id="12764" xr3:uid="{C0B7DC1D-29D3-40BE-85AF-CEB4946F92BC}" name="Columna12758" dataDxfId="3654"/>
    <tableColumn id="12765" xr3:uid="{88ACA749-247D-4406-852A-500DD5D33B23}" name="Columna12759" dataDxfId="3653"/>
    <tableColumn id="12766" xr3:uid="{47565480-59B5-4AF0-978C-E443F0BD3A58}" name="Columna12760" dataDxfId="3652"/>
    <tableColumn id="12767" xr3:uid="{9F159476-9118-4459-98CF-63C1DC9B68FD}" name="Columna12761" dataDxfId="3651"/>
    <tableColumn id="12768" xr3:uid="{24F71320-5325-4CE6-9874-DA79F42C09FA}" name="Columna12762" dataDxfId="3650"/>
    <tableColumn id="12769" xr3:uid="{C1ABBE06-160B-4CCE-9060-CADA960652BD}" name="Columna12763" dataDxfId="3649"/>
    <tableColumn id="12770" xr3:uid="{49011DEC-9DB7-45B0-BE16-679CEE72160E}" name="Columna12764" dataDxfId="3648"/>
    <tableColumn id="12771" xr3:uid="{E4442A25-7739-413C-8E7E-3F903C491E22}" name="Columna12765" dataDxfId="3647"/>
    <tableColumn id="12772" xr3:uid="{227D7201-4E5F-4B1F-99E2-971B3E2695F8}" name="Columna12766" dataDxfId="3646"/>
    <tableColumn id="12773" xr3:uid="{B399C317-7991-414A-8F33-90FCA0F05CBF}" name="Columna12767" dataDxfId="3645"/>
    <tableColumn id="12774" xr3:uid="{16985B82-61FB-4E6E-AB36-D8EBFE25AA4E}" name="Columna12768" dataDxfId="3644"/>
    <tableColumn id="12775" xr3:uid="{F4A79426-EE2D-4DA1-826A-15239BAC7324}" name="Columna12769" dataDxfId="3643"/>
    <tableColumn id="12776" xr3:uid="{594582F1-1834-455F-A300-B6E746E76ECE}" name="Columna12770" dataDxfId="3642"/>
    <tableColumn id="12777" xr3:uid="{0EEDFB0C-A580-4B06-9975-79A1BDB5FDD4}" name="Columna12771" dataDxfId="3641"/>
    <tableColumn id="12778" xr3:uid="{BEAA2B81-AF31-40A9-870E-DBD67C5D58A8}" name="Columna12772" dataDxfId="3640"/>
    <tableColumn id="12779" xr3:uid="{6A508DF5-B77E-4E67-B1DF-4AFC5CC8B775}" name="Columna12773" dataDxfId="3639"/>
    <tableColumn id="12780" xr3:uid="{A68C2C53-4F60-4135-A05B-39C09AF7DA8F}" name="Columna12774" dataDxfId="3638"/>
    <tableColumn id="12781" xr3:uid="{10AD7F16-C5FC-4AE9-888E-D2606E5A9C27}" name="Columna12775" dataDxfId="3637"/>
    <tableColumn id="12782" xr3:uid="{45C8CB1E-1F0F-459E-B588-D9E1B8798942}" name="Columna12776" dataDxfId="3636"/>
    <tableColumn id="12783" xr3:uid="{C9245960-8D96-4A1E-B2F3-6AF270DF32A3}" name="Columna12777" dataDxfId="3635"/>
    <tableColumn id="12784" xr3:uid="{98933214-E824-4C3E-B2CD-3B32340290E8}" name="Columna12778" dataDxfId="3634"/>
    <tableColumn id="12785" xr3:uid="{F42663D7-BA86-44F3-A08C-A3E135425B63}" name="Columna12779" dataDxfId="3633"/>
    <tableColumn id="12786" xr3:uid="{9DD0D2E0-DD75-4D5B-8881-F016D244884A}" name="Columna12780" dataDxfId="3632"/>
    <tableColumn id="12787" xr3:uid="{80937A75-1697-444F-85D7-6DAF5F35873E}" name="Columna12781" dataDxfId="3631"/>
    <tableColumn id="12788" xr3:uid="{D2CC527D-3924-43FB-8691-B0174BA069BB}" name="Columna12782" dataDxfId="3630"/>
    <tableColumn id="12789" xr3:uid="{A22C9E0F-6156-4E00-A615-D138F92FC53E}" name="Columna12783" dataDxfId="3629"/>
    <tableColumn id="12790" xr3:uid="{B9B1369E-CF4A-4F81-A99A-AA20FED597FF}" name="Columna12784" dataDxfId="3628"/>
    <tableColumn id="12791" xr3:uid="{356B38A7-4762-446D-B2DD-DF5AFBB82F06}" name="Columna12785" dataDxfId="3627"/>
    <tableColumn id="12792" xr3:uid="{1EB4313D-8322-49A8-9E6A-07F8FFCF71AB}" name="Columna12786" dataDxfId="3626"/>
    <tableColumn id="12793" xr3:uid="{85056744-CABC-443F-A361-28805CA1E498}" name="Columna12787" dataDxfId="3625"/>
    <tableColumn id="12794" xr3:uid="{797A3C54-A506-4FEF-B9C7-76C963363B11}" name="Columna12788" dataDxfId="3624"/>
    <tableColumn id="12795" xr3:uid="{363BBEF7-ACFB-4741-9835-CD44218EDADB}" name="Columna12789" dataDxfId="3623"/>
    <tableColumn id="12796" xr3:uid="{843A8D4C-CF69-48FC-A61F-3ABA888E081A}" name="Columna12790" dataDxfId="3622"/>
    <tableColumn id="12797" xr3:uid="{6C9C365C-3166-4584-96FA-528701E76170}" name="Columna12791" dataDxfId="3621"/>
    <tableColumn id="12798" xr3:uid="{41722375-CF6E-4DED-A9B8-87C4F07F501D}" name="Columna12792" dataDxfId="3620"/>
    <tableColumn id="12799" xr3:uid="{0ABD45A7-0724-472C-BC2B-6407F41C3E3C}" name="Columna12793" dataDxfId="3619"/>
    <tableColumn id="12800" xr3:uid="{82170706-E6A7-4A03-AF17-32E70CA2299C}" name="Columna12794" dataDxfId="3618"/>
    <tableColumn id="12801" xr3:uid="{25C728EF-E0CE-4D48-BBC0-A0511C06134B}" name="Columna12795" dataDxfId="3617"/>
    <tableColumn id="12802" xr3:uid="{D376592A-CCD4-46D4-835A-CEF1226188C0}" name="Columna12796" dataDxfId="3616"/>
    <tableColumn id="12803" xr3:uid="{8A7F4730-128A-4E4D-A2B2-8DED6EFD6C8B}" name="Columna12797" dataDxfId="3615"/>
    <tableColumn id="12804" xr3:uid="{AB371870-3706-4D66-B62C-408BD768041D}" name="Columna12798" dataDxfId="3614"/>
    <tableColumn id="12805" xr3:uid="{91FBDCB5-359C-48BF-83BD-8D38BD505B7A}" name="Columna12799" dataDxfId="3613"/>
    <tableColumn id="12806" xr3:uid="{15C9F0EC-8FCC-4B50-8047-E6FC3AA94B77}" name="Columna12800" dataDxfId="3612"/>
    <tableColumn id="12807" xr3:uid="{278BA958-0BA0-4040-BBCE-2E8E983A4D8C}" name="Columna12801" dataDxfId="3611"/>
    <tableColumn id="12808" xr3:uid="{7EB80FFD-CBC4-437F-B084-5467D164A535}" name="Columna12802" dataDxfId="3610"/>
    <tableColumn id="12809" xr3:uid="{88FE3876-EDB6-498D-A824-CB3498C9E73B}" name="Columna12803" dataDxfId="3609"/>
    <tableColumn id="12810" xr3:uid="{015F7F6A-4427-4A0B-BEAA-53A090E06D33}" name="Columna12804" dataDxfId="3608"/>
    <tableColumn id="12811" xr3:uid="{558E1E73-BE81-4C9D-A823-5AE0D40FA394}" name="Columna12805" dataDxfId="3607"/>
    <tableColumn id="12812" xr3:uid="{89405C7E-20DB-4509-A48C-A042BDF22D0E}" name="Columna12806" dataDxfId="3606"/>
    <tableColumn id="12813" xr3:uid="{BF1AC284-EABB-4330-87A7-7A4610001108}" name="Columna12807" dataDxfId="3605"/>
    <tableColumn id="12814" xr3:uid="{C9F55EB1-3AFF-47BA-9C13-81494D0C7B73}" name="Columna12808" dataDxfId="3604"/>
    <tableColumn id="12815" xr3:uid="{E4D69867-A5C9-4C89-A424-6BB4D85DDCE0}" name="Columna12809" dataDxfId="3603"/>
    <tableColumn id="12816" xr3:uid="{9AC91F6D-58B8-4984-BCF1-80C315F94F90}" name="Columna12810" dataDxfId="3602"/>
    <tableColumn id="12817" xr3:uid="{1D53F832-0703-40F3-983F-52CEFFB76558}" name="Columna12811" dataDxfId="3601"/>
    <tableColumn id="12818" xr3:uid="{C090B6BB-4E38-4054-B188-1B361BFA70E2}" name="Columna12812" dataDxfId="3600"/>
    <tableColumn id="12819" xr3:uid="{6CA2CB3C-8575-45F1-B97A-07B81CE0B9B1}" name="Columna12813" dataDxfId="3599"/>
    <tableColumn id="12820" xr3:uid="{1CFB4F20-8E32-4781-AF72-70B03C19C3D6}" name="Columna12814" dataDxfId="3598"/>
    <tableColumn id="12821" xr3:uid="{38C36ED7-88F1-4779-BF0B-BE535FF9646A}" name="Columna12815" dataDxfId="3597"/>
    <tableColumn id="12822" xr3:uid="{934D3877-B9AE-40D7-90E3-FF52988E8D11}" name="Columna12816" dataDxfId="3596"/>
    <tableColumn id="12823" xr3:uid="{939EB87D-3EAB-4521-87E1-65FEAA31F5F8}" name="Columna12817" dataDxfId="3595"/>
    <tableColumn id="12824" xr3:uid="{D78BB625-5B49-4926-8141-44B20C403FE2}" name="Columna12818" dataDxfId="3594"/>
    <tableColumn id="12825" xr3:uid="{A8DEC078-880F-404C-8AC3-D4D72FB89341}" name="Columna12819" dataDxfId="3593"/>
    <tableColumn id="12826" xr3:uid="{BEF2DE7F-C8F5-41DA-9AA9-A23110E79FC0}" name="Columna12820" dataDxfId="3592"/>
    <tableColumn id="12827" xr3:uid="{1259DB34-2A1A-42FD-842D-5914067D3C74}" name="Columna12821" dataDxfId="3591"/>
    <tableColumn id="12828" xr3:uid="{7A5A1857-6ED6-43B8-BC2F-3E4173C85051}" name="Columna12822" dataDxfId="3590"/>
    <tableColumn id="12829" xr3:uid="{9C4B5C54-B74F-4FBD-BA5E-7AA3C2B9096D}" name="Columna12823" dataDxfId="3589"/>
    <tableColumn id="12830" xr3:uid="{6FEC90AE-C2EA-42C4-86AA-31B2ADB6831B}" name="Columna12824" dataDxfId="3588"/>
    <tableColumn id="12831" xr3:uid="{705E81A1-79C2-4F12-94B3-87E8E96B95BF}" name="Columna12825" dataDxfId="3587"/>
    <tableColumn id="12832" xr3:uid="{870A6C7E-8373-4F7B-AAFE-98245B300A1E}" name="Columna12826" dataDxfId="3586"/>
    <tableColumn id="12833" xr3:uid="{DBE60269-E336-4EC7-8848-5390BD375B03}" name="Columna12827" dataDxfId="3585"/>
    <tableColumn id="12834" xr3:uid="{8085874C-5D05-4652-91C8-C23006CAAB72}" name="Columna12828" dataDxfId="3584"/>
    <tableColumn id="12835" xr3:uid="{BF416FA0-F3CE-4515-903F-00DE62C92E73}" name="Columna12829" dataDxfId="3583"/>
    <tableColumn id="12836" xr3:uid="{2071A398-6E40-49F9-87B6-95174EB4A045}" name="Columna12830" dataDxfId="3582"/>
    <tableColumn id="12837" xr3:uid="{90D2629F-2A57-443C-B5DC-042697746F81}" name="Columna12831" dataDxfId="3581"/>
    <tableColumn id="12838" xr3:uid="{C72BBCB1-D886-433D-B52D-D251D8616E92}" name="Columna12832" dataDxfId="3580"/>
    <tableColumn id="12839" xr3:uid="{A9276928-DC05-47A2-9319-973AF3B3CE64}" name="Columna12833" dataDxfId="3579"/>
    <tableColumn id="12840" xr3:uid="{48DC3649-CCFB-47D0-9D22-9DB23ED5EF94}" name="Columna12834" dataDxfId="3578"/>
    <tableColumn id="12841" xr3:uid="{C81835A3-DE17-41CA-8A5F-B87815762B29}" name="Columna12835" dataDxfId="3577"/>
    <tableColumn id="12842" xr3:uid="{9CAC61D4-5116-499C-9775-379A1F098E13}" name="Columna12836" dataDxfId="3576"/>
    <tableColumn id="12843" xr3:uid="{8F9E604E-9D6A-4309-A7A9-BD5DAC4D4403}" name="Columna12837" dataDxfId="3575"/>
    <tableColumn id="12844" xr3:uid="{137A343D-01BD-4554-ACE5-8854BA5A3B9C}" name="Columna12838" dataDxfId="3574"/>
    <tableColumn id="12845" xr3:uid="{9DC4CFB7-0B02-4642-A328-91C078B60666}" name="Columna12839" dataDxfId="3573"/>
    <tableColumn id="12846" xr3:uid="{F49D72D8-664D-4E34-AE34-169AA3CD30F2}" name="Columna12840" dataDxfId="3572"/>
    <tableColumn id="12847" xr3:uid="{945F2D91-4657-45F6-8936-6FC830756BC6}" name="Columna12841" dataDxfId="3571"/>
    <tableColumn id="12848" xr3:uid="{B05BA615-DF7B-4154-8B1A-2A03212CAB5F}" name="Columna12842" dataDxfId="3570"/>
    <tableColumn id="12849" xr3:uid="{D3F428A2-0B89-4339-A9B7-E7FD796FC432}" name="Columna12843" dataDxfId="3569"/>
    <tableColumn id="12850" xr3:uid="{4B0970F1-0B1A-4076-A5A5-128BA780C367}" name="Columna12844" dataDxfId="3568"/>
    <tableColumn id="12851" xr3:uid="{2A7498AC-3F6D-4687-AA7A-F29E5CD24E7D}" name="Columna12845" dataDxfId="3567"/>
    <tableColumn id="12852" xr3:uid="{99353497-F0FB-485F-9B19-2E8E70A7D5B3}" name="Columna12846" dataDxfId="3566"/>
    <tableColumn id="12853" xr3:uid="{75D3BC15-0935-4710-99E3-A9364EEF6811}" name="Columna12847" dataDxfId="3565"/>
    <tableColumn id="12854" xr3:uid="{D3603141-3D94-4C42-AD41-56B88D118E8D}" name="Columna12848" dataDxfId="3564"/>
    <tableColumn id="12855" xr3:uid="{0EC79271-5472-4559-AA66-41F138DF9594}" name="Columna12849" dataDxfId="3563"/>
    <tableColumn id="12856" xr3:uid="{C2010B55-C055-49BA-AD25-1B6A3F7F0B96}" name="Columna12850" dataDxfId="3562"/>
    <tableColumn id="12857" xr3:uid="{5DB5EDA6-1180-4B1C-B213-4F93E8F4DB20}" name="Columna12851" dataDxfId="3561"/>
    <tableColumn id="12858" xr3:uid="{FAB0735F-A583-4F40-A647-C4EE5F24EDD6}" name="Columna12852" dataDxfId="3560"/>
    <tableColumn id="12859" xr3:uid="{800A52D6-9926-4407-A675-D4BABA16365B}" name="Columna12853" dataDxfId="3559"/>
    <tableColumn id="12860" xr3:uid="{7095127B-22D4-426B-91C1-29964F668294}" name="Columna12854" dataDxfId="3558"/>
    <tableColumn id="12861" xr3:uid="{510A834D-A736-4F52-B0BD-529C02D9057C}" name="Columna12855" dataDxfId="3557"/>
    <tableColumn id="12862" xr3:uid="{A517B23C-7162-4BD3-9FB3-621AB255E225}" name="Columna12856" dataDxfId="3556"/>
    <tableColumn id="12863" xr3:uid="{E9EF03D8-DCF3-4242-9A46-0CC6CFAB3122}" name="Columna12857" dataDxfId="3555"/>
    <tableColumn id="12864" xr3:uid="{29743D88-996D-4C2C-88B1-D3E0BEF91161}" name="Columna12858" dataDxfId="3554"/>
    <tableColumn id="12865" xr3:uid="{E83FD6DA-A61A-4BCD-9082-AA25CDE9326F}" name="Columna12859" dataDxfId="3553"/>
    <tableColumn id="12866" xr3:uid="{10E5113F-E8B0-4DB2-BFDC-2A28EBF8870F}" name="Columna12860" dataDxfId="3552"/>
    <tableColumn id="12867" xr3:uid="{A9EB2B88-2E9C-41D0-844E-C3480D187A85}" name="Columna12861" dataDxfId="3551"/>
    <tableColumn id="12868" xr3:uid="{444591E5-DD4D-47E6-ADAF-5C5D36CDE4EE}" name="Columna12862" dataDxfId="3550"/>
    <tableColumn id="12869" xr3:uid="{5C5C6BD0-1D55-45DC-9A5C-D50BA05E4849}" name="Columna12863" dataDxfId="3549"/>
    <tableColumn id="12870" xr3:uid="{D2358A62-EF35-4C7F-94BA-BA89C1A70BF2}" name="Columna12864" dataDxfId="3548"/>
    <tableColumn id="12871" xr3:uid="{05BD271C-5FBD-45AD-B87F-AF2F8B44313F}" name="Columna12865" dataDxfId="3547"/>
    <tableColumn id="12872" xr3:uid="{978E9716-1EC1-482D-BBD4-92C161EDC62D}" name="Columna12866" dataDxfId="3546"/>
    <tableColumn id="12873" xr3:uid="{202AC7A2-318C-42A4-A3BA-40FF57A8404E}" name="Columna12867" dataDxfId="3545"/>
    <tableColumn id="12874" xr3:uid="{1CFE4650-8D9E-4418-A1E4-75D7B4F3D4AC}" name="Columna12868" dataDxfId="3544"/>
    <tableColumn id="12875" xr3:uid="{7073E761-225C-411E-A4CB-66969D6A1802}" name="Columna12869" dataDxfId="3543"/>
    <tableColumn id="12876" xr3:uid="{16B3D681-3ED2-4ACE-B3F2-39FEBBC2214A}" name="Columna12870" dataDxfId="3542"/>
    <tableColumn id="12877" xr3:uid="{A5B6EA53-162B-4C5A-9873-5362BE5507AD}" name="Columna12871" dataDxfId="3541"/>
    <tableColumn id="12878" xr3:uid="{F2185FEF-6311-4DF2-A459-3A87DD3564DD}" name="Columna12872" dataDxfId="3540"/>
    <tableColumn id="12879" xr3:uid="{BC6A43D3-FE6C-4DD3-B498-0EDE891D8AFB}" name="Columna12873" dataDxfId="3539"/>
    <tableColumn id="12880" xr3:uid="{73B3912B-25A7-4D33-ACF7-E10CD6A79F9F}" name="Columna12874" dataDxfId="3538"/>
    <tableColumn id="12881" xr3:uid="{00EE0B27-08DC-4010-8A01-10599A8FE162}" name="Columna12875" dataDxfId="3537"/>
    <tableColumn id="12882" xr3:uid="{C1C2F30F-BC46-478D-8AD9-1ECA54DDDB40}" name="Columna12876" dataDxfId="3536"/>
    <tableColumn id="12883" xr3:uid="{A9BFD89A-2023-44A5-9C41-E19136DA7E0A}" name="Columna12877" dataDxfId="3535"/>
    <tableColumn id="12884" xr3:uid="{88D3C54A-7DCC-495D-BCF4-F3C13C218A1E}" name="Columna12878" dataDxfId="3534"/>
    <tableColumn id="12885" xr3:uid="{0A5E1EE2-E0B2-4F0D-8AA7-031D209AB953}" name="Columna12879" dataDxfId="3533"/>
    <tableColumn id="12886" xr3:uid="{790A2F68-D989-4E4D-989F-27B451A26E21}" name="Columna12880" dataDxfId="3532"/>
    <tableColumn id="12887" xr3:uid="{DAAB6866-0BBF-472A-9642-ACC5DEACAC99}" name="Columna12881" dataDxfId="3531"/>
    <tableColumn id="12888" xr3:uid="{A2DD9368-655E-4E08-B4AC-906BD38A2C17}" name="Columna12882" dataDxfId="3530"/>
    <tableColumn id="12889" xr3:uid="{2275409E-F032-4FE4-9215-C7798CDB6D0E}" name="Columna12883" dataDxfId="3529"/>
    <tableColumn id="12890" xr3:uid="{D1D1E601-1887-4140-AAEC-89433BCD6788}" name="Columna12884" dataDxfId="3528"/>
    <tableColumn id="12891" xr3:uid="{682B1323-5525-4AA5-BA82-E0B346C5913E}" name="Columna12885" dataDxfId="3527"/>
    <tableColumn id="12892" xr3:uid="{202E2F9E-53AE-4D5E-8407-23C72CAB6A91}" name="Columna12886" dataDxfId="3526"/>
    <tableColumn id="12893" xr3:uid="{0DDC2703-F38B-4BD7-AFE4-AC7C219B7590}" name="Columna12887" dataDxfId="3525"/>
    <tableColumn id="12894" xr3:uid="{5939C298-74BE-414F-ACD9-F9A7D094D1B4}" name="Columna12888" dataDxfId="3524"/>
    <tableColumn id="12895" xr3:uid="{A32C1552-0622-494B-BDBF-7F120C08E40E}" name="Columna12889" dataDxfId="3523"/>
    <tableColumn id="12896" xr3:uid="{940EEA39-D719-4083-9F9B-3AB453C21484}" name="Columna12890" dataDxfId="3522"/>
    <tableColumn id="12897" xr3:uid="{2CB84C55-8C13-4FFE-A9F9-6E3EE1F93E1D}" name="Columna12891" dataDxfId="3521"/>
    <tableColumn id="12898" xr3:uid="{46D85CD9-26D6-4903-AC66-F2708EB01289}" name="Columna12892" dataDxfId="3520"/>
    <tableColumn id="12899" xr3:uid="{8664BA9E-2F4F-421F-AEF3-DCA1C6358B2F}" name="Columna12893" dataDxfId="3519"/>
    <tableColumn id="12900" xr3:uid="{D71C781E-82D5-48C5-BE8F-A347A9934253}" name="Columna12894" dataDxfId="3518"/>
    <tableColumn id="12901" xr3:uid="{F683166C-9F8A-4C60-8EC6-0E4F2E862057}" name="Columna12895" dataDxfId="3517"/>
    <tableColumn id="12902" xr3:uid="{3F5ABCC2-7BC0-4043-B11A-0DA4420FF3BC}" name="Columna12896" dataDxfId="3516"/>
    <tableColumn id="12903" xr3:uid="{EF002B3B-FFBF-41C0-BFB7-C0208DA47EED}" name="Columna12897" dataDxfId="3515"/>
    <tableColumn id="12904" xr3:uid="{507C8698-EEE5-4FA2-991E-FF2AF8EB44D0}" name="Columna12898" dataDxfId="3514"/>
    <tableColumn id="12905" xr3:uid="{5DFD74EF-3662-493E-8954-ECFA0CF6707E}" name="Columna12899" dataDxfId="3513"/>
    <tableColumn id="12906" xr3:uid="{2E077A20-6F85-44C3-BA44-2921234638CC}" name="Columna12900" dataDxfId="3512"/>
    <tableColumn id="12907" xr3:uid="{3D5A1180-C52A-49F2-AC70-FAAAC3F38D28}" name="Columna12901" dataDxfId="3511"/>
    <tableColumn id="12908" xr3:uid="{4CBCC19A-7E3D-4201-876E-D266A0A24D90}" name="Columna12902" dataDxfId="3510"/>
    <tableColumn id="12909" xr3:uid="{54348DE7-33B8-4990-AA6F-F5563C3D0CE3}" name="Columna12903" dataDxfId="3509"/>
    <tableColumn id="12910" xr3:uid="{4169BA32-EAD1-4E14-8C6B-00D95185C91E}" name="Columna12904" dataDxfId="3508"/>
    <tableColumn id="12911" xr3:uid="{FBF5480D-C229-45D7-8412-ED0BD6D0E4FD}" name="Columna12905" dataDxfId="3507"/>
    <tableColumn id="12912" xr3:uid="{68B936E3-825A-4255-BEFC-9D1C87CC8BFD}" name="Columna12906" dataDxfId="3506"/>
    <tableColumn id="12913" xr3:uid="{BA66E831-CA77-4C5B-98B0-46ED3185D8BC}" name="Columna12907" dataDxfId="3505"/>
    <tableColumn id="12914" xr3:uid="{E403A41D-434C-453E-8727-2C85C53E7F1E}" name="Columna12908" dataDxfId="3504"/>
    <tableColumn id="12915" xr3:uid="{4E05AD9B-9B6B-4394-9D9B-5AB94EC840D4}" name="Columna12909" dataDxfId="3503"/>
    <tableColumn id="12916" xr3:uid="{F47869DA-EBD9-4A23-BD25-0B556A5A149B}" name="Columna12910" dataDxfId="3502"/>
    <tableColumn id="12917" xr3:uid="{4D99A9F2-8A70-49ED-BC97-74F22C76F2E8}" name="Columna12911" dataDxfId="3501"/>
    <tableColumn id="12918" xr3:uid="{F519F21A-294D-49C2-BA06-FFC28A6E0A63}" name="Columna12912" dataDxfId="3500"/>
    <tableColumn id="12919" xr3:uid="{30B6BB7A-3F95-48E9-916D-4C31C48A972F}" name="Columna12913" dataDxfId="3499"/>
    <tableColumn id="12920" xr3:uid="{761C71CA-3697-491B-A64F-4F9C47284252}" name="Columna12914" dataDxfId="3498"/>
    <tableColumn id="12921" xr3:uid="{EB56705F-29E7-44C1-8CCC-D2EB581B8D63}" name="Columna12915" dataDxfId="3497"/>
    <tableColumn id="12922" xr3:uid="{BDCF4FCC-AECF-4387-8DD7-543CB8609306}" name="Columna12916" dataDxfId="3496"/>
    <tableColumn id="12923" xr3:uid="{897301D6-8D1A-4E14-B791-AA2F4F9440A6}" name="Columna12917" dataDxfId="3495"/>
    <tableColumn id="12924" xr3:uid="{5A99C71E-A01B-4140-AABE-27F7FE2369C9}" name="Columna12918" dataDxfId="3494"/>
    <tableColumn id="12925" xr3:uid="{F4B768A5-673F-4723-9561-7BE9ACEA04E7}" name="Columna12919" dataDxfId="3493"/>
    <tableColumn id="12926" xr3:uid="{2F8D4E4B-674F-43B7-A8A8-0878F43F8C11}" name="Columna12920" dataDxfId="3492"/>
    <tableColumn id="12927" xr3:uid="{24A7AC56-1B0B-4B93-92ED-AFDB0C17AE12}" name="Columna12921" dataDxfId="3491"/>
    <tableColumn id="12928" xr3:uid="{265F7A5F-7B76-4483-8F31-E10360DED543}" name="Columna12922" dataDxfId="3490"/>
    <tableColumn id="12929" xr3:uid="{2B568079-D174-4D7B-B31F-2ACE291F6BCB}" name="Columna12923" dataDxfId="3489"/>
    <tableColumn id="12930" xr3:uid="{06509278-9268-471A-8BFE-D2E98E4CA113}" name="Columna12924" dataDxfId="3488"/>
    <tableColumn id="12931" xr3:uid="{A518D43B-6448-4969-AEDC-EAADEFE32216}" name="Columna12925" dataDxfId="3487"/>
    <tableColumn id="12932" xr3:uid="{0CB72D1A-108D-44B7-A54F-D016A896B868}" name="Columna12926" dataDxfId="3486"/>
    <tableColumn id="12933" xr3:uid="{EA622AC2-F95F-430C-88E2-0CFF66098F90}" name="Columna12927" dataDxfId="3485"/>
    <tableColumn id="12934" xr3:uid="{5B82CCB9-D15E-4B31-89CD-A4C199671CC2}" name="Columna12928" dataDxfId="3484"/>
    <tableColumn id="12935" xr3:uid="{A1080D05-E52D-4233-B00B-E844292A96BC}" name="Columna12929" dataDxfId="3483"/>
    <tableColumn id="12936" xr3:uid="{4B31AAA7-09A8-4B4E-B117-422203044FC4}" name="Columna12930" dataDxfId="3482"/>
    <tableColumn id="12937" xr3:uid="{59831236-43D0-40E9-9423-1F58B1ACB18D}" name="Columna12931" dataDxfId="3481"/>
    <tableColumn id="12938" xr3:uid="{ABE92D0E-73CD-41EB-B4E3-C77E3028AE5B}" name="Columna12932" dataDxfId="3480"/>
    <tableColumn id="12939" xr3:uid="{54AAE276-F5FC-450F-98AB-BF373DDEC832}" name="Columna12933" dataDxfId="3479"/>
    <tableColumn id="12940" xr3:uid="{6292FEC4-41C3-4CF7-A677-16F805D9854C}" name="Columna12934" dataDxfId="3478"/>
    <tableColumn id="12941" xr3:uid="{58A12200-798A-400E-9670-2E4AAE593E89}" name="Columna12935" dataDxfId="3477"/>
    <tableColumn id="12942" xr3:uid="{10BDE115-25C8-42A6-A03A-C09A800336F3}" name="Columna12936" dataDxfId="3476"/>
    <tableColumn id="12943" xr3:uid="{BCDE0063-B08D-4071-95B5-98FE19C88ACA}" name="Columna12937" dataDxfId="3475"/>
    <tableColumn id="12944" xr3:uid="{83C5712A-CC21-48C1-B09A-9E397209F6BD}" name="Columna12938" dataDxfId="3474"/>
    <tableColumn id="12945" xr3:uid="{55BDC598-A79B-4CFD-84A9-7B09EB258F36}" name="Columna12939" dataDxfId="3473"/>
    <tableColumn id="12946" xr3:uid="{33FC31A2-E70F-4BA4-8090-2BAC630C1FF0}" name="Columna12940" dataDxfId="3472"/>
    <tableColumn id="12947" xr3:uid="{EB78030C-1780-4E29-8309-3C2D4B503657}" name="Columna12941" dataDxfId="3471"/>
    <tableColumn id="12948" xr3:uid="{7118E240-8F5A-466B-9F0B-2CA2855C12C5}" name="Columna12942" dataDxfId="3470"/>
    <tableColumn id="12949" xr3:uid="{902B3124-C590-4AFF-8C58-8FC1388FE339}" name="Columna12943" dataDxfId="3469"/>
    <tableColumn id="12950" xr3:uid="{8545675D-6ABC-4E21-8C79-0A9904941401}" name="Columna12944" dataDxfId="3468"/>
    <tableColumn id="12951" xr3:uid="{597B6401-BC7D-4FC2-84FD-49BE5ACE935B}" name="Columna12945" dataDxfId="3467"/>
    <tableColumn id="12952" xr3:uid="{A5379501-130E-4F24-A781-E26FE3C153AD}" name="Columna12946" dataDxfId="3466"/>
    <tableColumn id="12953" xr3:uid="{6627BBAA-5038-41F8-8CF5-D4BC26964D95}" name="Columna12947" dataDxfId="3465"/>
    <tableColumn id="12954" xr3:uid="{CBDD27E1-2BF7-4416-A460-EB9DC2589469}" name="Columna12948" dataDxfId="3464"/>
    <tableColumn id="12955" xr3:uid="{61AA5F3F-3497-47DC-8DD3-B7D837CB0114}" name="Columna12949" dataDxfId="3463"/>
    <tableColumn id="12956" xr3:uid="{EC7A93E2-76CF-41A3-9F70-45A44BE4D172}" name="Columna12950" dataDxfId="3462"/>
    <tableColumn id="12957" xr3:uid="{83AC1000-4BB0-4BAF-8E40-CA479311FD8A}" name="Columna12951" dataDxfId="3461"/>
    <tableColumn id="12958" xr3:uid="{1FAB6145-9D2B-45A2-9606-B887655C1D6C}" name="Columna12952" dataDxfId="3460"/>
    <tableColumn id="12959" xr3:uid="{08C3DE1A-BE95-4CB8-89EC-BA428F308F4B}" name="Columna12953" dataDxfId="3459"/>
    <tableColumn id="12960" xr3:uid="{D6B44B59-517C-45A8-B556-7D4A7EECBA5B}" name="Columna12954" dataDxfId="3458"/>
    <tableColumn id="12961" xr3:uid="{5B61147F-AB55-4A05-97DC-4B040210A293}" name="Columna12955" dataDxfId="3457"/>
    <tableColumn id="12962" xr3:uid="{6971CB26-C210-48F4-9F4F-5B2ECD384BE2}" name="Columna12956" dataDxfId="3456"/>
    <tableColumn id="12963" xr3:uid="{BC3903CA-5F17-49C8-8C8C-133088A73821}" name="Columna12957" dataDxfId="3455"/>
    <tableColumn id="12964" xr3:uid="{7F145467-6323-496E-94DF-2CE5461C0AA5}" name="Columna12958" dataDxfId="3454"/>
    <tableColumn id="12965" xr3:uid="{6802EAE9-F112-4C07-ADEB-AA609A942D9A}" name="Columna12959" dataDxfId="3453"/>
    <tableColumn id="12966" xr3:uid="{2829CBB1-E6F1-4807-B614-1680AA9E3DB9}" name="Columna12960" dataDxfId="3452"/>
    <tableColumn id="12967" xr3:uid="{955C5DEE-DF9A-4098-8DE4-9B0BE0413EA2}" name="Columna12961" dataDxfId="3451"/>
    <tableColumn id="12968" xr3:uid="{1172E5AD-5ABD-409D-B540-B60D0C673D95}" name="Columna12962" dataDxfId="3450"/>
    <tableColumn id="12969" xr3:uid="{F455B769-2E78-4E8F-A6FF-4CC2A3A7A6D4}" name="Columna12963" dataDxfId="3449"/>
    <tableColumn id="12970" xr3:uid="{65579507-8CBF-4822-B50B-02F13748495B}" name="Columna12964" dataDxfId="3448"/>
    <tableColumn id="12971" xr3:uid="{F26FAB3D-DF5A-455C-9495-B6CA7CF07923}" name="Columna12965" dataDxfId="3447"/>
    <tableColumn id="12972" xr3:uid="{74AE21E8-BBA8-42EB-80A0-F1B2E28E6A8B}" name="Columna12966" dataDxfId="3446"/>
    <tableColumn id="12973" xr3:uid="{7A32C10D-16CD-4EFE-BEC3-16F808BA94CD}" name="Columna12967" dataDxfId="3445"/>
    <tableColumn id="12974" xr3:uid="{512FA2CB-EE67-424B-A569-2FCD0895CE3F}" name="Columna12968" dataDxfId="3444"/>
    <tableColumn id="12975" xr3:uid="{DCD40E85-4B14-44B7-BBBD-4FB71F3FE66D}" name="Columna12969" dataDxfId="3443"/>
    <tableColumn id="12976" xr3:uid="{3850D9F9-F8CE-49EA-8737-3F9C89297ED6}" name="Columna12970" dataDxfId="3442"/>
    <tableColumn id="12977" xr3:uid="{B1C48368-0AB9-487B-84DA-A4A4E5D58D04}" name="Columna12971" dataDxfId="3441"/>
    <tableColumn id="12978" xr3:uid="{7BE36AA7-6DEA-47B8-942A-A03D2D86745B}" name="Columna12972" dataDxfId="3440"/>
    <tableColumn id="12979" xr3:uid="{F5414069-4FBF-4455-855F-ED04786383F4}" name="Columna12973" dataDxfId="3439"/>
    <tableColumn id="12980" xr3:uid="{DEE2F8A1-67DD-458A-B3DE-D69380A806EA}" name="Columna12974" dataDxfId="3438"/>
    <tableColumn id="12981" xr3:uid="{5402F5C5-9838-43B6-B061-C741DB9D5F04}" name="Columna12975" dataDxfId="3437"/>
    <tableColumn id="12982" xr3:uid="{7F2F9322-AF09-4D72-A4D5-4E1F81577914}" name="Columna12976" dataDxfId="3436"/>
    <tableColumn id="12983" xr3:uid="{FB496C71-B468-474B-9A9F-E5B4019969AE}" name="Columna12977" dataDxfId="3435"/>
    <tableColumn id="12984" xr3:uid="{6297364F-377B-4E84-AD7E-419C8874D29F}" name="Columna12978" dataDxfId="3434"/>
    <tableColumn id="12985" xr3:uid="{1A90E20A-3B1B-4362-9D9E-4FB9B3EF0BC0}" name="Columna12979" dataDxfId="3433"/>
    <tableColumn id="12986" xr3:uid="{DF12804D-B6A5-4A7A-B3A7-B59AC48A362D}" name="Columna12980" dataDxfId="3432"/>
    <tableColumn id="12987" xr3:uid="{38EC3DA3-5FF2-40E8-A0ED-9CEBA98B2917}" name="Columna12981" dataDxfId="3431"/>
    <tableColumn id="12988" xr3:uid="{F2081A36-50ED-48AD-9643-23CA1ED54970}" name="Columna12982" dataDxfId="3430"/>
    <tableColumn id="12989" xr3:uid="{968BA1A8-79B6-4051-93CA-0BE4FB17C150}" name="Columna12983" dataDxfId="3429"/>
    <tableColumn id="12990" xr3:uid="{E9444A3D-D17F-4F29-8336-C41D7FDF7D92}" name="Columna12984" dataDxfId="3428"/>
    <tableColumn id="12991" xr3:uid="{65ADCC82-04BE-4E91-9BF7-9D58EE7C24B9}" name="Columna12985" dataDxfId="3427"/>
    <tableColumn id="12992" xr3:uid="{5129E997-4333-4185-820E-0578B6742D51}" name="Columna12986" dataDxfId="3426"/>
    <tableColumn id="12993" xr3:uid="{E3241FBA-3684-474C-9BBA-2E57F8CBBF70}" name="Columna12987" dataDxfId="3425"/>
    <tableColumn id="12994" xr3:uid="{BAF0CB38-1080-476F-B713-F5C74443FEFF}" name="Columna12988" dataDxfId="3424"/>
    <tableColumn id="12995" xr3:uid="{6D01B0E1-5B95-4AEB-9E05-C98175BD58EE}" name="Columna12989" dataDxfId="3423"/>
    <tableColumn id="12996" xr3:uid="{191F8551-95F9-4849-A74C-CDFF5813AB7E}" name="Columna12990" dataDxfId="3422"/>
    <tableColumn id="12997" xr3:uid="{F478C0F5-8D8A-4090-8ADE-7F9484D75470}" name="Columna12991" dataDxfId="3421"/>
    <tableColumn id="12998" xr3:uid="{EF0CD547-C32F-400E-B3AA-96E6B91C6045}" name="Columna12992" dataDxfId="3420"/>
    <tableColumn id="12999" xr3:uid="{21D182E4-7A6C-4EEC-BCB4-8A4BE1B6BA27}" name="Columna12993" dataDxfId="3419"/>
    <tableColumn id="13000" xr3:uid="{73E4F6C2-F630-4227-9C1C-97F59326D448}" name="Columna12994" dataDxfId="3418"/>
    <tableColumn id="13001" xr3:uid="{81AB403C-B44E-4C78-8F7D-26D81D70929A}" name="Columna12995" dataDxfId="3417"/>
    <tableColumn id="13002" xr3:uid="{10F01DCA-49E7-42DE-85EC-F7397C275E63}" name="Columna12996" dataDxfId="3416"/>
    <tableColumn id="13003" xr3:uid="{A31A458B-6121-46A8-92A8-0EC6F4E8DC4C}" name="Columna12997" dataDxfId="3415"/>
    <tableColumn id="13004" xr3:uid="{32E43E9E-3217-4E0F-9128-ACC48DFFBAC6}" name="Columna12998" dataDxfId="3414"/>
    <tableColumn id="13005" xr3:uid="{0B715B96-05CE-48D2-9F14-E7B41D06EF08}" name="Columna12999" dataDxfId="3413"/>
    <tableColumn id="13006" xr3:uid="{38A250AF-3914-4F41-948A-02A44884DF7D}" name="Columna13000" dataDxfId="3412"/>
    <tableColumn id="13007" xr3:uid="{249EC569-614E-4601-B4D7-94E121DF0A21}" name="Columna13001" dataDxfId="3411"/>
    <tableColumn id="13008" xr3:uid="{16E2752D-8688-4EDE-944D-10777B173D68}" name="Columna13002" dataDxfId="3410"/>
    <tableColumn id="13009" xr3:uid="{C32308C4-2ED2-407A-BB2C-A7039D697875}" name="Columna13003" dataDxfId="3409"/>
    <tableColumn id="13010" xr3:uid="{EDCD7792-AD8B-42D4-84AC-240AC7FBF618}" name="Columna13004" dataDxfId="3408"/>
    <tableColumn id="13011" xr3:uid="{EAC44ACC-7508-4CAD-8FB9-4C96DE639989}" name="Columna13005" dataDxfId="3407"/>
    <tableColumn id="13012" xr3:uid="{9DC3863D-C607-499D-B336-D0A07E60C3C6}" name="Columna13006" dataDxfId="3406"/>
    <tableColumn id="13013" xr3:uid="{23BBC86A-F2C3-4139-B85F-5DA483E8F85D}" name="Columna13007" dataDxfId="3405"/>
    <tableColumn id="13014" xr3:uid="{A9DCBB53-6BF9-4DE3-8587-6FC9A246DFCC}" name="Columna13008" dataDxfId="3404"/>
    <tableColumn id="13015" xr3:uid="{4DB8AD60-7853-44DC-BB39-E1395066C141}" name="Columna13009" dataDxfId="3403"/>
    <tableColumn id="13016" xr3:uid="{D4585517-1303-449E-AEC4-473046E64052}" name="Columna13010" dataDxfId="3402"/>
    <tableColumn id="13017" xr3:uid="{937B32F0-02D5-4F03-AA33-E5FDE991E2EA}" name="Columna13011" dataDxfId="3401"/>
    <tableColumn id="13018" xr3:uid="{2CE3F93D-ABFB-494D-AB89-0E0552BFE794}" name="Columna13012" dataDxfId="3400"/>
    <tableColumn id="13019" xr3:uid="{78B7D849-8100-4E2B-B001-9248F760A899}" name="Columna13013" dataDxfId="3399"/>
    <tableColumn id="13020" xr3:uid="{07E5285F-6A03-4767-9AB8-FB80F0DCB3F1}" name="Columna13014" dataDxfId="3398"/>
    <tableColumn id="13021" xr3:uid="{5A340957-A5C1-4E64-B52A-55D4E189CCE9}" name="Columna13015" dataDxfId="3397"/>
    <tableColumn id="13022" xr3:uid="{8CF116EB-FFDC-4775-B7ED-08E6FE28870D}" name="Columna13016" dataDxfId="3396"/>
    <tableColumn id="13023" xr3:uid="{A880EB72-573D-4825-92E7-73141CD43EC2}" name="Columna13017" dataDxfId="3395"/>
    <tableColumn id="13024" xr3:uid="{7D84A626-BFD0-43EC-A0E8-9954444E0C54}" name="Columna13018" dataDxfId="3394"/>
    <tableColumn id="13025" xr3:uid="{F9D8211F-3710-47BE-B685-5782FD1769B5}" name="Columna13019" dataDxfId="3393"/>
    <tableColumn id="13026" xr3:uid="{4DFC8249-0F7F-4F81-8693-94EDDE9D0C19}" name="Columna13020" dataDxfId="3392"/>
    <tableColumn id="13027" xr3:uid="{2762191C-0783-405B-ADA2-28BD01659C04}" name="Columna13021" dataDxfId="3391"/>
    <tableColumn id="13028" xr3:uid="{64BA6320-CCAE-49B7-9D8D-A0E2D11D9AC0}" name="Columna13022" dataDxfId="3390"/>
    <tableColumn id="13029" xr3:uid="{0A63B1F5-222B-4E84-BA52-62182F369794}" name="Columna13023" dataDxfId="3389"/>
    <tableColumn id="13030" xr3:uid="{B76B3529-8D93-494D-8D9D-7C9999DF6483}" name="Columna13024" dataDxfId="3388"/>
    <tableColumn id="13031" xr3:uid="{674FBD24-713B-44BD-9787-C9EA4F664471}" name="Columna13025" dataDxfId="3387"/>
    <tableColumn id="13032" xr3:uid="{3B27F37B-8B5C-4629-BB08-1CE7717F25CB}" name="Columna13026" dataDxfId="3386"/>
    <tableColumn id="13033" xr3:uid="{08C36A61-3833-444E-AB20-AC4FAB54BC81}" name="Columna13027" dataDxfId="3385"/>
    <tableColumn id="13034" xr3:uid="{757D7CE4-E126-453F-AF2C-ADDAEFB82DFA}" name="Columna13028" dataDxfId="3384"/>
    <tableColumn id="13035" xr3:uid="{3BEFB0F2-DAAB-43C8-B6F5-51D329753F45}" name="Columna13029" dataDxfId="3383"/>
    <tableColumn id="13036" xr3:uid="{E16B49A9-A8A0-4DF5-A8A6-61E00340D6E6}" name="Columna13030" dataDxfId="3382"/>
    <tableColumn id="13037" xr3:uid="{40F7AC6F-F67F-4CA8-8E48-E2E2FCFCC9F5}" name="Columna13031" dataDxfId="3381"/>
    <tableColumn id="13038" xr3:uid="{3C5E427E-6614-478C-B6CE-5F6F47D25847}" name="Columna13032" dataDxfId="3380"/>
    <tableColumn id="13039" xr3:uid="{7C6DAFEC-9108-41A6-98CF-CDE4D811FCF1}" name="Columna13033" dataDxfId="3379"/>
    <tableColumn id="13040" xr3:uid="{87FEF865-C604-4552-AFE6-44361D4C678D}" name="Columna13034" dataDxfId="3378"/>
    <tableColumn id="13041" xr3:uid="{DFA80602-E5B0-4FE4-A260-3F58DBB8D24B}" name="Columna13035" dataDxfId="3377"/>
    <tableColumn id="13042" xr3:uid="{8C472B4D-BD95-4E1F-97D7-36020E7BA561}" name="Columna13036" dataDxfId="3376"/>
    <tableColumn id="13043" xr3:uid="{650E07ED-132B-4348-8FBA-97984D5F66BC}" name="Columna13037" dataDxfId="3375"/>
    <tableColumn id="13044" xr3:uid="{B319AC50-5916-4588-8FF2-3687BF294217}" name="Columna13038" dataDxfId="3374"/>
    <tableColumn id="13045" xr3:uid="{B5F2400D-F331-403B-B587-5E9CE9263B82}" name="Columna13039" dataDxfId="3373"/>
    <tableColumn id="13046" xr3:uid="{228D6DD9-C7A2-467A-A545-0946BD3F327E}" name="Columna13040" dataDxfId="3372"/>
    <tableColumn id="13047" xr3:uid="{94156C5F-8A87-4A23-BAF0-A8F224B731A3}" name="Columna13041" dataDxfId="3371"/>
    <tableColumn id="13048" xr3:uid="{4409CFFE-7B71-494D-A0E1-09FCCDBE58A2}" name="Columna13042" dataDxfId="3370"/>
    <tableColumn id="13049" xr3:uid="{1EEC7646-C87E-4B1F-9868-2E17120EC873}" name="Columna13043" dataDxfId="3369"/>
    <tableColumn id="13050" xr3:uid="{00231AAF-C33A-4609-B4C6-E4DE2052EF24}" name="Columna13044" dataDxfId="3368"/>
    <tableColumn id="13051" xr3:uid="{B40D2BA7-D10B-40B7-A96D-264874A66552}" name="Columna13045" dataDxfId="3367"/>
    <tableColumn id="13052" xr3:uid="{0031891C-6213-4403-95AC-6D72AD6BAEFC}" name="Columna13046" dataDxfId="3366"/>
    <tableColumn id="13053" xr3:uid="{9587F9D0-76A8-4DE9-AB46-E22A882FC1C0}" name="Columna13047" dataDxfId="3365"/>
    <tableColumn id="13054" xr3:uid="{71DF9AC5-521F-4F52-947F-7ECF209D8F45}" name="Columna13048" dataDxfId="3364"/>
    <tableColumn id="13055" xr3:uid="{AD036AA8-6EFC-48DA-B4CF-39CAF2837EAF}" name="Columna13049" dataDxfId="3363"/>
    <tableColumn id="13056" xr3:uid="{622FD3AB-9003-4361-92B0-7EDC7D0971B4}" name="Columna13050" dataDxfId="3362"/>
    <tableColumn id="13057" xr3:uid="{15085EEF-AB17-47A9-A56F-5969505B4305}" name="Columna13051" dataDxfId="3361"/>
    <tableColumn id="13058" xr3:uid="{1BA08401-DD38-4FC0-9BE2-AA2DD787EAB7}" name="Columna13052" dataDxfId="3360"/>
    <tableColumn id="13059" xr3:uid="{4D461AC0-B7A8-4995-B909-52E11A9262C6}" name="Columna13053" dataDxfId="3359"/>
    <tableColumn id="13060" xr3:uid="{AABBAF76-4A3B-4507-9932-E01E2AA63FAD}" name="Columna13054" dataDxfId="3358"/>
    <tableColumn id="13061" xr3:uid="{58644C21-8D26-4CCA-9E17-8E8C046DD4DD}" name="Columna13055" dataDxfId="3357"/>
    <tableColumn id="13062" xr3:uid="{620DA880-E8FB-4CA8-9D99-0DB5E19EABB5}" name="Columna13056" dataDxfId="3356"/>
    <tableColumn id="13063" xr3:uid="{EA13E925-4748-4BF8-BCAC-470EFAD06628}" name="Columna13057" dataDxfId="3355"/>
    <tableColumn id="13064" xr3:uid="{A75A7077-4D22-4C17-998A-698BC3911727}" name="Columna13058" dataDxfId="3354"/>
    <tableColumn id="13065" xr3:uid="{1E8E6739-740D-42DF-A5D3-26BD4047B2BD}" name="Columna13059" dataDxfId="3353"/>
    <tableColumn id="13066" xr3:uid="{11200117-AD50-4D5C-A081-BB672F32E19B}" name="Columna13060" dataDxfId="3352"/>
    <tableColumn id="13067" xr3:uid="{632DB266-ECA5-4F83-96EB-5D271D943948}" name="Columna13061" dataDxfId="3351"/>
    <tableColumn id="13068" xr3:uid="{62C40AB3-4C3B-4C52-9067-CE1AFCE2C568}" name="Columna13062" dataDxfId="3350"/>
    <tableColumn id="13069" xr3:uid="{002CCDF7-9BC3-4C37-8403-0CECEF9715CA}" name="Columna13063" dataDxfId="3349"/>
    <tableColumn id="13070" xr3:uid="{0A914766-879A-45FF-A8D9-56628CE005DB}" name="Columna13064" dataDxfId="3348"/>
    <tableColumn id="13071" xr3:uid="{40979803-34D6-4B92-B7C2-63CAE8D3E898}" name="Columna13065" dataDxfId="3347"/>
    <tableColumn id="13072" xr3:uid="{519DEC6E-E81D-4064-A63C-F505CBA19025}" name="Columna13066" dataDxfId="3346"/>
    <tableColumn id="13073" xr3:uid="{6C1F17B8-2955-4ED3-95FE-440592A3C46D}" name="Columna13067" dataDxfId="3345"/>
    <tableColumn id="13074" xr3:uid="{FFA91E50-D3A3-4AEF-AB1E-B715DFF4EDCC}" name="Columna13068" dataDxfId="3344"/>
    <tableColumn id="13075" xr3:uid="{C1A5FA6E-4751-4840-A3CB-F416C9AE2C8C}" name="Columna13069" dataDxfId="3343"/>
    <tableColumn id="13076" xr3:uid="{0899C58C-BFA1-4520-A3C1-EA1F344D2990}" name="Columna13070" dataDxfId="3342"/>
    <tableColumn id="13077" xr3:uid="{5D97CDEC-635E-403E-9379-D261DD5D1F55}" name="Columna13071" dataDxfId="3341"/>
    <tableColumn id="13078" xr3:uid="{93D1662D-0454-4554-95BF-C2B54D0DEFBC}" name="Columna13072" dataDxfId="3340"/>
    <tableColumn id="13079" xr3:uid="{A2D5D857-0F86-472D-B1E9-D6F1E9BACA5E}" name="Columna13073" dataDxfId="3339"/>
    <tableColumn id="13080" xr3:uid="{1C0B827C-9831-497E-AE66-C25CDF39CC82}" name="Columna13074" dataDxfId="3338"/>
    <tableColumn id="13081" xr3:uid="{9CBEF724-7031-4DAE-AF38-B661A931DC64}" name="Columna13075" dataDxfId="3337"/>
    <tableColumn id="13082" xr3:uid="{D2028BCD-03DD-4DCE-B01D-12E5D33EBED2}" name="Columna13076" dataDxfId="3336"/>
    <tableColumn id="13083" xr3:uid="{EBC855D9-E055-486C-BBF4-80F26ACF9B42}" name="Columna13077" dataDxfId="3335"/>
    <tableColumn id="13084" xr3:uid="{B8509D66-5A3C-4565-A1B8-76AFC01BF0DB}" name="Columna13078" dataDxfId="3334"/>
    <tableColumn id="13085" xr3:uid="{9F757C5B-8BE6-430E-A0E6-83140FE08229}" name="Columna13079" dataDxfId="3333"/>
    <tableColumn id="13086" xr3:uid="{F0C64368-BD35-4D1D-8D09-8DD1294A0465}" name="Columna13080" dataDxfId="3332"/>
    <tableColumn id="13087" xr3:uid="{91923842-2817-42ED-A5A8-2E5ECDCBFE27}" name="Columna13081" dataDxfId="3331"/>
    <tableColumn id="13088" xr3:uid="{021512B5-4761-482D-B820-5642DDDB9828}" name="Columna13082" dataDxfId="3330"/>
    <tableColumn id="13089" xr3:uid="{9AABCD54-542E-4C59-86CC-DF4F37496289}" name="Columna13083" dataDxfId="3329"/>
    <tableColumn id="13090" xr3:uid="{C7B5E3FA-F4A5-43A6-A88C-7169C7C60914}" name="Columna13084" dataDxfId="3328"/>
    <tableColumn id="13091" xr3:uid="{6DDFF118-C41E-4C30-B665-C6D80027FB2B}" name="Columna13085" dataDxfId="3327"/>
    <tableColumn id="13092" xr3:uid="{239426F0-9DA5-44CC-A522-F89DDF3D671B}" name="Columna13086" dataDxfId="3326"/>
    <tableColumn id="13093" xr3:uid="{21A8307B-59B8-45F8-8D4D-A5E9EBF585ED}" name="Columna13087" dataDxfId="3325"/>
    <tableColumn id="13094" xr3:uid="{04A625CB-601C-448F-A651-81BEEDC87D70}" name="Columna13088" dataDxfId="3324"/>
    <tableColumn id="13095" xr3:uid="{02CCADFD-CEDC-4A6B-B27C-7B879AD45E80}" name="Columna13089" dataDxfId="3323"/>
    <tableColumn id="13096" xr3:uid="{9B841943-BAEB-412E-95A6-1E14FA877501}" name="Columna13090" dataDxfId="3322"/>
    <tableColumn id="13097" xr3:uid="{D2AC4F46-30EC-42D3-A3B3-111FE7EBF0BE}" name="Columna13091" dataDxfId="3321"/>
    <tableColumn id="13098" xr3:uid="{12C36F7E-ECA3-4E68-BC0E-6231E52E1425}" name="Columna13092" dataDxfId="3320"/>
    <tableColumn id="13099" xr3:uid="{D0E750BF-442F-4EDA-A9C1-FF4179589299}" name="Columna13093" dataDxfId="3319"/>
    <tableColumn id="13100" xr3:uid="{6B65C8DA-F8FC-4FEE-ABAA-B9E019DF5235}" name="Columna13094" dataDxfId="3318"/>
    <tableColumn id="13101" xr3:uid="{0484A2F3-D2E8-4438-83B8-8724C3254091}" name="Columna13095" dataDxfId="3317"/>
    <tableColumn id="13102" xr3:uid="{5C699711-FE2E-477B-9DCA-4E879A1295DB}" name="Columna13096" dataDxfId="3316"/>
    <tableColumn id="13103" xr3:uid="{018CAA46-20D2-47A5-BA62-294C57870A7D}" name="Columna13097" dataDxfId="3315"/>
    <tableColumn id="13104" xr3:uid="{C3482FCE-315F-4A34-A401-2526261D8F74}" name="Columna13098" dataDxfId="3314"/>
    <tableColumn id="13105" xr3:uid="{6744D642-53F0-4A47-A940-4110EA4902E4}" name="Columna13099" dataDxfId="3313"/>
    <tableColumn id="13106" xr3:uid="{6C5FCE57-ECC4-4F55-AF3C-863C09FC1353}" name="Columna13100" dataDxfId="3312"/>
    <tableColumn id="13107" xr3:uid="{21842A91-C39D-4E36-A3B8-7D9F74E12B4A}" name="Columna13101" dataDxfId="3311"/>
    <tableColumn id="13108" xr3:uid="{DCE730B4-1B68-4D46-8742-9CE7E53BCD73}" name="Columna13102" dataDxfId="3310"/>
    <tableColumn id="13109" xr3:uid="{D16EA228-709F-446E-BDA1-AF2743C47719}" name="Columna13103" dataDxfId="3309"/>
    <tableColumn id="13110" xr3:uid="{C4783890-3B28-49F0-AAD3-BE467F670CB2}" name="Columna13104" dataDxfId="3308"/>
    <tableColumn id="13111" xr3:uid="{E296E82A-34F7-47EA-99A9-61E2CF7F47E6}" name="Columna13105" dataDxfId="3307"/>
    <tableColumn id="13112" xr3:uid="{CB286ED7-E5FA-41C7-8776-904BA89F68DA}" name="Columna13106" dataDxfId="3306"/>
    <tableColumn id="13113" xr3:uid="{93518649-BFA8-4670-BA79-7A841F31EBF6}" name="Columna13107" dataDxfId="3305"/>
    <tableColumn id="13114" xr3:uid="{4E8D9610-A460-43E0-8392-08FE1B17CA7B}" name="Columna13108" dataDxfId="3304"/>
    <tableColumn id="13115" xr3:uid="{A44CBF2B-9B9D-4E82-B048-CB141C67C17A}" name="Columna13109" dataDxfId="3303"/>
    <tableColumn id="13116" xr3:uid="{0998190A-4186-43BE-8ACA-B3BE560F63D7}" name="Columna13110" dataDxfId="3302"/>
    <tableColumn id="13117" xr3:uid="{96586972-98D0-436B-92F5-459C9D0E4A78}" name="Columna13111" dataDxfId="3301"/>
    <tableColumn id="13118" xr3:uid="{CAC442C1-8CD3-419B-B569-FDE725558101}" name="Columna13112" dataDxfId="3300"/>
    <tableColumn id="13119" xr3:uid="{D80F158D-7678-4A7A-BF35-0002FE1BD806}" name="Columna13113" dataDxfId="3299"/>
    <tableColumn id="13120" xr3:uid="{49BD9158-A224-42C3-9F45-677EB5B34A2A}" name="Columna13114" dataDxfId="3298"/>
    <tableColumn id="13121" xr3:uid="{0506CC51-F70A-462A-82E9-580276EDF936}" name="Columna13115" dataDxfId="3297"/>
    <tableColumn id="13122" xr3:uid="{EFCAA55F-93F7-4F3D-8283-1E2C83617A0A}" name="Columna13116" dataDxfId="3296"/>
    <tableColumn id="13123" xr3:uid="{1A07395C-9EB6-4B55-998C-EB99202C6C83}" name="Columna13117" dataDxfId="3295"/>
    <tableColumn id="13124" xr3:uid="{EB22935E-780C-4BC3-AA0B-A68EE2B6E65E}" name="Columna13118" dataDxfId="3294"/>
    <tableColumn id="13125" xr3:uid="{762DA625-86AB-4F44-BEE2-5934615F4123}" name="Columna13119" dataDxfId="3293"/>
    <tableColumn id="13126" xr3:uid="{EEF4EEF2-3075-4B79-A696-1AACCA7BA482}" name="Columna13120" dataDxfId="3292"/>
    <tableColumn id="13127" xr3:uid="{A824C5CB-A825-442A-AC44-557E37B8E41F}" name="Columna13121" dataDxfId="3291"/>
    <tableColumn id="13128" xr3:uid="{2982F373-0142-480E-8AC6-FAC6CD13C462}" name="Columna13122" dataDxfId="3290"/>
    <tableColumn id="13129" xr3:uid="{0C96F2BF-3014-4048-9E5E-8DFF6B4E8CC5}" name="Columna13123" dataDxfId="3289"/>
    <tableColumn id="13130" xr3:uid="{370937CD-3E74-446B-A3DC-9AB683656F89}" name="Columna13124" dataDxfId="3288"/>
    <tableColumn id="13131" xr3:uid="{FD69E9F4-5153-4D15-9732-5DF097731926}" name="Columna13125" dataDxfId="3287"/>
    <tableColumn id="13132" xr3:uid="{1FBA2E37-F97D-48FA-9490-87B542A3E1DC}" name="Columna13126" dataDxfId="3286"/>
    <tableColumn id="13133" xr3:uid="{74D09881-5AA8-487D-BF45-74CF67B57439}" name="Columna13127" dataDxfId="3285"/>
    <tableColumn id="13134" xr3:uid="{CEA1119E-5D1E-48C0-AFD9-022F5E25BEFA}" name="Columna13128" dataDxfId="3284"/>
    <tableColumn id="13135" xr3:uid="{0EBE12B6-CA6F-4EE5-9E93-0AA4723A770F}" name="Columna13129" dataDxfId="3283"/>
    <tableColumn id="13136" xr3:uid="{FFC3EB2E-9EF3-41B9-A80F-B2185F8E5055}" name="Columna13130" dataDxfId="3282"/>
    <tableColumn id="13137" xr3:uid="{9338B2A0-78EF-44BB-81A6-D74519B00D9A}" name="Columna13131" dataDxfId="3281"/>
    <tableColumn id="13138" xr3:uid="{A5657F08-5AFB-43F0-BFEA-B8B28339D433}" name="Columna13132" dataDxfId="3280"/>
    <tableColumn id="13139" xr3:uid="{C1A931AC-70FD-4081-95D0-C7C4647B33DD}" name="Columna13133" dataDxfId="3279"/>
    <tableColumn id="13140" xr3:uid="{31C4EEC5-01FA-4495-B3C7-544736B0FCCD}" name="Columna13134" dataDxfId="3278"/>
    <tableColumn id="13141" xr3:uid="{6A6495EA-ECDD-4649-87A6-4120747CB1BE}" name="Columna13135" dataDxfId="3277"/>
    <tableColumn id="13142" xr3:uid="{8681AF3F-40F5-47CB-A74B-704079A9CFA7}" name="Columna13136" dataDxfId="3276"/>
    <tableColumn id="13143" xr3:uid="{C8DB8FA9-418A-42E2-B3C0-87B503B9A3BE}" name="Columna13137" dataDxfId="3275"/>
    <tableColumn id="13144" xr3:uid="{D41F8677-758B-4601-B9E3-800444AA6E36}" name="Columna13138" dataDxfId="3274"/>
    <tableColumn id="13145" xr3:uid="{C66AF6CC-39C1-4035-92F5-FE16D368C61F}" name="Columna13139" dataDxfId="3273"/>
    <tableColumn id="13146" xr3:uid="{71871A08-B4B7-46A3-81AB-9A79B3D5E2C3}" name="Columna13140" dataDxfId="3272"/>
    <tableColumn id="13147" xr3:uid="{1FFC443A-2BF5-41EC-AD9F-7DF201EEB5B2}" name="Columna13141" dataDxfId="3271"/>
    <tableColumn id="13148" xr3:uid="{19386009-6518-4F2F-869E-BAB3287E19DF}" name="Columna13142" dataDxfId="3270"/>
    <tableColumn id="13149" xr3:uid="{A6984DA5-A70B-4269-85E5-63DAB7FD6C28}" name="Columna13143" dataDxfId="3269"/>
    <tableColumn id="13150" xr3:uid="{2A8D681C-2EB3-4620-B395-75EE2B1BC99E}" name="Columna13144" dataDxfId="3268"/>
    <tableColumn id="13151" xr3:uid="{4FFF944E-91EC-42B4-9C0B-4F587C069896}" name="Columna13145" dataDxfId="3267"/>
    <tableColumn id="13152" xr3:uid="{4404D887-545C-4865-A408-35E057935D9E}" name="Columna13146" dataDxfId="3266"/>
    <tableColumn id="13153" xr3:uid="{EEAA7F4B-8EE2-4E5D-B481-CBBFA8B64B8B}" name="Columna13147" dataDxfId="3265"/>
    <tableColumn id="13154" xr3:uid="{8BCD0171-9F23-4B45-99AC-3EEDDC953B9F}" name="Columna13148" dataDxfId="3264"/>
    <tableColumn id="13155" xr3:uid="{1DA36504-DFF2-4492-BC7C-1C8DE7B2C9F9}" name="Columna13149" dataDxfId="3263"/>
    <tableColumn id="13156" xr3:uid="{67DD8CAF-008E-4DF1-BB92-1B93F6159B9B}" name="Columna13150" dataDxfId="3262"/>
    <tableColumn id="13157" xr3:uid="{0EFC2842-6CCF-44C6-9754-1C042F1F44C2}" name="Columna13151" dataDxfId="3261"/>
    <tableColumn id="13158" xr3:uid="{48F670BF-7BD6-4117-AE33-EBAAB6A5FD27}" name="Columna13152" dataDxfId="3260"/>
    <tableColumn id="13159" xr3:uid="{DA97FE72-26A2-4CED-B4AC-9EFEF7EA46A5}" name="Columna13153" dataDxfId="3259"/>
    <tableColumn id="13160" xr3:uid="{77E54325-08B2-4F55-B3B0-F67378FE3DDC}" name="Columna13154" dataDxfId="3258"/>
    <tableColumn id="13161" xr3:uid="{2A657289-B10E-4A2B-B2FF-EDC6B1634FD3}" name="Columna13155" dataDxfId="3257"/>
    <tableColumn id="13162" xr3:uid="{0BE9A51C-1802-4AE2-8FBD-D96854246DC3}" name="Columna13156" dataDxfId="3256"/>
    <tableColumn id="13163" xr3:uid="{0750B870-2152-44D8-AAD4-18A42B1A2DB8}" name="Columna13157" dataDxfId="3255"/>
    <tableColumn id="13164" xr3:uid="{BBFE07B9-5B46-44B9-9018-53B3DAA8E3F9}" name="Columna13158" dataDxfId="3254"/>
    <tableColumn id="13165" xr3:uid="{03BCEEF0-7778-48D8-8F1C-19AA0A6CFAEE}" name="Columna13159" dataDxfId="3253"/>
    <tableColumn id="13166" xr3:uid="{03767B90-02EA-4F45-A84D-13939D7E26D1}" name="Columna13160" dataDxfId="3252"/>
    <tableColumn id="13167" xr3:uid="{B0398422-3A10-4789-B803-6A95A80A13DF}" name="Columna13161" dataDxfId="3251"/>
    <tableColumn id="13168" xr3:uid="{4BE43D86-81A5-4A1B-ACAF-E3F4AD408174}" name="Columna13162" dataDxfId="3250"/>
    <tableColumn id="13169" xr3:uid="{3C60922C-3150-4CE9-AAEC-5ABB6FC03046}" name="Columna13163" dataDxfId="3249"/>
    <tableColumn id="13170" xr3:uid="{E7E7A60D-2B28-4AA3-B47C-198667A77BF8}" name="Columna13164" dataDxfId="3248"/>
    <tableColumn id="13171" xr3:uid="{ADE8662E-B39F-4A55-BEB3-4E4329C0CF2D}" name="Columna13165" dataDxfId="3247"/>
    <tableColumn id="13172" xr3:uid="{61F9A8A0-D526-4FA0-A150-901B462460C0}" name="Columna13166" dataDxfId="3246"/>
    <tableColumn id="13173" xr3:uid="{F3106556-48A4-422C-8DB2-BAC9C1C2B4F6}" name="Columna13167" dataDxfId="3245"/>
    <tableColumn id="13174" xr3:uid="{0E86A3BE-AE5C-4FC8-A3B5-624194260AF9}" name="Columna13168" dataDxfId="3244"/>
    <tableColumn id="13175" xr3:uid="{650C2711-0BF5-4315-8651-94154B333A24}" name="Columna13169" dataDxfId="3243"/>
    <tableColumn id="13176" xr3:uid="{4A99D200-D2B3-4089-B2BB-1B7274E43E79}" name="Columna13170" dataDxfId="3242"/>
    <tableColumn id="13177" xr3:uid="{63B7C207-5178-470A-8CE3-934F972BFA5F}" name="Columna13171" dataDxfId="3241"/>
    <tableColumn id="13178" xr3:uid="{39FC4855-A676-487A-B080-1EF81200BF3F}" name="Columna13172" dataDxfId="3240"/>
    <tableColumn id="13179" xr3:uid="{4C214056-ACD4-4F4B-B3B1-99CFFE2D2558}" name="Columna13173" dataDxfId="3239"/>
    <tableColumn id="13180" xr3:uid="{A5D88834-4BEA-4665-8825-4B06B7C9B6B3}" name="Columna13174" dataDxfId="3238"/>
    <tableColumn id="13181" xr3:uid="{D622EACE-33A4-4520-BFCE-951CD4E48357}" name="Columna13175" dataDxfId="3237"/>
    <tableColumn id="13182" xr3:uid="{200F2647-EDB9-473C-8246-E6073BE177F3}" name="Columna13176" dataDxfId="3236"/>
    <tableColumn id="13183" xr3:uid="{56DB72F8-2A5F-4F0D-98E7-98682A7EBBD9}" name="Columna13177" dataDxfId="3235"/>
    <tableColumn id="13184" xr3:uid="{1916B155-CFD3-4F0C-B048-DAB5F9C5181B}" name="Columna13178" dataDxfId="3234"/>
    <tableColumn id="13185" xr3:uid="{D190F8A9-63F4-48CB-96F8-A731618C76D8}" name="Columna13179" dataDxfId="3233"/>
    <tableColumn id="13186" xr3:uid="{8F5C97AF-D276-4A5D-956E-B2F0EF7D0ADD}" name="Columna13180" dataDxfId="3232"/>
    <tableColumn id="13187" xr3:uid="{B0B1FE64-9BEC-42F9-A336-650449C51EA9}" name="Columna13181" dataDxfId="3231"/>
    <tableColumn id="13188" xr3:uid="{71773F8A-F782-483D-B128-B3B79E9859E8}" name="Columna13182" dataDxfId="3230"/>
    <tableColumn id="13189" xr3:uid="{2B5011E3-A8B4-4435-BF57-AC1FE6435752}" name="Columna13183" dataDxfId="3229"/>
    <tableColumn id="13190" xr3:uid="{80A73B0A-45E2-43DB-9A70-4D09E9370FC9}" name="Columna13184" dataDxfId="3228"/>
    <tableColumn id="13191" xr3:uid="{A478A5CD-C980-4536-BE0D-CB20FC9A091B}" name="Columna13185" dataDxfId="3227"/>
    <tableColumn id="13192" xr3:uid="{9DFDF955-C98A-4981-B251-704A46C44B7A}" name="Columna13186" dataDxfId="3226"/>
    <tableColumn id="13193" xr3:uid="{298991E9-37EC-440F-8C40-AC65B6ED7C27}" name="Columna13187" dataDxfId="3225"/>
    <tableColumn id="13194" xr3:uid="{328A8D8D-7CC9-4F8A-AE1F-9A6A96FB092D}" name="Columna13188" dataDxfId="3224"/>
    <tableColumn id="13195" xr3:uid="{11EF80C8-2567-41C5-B160-162218FADEFD}" name="Columna13189" dataDxfId="3223"/>
    <tableColumn id="13196" xr3:uid="{39F8CC14-9F8D-46E2-8FDE-D41A4EAAAAA7}" name="Columna13190" dataDxfId="3222"/>
    <tableColumn id="13197" xr3:uid="{7404613D-1E24-499C-ADC3-A4F5A08B3728}" name="Columna13191" dataDxfId="3221"/>
    <tableColumn id="13198" xr3:uid="{95881937-465D-41E4-A362-A65E769C4B7D}" name="Columna13192" dataDxfId="3220"/>
    <tableColumn id="13199" xr3:uid="{964CFACD-ADEF-496C-8064-0B28CCD5E0FB}" name="Columna13193" dataDxfId="3219"/>
    <tableColumn id="13200" xr3:uid="{0A15C408-62A6-4C90-8593-98EE93842619}" name="Columna13194" dataDxfId="3218"/>
    <tableColumn id="13201" xr3:uid="{CB7ACFDC-F79F-401E-B46A-9DD5A670707C}" name="Columna13195" dataDxfId="3217"/>
    <tableColumn id="13202" xr3:uid="{668F3F06-9F1B-4C6B-A0BA-56BE517B7867}" name="Columna13196" dataDxfId="3216"/>
    <tableColumn id="13203" xr3:uid="{1C9D429F-95FB-4B48-8C5D-BC78DBEACA4A}" name="Columna13197" dataDxfId="3215"/>
    <tableColumn id="13204" xr3:uid="{3B0AEB74-E873-4E05-B2FE-74E751FC7D09}" name="Columna13198" dataDxfId="3214"/>
    <tableColumn id="13205" xr3:uid="{D14CA3A2-4F2E-4229-AB9A-EBF69E46F1A6}" name="Columna13199" dataDxfId="3213"/>
    <tableColumn id="13206" xr3:uid="{77EA844A-7207-44E2-92D6-33DD7A026FDF}" name="Columna13200" dataDxfId="3212"/>
    <tableColumn id="13207" xr3:uid="{1FED1C4B-25CA-44DD-8634-3DE139AB5ADB}" name="Columna13201" dataDxfId="3211"/>
    <tableColumn id="13208" xr3:uid="{6F391C4C-7047-4119-82AE-ED95677FF2F9}" name="Columna13202" dataDxfId="3210"/>
    <tableColumn id="13209" xr3:uid="{DFF2F189-7774-4B6C-8B44-F198349B1842}" name="Columna13203" dataDxfId="3209"/>
    <tableColumn id="13210" xr3:uid="{B7D248D1-5ED5-4D1C-8F69-AA7EB8C15102}" name="Columna13204" dataDxfId="3208"/>
    <tableColumn id="13211" xr3:uid="{D2EDE468-6528-46B9-8E6F-FF07BC7B113E}" name="Columna13205" dataDxfId="3207"/>
    <tableColumn id="13212" xr3:uid="{C14CFE40-B51C-4D26-A0F0-B446625AD057}" name="Columna13206" dataDxfId="3206"/>
    <tableColumn id="13213" xr3:uid="{A7C49194-C6CD-407D-AD83-1BB089BF4313}" name="Columna13207" dataDxfId="3205"/>
    <tableColumn id="13214" xr3:uid="{B54EA698-449F-4EDE-9296-2F01936818F4}" name="Columna13208" dataDxfId="3204"/>
    <tableColumn id="13215" xr3:uid="{A0C17253-6475-446D-936C-0FF824BE0F70}" name="Columna13209" dataDxfId="3203"/>
    <tableColumn id="13216" xr3:uid="{5331C59E-B578-4AAA-B916-9EFBADFA5CC0}" name="Columna13210" dataDxfId="3202"/>
    <tableColumn id="13217" xr3:uid="{2CBCA344-6710-4075-BB5F-F83815996053}" name="Columna13211" dataDxfId="3201"/>
    <tableColumn id="13218" xr3:uid="{C8988810-DED7-48B7-A4EB-D85EF5F2E06A}" name="Columna13212" dataDxfId="3200"/>
    <tableColumn id="13219" xr3:uid="{ED0A3790-80C3-4C64-A135-5312C4F7FF11}" name="Columna13213" dataDxfId="3199"/>
    <tableColumn id="13220" xr3:uid="{352649A1-85EA-4F88-99ED-4106D2D4DA27}" name="Columna13214" dataDxfId="3198"/>
    <tableColumn id="13221" xr3:uid="{837244F0-C1BA-4E2E-909C-889E284C75BB}" name="Columna13215" dataDxfId="3197"/>
    <tableColumn id="13222" xr3:uid="{E234457A-7E64-4F35-99F0-A5F39634D08C}" name="Columna13216" dataDxfId="3196"/>
    <tableColumn id="13223" xr3:uid="{7AC9FE57-67B5-495B-A3F3-41E5FD786134}" name="Columna13217" dataDxfId="3195"/>
    <tableColumn id="13224" xr3:uid="{B311543D-2774-4DA0-AEF9-6C25B1DFA986}" name="Columna13218" dataDxfId="3194"/>
    <tableColumn id="13225" xr3:uid="{83EA5003-9D33-4161-847B-F87FADDB9736}" name="Columna13219" dataDxfId="3193"/>
    <tableColumn id="13226" xr3:uid="{62C2FF21-CD52-459F-A042-E81850C044BE}" name="Columna13220" dataDxfId="3192"/>
    <tableColumn id="13227" xr3:uid="{79EC0811-142B-4874-8DFB-EDF678C07238}" name="Columna13221" dataDxfId="3191"/>
    <tableColumn id="13228" xr3:uid="{C92C2165-9C4D-4C24-B64F-81C502A38588}" name="Columna13222" dataDxfId="3190"/>
    <tableColumn id="13229" xr3:uid="{4A569F59-76E8-4E7C-B385-74C0E679BD97}" name="Columna13223" dataDxfId="3189"/>
    <tableColumn id="13230" xr3:uid="{5B73D2F4-8730-43CB-9653-9C7F7F9203D4}" name="Columna13224" dataDxfId="3188"/>
    <tableColumn id="13231" xr3:uid="{FA4E4B8D-4D65-4B9B-88BC-B83DAAF0106E}" name="Columna13225" dataDxfId="3187"/>
    <tableColumn id="13232" xr3:uid="{EEFFE338-3F17-4432-8590-B55F9691A0F9}" name="Columna13226" dataDxfId="3186"/>
    <tableColumn id="13233" xr3:uid="{207FE0EE-8678-4BF5-A8AA-AE9AA79978DC}" name="Columna13227" dataDxfId="3185"/>
    <tableColumn id="13234" xr3:uid="{354108CD-0D63-49A4-A814-77F58EADEBAF}" name="Columna13228" dataDxfId="3184"/>
    <tableColumn id="13235" xr3:uid="{1D3600F8-B6D2-4942-BBA2-9B31F0FD5C40}" name="Columna13229" dataDxfId="3183"/>
    <tableColumn id="13236" xr3:uid="{190F632B-80B7-409A-B5EA-973DB2F549EA}" name="Columna13230" dataDxfId="3182"/>
    <tableColumn id="13237" xr3:uid="{BB6D2C12-58F0-4220-B733-D8A03780184D}" name="Columna13231" dataDxfId="3181"/>
    <tableColumn id="13238" xr3:uid="{6436264D-DC2A-45C9-80FE-6F2A6E8D1B6C}" name="Columna13232" dataDxfId="3180"/>
    <tableColumn id="13239" xr3:uid="{A84BF7DC-F4A0-44E4-94BA-C6ABC2D9B6A2}" name="Columna13233" dataDxfId="3179"/>
    <tableColumn id="13240" xr3:uid="{78BDE0EA-C987-4700-9058-70A0D8DE83A8}" name="Columna13234" dataDxfId="3178"/>
    <tableColumn id="13241" xr3:uid="{34EC2535-91DE-4721-B12C-23FF2464E9D5}" name="Columna13235" dataDxfId="3177"/>
    <tableColumn id="13242" xr3:uid="{0C4DF902-67A3-404B-8012-133CD77D3CD3}" name="Columna13236" dataDxfId="3176"/>
    <tableColumn id="13243" xr3:uid="{BC12BA5C-4492-4292-B835-6A5E1E568046}" name="Columna13237" dataDxfId="3175"/>
    <tableColumn id="13244" xr3:uid="{CDDD47A9-E32C-4B0B-A45F-EC1C1B236398}" name="Columna13238" dataDxfId="3174"/>
    <tableColumn id="13245" xr3:uid="{39E4327A-EB9B-4A8B-9454-D6C3C93075F8}" name="Columna13239" dataDxfId="3173"/>
    <tableColumn id="13246" xr3:uid="{43974217-A91D-4ABD-A08D-7E5B22405173}" name="Columna13240" dataDxfId="3172"/>
    <tableColumn id="13247" xr3:uid="{078FD94B-D94F-4DF1-AB44-5D4239CCD5F5}" name="Columna13241" dataDxfId="3171"/>
    <tableColumn id="13248" xr3:uid="{E60007F5-DBBF-45E3-832A-380E5A645A74}" name="Columna13242" dataDxfId="3170"/>
    <tableColumn id="13249" xr3:uid="{3D749EBF-7D5B-4FF5-AFAC-E0FC76B0B8B7}" name="Columna13243" dataDxfId="3169"/>
    <tableColumn id="13250" xr3:uid="{3DEC9868-D59B-4F8C-A886-90389F94545C}" name="Columna13244" dataDxfId="3168"/>
    <tableColumn id="13251" xr3:uid="{0C5DC772-6691-4212-9B99-BC06CC3DE184}" name="Columna13245" dataDxfId="3167"/>
    <tableColumn id="13252" xr3:uid="{9185779B-ADC6-4DAC-8C18-DA8B693E1000}" name="Columna13246" dataDxfId="3166"/>
    <tableColumn id="13253" xr3:uid="{F2A5DAE4-8322-4F6D-BE2D-8E7457FB4AED}" name="Columna13247" dataDxfId="3165"/>
    <tableColumn id="13254" xr3:uid="{B58BB101-3DDE-4C14-9208-194CC644DC69}" name="Columna13248" dataDxfId="3164"/>
    <tableColumn id="13255" xr3:uid="{FC40ECA0-B770-4AD3-95F7-FBFE083FD59D}" name="Columna13249" dataDxfId="3163"/>
    <tableColumn id="13256" xr3:uid="{3892BD00-032C-41F5-AF4A-179FEAF1659A}" name="Columna13250" dataDxfId="3162"/>
    <tableColumn id="13257" xr3:uid="{F692E51D-0193-4BE9-B3BC-B02757003327}" name="Columna13251" dataDxfId="3161"/>
    <tableColumn id="13258" xr3:uid="{B3B33797-FAC9-45D2-B592-2B948608EEF3}" name="Columna13252" dataDxfId="3160"/>
    <tableColumn id="13259" xr3:uid="{71D02FD1-1512-431A-8399-3AD07A57F241}" name="Columna13253" dataDxfId="3159"/>
    <tableColumn id="13260" xr3:uid="{DB66DEEC-7F85-4BA2-8F8D-72DAE3DF710B}" name="Columna13254" dataDxfId="3158"/>
    <tableColumn id="13261" xr3:uid="{9173C70A-9A0C-424C-8E02-9C70D7E4619E}" name="Columna13255" dataDxfId="3157"/>
    <tableColumn id="13262" xr3:uid="{AE19A7C6-3F00-4A4C-B6A4-92B51CE5A2C7}" name="Columna13256" dataDxfId="3156"/>
    <tableColumn id="13263" xr3:uid="{AB7EDEBE-2E50-465D-8409-F957779558A6}" name="Columna13257" dataDxfId="3155"/>
    <tableColumn id="13264" xr3:uid="{10BD49FF-72F2-482A-94DE-408EC73821BD}" name="Columna13258" dataDxfId="3154"/>
    <tableColumn id="13265" xr3:uid="{0EED7C1B-144B-4C7C-9FA8-487CEE41ECAA}" name="Columna13259" dataDxfId="3153"/>
    <tableColumn id="13266" xr3:uid="{ED406454-2E45-47F6-8714-89B9330A224D}" name="Columna13260" dataDxfId="3152"/>
    <tableColumn id="13267" xr3:uid="{2BB66AF7-0418-4A5E-812E-53EA421839E6}" name="Columna13261" dataDxfId="3151"/>
    <tableColumn id="13268" xr3:uid="{3FC9948F-8A4D-49B7-A120-3DE4C7D8A847}" name="Columna13262" dataDxfId="3150"/>
    <tableColumn id="13269" xr3:uid="{0B0A469A-86F3-4176-B1EA-1CC478942385}" name="Columna13263" dataDxfId="3149"/>
    <tableColumn id="13270" xr3:uid="{B0F3397A-18DB-4F9C-8B73-B3CDAE4CBBCE}" name="Columna13264" dataDxfId="3148"/>
    <tableColumn id="13271" xr3:uid="{C7CD88D7-C218-4206-B09A-D4BE83D18982}" name="Columna13265" dataDxfId="3147"/>
    <tableColumn id="13272" xr3:uid="{4FCFFE40-F5A8-4570-99C6-DF8712B893CB}" name="Columna13266" dataDxfId="3146"/>
    <tableColumn id="13273" xr3:uid="{9D6A5469-EA1A-4B14-9F4B-BB8BEA6CEE3C}" name="Columna13267" dataDxfId="3145"/>
    <tableColumn id="13274" xr3:uid="{3DD6D50A-0DCF-4CB3-B8B7-BC0C158D3074}" name="Columna13268" dataDxfId="3144"/>
    <tableColumn id="13275" xr3:uid="{E025565A-27F8-42FD-91C0-C3777D90F0FE}" name="Columna13269" dataDxfId="3143"/>
    <tableColumn id="13276" xr3:uid="{B3D79E9B-61B2-454D-8872-B37CF219D4FB}" name="Columna13270" dataDxfId="3142"/>
    <tableColumn id="13277" xr3:uid="{8FB29C41-1B7F-4473-9EF3-3DC2A47C0331}" name="Columna13271" dataDxfId="3141"/>
    <tableColumn id="13278" xr3:uid="{DD3D33DA-F8E2-4973-BF5C-2F5D2BB1A2A7}" name="Columna13272" dataDxfId="3140"/>
    <tableColumn id="13279" xr3:uid="{99B4B5FC-9B70-4D97-9FB4-C4398E3E0482}" name="Columna13273" dataDxfId="3139"/>
    <tableColumn id="13280" xr3:uid="{F0497BDE-4C72-4528-ACAD-CFED3AF48FF0}" name="Columna13274" dataDxfId="3138"/>
    <tableColumn id="13281" xr3:uid="{DFA11C3C-3532-4C3F-B587-5D2C6B37F1FE}" name="Columna13275" dataDxfId="3137"/>
    <tableColumn id="13282" xr3:uid="{CB8D845F-D001-4753-B977-F614885EE1FF}" name="Columna13276" dataDxfId="3136"/>
    <tableColumn id="13283" xr3:uid="{89E3FCB9-1617-4C1C-BC4B-664EDDCCC7D0}" name="Columna13277" dataDxfId="3135"/>
    <tableColumn id="13284" xr3:uid="{95D0758F-D17A-459A-91D7-3894F4EFA650}" name="Columna13278" dataDxfId="3134"/>
    <tableColumn id="13285" xr3:uid="{40B56F2B-6A4C-4D4D-ACDB-62E600600807}" name="Columna13279" dataDxfId="3133"/>
    <tableColumn id="13286" xr3:uid="{DFF16834-40F9-4B0A-AD0D-24E06E1B9830}" name="Columna13280" dataDxfId="3132"/>
    <tableColumn id="13287" xr3:uid="{DFF2E20C-057B-49B5-B314-D05728CD7CF0}" name="Columna13281" dataDxfId="3131"/>
    <tableColumn id="13288" xr3:uid="{57E47D96-23B3-44FB-A6F1-EF5FD80088E3}" name="Columna13282" dataDxfId="3130"/>
    <tableColumn id="13289" xr3:uid="{76A33D51-3F7E-448C-BE1E-289E8149328C}" name="Columna13283" dataDxfId="3129"/>
    <tableColumn id="13290" xr3:uid="{FD8D57CA-F23B-4EB9-9914-28625D46ADA1}" name="Columna13284" dataDxfId="3128"/>
    <tableColumn id="13291" xr3:uid="{2DAEA483-8305-49C9-9E5F-A2A1151CBA95}" name="Columna13285" dataDxfId="3127"/>
    <tableColumn id="13292" xr3:uid="{9B762053-444E-49B9-B1E7-90F416F89748}" name="Columna13286" dataDxfId="3126"/>
    <tableColumn id="13293" xr3:uid="{C869C104-DB08-438E-9D51-B7CF9F97BDF1}" name="Columna13287" dataDxfId="3125"/>
    <tableColumn id="13294" xr3:uid="{FD4A929C-B910-4E16-A2FB-F69D047D48E3}" name="Columna13288" dataDxfId="3124"/>
    <tableColumn id="13295" xr3:uid="{E05D3224-6060-45AC-A332-629F2D8DFC40}" name="Columna13289" dataDxfId="3123"/>
    <tableColumn id="13296" xr3:uid="{A1721AE2-0F0E-4AC3-8760-5416C9E5337D}" name="Columna13290" dataDxfId="3122"/>
    <tableColumn id="13297" xr3:uid="{D9200BE9-E821-43CB-AD50-C67586574CC2}" name="Columna13291" dataDxfId="3121"/>
    <tableColumn id="13298" xr3:uid="{F983DC11-0AC7-4C37-B599-BB95C5F9A07B}" name="Columna13292" dataDxfId="3120"/>
    <tableColumn id="13299" xr3:uid="{D307932F-5326-49B3-B928-6EB1C970F8C5}" name="Columna13293" dataDxfId="3119"/>
    <tableColumn id="13300" xr3:uid="{616F8624-5078-4EAE-8DEA-D39657DD1F2F}" name="Columna13294" dataDxfId="3118"/>
    <tableColumn id="13301" xr3:uid="{BE774AD5-5438-42F3-8073-DEA357AA7C0F}" name="Columna13295" dataDxfId="3117"/>
    <tableColumn id="13302" xr3:uid="{32E3ECDE-BADF-4385-AF8F-1A93AFFE5370}" name="Columna13296" dataDxfId="3116"/>
    <tableColumn id="13303" xr3:uid="{72C479DC-9D88-4C16-A7A4-0BC92675FE4F}" name="Columna13297" dataDxfId="3115"/>
    <tableColumn id="13304" xr3:uid="{9E20E30E-BB9D-4042-80BE-AF9154426440}" name="Columna13298" dataDxfId="3114"/>
    <tableColumn id="13305" xr3:uid="{0F087CB3-C3CE-4107-B6C1-434EFAC171F1}" name="Columna13299" dataDxfId="3113"/>
    <tableColumn id="13306" xr3:uid="{207FF8E0-113D-4CB3-9F1A-550A0C6910F3}" name="Columna13300" dataDxfId="3112"/>
    <tableColumn id="13307" xr3:uid="{896AE21E-E94F-442C-B26C-059B3513C23A}" name="Columna13301" dataDxfId="3111"/>
    <tableColumn id="13308" xr3:uid="{3960E601-22E6-4E43-9E39-95A1253772EB}" name="Columna13302" dataDxfId="3110"/>
    <tableColumn id="13309" xr3:uid="{EBD359F3-368B-43DB-8088-1A84749E4E7A}" name="Columna13303" dataDxfId="3109"/>
    <tableColumn id="13310" xr3:uid="{23B83A32-C349-4413-B26F-494C8A702342}" name="Columna13304" dataDxfId="3108"/>
    <tableColumn id="13311" xr3:uid="{3FAB3DCA-B5C9-4684-9E8B-878384A83B92}" name="Columna13305" dataDxfId="3107"/>
    <tableColumn id="13312" xr3:uid="{922DD9AE-A524-4E4E-9F47-74A8668A14E8}" name="Columna13306" dataDxfId="3106"/>
    <tableColumn id="13313" xr3:uid="{49164B1A-3B80-4908-B609-1E032FF150B1}" name="Columna13307" dataDxfId="3105"/>
    <tableColumn id="13314" xr3:uid="{379FC5B3-C1C6-4C7C-A16A-255CAA916444}" name="Columna13308" dataDxfId="3104"/>
    <tableColumn id="13315" xr3:uid="{493B4C90-F7F5-4906-B393-FF5FDBBAC441}" name="Columna13309" dataDxfId="3103"/>
    <tableColumn id="13316" xr3:uid="{51B88746-02E9-40E0-B310-D7566BB6E24A}" name="Columna13310" dataDxfId="3102"/>
    <tableColumn id="13317" xr3:uid="{9162DDCE-A0F8-4CC4-9513-4A07256B9E50}" name="Columna13311" dataDxfId="3101"/>
    <tableColumn id="13318" xr3:uid="{D7F4A537-7CAC-43B8-B5E6-F16AC70FD607}" name="Columna13312" dataDxfId="3100"/>
    <tableColumn id="13319" xr3:uid="{BAF691B1-6A80-4BB4-895E-8D8E4810A1BB}" name="Columna13313" dataDxfId="3099"/>
    <tableColumn id="13320" xr3:uid="{EF29FCFC-35F6-4EC3-AA4C-3FC2CAF1DCBA}" name="Columna13314" dataDxfId="3098"/>
    <tableColumn id="13321" xr3:uid="{07BFA278-FA35-4649-826B-4BECCE29C605}" name="Columna13315" dataDxfId="3097"/>
    <tableColumn id="13322" xr3:uid="{53DBC234-D100-4302-A0EA-F01CB9220401}" name="Columna13316" dataDxfId="3096"/>
    <tableColumn id="13323" xr3:uid="{7E669B33-B8B0-4A46-B808-A5D5BE34C0A0}" name="Columna13317" dataDxfId="3095"/>
    <tableColumn id="13324" xr3:uid="{F807AF14-EE25-4FD4-BF01-2913A99C2279}" name="Columna13318" dataDxfId="3094"/>
    <tableColumn id="13325" xr3:uid="{2F650BB6-2249-49F8-A2DB-60F744F02F1B}" name="Columna13319" dataDxfId="3093"/>
    <tableColumn id="13326" xr3:uid="{D03C51C4-1D16-4F56-9813-92C82BE39BCF}" name="Columna13320" dataDxfId="3092"/>
    <tableColumn id="13327" xr3:uid="{9163125F-4CC7-4FB0-B19C-17545D04BEFF}" name="Columna13321" dataDxfId="3091"/>
    <tableColumn id="13328" xr3:uid="{24D05EF9-ACAE-480B-A128-E925022A5EAF}" name="Columna13322" dataDxfId="3090"/>
    <tableColumn id="13329" xr3:uid="{07BFF0FF-CBDD-45D6-A766-96EDD9A53CB8}" name="Columna13323" dataDxfId="3089"/>
    <tableColumn id="13330" xr3:uid="{953D3FCA-13DD-428B-887E-8FABF8368035}" name="Columna13324" dataDxfId="3088"/>
    <tableColumn id="13331" xr3:uid="{851D5CB5-1BE4-4AED-997F-9137C2C21D7A}" name="Columna13325" dataDxfId="3087"/>
    <tableColumn id="13332" xr3:uid="{F3938A26-2A8F-4DB5-969E-DCA0BE885079}" name="Columna13326" dataDxfId="3086"/>
    <tableColumn id="13333" xr3:uid="{06D45BE3-8212-49DE-844A-FF68CDDCB422}" name="Columna13327" dataDxfId="3085"/>
    <tableColumn id="13334" xr3:uid="{CAA4C1D8-0048-4197-8F26-33EB4B42ABD5}" name="Columna13328" dataDxfId="3084"/>
    <tableColumn id="13335" xr3:uid="{816E3673-465B-4826-BBF3-C10780B9F6CC}" name="Columna13329" dataDxfId="3083"/>
    <tableColumn id="13336" xr3:uid="{61D30E7A-06C7-49D9-913B-2F9D98B54AE4}" name="Columna13330" dataDxfId="3082"/>
    <tableColumn id="13337" xr3:uid="{3EEB6D36-283E-4AC5-A4CD-D6C42225C3AF}" name="Columna13331" dataDxfId="3081"/>
    <tableColumn id="13338" xr3:uid="{B7A4CF2B-75F9-4325-93C9-8CD6184320A9}" name="Columna13332" dataDxfId="3080"/>
    <tableColumn id="13339" xr3:uid="{617AE7EC-773F-419E-B106-ABB80B078523}" name="Columna13333" dataDxfId="3079"/>
    <tableColumn id="13340" xr3:uid="{DA2E48C5-4E7C-4F8C-A113-2349A2253685}" name="Columna13334" dataDxfId="3078"/>
    <tableColumn id="13341" xr3:uid="{845735A8-A72F-4667-81E1-2E86255C6F7F}" name="Columna13335" dataDxfId="3077"/>
    <tableColumn id="13342" xr3:uid="{9D384B9B-ECFF-49BD-906F-719CF0441970}" name="Columna13336" dataDxfId="3076"/>
    <tableColumn id="13343" xr3:uid="{18E1310B-2B9C-4E61-AF51-A41F4FACC3AC}" name="Columna13337" dataDxfId="3075"/>
    <tableColumn id="13344" xr3:uid="{911FACEE-17EF-4AA2-9EB5-456E02F4C8F2}" name="Columna13338" dataDxfId="3074"/>
    <tableColumn id="13345" xr3:uid="{F01B411B-DDDF-4CC3-84AF-FB55B2AD6622}" name="Columna13339" dataDxfId="3073"/>
    <tableColumn id="13346" xr3:uid="{7E8DE1D6-51CA-4661-928B-335BDE027F2C}" name="Columna13340" dataDxfId="3072"/>
    <tableColumn id="13347" xr3:uid="{7BD9EFD6-0143-4E19-B08B-CDFBFA2C6336}" name="Columna13341" dataDxfId="3071"/>
    <tableColumn id="13348" xr3:uid="{26AD0B6B-20B6-4F6D-83C2-6E193CE4D0AC}" name="Columna13342" dataDxfId="3070"/>
    <tableColumn id="13349" xr3:uid="{D28C320C-E68F-447A-AE10-5555D0DFC27D}" name="Columna13343" dataDxfId="3069"/>
    <tableColumn id="13350" xr3:uid="{556C0B73-1387-4805-A4AC-CC5A35CE7BDE}" name="Columna13344" dataDxfId="3068"/>
    <tableColumn id="13351" xr3:uid="{EBD48AEA-5FEA-43CC-B129-F6AD37C23D3E}" name="Columna13345" dataDxfId="3067"/>
    <tableColumn id="13352" xr3:uid="{48DECE80-E36A-4854-87E3-B3F12F2F3C1A}" name="Columna13346" dataDxfId="3066"/>
    <tableColumn id="13353" xr3:uid="{F11D36F0-402F-48C0-B9A8-DF76873B3DF0}" name="Columna13347" dataDxfId="3065"/>
    <tableColumn id="13354" xr3:uid="{2A331BCA-3F91-4641-A614-E9A7271DAB3D}" name="Columna13348" dataDxfId="3064"/>
    <tableColumn id="13355" xr3:uid="{0F6562AC-AB90-4BBD-8A6F-C82887E6CFF8}" name="Columna13349" dataDxfId="3063"/>
    <tableColumn id="13356" xr3:uid="{56CF5E7E-7A8A-4900-9268-8904BFE188D3}" name="Columna13350" dataDxfId="3062"/>
    <tableColumn id="13357" xr3:uid="{85738DB6-F6AB-432E-92E6-51EBBBBA8AE4}" name="Columna13351" dataDxfId="3061"/>
    <tableColumn id="13358" xr3:uid="{A83E5A8D-C917-45AE-8791-4EA5EB9BEC14}" name="Columna13352" dataDxfId="3060"/>
    <tableColumn id="13359" xr3:uid="{EDFEFDCB-33E8-4CC8-A328-9A784C2F0236}" name="Columna13353" dataDxfId="3059"/>
    <tableColumn id="13360" xr3:uid="{9E40C79B-807D-4BC8-8DE7-BE2E415CDA89}" name="Columna13354" dataDxfId="3058"/>
    <tableColumn id="13361" xr3:uid="{5F2CB1D0-136E-411F-BABA-40DAC097F740}" name="Columna13355" dataDxfId="3057"/>
    <tableColumn id="13362" xr3:uid="{0349C6D5-BE2A-4695-B4EF-0296365A0DC7}" name="Columna13356" dataDxfId="3056"/>
    <tableColumn id="13363" xr3:uid="{C989DE0E-6143-44C3-8D68-52913487A4B8}" name="Columna13357" dataDxfId="3055"/>
    <tableColumn id="13364" xr3:uid="{6AB769DF-E116-44A0-94FB-AA3DE3F41C21}" name="Columna13358" dataDxfId="3054"/>
    <tableColumn id="13365" xr3:uid="{1AC4D180-4AB9-46CE-855C-89F7C4419345}" name="Columna13359" dataDxfId="3053"/>
    <tableColumn id="13366" xr3:uid="{BF4E67C4-F599-4E4B-8DB0-87F47B84AC7D}" name="Columna13360" dataDxfId="3052"/>
    <tableColumn id="13367" xr3:uid="{AA1885F0-637B-4024-AAE7-72CC4A24CAA6}" name="Columna13361" dataDxfId="3051"/>
    <tableColumn id="13368" xr3:uid="{284DA553-3CA6-4053-9000-B87CB69A6FC7}" name="Columna13362" dataDxfId="3050"/>
    <tableColumn id="13369" xr3:uid="{D1290FF8-1B38-47F4-A058-EB9B320424CA}" name="Columna13363" dataDxfId="3049"/>
    <tableColumn id="13370" xr3:uid="{BE21F9D6-AB41-48E5-8199-B87793BE9FA1}" name="Columna13364" dataDxfId="3048"/>
    <tableColumn id="13371" xr3:uid="{96D12633-61BA-4BC2-BD4A-14929ECB4128}" name="Columna13365" dataDxfId="3047"/>
    <tableColumn id="13372" xr3:uid="{F0741B56-8FBF-4CB0-9B20-D474653C3FFC}" name="Columna13366" dataDxfId="3046"/>
    <tableColumn id="13373" xr3:uid="{3CD96B66-DA1C-400A-90AC-E688D29F80F6}" name="Columna13367" dataDxfId="3045"/>
    <tableColumn id="13374" xr3:uid="{F0C8A29B-8748-4334-8C3C-AAEB17941451}" name="Columna13368" dataDxfId="3044"/>
    <tableColumn id="13375" xr3:uid="{30BC86D8-6D1C-4048-9FDC-364C835530F9}" name="Columna13369" dataDxfId="3043"/>
    <tableColumn id="13376" xr3:uid="{C6945C7A-DB45-4BAE-B2EF-8DAB8531F236}" name="Columna13370" dataDxfId="3042"/>
    <tableColumn id="13377" xr3:uid="{5B4826AA-6B25-467C-A483-F5232FA74F0B}" name="Columna13371" dataDxfId="3041"/>
    <tableColumn id="13378" xr3:uid="{C051F63D-915B-44A0-810F-45896DB73C90}" name="Columna13372" dataDxfId="3040"/>
    <tableColumn id="13379" xr3:uid="{66C4C590-E7CE-4C02-A2B5-50888D835EDA}" name="Columna13373" dataDxfId="3039"/>
    <tableColumn id="13380" xr3:uid="{2D78FF4C-C70F-44FE-ACDB-FD46C8F82262}" name="Columna13374" dataDxfId="3038"/>
    <tableColumn id="13381" xr3:uid="{14BB1742-AF5B-42E3-B950-B839F5BA6430}" name="Columna13375" dataDxfId="3037"/>
    <tableColumn id="13382" xr3:uid="{69ED2CD9-B310-465F-9732-A7C506124350}" name="Columna13376" dataDxfId="3036"/>
    <tableColumn id="13383" xr3:uid="{81AEE28A-AEDB-4F6A-8766-E5BDFD4E2731}" name="Columna13377" dataDxfId="3035"/>
    <tableColumn id="13384" xr3:uid="{31BFE248-EAB5-47F4-AE0A-290057850A4E}" name="Columna13378" dataDxfId="3034"/>
    <tableColumn id="13385" xr3:uid="{4AE50E3E-A0F4-440A-83E4-7B9A544F5396}" name="Columna13379" dataDxfId="3033"/>
    <tableColumn id="13386" xr3:uid="{27734843-C4DD-4C90-8C79-085BCD45C9F3}" name="Columna13380" dataDxfId="3032"/>
    <tableColumn id="13387" xr3:uid="{1B0040AD-6D73-4EAA-B918-4F8C024383AD}" name="Columna13381" dataDxfId="3031"/>
    <tableColumn id="13388" xr3:uid="{0930F8C6-C79D-4217-AC61-D08FE0C8F629}" name="Columna13382" dataDxfId="3030"/>
    <tableColumn id="13389" xr3:uid="{DD90E6A1-567C-4318-A433-EB54FC7C09F7}" name="Columna13383" dataDxfId="3029"/>
    <tableColumn id="13390" xr3:uid="{66A3C733-C215-40A7-9BEC-E3F6A733816B}" name="Columna13384" dataDxfId="3028"/>
    <tableColumn id="13391" xr3:uid="{1691E0F0-8DBD-472E-9C0D-30C0C37C7006}" name="Columna13385" dataDxfId="3027"/>
    <tableColumn id="13392" xr3:uid="{18F1F8AF-0811-4810-9186-4BADEF56F8FF}" name="Columna13386" dataDxfId="3026"/>
    <tableColumn id="13393" xr3:uid="{F27B7BC9-9113-45BB-AD30-44CFF0CF28A0}" name="Columna13387" dataDxfId="3025"/>
    <tableColumn id="13394" xr3:uid="{0A46B8FD-637E-4494-A30E-C5365374188A}" name="Columna13388" dataDxfId="3024"/>
    <tableColumn id="13395" xr3:uid="{C8D182E4-10B5-4850-BF89-039A836E064D}" name="Columna13389" dataDxfId="3023"/>
    <tableColumn id="13396" xr3:uid="{B1FE3F2E-83BF-4B4C-B5AA-D25C6321D4BC}" name="Columna13390" dataDxfId="3022"/>
    <tableColumn id="13397" xr3:uid="{E1EFD754-A45F-4408-9C7C-B9867B643E27}" name="Columna13391" dataDxfId="3021"/>
    <tableColumn id="13398" xr3:uid="{59B6FA5D-1BCE-4F50-8E75-ECD55001E70F}" name="Columna13392" dataDxfId="3020"/>
    <tableColumn id="13399" xr3:uid="{2AF2A4F6-C1F1-42B0-9369-40878C430CE6}" name="Columna13393" dataDxfId="3019"/>
    <tableColumn id="13400" xr3:uid="{66AA646E-E0A0-49F6-A930-26C84DD8B878}" name="Columna13394" dataDxfId="3018"/>
    <tableColumn id="13401" xr3:uid="{89BAD7C3-931E-492C-8F5B-2FE045C1D2D0}" name="Columna13395" dataDxfId="3017"/>
    <tableColumn id="13402" xr3:uid="{EEF5F2B5-3245-47DD-9D97-BE306E824284}" name="Columna13396" dataDxfId="3016"/>
    <tableColumn id="13403" xr3:uid="{C3A50E8A-03FA-4F97-A2CE-3907E8A66C95}" name="Columna13397" dataDxfId="3015"/>
    <tableColumn id="13404" xr3:uid="{369D2941-DFBC-42E2-BA45-7DDC9F010268}" name="Columna13398" dataDxfId="3014"/>
    <tableColumn id="13405" xr3:uid="{0A70C149-7C8D-4A3B-967D-086E1DAC0E72}" name="Columna13399" dataDxfId="3013"/>
    <tableColumn id="13406" xr3:uid="{4523A080-353D-4849-9253-2781CA36F6CE}" name="Columna13400" dataDxfId="3012"/>
    <tableColumn id="13407" xr3:uid="{6E6B3278-72FA-4C83-B599-5DD85F5E13EE}" name="Columna13401" dataDxfId="3011"/>
    <tableColumn id="13408" xr3:uid="{A7B633A5-B08B-4B8B-8ADF-0A6765951B20}" name="Columna13402" dataDxfId="3010"/>
    <tableColumn id="13409" xr3:uid="{83CECC66-5CD9-49CF-A2C3-98DDABDBD9FB}" name="Columna13403" dataDxfId="3009"/>
    <tableColumn id="13410" xr3:uid="{66839A20-FD18-4E2B-B2FD-849989BE0301}" name="Columna13404" dataDxfId="3008"/>
    <tableColumn id="13411" xr3:uid="{67740208-C895-46B3-851A-F3B5EF154326}" name="Columna13405" dataDxfId="3007"/>
    <tableColumn id="13412" xr3:uid="{19AA4296-DAB8-489B-BAA2-4773C0B26E17}" name="Columna13406" dataDxfId="3006"/>
    <tableColumn id="13413" xr3:uid="{58CADD55-378F-4158-9965-7EE70ACB81F7}" name="Columna13407" dataDxfId="3005"/>
    <tableColumn id="13414" xr3:uid="{46EB647F-B353-4740-8FD5-11F93D8118F0}" name="Columna13408" dataDxfId="3004"/>
    <tableColumn id="13415" xr3:uid="{B1E91411-5D12-4E3A-AB7F-A94BC038AE11}" name="Columna13409" dataDxfId="3003"/>
    <tableColumn id="13416" xr3:uid="{BE4C03DD-73DA-4B5F-A00D-BC00DBD3A702}" name="Columna13410" dataDxfId="3002"/>
    <tableColumn id="13417" xr3:uid="{AA5C9B42-673F-4DF0-B6FF-4811696A4B70}" name="Columna13411" dataDxfId="3001"/>
    <tableColumn id="13418" xr3:uid="{9EDBF387-0A0B-4257-AD7A-E4FEE5442F0E}" name="Columna13412" dataDxfId="3000"/>
    <tableColumn id="13419" xr3:uid="{2A9D25E6-AA26-4A2E-9C5D-95D242E0F3EE}" name="Columna13413" dataDxfId="2999"/>
    <tableColumn id="13420" xr3:uid="{B4F165E7-B339-43B8-8437-9ECBF4B10F8C}" name="Columna13414" dataDxfId="2998"/>
    <tableColumn id="13421" xr3:uid="{0FFA2DEB-5499-4FB4-B9B6-A3B94573FF4A}" name="Columna13415" dataDxfId="2997"/>
    <tableColumn id="13422" xr3:uid="{DEA2B20C-7CD2-4213-9901-2A39A2920401}" name="Columna13416" dataDxfId="2996"/>
    <tableColumn id="13423" xr3:uid="{8EAD679B-1DD9-409C-9037-3A3FAEE30203}" name="Columna13417" dataDxfId="2995"/>
    <tableColumn id="13424" xr3:uid="{9B23DE45-0E86-4A87-AD39-497BE5D23ABD}" name="Columna13418" dataDxfId="2994"/>
    <tableColumn id="13425" xr3:uid="{8D7E106D-5040-45BD-BB30-D87321E57769}" name="Columna13419" dataDxfId="2993"/>
    <tableColumn id="13426" xr3:uid="{F8C228DA-E46B-4AD3-BF27-956E9553E9FE}" name="Columna13420" dataDxfId="2992"/>
    <tableColumn id="13427" xr3:uid="{0736E5CF-94D1-4A48-80DE-FEBDE417BA6C}" name="Columna13421" dataDxfId="2991"/>
    <tableColumn id="13428" xr3:uid="{31D2CABA-1197-47D3-AE5E-69239675C951}" name="Columna13422" dataDxfId="2990"/>
    <tableColumn id="13429" xr3:uid="{CF4ED1C2-51FB-4744-863C-D060D26BCEC7}" name="Columna13423" dataDxfId="2989"/>
    <tableColumn id="13430" xr3:uid="{94A44E12-89CE-43F1-886F-AFB1B44E0ECD}" name="Columna13424" dataDxfId="2988"/>
    <tableColumn id="13431" xr3:uid="{763F1EC3-738E-4D70-A308-3C82FA019D74}" name="Columna13425" dataDxfId="2987"/>
    <tableColumn id="13432" xr3:uid="{9F97FA53-FBDD-446E-B3EB-5CC64260F442}" name="Columna13426" dataDxfId="2986"/>
    <tableColumn id="13433" xr3:uid="{B5AF8F8C-F2F6-4C42-BD9E-ACB1A5CD9F8A}" name="Columna13427" dataDxfId="2985"/>
    <tableColumn id="13434" xr3:uid="{3D13E7DE-5AE4-4700-BC29-1B8B02EB8E75}" name="Columna13428" dataDxfId="2984"/>
    <tableColumn id="13435" xr3:uid="{6186E85D-C113-45F2-86F0-C4A46F236A0A}" name="Columna13429" dataDxfId="2983"/>
    <tableColumn id="13436" xr3:uid="{72052E1A-312D-4252-9208-703BB228C563}" name="Columna13430" dataDxfId="2982"/>
    <tableColumn id="13437" xr3:uid="{548337C5-79C3-40D6-8C85-CD4506B3B9E7}" name="Columna13431" dataDxfId="2981"/>
    <tableColumn id="13438" xr3:uid="{1540AAA9-267B-47E8-BDB5-A0FBFF4AA112}" name="Columna13432" dataDxfId="2980"/>
    <tableColumn id="13439" xr3:uid="{DFE4A2DA-7DDA-4510-B3C0-2913CD6275CE}" name="Columna13433" dataDxfId="2979"/>
    <tableColumn id="13440" xr3:uid="{CB5C12F1-0BF6-46B0-822C-6D7FFA67EF89}" name="Columna13434" dataDxfId="2978"/>
    <tableColumn id="13441" xr3:uid="{91E83D2E-811E-4141-B8B9-525F4ABDE352}" name="Columna13435" dataDxfId="2977"/>
    <tableColumn id="13442" xr3:uid="{9250225D-A2EA-49B2-9A6B-D70B4E238348}" name="Columna13436" dataDxfId="2976"/>
    <tableColumn id="13443" xr3:uid="{D5B8B764-F082-4DC9-B008-1FB610ABA26B}" name="Columna13437" dataDxfId="2975"/>
    <tableColumn id="13444" xr3:uid="{943D5FEA-B3EB-4ADD-9081-4A71BBCBF09F}" name="Columna13438" dataDxfId="2974"/>
    <tableColumn id="13445" xr3:uid="{6D0DC1C1-C5F2-48D4-AFEB-CEAB7B877D3B}" name="Columna13439" dataDxfId="2973"/>
    <tableColumn id="13446" xr3:uid="{2E8AFF0C-B8C8-4529-9D1E-28BC371E5224}" name="Columna13440" dataDxfId="2972"/>
    <tableColumn id="13447" xr3:uid="{80D165DD-7255-4D5A-8E06-BD85162BFECC}" name="Columna13441" dataDxfId="2971"/>
    <tableColumn id="13448" xr3:uid="{B183942C-41E0-42C2-8A47-13C6E92FD424}" name="Columna13442" dataDxfId="2970"/>
    <tableColumn id="13449" xr3:uid="{6C497D1E-D7AF-4581-A4BB-A6407D881863}" name="Columna13443" dataDxfId="2969"/>
    <tableColumn id="13450" xr3:uid="{DA3867B7-189E-40EB-B4EB-81D871926799}" name="Columna13444" dataDxfId="2968"/>
    <tableColumn id="13451" xr3:uid="{C3037B7B-B238-4F42-9190-5E4B6E9429DD}" name="Columna13445" dataDxfId="2967"/>
    <tableColumn id="13452" xr3:uid="{36345BEF-E7D3-4CFE-AE88-FCC840BFF2B9}" name="Columna13446" dataDxfId="2966"/>
    <tableColumn id="13453" xr3:uid="{40027F70-5C63-42F3-A9A0-F0233EC8BCF3}" name="Columna13447" dataDxfId="2965"/>
    <tableColumn id="13454" xr3:uid="{B59E4CDA-F217-42E5-9562-7633D610219A}" name="Columna13448" dataDxfId="2964"/>
    <tableColumn id="13455" xr3:uid="{25492F50-2CA2-436E-9BA5-811A391B43CC}" name="Columna13449" dataDxfId="2963"/>
    <tableColumn id="13456" xr3:uid="{286844D4-A584-4754-BBE1-AEEC8382E79D}" name="Columna13450" dataDxfId="2962"/>
    <tableColumn id="13457" xr3:uid="{6EB3D142-D541-44EA-96C2-53973307CF21}" name="Columna13451" dataDxfId="2961"/>
    <tableColumn id="13458" xr3:uid="{E89ABF9B-CF0E-4EC3-BA83-842608F29C1E}" name="Columna13452" dataDxfId="2960"/>
    <tableColumn id="13459" xr3:uid="{565EE982-A1DE-41E5-AD3A-7EA7B335D301}" name="Columna13453" dataDxfId="2959"/>
    <tableColumn id="13460" xr3:uid="{A35E3FAD-51B1-4EEB-9523-9EF120BE06C0}" name="Columna13454" dataDxfId="2958"/>
    <tableColumn id="13461" xr3:uid="{C8AA6ED5-558B-4BAE-970D-6F6A74C5E7FC}" name="Columna13455" dataDxfId="2957"/>
    <tableColumn id="13462" xr3:uid="{8D0FACB9-7113-448A-BC9F-A9D7D77EEB50}" name="Columna13456" dataDxfId="2956"/>
    <tableColumn id="13463" xr3:uid="{E4F717E3-3DD9-4254-BD02-509447DC84BD}" name="Columna13457" dataDxfId="2955"/>
    <tableColumn id="13464" xr3:uid="{61E4C9CC-0E2F-439C-A04C-1873A9805123}" name="Columna13458" dataDxfId="2954"/>
    <tableColumn id="13465" xr3:uid="{7535BB19-0E5C-4670-92DB-94AF75808E86}" name="Columna13459" dataDxfId="2953"/>
    <tableColumn id="13466" xr3:uid="{4DE59F63-E208-4202-BE82-95010E12D079}" name="Columna13460" dataDxfId="2952"/>
    <tableColumn id="13467" xr3:uid="{64DFB9DC-9164-45B2-8C20-EB51B20E638F}" name="Columna13461" dataDxfId="2951"/>
    <tableColumn id="13468" xr3:uid="{CB8F2902-2090-47D0-A7B9-1D810FF924DE}" name="Columna13462" dataDxfId="2950"/>
    <tableColumn id="13469" xr3:uid="{132724E9-81BE-4CDF-B796-EAF817D09653}" name="Columna13463" dataDxfId="2949"/>
    <tableColumn id="13470" xr3:uid="{F08DE9F2-17C8-4FAC-86F7-24240A81E46C}" name="Columna13464" dataDxfId="2948"/>
    <tableColumn id="13471" xr3:uid="{F87B6A54-5FBC-440A-9ABC-D1D4319FB9AB}" name="Columna13465" dataDxfId="2947"/>
    <tableColumn id="13472" xr3:uid="{A74B03CB-CE81-4AA9-80A5-9B99DF485BFB}" name="Columna13466" dataDxfId="2946"/>
    <tableColumn id="13473" xr3:uid="{66C36144-9DFC-43DA-8DDC-0585530E958F}" name="Columna13467" dataDxfId="2945"/>
    <tableColumn id="13474" xr3:uid="{AE91B602-007C-464D-BEB3-37E5BA6D583A}" name="Columna13468" dataDxfId="2944"/>
    <tableColumn id="13475" xr3:uid="{435148E5-952E-432B-8A96-3F63440B3EB2}" name="Columna13469" dataDxfId="2943"/>
    <tableColumn id="13476" xr3:uid="{50D8D33F-ACAD-483A-BBDD-2F6245EED010}" name="Columna13470" dataDxfId="2942"/>
    <tableColumn id="13477" xr3:uid="{22B05AB3-DCB8-49BC-87D5-D8D2A274FB5A}" name="Columna13471" dataDxfId="2941"/>
    <tableColumn id="13478" xr3:uid="{A03798E8-F51C-4BAF-84E2-FC10B2A575C9}" name="Columna13472" dataDxfId="2940"/>
    <tableColumn id="13479" xr3:uid="{06B9C1ED-F7C4-49D9-9229-51CDCF442887}" name="Columna13473" dataDxfId="2939"/>
    <tableColumn id="13480" xr3:uid="{EAB06B68-D6F4-4502-B009-0B5EA8178F87}" name="Columna13474" dataDxfId="2938"/>
    <tableColumn id="13481" xr3:uid="{CFC566A5-922C-45F3-80FD-6D94EFF11F5D}" name="Columna13475" dataDxfId="2937"/>
    <tableColumn id="13482" xr3:uid="{CD27EC7E-8E39-43A1-82C3-25D4CF6B4D6B}" name="Columna13476" dataDxfId="2936"/>
    <tableColumn id="13483" xr3:uid="{CF4FFAE6-78CD-4616-97BA-F8EDCCD24DA0}" name="Columna13477" dataDxfId="2935"/>
    <tableColumn id="13484" xr3:uid="{F418B340-68CF-46E0-91D7-C0FA713A01DD}" name="Columna13478" dataDxfId="2934"/>
    <tableColumn id="13485" xr3:uid="{78E57D1A-8410-40B4-AF75-4554D04949FB}" name="Columna13479" dataDxfId="2933"/>
    <tableColumn id="13486" xr3:uid="{1B3BC7B5-5DFD-4C90-BD8A-AFE896726266}" name="Columna13480" dataDxfId="2932"/>
    <tableColumn id="13487" xr3:uid="{54A0502F-76B6-4C9F-9D6B-44D82053E9A4}" name="Columna13481" dataDxfId="2931"/>
    <tableColumn id="13488" xr3:uid="{3806E287-DBCA-472B-8580-81642DA02507}" name="Columna13482" dataDxfId="2930"/>
    <tableColumn id="13489" xr3:uid="{342D5ADB-C132-4BD5-AE2B-6B9092B12A80}" name="Columna13483" dataDxfId="2929"/>
    <tableColumn id="13490" xr3:uid="{DBA7A1D1-9ED3-47EC-9E28-55F241F68953}" name="Columna13484" dataDxfId="2928"/>
    <tableColumn id="13491" xr3:uid="{0C648E85-7A3E-4E78-BBC9-FC8C9B455405}" name="Columna13485" dataDxfId="2927"/>
    <tableColumn id="13492" xr3:uid="{B1482FA7-7072-442E-9461-BCA821403F03}" name="Columna13486" dataDxfId="2926"/>
    <tableColumn id="13493" xr3:uid="{57A21A68-C532-4104-ABD7-3196C66D05E6}" name="Columna13487" dataDxfId="2925"/>
    <tableColumn id="13494" xr3:uid="{D77A3E22-D414-4185-94EC-4F137F6E95A8}" name="Columna13488" dataDxfId="2924"/>
    <tableColumn id="13495" xr3:uid="{894D82FB-2435-40F7-88DD-175BC74F9FE3}" name="Columna13489" dataDxfId="2923"/>
    <tableColumn id="13496" xr3:uid="{A14E20E0-F562-44D5-B7FB-81D020E721A9}" name="Columna13490" dataDxfId="2922"/>
    <tableColumn id="13497" xr3:uid="{900B36FD-CCB7-43FE-A1F4-7BEE2FDD7E4F}" name="Columna13491" dataDxfId="2921"/>
    <tableColumn id="13498" xr3:uid="{AD4C2A30-A253-457E-AEBB-E2CD2DEFCE38}" name="Columna13492" dataDxfId="2920"/>
    <tableColumn id="13499" xr3:uid="{BEAF616C-8C4C-4896-AEB6-86D641912DF4}" name="Columna13493" dataDxfId="2919"/>
    <tableColumn id="13500" xr3:uid="{BE3A7B3A-1917-4961-9BF1-DD66EFE8E192}" name="Columna13494" dataDxfId="2918"/>
    <tableColumn id="13501" xr3:uid="{A35751CC-7CB1-401E-BA60-ABF21565CDDA}" name="Columna13495" dataDxfId="2917"/>
    <tableColumn id="13502" xr3:uid="{FD170A25-F40D-41CC-907F-A0B2CA3955AE}" name="Columna13496" dataDxfId="2916"/>
    <tableColumn id="13503" xr3:uid="{4A434854-E3A1-467B-9B82-DAA4FA23A79F}" name="Columna13497" dataDxfId="2915"/>
    <tableColumn id="13504" xr3:uid="{A2BE99D4-D971-4E6C-B475-931CA66C4ED8}" name="Columna13498" dataDxfId="2914"/>
    <tableColumn id="13505" xr3:uid="{E197C27C-27F3-4891-8D6E-2EBAD9D32BF9}" name="Columna13499" dataDxfId="2913"/>
    <tableColumn id="13506" xr3:uid="{20FF23C5-399E-4F2F-84CF-9DE07F9D1B66}" name="Columna13500" dataDxfId="2912"/>
    <tableColumn id="13507" xr3:uid="{BCDBA1EA-0744-48DE-9CAF-56252F246000}" name="Columna13501" dataDxfId="2911"/>
    <tableColumn id="13508" xr3:uid="{7A29B4A0-28E2-4208-A716-4BBACF130E24}" name="Columna13502" dataDxfId="2910"/>
    <tableColumn id="13509" xr3:uid="{2A2DEC71-9579-42D8-8559-D7BFC43E8B8D}" name="Columna13503" dataDxfId="2909"/>
    <tableColumn id="13510" xr3:uid="{843A9E12-0E39-44E4-891A-2475BB376EB2}" name="Columna13504" dataDxfId="2908"/>
    <tableColumn id="13511" xr3:uid="{02AA6112-D6F7-4E68-93AC-0C1DFFCDB0EF}" name="Columna13505" dataDxfId="2907"/>
    <tableColumn id="13512" xr3:uid="{DE0DD475-BB2B-4552-8189-90F1534737E8}" name="Columna13506" dataDxfId="2906"/>
    <tableColumn id="13513" xr3:uid="{42C2855E-297F-4126-98B9-C56C564A8566}" name="Columna13507" dataDxfId="2905"/>
    <tableColumn id="13514" xr3:uid="{9840372E-4DE9-404B-B7C9-E32BE12F4CCC}" name="Columna13508" dataDxfId="2904"/>
    <tableColumn id="13515" xr3:uid="{A26C43C8-8E7C-4157-B6BE-8F63D4877F4E}" name="Columna13509" dataDxfId="2903"/>
    <tableColumn id="13516" xr3:uid="{3BDC477B-B125-4583-9503-957005DC6C57}" name="Columna13510" dataDxfId="2902"/>
    <tableColumn id="13517" xr3:uid="{6AFD3954-43F3-49E0-BEDA-7B1DF88EF7DB}" name="Columna13511" dataDxfId="2901"/>
    <tableColumn id="13518" xr3:uid="{452D8451-3928-46AF-B62F-29C805DEDAB7}" name="Columna13512" dataDxfId="2900"/>
    <tableColumn id="13519" xr3:uid="{FD88C92E-F38C-449A-97A4-70E434AD4C9C}" name="Columna13513" dataDxfId="2899"/>
    <tableColumn id="13520" xr3:uid="{B2C40A70-40C5-4CE1-8B5C-4E83EA7F24C8}" name="Columna13514" dataDxfId="2898"/>
    <tableColumn id="13521" xr3:uid="{740521D8-4FD2-4E7C-A067-48565BB07B28}" name="Columna13515" dataDxfId="2897"/>
    <tableColumn id="13522" xr3:uid="{1BC1CB44-89B2-461E-B68D-DC5B6B46EE1C}" name="Columna13516" dataDxfId="2896"/>
    <tableColumn id="13523" xr3:uid="{A933157B-8FC2-4D90-8F5E-B5528962F954}" name="Columna13517" dataDxfId="2895"/>
    <tableColumn id="13524" xr3:uid="{D5BA1F06-813F-40FF-9B1D-BFA588FBB838}" name="Columna13518" dataDxfId="2894"/>
    <tableColumn id="13525" xr3:uid="{2C119878-EA10-4F23-AEF4-8A5D7B1364A3}" name="Columna13519" dataDxfId="2893"/>
    <tableColumn id="13526" xr3:uid="{4BE1FFA6-EE24-4962-ACE3-BD06E194703D}" name="Columna13520" dataDxfId="2892"/>
    <tableColumn id="13527" xr3:uid="{87A703F6-66E2-485B-95DA-8CAAEFA76CDF}" name="Columna13521" dataDxfId="2891"/>
    <tableColumn id="13528" xr3:uid="{13245993-43C0-49E1-AC4E-5B8FF54A83F2}" name="Columna13522" dataDxfId="2890"/>
    <tableColumn id="13529" xr3:uid="{509407EF-D727-4B2D-A90E-A139F80342CA}" name="Columna13523" dataDxfId="2889"/>
    <tableColumn id="13530" xr3:uid="{C5463E2A-5188-4D4C-8781-EFFAFF5DDE64}" name="Columna13524" dataDxfId="2888"/>
    <tableColumn id="13531" xr3:uid="{083DBB50-C23D-4B6D-8C80-A00CC0152EBC}" name="Columna13525" dataDxfId="2887"/>
    <tableColumn id="13532" xr3:uid="{E4EB0DB7-8587-40EA-8A75-B77A97F161B3}" name="Columna13526" dataDxfId="2886"/>
    <tableColumn id="13533" xr3:uid="{82DE2CFF-9F1A-482B-9756-499809100540}" name="Columna13527" dataDxfId="2885"/>
    <tableColumn id="13534" xr3:uid="{F5E24831-998B-4C03-8F8F-910DBFC80C96}" name="Columna13528" dataDxfId="2884"/>
    <tableColumn id="13535" xr3:uid="{8163F9BC-F58B-475B-87D5-A54A7D0E74C3}" name="Columna13529" dataDxfId="2883"/>
    <tableColumn id="13536" xr3:uid="{DEEE9436-17C5-4F72-AAF6-679B4E016D85}" name="Columna13530" dataDxfId="2882"/>
    <tableColumn id="13537" xr3:uid="{55A0B528-5926-42FE-93C4-C9C60195A4E9}" name="Columna13531" dataDxfId="2881"/>
    <tableColumn id="13538" xr3:uid="{30C2253A-87CD-4AF2-8017-F49F3616A9C9}" name="Columna13532" dataDxfId="2880"/>
    <tableColumn id="13539" xr3:uid="{4008177C-9933-49CD-BD18-7F6D225343D6}" name="Columna13533" dataDxfId="2879"/>
    <tableColumn id="13540" xr3:uid="{7FFF9991-AC76-4162-99CF-49049CABEC79}" name="Columna13534" dataDxfId="2878"/>
    <tableColumn id="13541" xr3:uid="{4BD07E16-08D7-4295-B145-0F069CBAB1AD}" name="Columna13535" dataDxfId="2877"/>
    <tableColumn id="13542" xr3:uid="{78477831-C2A7-4AF1-B4B2-7AE32BB0E688}" name="Columna13536" dataDxfId="2876"/>
    <tableColumn id="13543" xr3:uid="{D2F77081-2FA6-4BFE-A2E7-E38FB7D325B9}" name="Columna13537" dataDxfId="2875"/>
    <tableColumn id="13544" xr3:uid="{38B67300-7539-4162-9A16-C824CB6FC52E}" name="Columna13538" dataDxfId="2874"/>
    <tableColumn id="13545" xr3:uid="{D69F92FF-2F4A-408A-A406-551DE92D200F}" name="Columna13539" dataDxfId="2873"/>
    <tableColumn id="13546" xr3:uid="{510A561F-80DB-4D82-B88B-47079781E3A1}" name="Columna13540" dataDxfId="2872"/>
    <tableColumn id="13547" xr3:uid="{046BD6AB-B0E9-4A6C-8D1A-21EFE64E8C65}" name="Columna13541" dataDxfId="2871"/>
    <tableColumn id="13548" xr3:uid="{F37369CE-F4EB-461C-AE98-0BCAF600877E}" name="Columna13542" dataDxfId="2870"/>
    <tableColumn id="13549" xr3:uid="{B1520C9A-7A4E-4B65-AEDE-408C10403BF7}" name="Columna13543" dataDxfId="2869"/>
    <tableColumn id="13550" xr3:uid="{A7A7CA85-31FF-4815-89F3-04ED5256DC2C}" name="Columna13544" dataDxfId="2868"/>
    <tableColumn id="13551" xr3:uid="{17D4D307-FDC0-486B-9BB4-2C9A6904D731}" name="Columna13545" dataDxfId="2867"/>
    <tableColumn id="13552" xr3:uid="{75CAAC02-3302-4958-995E-59A1BBD3E103}" name="Columna13546" dataDxfId="2866"/>
    <tableColumn id="13553" xr3:uid="{926CBD74-3901-468F-8671-921EF993EF21}" name="Columna13547" dataDxfId="2865"/>
    <tableColumn id="13554" xr3:uid="{249C46E1-93D7-4FCE-A5BE-467D2582D5F4}" name="Columna13548" dataDxfId="2864"/>
    <tableColumn id="13555" xr3:uid="{9CF09667-68E7-45F2-BADD-05D8E63D6AB5}" name="Columna13549" dataDxfId="2863"/>
    <tableColumn id="13556" xr3:uid="{AEB9CBE2-2C68-4993-8895-A84D1392E34E}" name="Columna13550" dataDxfId="2862"/>
    <tableColumn id="13557" xr3:uid="{EEACA6CD-7EE3-4A9E-9C02-C825931D1B6D}" name="Columna13551" dataDxfId="2861"/>
    <tableColumn id="13558" xr3:uid="{5B6BCEA5-BBD7-4377-8C43-7F1213B16B32}" name="Columna13552" dataDxfId="2860"/>
    <tableColumn id="13559" xr3:uid="{A88C0497-DD35-45DD-BB84-652BB277883D}" name="Columna13553" dataDxfId="2859"/>
    <tableColumn id="13560" xr3:uid="{098B73A9-07BF-4AAE-AB29-BDD1F169DFD4}" name="Columna13554" dataDxfId="2858"/>
    <tableColumn id="13561" xr3:uid="{574A04F3-C2C0-401F-8317-ED42E72D4A13}" name="Columna13555" dataDxfId="2857"/>
    <tableColumn id="13562" xr3:uid="{4308BDD0-6FD3-40D3-8B95-1CE5BA297EC6}" name="Columna13556" dataDxfId="2856"/>
    <tableColumn id="13563" xr3:uid="{F18407C4-FC20-4207-B248-90773E7FE095}" name="Columna13557" dataDxfId="2855"/>
    <tableColumn id="13564" xr3:uid="{8CEA30D5-172C-4BD7-8426-11A7DDD79463}" name="Columna13558" dataDxfId="2854"/>
    <tableColumn id="13565" xr3:uid="{E3870941-5F97-4D10-84F5-16630694E67B}" name="Columna13559" dataDxfId="2853"/>
    <tableColumn id="13566" xr3:uid="{1CCAE057-7851-4BCA-954C-F047989DEFFD}" name="Columna13560" dataDxfId="2852"/>
    <tableColumn id="13567" xr3:uid="{9F1E58F5-9AC5-4274-A3D2-AD19EBA3B3E9}" name="Columna13561" dataDxfId="2851"/>
    <tableColumn id="13568" xr3:uid="{5E33642E-97F8-4B00-A45E-9A1357EA1F6A}" name="Columna13562" dataDxfId="2850"/>
    <tableColumn id="13569" xr3:uid="{57D82B2C-7EDA-42DD-BB26-1615621E1041}" name="Columna13563" dataDxfId="2849"/>
    <tableColumn id="13570" xr3:uid="{919E9A87-CEA1-4622-8837-72B2C2FDB741}" name="Columna13564" dataDxfId="2848"/>
    <tableColumn id="13571" xr3:uid="{505CD01F-806D-4D99-AC80-373BBB1CD188}" name="Columna13565" dataDxfId="2847"/>
    <tableColumn id="13572" xr3:uid="{2E510BB1-7089-44D4-ADE3-7D6D77CCAC52}" name="Columna13566" dataDxfId="2846"/>
    <tableColumn id="13573" xr3:uid="{D8C22152-561B-4042-B2C3-B82B6CAB9C93}" name="Columna13567" dataDxfId="2845"/>
    <tableColumn id="13574" xr3:uid="{3D2F578C-AA8C-44BD-A6F7-493DDD099FDC}" name="Columna13568" dataDxfId="2844"/>
    <tableColumn id="13575" xr3:uid="{7D7B1BC7-E8FC-429A-B7FD-0F4DF783FB45}" name="Columna13569" dataDxfId="2843"/>
    <tableColumn id="13576" xr3:uid="{955E070C-A3DD-4C38-823D-2DE165BECF73}" name="Columna13570" dataDxfId="2842"/>
    <tableColumn id="13577" xr3:uid="{73895711-2062-482E-894C-A3C2CE09315D}" name="Columna13571" dataDxfId="2841"/>
    <tableColumn id="13578" xr3:uid="{D6DB99EC-21E0-4D3B-860A-3D3AB38089C7}" name="Columna13572" dataDxfId="2840"/>
    <tableColumn id="13579" xr3:uid="{BA23E2BC-45BD-40D3-BCFF-DCB70CFDD52D}" name="Columna13573" dataDxfId="2839"/>
    <tableColumn id="13580" xr3:uid="{433523AA-2B9C-42C2-A5B6-EA12D3265BC0}" name="Columna13574" dataDxfId="2838"/>
    <tableColumn id="13581" xr3:uid="{6BB9174C-904C-4804-8667-7BF39DE0B296}" name="Columna13575" dataDxfId="2837"/>
    <tableColumn id="13582" xr3:uid="{51D8AFD4-BB49-46AC-B1CF-56E93752DE90}" name="Columna13576" dataDxfId="2836"/>
    <tableColumn id="13583" xr3:uid="{50DEB392-A709-4DB2-B27E-541FFBA39C90}" name="Columna13577" dataDxfId="2835"/>
    <tableColumn id="13584" xr3:uid="{65ECB87A-9F45-42CE-9F70-E57A7F21653A}" name="Columna13578" dataDxfId="2834"/>
    <tableColumn id="13585" xr3:uid="{F4D15254-01FF-482A-B88A-99F76126C0D8}" name="Columna13579" dataDxfId="2833"/>
    <tableColumn id="13586" xr3:uid="{21A2DC56-236A-41C8-8A29-2854C7DA7CD8}" name="Columna13580" dataDxfId="2832"/>
    <tableColumn id="13587" xr3:uid="{6C1E972A-16EF-48E0-80B7-E5FAB3F2C85A}" name="Columna13581" dataDxfId="2831"/>
    <tableColumn id="13588" xr3:uid="{6DD50448-905A-402D-928B-0A65464C0F45}" name="Columna13582" dataDxfId="2830"/>
    <tableColumn id="13589" xr3:uid="{34A3399E-0C80-4F53-9EA6-E1CF7362546B}" name="Columna13583" dataDxfId="2829"/>
    <tableColumn id="13590" xr3:uid="{1C52035A-3937-4F12-B848-D120B86340AD}" name="Columna13584" dataDxfId="2828"/>
    <tableColumn id="13591" xr3:uid="{CAB4226F-C761-454A-873A-C2C521D8B484}" name="Columna13585" dataDxfId="2827"/>
    <tableColumn id="13592" xr3:uid="{F4F796F9-5BBE-4DCA-A9E7-240A37ADFF97}" name="Columna13586" dataDxfId="2826"/>
    <tableColumn id="13593" xr3:uid="{1082C543-53A3-4AA8-811E-236EE3280455}" name="Columna13587" dataDxfId="2825"/>
    <tableColumn id="13594" xr3:uid="{7D8E6C6F-6BB5-47D8-8FE6-D2AB50BF3460}" name="Columna13588" dataDxfId="2824"/>
    <tableColumn id="13595" xr3:uid="{E80C8FA2-5163-4727-9314-A2030F4B1CAC}" name="Columna13589" dataDxfId="2823"/>
    <tableColumn id="13596" xr3:uid="{14CECFD0-2C28-4E5D-B53B-BC5D09EDF3BA}" name="Columna13590" dataDxfId="2822"/>
    <tableColumn id="13597" xr3:uid="{20568593-4900-48DB-8A4B-36DD6BDB9A29}" name="Columna13591" dataDxfId="2821"/>
    <tableColumn id="13598" xr3:uid="{A13EA98B-6EE0-4941-9A1C-AE7FECE449F3}" name="Columna13592" dataDxfId="2820"/>
    <tableColumn id="13599" xr3:uid="{7F127129-D4F9-4E4C-9D9C-FAAC70B12499}" name="Columna13593" dataDxfId="2819"/>
    <tableColumn id="13600" xr3:uid="{1EADCBA1-2D4C-4FB9-AE21-496CA139B6E8}" name="Columna13594" dataDxfId="2818"/>
    <tableColumn id="13601" xr3:uid="{88965F9E-0CC0-414C-A40D-28C0B12E17B5}" name="Columna13595" dataDxfId="2817"/>
    <tableColumn id="13602" xr3:uid="{C31BE003-7195-44E7-B24B-24B0218C690E}" name="Columna13596" dataDxfId="2816"/>
    <tableColumn id="13603" xr3:uid="{CAF2B542-A76A-431F-A3DE-7D1C282F381B}" name="Columna13597" dataDxfId="2815"/>
    <tableColumn id="13604" xr3:uid="{67B28ADE-DA65-464E-A6AA-226710CADE99}" name="Columna13598" dataDxfId="2814"/>
    <tableColumn id="13605" xr3:uid="{8F083330-C3B3-4F7C-BD93-DF8A587DC162}" name="Columna13599" dataDxfId="2813"/>
    <tableColumn id="13606" xr3:uid="{778947AF-BD34-4FDE-A398-4D31FBE9DA90}" name="Columna13600" dataDxfId="2812"/>
    <tableColumn id="13607" xr3:uid="{E44DFBBB-084E-4C3A-9F7D-819AA41DF845}" name="Columna13601" dataDxfId="2811"/>
    <tableColumn id="13608" xr3:uid="{819AA553-1200-48A8-BE96-7D6FB573F497}" name="Columna13602" dataDxfId="2810"/>
    <tableColumn id="13609" xr3:uid="{70852A48-170F-452F-8A72-19223041FD11}" name="Columna13603" dataDxfId="2809"/>
    <tableColumn id="13610" xr3:uid="{EFCDB17B-45D0-43BD-A4E5-F774FCB507A0}" name="Columna13604" dataDxfId="2808"/>
    <tableColumn id="13611" xr3:uid="{8E5FF431-DDEC-4613-830D-788A261ADE23}" name="Columna13605" dataDxfId="2807"/>
    <tableColumn id="13612" xr3:uid="{F1F2DC5A-8B17-400B-B668-F20BF7D9EE98}" name="Columna13606" dataDxfId="2806"/>
    <tableColumn id="13613" xr3:uid="{58631727-1744-429B-A0E2-4C66AFFAF53F}" name="Columna13607" dataDxfId="2805"/>
    <tableColumn id="13614" xr3:uid="{6989FA33-3FF8-43B1-8E13-6E6490294C2B}" name="Columna13608" dataDxfId="2804"/>
    <tableColumn id="13615" xr3:uid="{F73729BB-4018-4D76-8AAB-7002DA29AAC8}" name="Columna13609" dataDxfId="2803"/>
    <tableColumn id="13616" xr3:uid="{8ECF0DF2-3380-4086-8BFF-2E0F5EA58A11}" name="Columna13610" dataDxfId="2802"/>
    <tableColumn id="13617" xr3:uid="{80ECE9AF-CEE8-4D8D-AB52-9E1FDF497AB0}" name="Columna13611" dataDxfId="2801"/>
    <tableColumn id="13618" xr3:uid="{F1ABBEF8-19CE-4FE1-BAC4-E192B507CB5D}" name="Columna13612" dataDxfId="2800"/>
    <tableColumn id="13619" xr3:uid="{2256CBBA-E728-4888-8CDB-7DFD29EC28FA}" name="Columna13613" dataDxfId="2799"/>
    <tableColumn id="13620" xr3:uid="{E8557E8F-C080-41D5-9099-7D8D85255DC5}" name="Columna13614" dataDxfId="2798"/>
    <tableColumn id="13621" xr3:uid="{682560BE-B9EE-4694-93DC-90FD92629E0A}" name="Columna13615" dataDxfId="2797"/>
    <tableColumn id="13622" xr3:uid="{67174BEA-DAD1-4BCD-8A5E-5CBC2AFDD174}" name="Columna13616" dataDxfId="2796"/>
    <tableColumn id="13623" xr3:uid="{BEEE4B96-E7BE-4E74-900E-F5BFC43A17EC}" name="Columna13617" dataDxfId="2795"/>
    <tableColumn id="13624" xr3:uid="{8A1D0688-6510-48F7-BBE6-6F8A4B218184}" name="Columna13618" dataDxfId="2794"/>
    <tableColumn id="13625" xr3:uid="{AA8CD616-BDD7-48FD-B9D5-BB0ECB015A25}" name="Columna13619" dataDxfId="2793"/>
    <tableColumn id="13626" xr3:uid="{185EF017-F806-47BA-8E82-95EBBCA84F9E}" name="Columna13620" dataDxfId="2792"/>
    <tableColumn id="13627" xr3:uid="{D679054B-8DC2-4CA6-AEBA-6E2452BD7003}" name="Columna13621" dataDxfId="2791"/>
    <tableColumn id="13628" xr3:uid="{1F1C7113-C63A-40E0-95B4-BC690A6408FB}" name="Columna13622" dataDxfId="2790"/>
    <tableColumn id="13629" xr3:uid="{6AAABE93-0681-4D9F-9EBD-1CD758638CB9}" name="Columna13623" dataDxfId="2789"/>
    <tableColumn id="13630" xr3:uid="{3AF027E9-D4ED-4345-97B8-C10C2E8CA042}" name="Columna13624" dataDxfId="2788"/>
    <tableColumn id="13631" xr3:uid="{3B4A93E0-4109-4232-936C-2349138E9ED6}" name="Columna13625" dataDxfId="2787"/>
    <tableColumn id="13632" xr3:uid="{6E495897-B8FB-4221-997F-5EA049390FFC}" name="Columna13626" dataDxfId="2786"/>
    <tableColumn id="13633" xr3:uid="{75E3B09F-BDF5-4C38-BD6F-C91E8A63FB67}" name="Columna13627" dataDxfId="2785"/>
    <tableColumn id="13634" xr3:uid="{5D217E87-ED6D-4871-829B-3C26B88EA3D3}" name="Columna13628" dataDxfId="2784"/>
    <tableColumn id="13635" xr3:uid="{D4EC9C4F-1EAC-4C8D-95DE-1F07E5F68517}" name="Columna13629" dataDxfId="2783"/>
    <tableColumn id="13636" xr3:uid="{A5602B53-AFC3-4239-8B06-B1B06D5286D6}" name="Columna13630" dataDxfId="2782"/>
    <tableColumn id="13637" xr3:uid="{BEE70FC2-6FD7-4F75-86B2-BE16BAB6F9F9}" name="Columna13631" dataDxfId="2781"/>
    <tableColumn id="13638" xr3:uid="{0FE88982-2B95-4FFC-A8F5-F8E3975F825F}" name="Columna13632" dataDxfId="2780"/>
    <tableColumn id="13639" xr3:uid="{7662C72D-4EB4-4080-AE4D-1ED0BC0BA19D}" name="Columna13633" dataDxfId="2779"/>
    <tableColumn id="13640" xr3:uid="{B35A7FD6-AC5A-4CC2-B649-E830B0CC0E8B}" name="Columna13634" dataDxfId="2778"/>
    <tableColumn id="13641" xr3:uid="{7F4CEF88-08B1-4923-AE0A-D6D4B441A0CA}" name="Columna13635" dataDxfId="2777"/>
    <tableColumn id="13642" xr3:uid="{EA3EB303-B7DC-4303-9814-FE9D9FBE59C2}" name="Columna13636" dataDxfId="2776"/>
    <tableColumn id="13643" xr3:uid="{0E62E96C-4276-47E4-AD7B-34197F8BA6E2}" name="Columna13637" dataDxfId="2775"/>
    <tableColumn id="13644" xr3:uid="{9B085C18-5080-44F9-9CA1-0DD97FA857F7}" name="Columna13638" dataDxfId="2774"/>
    <tableColumn id="13645" xr3:uid="{B14A5BEF-F816-40FB-9AE1-BB74B051EB55}" name="Columna13639" dataDxfId="2773"/>
    <tableColumn id="13646" xr3:uid="{7894D1F8-2F75-4C01-8D95-FC1511D5C3B8}" name="Columna13640" dataDxfId="2772"/>
    <tableColumn id="13647" xr3:uid="{B722FEB7-5E83-4AA2-9C88-1A4E90405097}" name="Columna13641" dataDxfId="2771"/>
    <tableColumn id="13648" xr3:uid="{E0E14039-3CB5-4949-9BA1-F9B847C0B57B}" name="Columna13642" dataDxfId="2770"/>
    <tableColumn id="13649" xr3:uid="{D9596E5F-F9E7-4C55-9158-BEEE44E8A3A1}" name="Columna13643" dataDxfId="2769"/>
    <tableColumn id="13650" xr3:uid="{9FC9E60B-013F-4E9C-9B84-69E428D8306C}" name="Columna13644" dataDxfId="2768"/>
    <tableColumn id="13651" xr3:uid="{DCAAD468-203E-4B44-AF4B-C119A95BEFFF}" name="Columna13645" dataDxfId="2767"/>
    <tableColumn id="13652" xr3:uid="{A14E468A-DE95-4CE8-AB84-3EE83DC5869D}" name="Columna13646" dataDxfId="2766"/>
    <tableColumn id="13653" xr3:uid="{BE9AC72B-7D5F-4663-85E9-0F4F42F50253}" name="Columna13647" dataDxfId="2765"/>
    <tableColumn id="13654" xr3:uid="{7E081AE5-20E3-4D5A-A92E-E2697B661CE1}" name="Columna13648" dataDxfId="2764"/>
    <tableColumn id="13655" xr3:uid="{541AEB96-08EF-4C03-A50E-CC7497D77C59}" name="Columna13649" dataDxfId="2763"/>
    <tableColumn id="13656" xr3:uid="{FF7DA8EB-039A-4FBD-9D8E-3C2863E698B8}" name="Columna13650" dataDxfId="2762"/>
    <tableColumn id="13657" xr3:uid="{22278B75-1D89-4D9E-94C0-4A2DB658AFDC}" name="Columna13651" dataDxfId="2761"/>
    <tableColumn id="13658" xr3:uid="{E03B8025-4C8F-4790-B6BF-00D311767DB1}" name="Columna13652" dataDxfId="2760"/>
    <tableColumn id="13659" xr3:uid="{7C877143-DE79-4729-A9B5-E2F54B6955EF}" name="Columna13653" dataDxfId="2759"/>
    <tableColumn id="13660" xr3:uid="{B152382A-DDF4-4CAE-B965-D10249B0FBEC}" name="Columna13654" dataDxfId="2758"/>
    <tableColumn id="13661" xr3:uid="{0F4C6262-75D6-4438-A665-1DC7F0C4091A}" name="Columna13655" dataDxfId="2757"/>
    <tableColumn id="13662" xr3:uid="{17B3D2C5-55F8-43F7-AE06-C831CA509525}" name="Columna13656" dataDxfId="2756"/>
    <tableColumn id="13663" xr3:uid="{696F43E3-62A2-4A43-AC20-ACDE4EA5737C}" name="Columna13657" dataDxfId="2755"/>
    <tableColumn id="13664" xr3:uid="{A882BE96-2932-408B-AC92-69CB97EFE31D}" name="Columna13658" dataDxfId="2754"/>
    <tableColumn id="13665" xr3:uid="{04B51713-C08B-45F7-98E1-432A662C1DAE}" name="Columna13659" dataDxfId="2753"/>
    <tableColumn id="13666" xr3:uid="{BC370249-A28C-46A6-8404-92F52B02A3EC}" name="Columna13660" dataDxfId="2752"/>
    <tableColumn id="13667" xr3:uid="{F580AB56-07A4-4782-B781-6B2C4D48B297}" name="Columna13661" dataDxfId="2751"/>
    <tableColumn id="13668" xr3:uid="{9A5EE828-41C0-472B-A141-9DF678D43E04}" name="Columna13662" dataDxfId="2750"/>
    <tableColumn id="13669" xr3:uid="{C343D89A-EC9B-489A-AF5C-2075B9E59910}" name="Columna13663" dataDxfId="2749"/>
    <tableColumn id="13670" xr3:uid="{253A0804-893E-4B70-A2AD-A2D88B70203C}" name="Columna13664" dataDxfId="2748"/>
    <tableColumn id="13671" xr3:uid="{F16AA726-BE89-4EC3-B1F2-3080E021A636}" name="Columna13665" dataDxfId="2747"/>
    <tableColumn id="13672" xr3:uid="{2870A958-69B7-4497-9001-07AB8B49B58E}" name="Columna13666" dataDxfId="2746"/>
    <tableColumn id="13673" xr3:uid="{23EC3B14-46D4-44BB-BEF2-B91BFA8618DD}" name="Columna13667" dataDxfId="2745"/>
    <tableColumn id="13674" xr3:uid="{F444A3E0-AC1A-4108-9EC1-584E9782DC91}" name="Columna13668" dataDxfId="2744"/>
    <tableColumn id="13675" xr3:uid="{30A293E0-B9A4-4B32-A82C-FE4BDAE3EA12}" name="Columna13669" dataDxfId="2743"/>
    <tableColumn id="13676" xr3:uid="{09D602E6-95C1-4CDB-9D0C-CB14C7AEC513}" name="Columna13670" dataDxfId="2742"/>
    <tableColumn id="13677" xr3:uid="{0FA11652-A1D1-4F19-A26A-09EB618BDD51}" name="Columna13671" dataDxfId="2741"/>
    <tableColumn id="13678" xr3:uid="{74841A4F-0AEA-487D-893C-CC3B3CE167DD}" name="Columna13672" dataDxfId="2740"/>
    <tableColumn id="13679" xr3:uid="{3C06147E-3F2B-46D6-B69D-DB44BDEB291C}" name="Columna13673" dataDxfId="2739"/>
    <tableColumn id="13680" xr3:uid="{991D156B-8213-47C3-AD12-EB48D73A7D49}" name="Columna13674" dataDxfId="2738"/>
    <tableColumn id="13681" xr3:uid="{811E59C8-719A-4C1C-88B1-0562E76F3120}" name="Columna13675" dataDxfId="2737"/>
    <tableColumn id="13682" xr3:uid="{D2D9CC52-A064-42ED-B4A3-375866D0FB80}" name="Columna13676" dataDxfId="2736"/>
    <tableColumn id="13683" xr3:uid="{6C30A0A7-A941-4E67-AA62-E6AE12976FC2}" name="Columna13677" dataDxfId="2735"/>
    <tableColumn id="13684" xr3:uid="{655000B1-2734-4561-B04D-E68918C9E65C}" name="Columna13678" dataDxfId="2734"/>
    <tableColumn id="13685" xr3:uid="{4780485E-1B94-4964-9920-562BBED83CC8}" name="Columna13679" dataDxfId="2733"/>
    <tableColumn id="13686" xr3:uid="{A8549E29-9B10-4710-A13C-A0EF680A5CA5}" name="Columna13680" dataDxfId="2732"/>
    <tableColumn id="13687" xr3:uid="{4A417B0A-31A6-44D2-B137-83A120D1C22E}" name="Columna13681" dataDxfId="2731"/>
    <tableColumn id="13688" xr3:uid="{F01D7BD9-4C52-4028-9476-2EAF401EA831}" name="Columna13682" dataDxfId="2730"/>
    <tableColumn id="13689" xr3:uid="{5F278E31-9057-4E79-8998-DFB56A30F060}" name="Columna13683" dataDxfId="2729"/>
    <tableColumn id="13690" xr3:uid="{991EB6D4-B1A3-41A0-B7BC-D1407DC18722}" name="Columna13684" dataDxfId="2728"/>
    <tableColumn id="13691" xr3:uid="{48089B02-F05F-4A0A-BDDD-353417E980B2}" name="Columna13685" dataDxfId="2727"/>
    <tableColumn id="13692" xr3:uid="{71D10165-6A07-4305-AA89-97579116E3BA}" name="Columna13686" dataDxfId="2726"/>
    <tableColumn id="13693" xr3:uid="{A9080ED4-B30C-48D6-9CC7-C52F55774372}" name="Columna13687" dataDxfId="2725"/>
    <tableColumn id="13694" xr3:uid="{126688C0-D6DE-4330-B705-C936164EA939}" name="Columna13688" dataDxfId="2724"/>
    <tableColumn id="13695" xr3:uid="{20E042DD-C77B-40DB-BF26-D14A3A84CD01}" name="Columna13689" dataDxfId="2723"/>
    <tableColumn id="13696" xr3:uid="{D97E62E6-F7F8-4F4A-AB53-DFFD18644EB4}" name="Columna13690" dataDxfId="2722"/>
    <tableColumn id="13697" xr3:uid="{5903CE25-7C94-4CC9-9CBA-C922F7140AFD}" name="Columna13691" dataDxfId="2721"/>
    <tableColumn id="13698" xr3:uid="{56C4F32E-2F76-4836-B6BE-0E77838D8324}" name="Columna13692" dataDxfId="2720"/>
    <tableColumn id="13699" xr3:uid="{2D7C16BD-BFF6-4706-A966-255870C6B4A3}" name="Columna13693" dataDxfId="2719"/>
    <tableColumn id="13700" xr3:uid="{9B495B72-E35F-4BA5-862F-898B313F1082}" name="Columna13694" dataDxfId="2718"/>
    <tableColumn id="13701" xr3:uid="{ED952991-8F8B-4B99-95AB-53DD1DA935A7}" name="Columna13695" dataDxfId="2717"/>
    <tableColumn id="13702" xr3:uid="{0986D171-BBFB-4A99-A5A2-AB44A0849B96}" name="Columna13696" dataDxfId="2716"/>
    <tableColumn id="13703" xr3:uid="{42FC6C5F-D3A8-4D44-B0C1-FA8E580B63A4}" name="Columna13697" dataDxfId="2715"/>
    <tableColumn id="13704" xr3:uid="{84C2EC03-40CD-44E3-9F44-75F6221A7F34}" name="Columna13698" dataDxfId="2714"/>
    <tableColumn id="13705" xr3:uid="{63098725-E7A7-4C19-8B65-1C70728176F1}" name="Columna13699" dataDxfId="2713"/>
    <tableColumn id="13706" xr3:uid="{37349A92-CD98-46B9-912F-91B95D043A91}" name="Columna13700" dataDxfId="2712"/>
    <tableColumn id="13707" xr3:uid="{861669BD-0E89-4FA0-96A8-B02F6E932780}" name="Columna13701" dataDxfId="2711"/>
    <tableColumn id="13708" xr3:uid="{3B69516D-24AC-42A1-A2ED-8C4ADC30F552}" name="Columna13702" dataDxfId="2710"/>
    <tableColumn id="13709" xr3:uid="{E349B163-6419-4D0E-BED9-83FA32609DE6}" name="Columna13703" dataDxfId="2709"/>
    <tableColumn id="13710" xr3:uid="{C1496817-EB2C-4DAC-A217-3842C7E5D703}" name="Columna13704" dataDxfId="2708"/>
    <tableColumn id="13711" xr3:uid="{1A5A6F78-6874-4EB3-B2F0-9C78F575CE5F}" name="Columna13705" dataDxfId="2707"/>
    <tableColumn id="13712" xr3:uid="{19072471-1FD7-40CA-8641-520C784F355E}" name="Columna13706" dataDxfId="2706"/>
    <tableColumn id="13713" xr3:uid="{D1F44889-7ED6-4D3A-BEA9-743082B30FBE}" name="Columna13707" dataDxfId="2705"/>
    <tableColumn id="13714" xr3:uid="{5F200C9C-208A-4225-94B7-C4962A037A06}" name="Columna13708" dataDxfId="2704"/>
    <tableColumn id="13715" xr3:uid="{0D781B95-9194-44A0-BFEB-6B8B44E5DD40}" name="Columna13709" dataDxfId="2703"/>
    <tableColumn id="13716" xr3:uid="{BD89D502-B9D0-4595-808C-EBB42C87C45A}" name="Columna13710" dataDxfId="2702"/>
    <tableColumn id="13717" xr3:uid="{4E646731-74F4-4F08-94AF-817818575F2D}" name="Columna13711" dataDxfId="2701"/>
    <tableColumn id="13718" xr3:uid="{FC5FD93A-E676-4AD5-AB4A-36DF46AAAF7F}" name="Columna13712" dataDxfId="2700"/>
    <tableColumn id="13719" xr3:uid="{841764F0-E592-4180-B57A-60F66E579A38}" name="Columna13713" dataDxfId="2699"/>
    <tableColumn id="13720" xr3:uid="{B17A7275-6F9B-4BB9-A48C-ABB501BDAA6F}" name="Columna13714" dataDxfId="2698"/>
    <tableColumn id="13721" xr3:uid="{469542F0-B69A-4BE9-BBC9-573A1BBF1841}" name="Columna13715" dataDxfId="2697"/>
    <tableColumn id="13722" xr3:uid="{17C76749-B6B5-47F0-B6B6-C8A21C6C2013}" name="Columna13716" dataDxfId="2696"/>
    <tableColumn id="13723" xr3:uid="{6F0B0D5B-DE87-4C25-986F-6347CF0B3930}" name="Columna13717" dataDxfId="2695"/>
    <tableColumn id="13724" xr3:uid="{07F62D31-296D-4BB3-829E-D4ABEB2F9F4F}" name="Columna13718" dataDxfId="2694"/>
    <tableColumn id="13725" xr3:uid="{31B9E4D5-75BD-4967-83F8-57EE2BFB4770}" name="Columna13719" dataDxfId="2693"/>
    <tableColumn id="13726" xr3:uid="{4181D05C-DF03-43E1-BF8C-60D8FB975094}" name="Columna13720" dataDxfId="2692"/>
    <tableColumn id="13727" xr3:uid="{84A32FC5-9A01-48DC-B068-F203CEF444F0}" name="Columna13721" dataDxfId="2691"/>
    <tableColumn id="13728" xr3:uid="{89FFD902-06F8-40CD-A27E-10EAB3E4634F}" name="Columna13722" dataDxfId="2690"/>
    <tableColumn id="13729" xr3:uid="{A2C7BE98-EBEE-428F-AE34-77D2A7E592A6}" name="Columna13723" dataDxfId="2689"/>
    <tableColumn id="13730" xr3:uid="{0A6EECBD-2309-4C56-92DC-0D9CEAF406F9}" name="Columna13724" dataDxfId="2688"/>
    <tableColumn id="13731" xr3:uid="{D6B88E90-AE0F-4494-806E-C294242C4FBB}" name="Columna13725" dataDxfId="2687"/>
    <tableColumn id="13732" xr3:uid="{6CA27833-E679-4C06-AB43-3D175BDA559E}" name="Columna13726" dataDxfId="2686"/>
    <tableColumn id="13733" xr3:uid="{3F3BDBF3-41B8-4FC2-95C0-534D4ABB2E2D}" name="Columna13727" dataDxfId="2685"/>
    <tableColumn id="13734" xr3:uid="{F98927EB-5054-4755-96BD-73C845414A36}" name="Columna13728" dataDxfId="2684"/>
    <tableColumn id="13735" xr3:uid="{80D7D724-69D5-4865-9576-BA7F6EB1170D}" name="Columna13729" dataDxfId="2683"/>
    <tableColumn id="13736" xr3:uid="{3B0691A1-D5F5-417D-99BD-2A8C6392665C}" name="Columna13730" dataDxfId="2682"/>
    <tableColumn id="13737" xr3:uid="{B15D3A9F-9104-4E3E-89F3-589094BDEC6E}" name="Columna13731" dataDxfId="2681"/>
    <tableColumn id="13738" xr3:uid="{3D77BD62-66AE-4ADF-B3E5-1436AA77B39A}" name="Columna13732" dataDxfId="2680"/>
    <tableColumn id="13739" xr3:uid="{3402462A-2548-4A04-A970-28175ABE39B0}" name="Columna13733" dataDxfId="2679"/>
    <tableColumn id="13740" xr3:uid="{031BFA61-6EB7-4DA1-BFD0-DA610F2AD339}" name="Columna13734" dataDxfId="2678"/>
    <tableColumn id="13741" xr3:uid="{654C4D67-A07C-4E9B-AD66-C9CA204008EA}" name="Columna13735" dataDxfId="2677"/>
    <tableColumn id="13742" xr3:uid="{BE6A10C5-DE76-4F82-BAD0-A0276A66286C}" name="Columna13736" dataDxfId="2676"/>
    <tableColumn id="13743" xr3:uid="{ACA5FEBD-952C-47BF-9E6E-99888AC76CAB}" name="Columna13737" dataDxfId="2675"/>
    <tableColumn id="13744" xr3:uid="{4E518037-8953-4407-B37E-E81B00865BDA}" name="Columna13738" dataDxfId="2674"/>
    <tableColumn id="13745" xr3:uid="{18702D48-A21D-4CBC-9280-1B6F5C8A703A}" name="Columna13739" dataDxfId="2673"/>
    <tableColumn id="13746" xr3:uid="{362D74BB-8D31-41B3-8A4A-0D30EDB4B405}" name="Columna13740" dataDxfId="2672"/>
    <tableColumn id="13747" xr3:uid="{9620AEE0-F0B8-41F9-A38C-9B769DE9D116}" name="Columna13741" dataDxfId="2671"/>
    <tableColumn id="13748" xr3:uid="{26FF6FA4-D4AC-4BBB-B978-1545BD7B0005}" name="Columna13742" dataDxfId="2670"/>
    <tableColumn id="13749" xr3:uid="{B1D77D90-74EF-42DB-883B-33A429148BC9}" name="Columna13743" dataDxfId="2669"/>
    <tableColumn id="13750" xr3:uid="{EF1830D5-BF36-4520-A67B-87D85BAB7AEB}" name="Columna13744" dataDxfId="2668"/>
    <tableColumn id="13751" xr3:uid="{E2944877-E809-4F0A-BE29-5966E2A1E2C9}" name="Columna13745" dataDxfId="2667"/>
    <tableColumn id="13752" xr3:uid="{A8A080D3-7643-4E22-B101-66C89E7E7329}" name="Columna13746" dataDxfId="2666"/>
    <tableColumn id="13753" xr3:uid="{78E5B4A3-EE49-4DFB-9DB5-4E71851C36F3}" name="Columna13747" dataDxfId="2665"/>
    <tableColumn id="13754" xr3:uid="{5AC0B282-A9FE-4333-9BD6-A3BA87B09F80}" name="Columna13748" dataDxfId="2664"/>
    <tableColumn id="13755" xr3:uid="{E8673EFB-6B94-4A79-A90E-1E9E5CCB1BBC}" name="Columna13749" dataDxfId="2663"/>
    <tableColumn id="13756" xr3:uid="{028689F7-5D7E-4B57-A5FD-9990AE1A2228}" name="Columna13750" dataDxfId="2662"/>
    <tableColumn id="13757" xr3:uid="{6F1EA307-AE03-436F-BC36-7312E907918C}" name="Columna13751" dataDxfId="2661"/>
    <tableColumn id="13758" xr3:uid="{9A3AE6C4-5C7F-4497-8F89-F0806BA7E733}" name="Columna13752" dataDxfId="2660"/>
    <tableColumn id="13759" xr3:uid="{64E82E45-2A9F-486C-805E-C96900A34B76}" name="Columna13753" dataDxfId="2659"/>
    <tableColumn id="13760" xr3:uid="{E6E3AFA6-C96B-4FC3-B0BF-3315DF0F2ABE}" name="Columna13754" dataDxfId="2658"/>
    <tableColumn id="13761" xr3:uid="{AF697ADE-14B0-496E-BBD1-9BC77512303E}" name="Columna13755" dataDxfId="2657"/>
    <tableColumn id="13762" xr3:uid="{47DEB903-D09A-4A12-8535-CE08AF80F182}" name="Columna13756" dataDxfId="2656"/>
    <tableColumn id="13763" xr3:uid="{E370E50A-DF17-418A-A5E2-4D27F5D3C4C0}" name="Columna13757" dataDxfId="2655"/>
    <tableColumn id="13764" xr3:uid="{70D6CC40-B76E-489B-BB07-30220010EAF5}" name="Columna13758" dataDxfId="2654"/>
    <tableColumn id="13765" xr3:uid="{518AC2E6-02FE-4546-B0CE-373C3345859D}" name="Columna13759" dataDxfId="2653"/>
    <tableColumn id="13766" xr3:uid="{95A4602D-0BF0-4520-9198-2536E0AC9CC6}" name="Columna13760" dataDxfId="2652"/>
    <tableColumn id="13767" xr3:uid="{0251E5AC-55DB-4CEE-BEE7-0DF3CAF04EC5}" name="Columna13761" dataDxfId="2651"/>
    <tableColumn id="13768" xr3:uid="{17D55D38-2A68-4566-9147-6866002899E7}" name="Columna13762" dataDxfId="2650"/>
    <tableColumn id="13769" xr3:uid="{F063E0C5-B2C4-4929-AF1B-E29F750B2858}" name="Columna13763" dataDxfId="2649"/>
    <tableColumn id="13770" xr3:uid="{5620A3EA-40AE-4EBE-B304-E20E7FD084C3}" name="Columna13764" dataDxfId="2648"/>
    <tableColumn id="13771" xr3:uid="{E0911BF7-34A9-417D-8380-4C49D51CBED1}" name="Columna13765" dataDxfId="2647"/>
    <tableColumn id="13772" xr3:uid="{664E4250-45DC-4482-9F3D-C5619DD10A63}" name="Columna13766" dataDxfId="2646"/>
    <tableColumn id="13773" xr3:uid="{4393934F-4C2A-4B28-A288-494C13C6A982}" name="Columna13767" dataDxfId="2645"/>
    <tableColumn id="13774" xr3:uid="{FFC54A65-558B-422A-9B20-97BE33E9F7C0}" name="Columna13768" dataDxfId="2644"/>
    <tableColumn id="13775" xr3:uid="{18AB0F93-67BA-43A2-B363-584630768F64}" name="Columna13769" dataDxfId="2643"/>
    <tableColumn id="13776" xr3:uid="{819D8543-5B1E-4E31-81B8-A30AE9B33F77}" name="Columna13770" dataDxfId="2642"/>
    <tableColumn id="13777" xr3:uid="{D82927A6-E94B-4E8B-B99E-C15C4F8B1AED}" name="Columna13771" dataDxfId="2641"/>
    <tableColumn id="13778" xr3:uid="{478E2815-0F7E-49FC-9F56-63D07A307B96}" name="Columna13772" dataDxfId="2640"/>
    <tableColumn id="13779" xr3:uid="{63BF3709-7921-4F33-9A08-D0B0E34A1ACC}" name="Columna13773" dataDxfId="2639"/>
    <tableColumn id="13780" xr3:uid="{DC042EDE-28E1-4A09-9B85-35E11503D482}" name="Columna13774" dataDxfId="2638"/>
    <tableColumn id="13781" xr3:uid="{2C7A2926-796B-45D0-B64C-65D21E4BFBC6}" name="Columna13775" dataDxfId="2637"/>
    <tableColumn id="13782" xr3:uid="{67242C05-F08C-4D58-AC62-948B8C6F649B}" name="Columna13776" dataDxfId="2636"/>
    <tableColumn id="13783" xr3:uid="{31B376A4-1835-4439-B66A-D3052DEDE13E}" name="Columna13777" dataDxfId="2635"/>
    <tableColumn id="13784" xr3:uid="{4EC880AA-BAB0-4053-8D8E-22C910958453}" name="Columna13778" dataDxfId="2634"/>
    <tableColumn id="13785" xr3:uid="{0C7AE73A-474D-4EFF-A634-7EA84FC84A0D}" name="Columna13779" dataDxfId="2633"/>
    <tableColumn id="13786" xr3:uid="{D2B2093C-E1FA-4F5C-B074-6FCE00963168}" name="Columna13780" dataDxfId="2632"/>
    <tableColumn id="13787" xr3:uid="{094558A7-8F84-49A2-B298-53E87AE692B5}" name="Columna13781" dataDxfId="2631"/>
    <tableColumn id="13788" xr3:uid="{86EB6875-100E-4D61-9B8B-8504718C82B0}" name="Columna13782" dataDxfId="2630"/>
    <tableColumn id="13789" xr3:uid="{8544FE4E-B09B-4C67-B7A6-8C8764F97F41}" name="Columna13783" dataDxfId="2629"/>
    <tableColumn id="13790" xr3:uid="{AFFFF20F-26D0-44CD-BD92-16CA9D83E48A}" name="Columna13784" dataDxfId="2628"/>
    <tableColumn id="13791" xr3:uid="{9487492B-8646-46AB-8443-40C2F684537E}" name="Columna13785" dataDxfId="2627"/>
    <tableColumn id="13792" xr3:uid="{981D98D6-88B6-4BFB-A8B0-B620FA97181E}" name="Columna13786" dataDxfId="2626"/>
    <tableColumn id="13793" xr3:uid="{9F232EAE-45AA-4C15-8285-2773D6A9D98E}" name="Columna13787" dataDxfId="2625"/>
    <tableColumn id="13794" xr3:uid="{5A38F7AE-2081-4EBB-B64F-3BC6CE952262}" name="Columna13788" dataDxfId="2624"/>
    <tableColumn id="13795" xr3:uid="{766DFBEA-D0F6-4475-A0F5-C2E7F38AB362}" name="Columna13789" dataDxfId="2623"/>
    <tableColumn id="13796" xr3:uid="{219A43BD-9C6F-4BF8-BA6C-BB7B0FAD30BF}" name="Columna13790" dataDxfId="2622"/>
    <tableColumn id="13797" xr3:uid="{08A8120C-5217-4E4A-9F36-B23D76F5F8E5}" name="Columna13791" dataDxfId="2621"/>
    <tableColumn id="13798" xr3:uid="{E93BFA1D-FA9E-4DE3-990A-DE52A16183AE}" name="Columna13792" dataDxfId="2620"/>
    <tableColumn id="13799" xr3:uid="{7340BFC2-6014-4ED0-BC8B-B181164EBE53}" name="Columna13793" dataDxfId="2619"/>
    <tableColumn id="13800" xr3:uid="{5747B2A8-AF3A-4175-AF06-41CE9CDF1D35}" name="Columna13794" dataDxfId="2618"/>
    <tableColumn id="13801" xr3:uid="{8A07A225-AA4D-4E91-AE8E-9D7F40D7C0F0}" name="Columna13795" dataDxfId="2617"/>
    <tableColumn id="13802" xr3:uid="{406A6798-0B7E-4C9A-9D97-B8B3B911FDB2}" name="Columna13796" dataDxfId="2616"/>
    <tableColumn id="13803" xr3:uid="{2E7FEEF7-43B6-4EFA-AB24-D85168940496}" name="Columna13797" dataDxfId="2615"/>
    <tableColumn id="13804" xr3:uid="{FBDD5C48-FEC4-4F15-909B-D648CA0E8838}" name="Columna13798" dataDxfId="2614"/>
    <tableColumn id="13805" xr3:uid="{C953AD8D-0A4F-426F-BC17-384AC94BC685}" name="Columna13799" dataDxfId="2613"/>
    <tableColumn id="13806" xr3:uid="{74665B69-C8C3-4131-BDF3-882DBB6A291B}" name="Columna13800" dataDxfId="2612"/>
    <tableColumn id="13807" xr3:uid="{85A64FA9-EAAA-4AA7-B9B7-4045D2505915}" name="Columna13801" dataDxfId="2611"/>
    <tableColumn id="13808" xr3:uid="{35AAD47C-4311-45B8-99DC-011771007195}" name="Columna13802" dataDxfId="2610"/>
    <tableColumn id="13809" xr3:uid="{4B75120F-0E5D-4268-9809-686F9767706D}" name="Columna13803" dataDxfId="2609"/>
    <tableColumn id="13810" xr3:uid="{EF5006D3-A094-419D-B120-B9EFDD5D8474}" name="Columna13804" dataDxfId="2608"/>
    <tableColumn id="13811" xr3:uid="{E2BB7021-FD2B-4840-95BA-FA82FB66CE40}" name="Columna13805" dataDxfId="2607"/>
    <tableColumn id="13812" xr3:uid="{896BBE42-B931-4790-A98D-608566465B02}" name="Columna13806" dataDxfId="2606"/>
    <tableColumn id="13813" xr3:uid="{8C6C1E3E-5D30-49D2-A8BF-9F2AACC6C79A}" name="Columna13807" dataDxfId="2605"/>
    <tableColumn id="13814" xr3:uid="{D7AE6E2F-9319-45D8-A847-92EBE2A02A2B}" name="Columna13808" dataDxfId="2604"/>
    <tableColumn id="13815" xr3:uid="{2A97CED8-3F28-4F7E-9AF5-518BEB334094}" name="Columna13809" dataDxfId="2603"/>
    <tableColumn id="13816" xr3:uid="{8394E00C-BFFC-415F-9CF4-0862370E625A}" name="Columna13810" dataDxfId="2602"/>
    <tableColumn id="13817" xr3:uid="{E1EFC6C3-E77B-4A1E-96CE-F31303B13220}" name="Columna13811" dataDxfId="2601"/>
    <tableColumn id="13818" xr3:uid="{DF4C795A-CC7E-49AC-BF94-F1A6060C0F1A}" name="Columna13812" dataDxfId="2600"/>
    <tableColumn id="13819" xr3:uid="{FB15F61E-7D91-43AD-97DC-025E4E240902}" name="Columna13813" dataDxfId="2599"/>
    <tableColumn id="13820" xr3:uid="{616FC3D6-2041-46DB-88BF-C7FEC13D00D2}" name="Columna13814" dataDxfId="2598"/>
    <tableColumn id="13821" xr3:uid="{DAEB4A31-22E4-42D5-AA89-F099B2A0554A}" name="Columna13815" dataDxfId="2597"/>
    <tableColumn id="13822" xr3:uid="{9C21954C-C291-4450-A3B4-39BA105523D4}" name="Columna13816" dataDxfId="2596"/>
    <tableColumn id="13823" xr3:uid="{684C7B33-3E53-4240-A106-596562413711}" name="Columna13817" dataDxfId="2595"/>
    <tableColumn id="13824" xr3:uid="{D21A4232-E381-41C1-A711-2F38968CE2F3}" name="Columna13818" dataDxfId="2594"/>
    <tableColumn id="13825" xr3:uid="{EB3675A3-AF77-4943-A156-AF8E0CD2229B}" name="Columna13819" dataDxfId="2593"/>
    <tableColumn id="13826" xr3:uid="{536F8842-664F-409C-8402-B2D8131DE61F}" name="Columna13820" dataDxfId="2592"/>
    <tableColumn id="13827" xr3:uid="{F4EEA6CB-F7E7-4685-AF5C-108C1B3E772D}" name="Columna13821" dataDxfId="2591"/>
    <tableColumn id="13828" xr3:uid="{F4724658-2A84-46D5-9306-F67DE407BFAD}" name="Columna13822" dataDxfId="2590"/>
    <tableColumn id="13829" xr3:uid="{2A844119-0612-4E32-A014-6D8F6B4127B9}" name="Columna13823" dataDxfId="2589"/>
    <tableColumn id="13830" xr3:uid="{880E59EA-AC29-441C-9A7F-C9C4F0852D9C}" name="Columna13824" dataDxfId="2588"/>
    <tableColumn id="13831" xr3:uid="{F83FBE20-2E21-41C2-B71D-1C6A14A350BA}" name="Columna13825" dataDxfId="2587"/>
    <tableColumn id="13832" xr3:uid="{9CBC6CCA-D4BA-42F4-B46B-7B9FB31E2CE3}" name="Columna13826" dataDxfId="2586"/>
    <tableColumn id="13833" xr3:uid="{5D08C612-2FE2-4F06-8B81-0BB982A2BE0A}" name="Columna13827" dataDxfId="2585"/>
    <tableColumn id="13834" xr3:uid="{A3BE397C-ED39-4819-9F7A-5CC25FBB3CDA}" name="Columna13828" dataDxfId="2584"/>
    <tableColumn id="13835" xr3:uid="{8CED6EB2-CB40-45A7-981D-C4F30AF3770F}" name="Columna13829" dataDxfId="2583"/>
    <tableColumn id="13836" xr3:uid="{CE395669-14B2-46F2-B8EE-F47BE00E71B0}" name="Columna13830" dataDxfId="2582"/>
    <tableColumn id="13837" xr3:uid="{FC729442-D9CE-4152-B8F2-FD4A3BB508EC}" name="Columna13831" dataDxfId="2581"/>
    <tableColumn id="13838" xr3:uid="{98248CA4-796C-4AD3-886A-E5B82AFAABCD}" name="Columna13832" dataDxfId="2580"/>
    <tableColumn id="13839" xr3:uid="{98F82157-C827-4572-9B87-6223F3987759}" name="Columna13833" dataDxfId="2579"/>
    <tableColumn id="13840" xr3:uid="{DE7617A6-C695-45AD-82B7-8A84F9ACF1C2}" name="Columna13834" dataDxfId="2578"/>
    <tableColumn id="13841" xr3:uid="{C2AB620F-D4D6-4EF3-8942-D1EA18DF78A6}" name="Columna13835" dataDxfId="2577"/>
    <tableColumn id="13842" xr3:uid="{AC7E2243-0DF2-4E6F-976D-AAE5E4E36CA0}" name="Columna13836" dataDxfId="2576"/>
    <tableColumn id="13843" xr3:uid="{71449A39-6C9F-4545-829D-13F903DC44E5}" name="Columna13837" dataDxfId="2575"/>
    <tableColumn id="13844" xr3:uid="{009EB092-B0A3-4E4F-8ACA-653F170E2F2F}" name="Columna13838" dataDxfId="2574"/>
    <tableColumn id="13845" xr3:uid="{C51F3634-AF9E-4130-91BF-BC3C98C200FF}" name="Columna13839" dataDxfId="2573"/>
    <tableColumn id="13846" xr3:uid="{8EC93A12-7450-43CE-9DC7-51582F0C4883}" name="Columna13840" dataDxfId="2572"/>
    <tableColumn id="13847" xr3:uid="{040997BB-FC12-4BDB-9E6B-D7995C55E52B}" name="Columna13841" dataDxfId="2571"/>
    <tableColumn id="13848" xr3:uid="{7983FAA9-DDC4-4259-9E2D-FED6E09D2187}" name="Columna13842" dataDxfId="2570"/>
    <tableColumn id="13849" xr3:uid="{F6835DBA-DB8C-4318-B00D-BA342204C733}" name="Columna13843" dataDxfId="2569"/>
    <tableColumn id="13850" xr3:uid="{BBED0D83-98B4-46E9-A0FC-72857D0E0231}" name="Columna13844" dataDxfId="2568"/>
    <tableColumn id="13851" xr3:uid="{93064132-DE21-4327-B799-943E89413C2E}" name="Columna13845" dataDxfId="2567"/>
    <tableColumn id="13852" xr3:uid="{B6DD3E3E-FBB8-4C62-8D01-87EA2AB6DD3A}" name="Columna13846" dataDxfId="2566"/>
    <tableColumn id="13853" xr3:uid="{AF17D276-01C6-49CD-9552-44847BEAD2CA}" name="Columna13847" dataDxfId="2565"/>
    <tableColumn id="13854" xr3:uid="{5B7F84F2-E680-458B-93A1-41E348D50C18}" name="Columna13848" dataDxfId="2564"/>
    <tableColumn id="13855" xr3:uid="{887F1958-AF38-4A92-9147-70602340E1E4}" name="Columna13849" dataDxfId="2563"/>
    <tableColumn id="13856" xr3:uid="{66C9EDCF-3634-49C4-9A51-29105E8C51B3}" name="Columna13850" dataDxfId="2562"/>
    <tableColumn id="13857" xr3:uid="{F65EB5DC-E57D-47A7-8898-8CD4EA04BB1D}" name="Columna13851" dataDxfId="2561"/>
    <tableColumn id="13858" xr3:uid="{21ABE69A-97D8-4511-A53E-F311ED3B4AD2}" name="Columna13852" dataDxfId="2560"/>
    <tableColumn id="13859" xr3:uid="{B5224708-C595-4CF9-9D4A-FDC7AFD6D224}" name="Columna13853" dataDxfId="2559"/>
    <tableColumn id="13860" xr3:uid="{AC7EA80F-836F-4FB6-90AB-9691E28F8C33}" name="Columna13854" dataDxfId="2558"/>
    <tableColumn id="13861" xr3:uid="{53CF7A1E-9136-4960-870C-6286EA7DB297}" name="Columna13855" dataDxfId="2557"/>
    <tableColumn id="13862" xr3:uid="{0B195F30-84D8-4730-86BF-8E4121773AC4}" name="Columna13856" dataDxfId="2556"/>
    <tableColumn id="13863" xr3:uid="{FB41116B-58DF-4BD1-85F1-B57D892975DA}" name="Columna13857" dataDxfId="2555"/>
    <tableColumn id="13864" xr3:uid="{0228F567-2593-40D4-9CB6-8446D4732975}" name="Columna13858" dataDxfId="2554"/>
    <tableColumn id="13865" xr3:uid="{E68D6F5C-C2CD-4204-86BE-0B03A43F7358}" name="Columna13859" dataDxfId="2553"/>
    <tableColumn id="13866" xr3:uid="{E5A6438B-1BFE-45D3-97C1-8F68F85937DA}" name="Columna13860" dataDxfId="2552"/>
    <tableColumn id="13867" xr3:uid="{5DA7CA96-A1DA-4088-B9EA-E1804914C50E}" name="Columna13861" dataDxfId="2551"/>
    <tableColumn id="13868" xr3:uid="{096CA99C-2E65-4A30-9113-35D4AD1EEA4A}" name="Columna13862" dataDxfId="2550"/>
    <tableColumn id="13869" xr3:uid="{456270A1-02FE-426A-BAC5-9E7D44793A88}" name="Columna13863" dataDxfId="2549"/>
    <tableColumn id="13870" xr3:uid="{E6C9B5F4-061E-45E4-A59C-CD3E34E57791}" name="Columna13864" dataDxfId="2548"/>
    <tableColumn id="13871" xr3:uid="{6D074472-5113-4022-9066-9B6B6080C10B}" name="Columna13865" dataDxfId="2547"/>
    <tableColumn id="13872" xr3:uid="{A6BC5904-F655-4728-97AD-D9461E841C7C}" name="Columna13866" dataDxfId="2546"/>
    <tableColumn id="13873" xr3:uid="{EBED0278-4ABE-41AC-873C-6C0844E238D7}" name="Columna13867" dataDxfId="2545"/>
    <tableColumn id="13874" xr3:uid="{75CBC6B4-DF99-480F-8827-F3A8B2FB622B}" name="Columna13868" dataDxfId="2544"/>
    <tableColumn id="13875" xr3:uid="{B8F4DBC9-255C-485F-B507-71ABFDB7CAC2}" name="Columna13869" dataDxfId="2543"/>
    <tableColumn id="13876" xr3:uid="{EDF28D2E-6D9F-4355-99BF-13BF3D196FDE}" name="Columna13870" dataDxfId="2542"/>
    <tableColumn id="13877" xr3:uid="{C7AD4D7A-5F62-4362-8273-DCC1975A5815}" name="Columna13871" dataDxfId="2541"/>
    <tableColumn id="13878" xr3:uid="{D205C1FB-4CF7-40B0-A5F3-CAC7F62E651B}" name="Columna13872" dataDxfId="2540"/>
    <tableColumn id="13879" xr3:uid="{824559EB-8475-4722-8896-7151F3EDA849}" name="Columna13873" dataDxfId="2539"/>
    <tableColumn id="13880" xr3:uid="{AFA47A1A-BE46-4B50-B939-85A8F3688DDF}" name="Columna13874" dataDxfId="2538"/>
    <tableColumn id="13881" xr3:uid="{CB2994A0-D709-4D5C-B929-D66F131B91E2}" name="Columna13875" dataDxfId="2537"/>
    <tableColumn id="13882" xr3:uid="{4A6CCDA4-3B24-4AA8-B8E1-15283FECB92F}" name="Columna13876" dataDxfId="2536"/>
    <tableColumn id="13883" xr3:uid="{FA84F225-2ED0-467F-A77B-C398A1FBA81A}" name="Columna13877" dataDxfId="2535"/>
    <tableColumn id="13884" xr3:uid="{DDE740FC-7EB6-4A40-A97A-088EB40861C1}" name="Columna13878" dataDxfId="2534"/>
    <tableColumn id="13885" xr3:uid="{65A13030-CEFD-4661-BB50-C331671DDA5E}" name="Columna13879" dataDxfId="2533"/>
    <tableColumn id="13886" xr3:uid="{5861063A-D084-4941-8FB8-6FEBB50D6DD6}" name="Columna13880" dataDxfId="2532"/>
    <tableColumn id="13887" xr3:uid="{AC6F1109-9A01-4DB7-A6EF-5FE175CC023F}" name="Columna13881" dataDxfId="2531"/>
    <tableColumn id="13888" xr3:uid="{093ADB8E-4FE6-41A0-863E-8B5BEEA58412}" name="Columna13882" dataDxfId="2530"/>
    <tableColumn id="13889" xr3:uid="{552801AA-18F6-4BB7-BD04-EA93C293978E}" name="Columna13883" dataDxfId="2529"/>
    <tableColumn id="13890" xr3:uid="{77F4F0E9-D5A1-4B6F-8F2E-22ADD4C080DA}" name="Columna13884" dataDxfId="2528"/>
    <tableColumn id="13891" xr3:uid="{1E0C46F8-90B1-4939-84B5-7AE63545A08C}" name="Columna13885" dataDxfId="2527"/>
    <tableColumn id="13892" xr3:uid="{F6F01639-C4B1-40E8-8B7C-79DC36186CC7}" name="Columna13886" dataDxfId="2526"/>
    <tableColumn id="13893" xr3:uid="{E25B7D1B-144F-42C3-8C65-E2AD5378095E}" name="Columna13887" dataDxfId="2525"/>
    <tableColumn id="13894" xr3:uid="{AF3B8E81-3E74-464B-BAEB-3B8EEFF5BB58}" name="Columna13888" dataDxfId="2524"/>
    <tableColumn id="13895" xr3:uid="{64AF14B4-5C20-46FA-B0AB-88DF9CD1767C}" name="Columna13889" dataDxfId="2523"/>
    <tableColumn id="13896" xr3:uid="{E6CFD238-7B5D-4846-B06F-1F3D4F877C93}" name="Columna13890" dataDxfId="2522"/>
    <tableColumn id="13897" xr3:uid="{E64AD361-B4A8-40AB-AB11-B946CD515076}" name="Columna13891" dataDxfId="2521"/>
    <tableColumn id="13898" xr3:uid="{1E75A618-E6D0-487C-95A1-4F1C298BF898}" name="Columna13892" dataDxfId="2520"/>
    <tableColumn id="13899" xr3:uid="{BFFA18C8-05E6-430D-B74E-15DF88108D31}" name="Columna13893" dataDxfId="2519"/>
    <tableColumn id="13900" xr3:uid="{28B7B2E1-6E4D-4634-A71B-B6CF6A241099}" name="Columna13894" dataDxfId="2518"/>
    <tableColumn id="13901" xr3:uid="{E7751360-AF61-4735-9D3B-FC01A9B56375}" name="Columna13895" dataDxfId="2517"/>
    <tableColumn id="13902" xr3:uid="{2942979A-E145-4464-B1F0-B96B841A7A57}" name="Columna13896" dataDxfId="2516"/>
    <tableColumn id="13903" xr3:uid="{7C62D29C-C301-4638-B7E1-71D5E78A75FF}" name="Columna13897" dataDxfId="2515"/>
    <tableColumn id="13904" xr3:uid="{F3B086BC-29DF-406F-9730-0FEB18E36EBB}" name="Columna13898" dataDxfId="2514"/>
    <tableColumn id="13905" xr3:uid="{DF70BF4C-5636-4FEA-BBD0-B73E80618E66}" name="Columna13899" dataDxfId="2513"/>
    <tableColumn id="13906" xr3:uid="{1B86EE9A-24CA-4E33-ADD7-64A8ABAD5071}" name="Columna13900" dataDxfId="2512"/>
    <tableColumn id="13907" xr3:uid="{33248B25-2877-4D32-AE6D-7C390C795918}" name="Columna13901" dataDxfId="2511"/>
    <tableColumn id="13908" xr3:uid="{48201429-42D3-4ECF-9D5A-022847F4D36E}" name="Columna13902" dataDxfId="2510"/>
    <tableColumn id="13909" xr3:uid="{57F56223-128F-4E7B-9B9D-EA56A8B9383F}" name="Columna13903" dataDxfId="2509"/>
    <tableColumn id="13910" xr3:uid="{E3946CB9-E0AA-40D6-8DFA-D43AF5275BFC}" name="Columna13904" dataDxfId="2508"/>
    <tableColumn id="13911" xr3:uid="{EA404B7C-DF60-4EE2-9FE2-5D4B3F60872B}" name="Columna13905" dataDxfId="2507"/>
    <tableColumn id="13912" xr3:uid="{2AECA17B-8466-44D4-B804-467DA3613044}" name="Columna13906" dataDxfId="2506"/>
    <tableColumn id="13913" xr3:uid="{7FC06EE3-1D58-43FD-AAB8-F48748A8C3BD}" name="Columna13907" dataDxfId="2505"/>
    <tableColumn id="13914" xr3:uid="{003CC3D6-8C0C-48A5-8FA5-0105866151A3}" name="Columna13908" dataDxfId="2504"/>
    <tableColumn id="13915" xr3:uid="{40B97B67-2DDD-4355-80B4-CEF3015A8145}" name="Columna13909" dataDxfId="2503"/>
    <tableColumn id="13916" xr3:uid="{695BFFA7-29A1-4B67-8593-6B13B47ACDF2}" name="Columna13910" dataDxfId="2502"/>
    <tableColumn id="13917" xr3:uid="{2839C3FB-F6D7-49BA-96F7-9864BCB8ABA9}" name="Columna13911" dataDxfId="2501"/>
    <tableColumn id="13918" xr3:uid="{587D1CB4-51F8-403E-A707-F4DE2CB7220A}" name="Columna13912" dataDxfId="2500"/>
    <tableColumn id="13919" xr3:uid="{D6928B9C-4B56-4070-999D-D0DCAB328F72}" name="Columna13913" dataDxfId="2499"/>
    <tableColumn id="13920" xr3:uid="{D90058B1-4ABC-4C6C-99C3-B07B8FE1DDF0}" name="Columna13914" dataDxfId="2498"/>
    <tableColumn id="13921" xr3:uid="{B655F9E8-AFFC-4305-B8F3-8E1DC10DED3B}" name="Columna13915" dataDxfId="2497"/>
    <tableColumn id="13922" xr3:uid="{1CCC693F-12E3-4484-B962-DFAB00F46D4D}" name="Columna13916" dataDxfId="2496"/>
    <tableColumn id="13923" xr3:uid="{788381A3-8EA5-4625-BE3D-B074BD58D34D}" name="Columna13917" dataDxfId="2495"/>
    <tableColumn id="13924" xr3:uid="{4CA62565-586C-4D60-B114-7B1EF591FCAD}" name="Columna13918" dataDxfId="2494"/>
    <tableColumn id="13925" xr3:uid="{114F77E8-25CE-4E49-BE44-B54B6AF71521}" name="Columna13919" dataDxfId="2493"/>
    <tableColumn id="13926" xr3:uid="{C106EC17-D9ED-495E-9528-BF820F15C3DA}" name="Columna13920" dataDxfId="2492"/>
    <tableColumn id="13927" xr3:uid="{299FDB8B-EF69-4F38-8EE3-AAD096349B47}" name="Columna13921" dataDxfId="2491"/>
    <tableColumn id="13928" xr3:uid="{A5C3E08C-2382-47A5-80D7-D848B6651379}" name="Columna13922" dataDxfId="2490"/>
    <tableColumn id="13929" xr3:uid="{56617177-C12E-48B4-B63E-00372552C844}" name="Columna13923" dataDxfId="2489"/>
    <tableColumn id="13930" xr3:uid="{13D51AD1-B6EC-4066-9727-9BCF51F7DDDF}" name="Columna13924" dataDxfId="2488"/>
    <tableColumn id="13931" xr3:uid="{CDDC8873-8006-422E-ADC6-B4E2CE3DDD3F}" name="Columna13925" dataDxfId="2487"/>
    <tableColumn id="13932" xr3:uid="{7412276A-7BB6-4D5E-A7C6-93CBB2FCB11E}" name="Columna13926" dataDxfId="2486"/>
    <tableColumn id="13933" xr3:uid="{6E755415-C2B8-466C-824C-F7AC5E293DCE}" name="Columna13927" dataDxfId="2485"/>
    <tableColumn id="13934" xr3:uid="{C8844A07-64FE-4139-8C62-6934C037DEE9}" name="Columna13928" dataDxfId="2484"/>
    <tableColumn id="13935" xr3:uid="{3F83E84D-76EB-4A44-8C07-9D82A90E9B92}" name="Columna13929" dataDxfId="2483"/>
    <tableColumn id="13936" xr3:uid="{12EEE230-396A-4B5F-9CE4-ECF358B358D9}" name="Columna13930" dataDxfId="2482"/>
    <tableColumn id="13937" xr3:uid="{BC16330B-2009-412F-82F4-BF9132733371}" name="Columna13931" dataDxfId="2481"/>
    <tableColumn id="13938" xr3:uid="{B92D3FD8-2D30-46B1-ABBE-2745F8B6A54D}" name="Columna13932" dataDxfId="2480"/>
    <tableColumn id="13939" xr3:uid="{4CE3BB3B-5AFE-4016-A6A7-D7FE718D4F62}" name="Columna13933" dataDxfId="2479"/>
    <tableColumn id="13940" xr3:uid="{7127AFF6-2E1F-40EF-BC3F-D4AF36473DE2}" name="Columna13934" dataDxfId="2478"/>
    <tableColumn id="13941" xr3:uid="{00808C9C-2212-456A-A72F-E5CD9D2C0318}" name="Columna13935" dataDxfId="2477"/>
    <tableColumn id="13942" xr3:uid="{C15AB38E-3FC4-4CAB-A0A5-9E9D1B929366}" name="Columna13936" dataDxfId="2476"/>
    <tableColumn id="13943" xr3:uid="{6A6C25F9-F7EE-4776-A586-D888E7B93104}" name="Columna13937" dataDxfId="2475"/>
    <tableColumn id="13944" xr3:uid="{0A99D38E-E471-4628-9B9F-38245CC7BED5}" name="Columna13938" dataDxfId="2474"/>
    <tableColumn id="13945" xr3:uid="{42CB43AF-D69D-4AD6-9715-758448E7FE2F}" name="Columna13939" dataDxfId="2473"/>
    <tableColumn id="13946" xr3:uid="{6D798637-58C4-407D-95E1-75A90B379191}" name="Columna13940" dataDxfId="2472"/>
    <tableColumn id="13947" xr3:uid="{8B48E6C0-52DF-4A2F-A402-71CD56A9D5D4}" name="Columna13941" dataDxfId="2471"/>
    <tableColumn id="13948" xr3:uid="{EE73F07D-C77E-4FAF-A508-88827F2E8814}" name="Columna13942" dataDxfId="2470"/>
    <tableColumn id="13949" xr3:uid="{01BA26DC-F073-4350-B6F6-C03703697F47}" name="Columna13943" dataDxfId="2469"/>
    <tableColumn id="13950" xr3:uid="{979BE002-49AB-4B3B-973B-589F19279171}" name="Columna13944" dataDxfId="2468"/>
    <tableColumn id="13951" xr3:uid="{EAAA5C53-4993-472E-8410-DBD45514EE87}" name="Columna13945" dataDxfId="2467"/>
    <tableColumn id="13952" xr3:uid="{D9D85C85-24FF-43F9-BCA7-8D09ADCFBBA3}" name="Columna13946" dataDxfId="2466"/>
    <tableColumn id="13953" xr3:uid="{5ED26148-9421-44E3-A1EA-147285B727CA}" name="Columna13947" dataDxfId="2465"/>
    <tableColumn id="13954" xr3:uid="{8BEC3526-1893-4863-83DE-F37AE8DEB441}" name="Columna13948" dataDxfId="2464"/>
    <tableColumn id="13955" xr3:uid="{E527CB9C-8922-446E-9046-EEF80CB4472D}" name="Columna13949" dataDxfId="2463"/>
    <tableColumn id="13956" xr3:uid="{86915427-2529-4E73-B2AE-3619F88E1816}" name="Columna13950" dataDxfId="2462"/>
    <tableColumn id="13957" xr3:uid="{A5B8954F-269F-4904-994A-02D1D4926BD7}" name="Columna13951" dataDxfId="2461"/>
    <tableColumn id="13958" xr3:uid="{B9B6BD74-E0DB-4F02-87C6-023931325318}" name="Columna13952" dataDxfId="2460"/>
    <tableColumn id="13959" xr3:uid="{E1297884-13EB-4C50-9434-9C5B72C9CC54}" name="Columna13953" dataDxfId="2459"/>
    <tableColumn id="13960" xr3:uid="{17A6FDE3-7727-4A2F-AFED-A12C77B4185C}" name="Columna13954" dataDxfId="2458"/>
    <tableColumn id="13961" xr3:uid="{B44E11B1-732C-4D76-890D-99C56FC2C4F9}" name="Columna13955" dataDxfId="2457"/>
    <tableColumn id="13962" xr3:uid="{77C54B0A-03E1-4F15-B7EF-BDB9D79258DB}" name="Columna13956" dataDxfId="2456"/>
    <tableColumn id="13963" xr3:uid="{97F658D0-ADD9-4DC8-AB76-255BDBB38B45}" name="Columna13957" dataDxfId="2455"/>
    <tableColumn id="13964" xr3:uid="{A72C16C5-587F-4E04-AE6A-18D54DB8969D}" name="Columna13958" dataDxfId="2454"/>
    <tableColumn id="13965" xr3:uid="{BDAF7528-8FB2-4983-894C-1280510DD4C6}" name="Columna13959" dataDxfId="2453"/>
    <tableColumn id="13966" xr3:uid="{F539CB26-49C6-4476-A33F-D3EE60B67DE2}" name="Columna13960" dataDxfId="2452"/>
    <tableColumn id="13967" xr3:uid="{66ECBAE7-7FE9-4515-B12A-29E1EEC527CB}" name="Columna13961" dataDxfId="2451"/>
    <tableColumn id="13968" xr3:uid="{66EA9C2B-8FD4-407B-8FEC-DF5A2832D480}" name="Columna13962" dataDxfId="2450"/>
    <tableColumn id="13969" xr3:uid="{5EA6B9A3-2698-48BE-9814-9CE562F77362}" name="Columna13963" dataDxfId="2449"/>
    <tableColumn id="13970" xr3:uid="{B207363A-CBCB-4B24-ADD9-3AE3F0D7F396}" name="Columna13964" dataDxfId="2448"/>
    <tableColumn id="13971" xr3:uid="{5D848BF1-400B-46BE-8447-FF03BEE47DD3}" name="Columna13965" dataDxfId="2447"/>
    <tableColumn id="13972" xr3:uid="{97F0AC4F-8C23-424F-AAE6-33A1BBA81BAD}" name="Columna13966" dataDxfId="2446"/>
    <tableColumn id="13973" xr3:uid="{F08809DF-93C6-4938-8401-1B00AA42043F}" name="Columna13967" dataDxfId="2445"/>
    <tableColumn id="13974" xr3:uid="{560EA610-1C4B-4F4C-8420-A0EE5A2F6A5A}" name="Columna13968" dataDxfId="2444"/>
    <tableColumn id="13975" xr3:uid="{299D7FB7-1551-4513-8FDA-9C80BC595ECB}" name="Columna13969" dataDxfId="2443"/>
    <tableColumn id="13976" xr3:uid="{4A17F12D-67D1-4415-BE53-E91436F862F8}" name="Columna13970" dataDxfId="2442"/>
    <tableColumn id="13977" xr3:uid="{147EB281-86D2-42FD-A3FD-A5A7C65633A4}" name="Columna13971" dataDxfId="2441"/>
    <tableColumn id="13978" xr3:uid="{65F71EEE-3DBE-42EB-93D8-130CA7FBB01C}" name="Columna13972" dataDxfId="2440"/>
    <tableColumn id="13979" xr3:uid="{D3222332-2149-4736-808E-424DEA55276E}" name="Columna13973" dataDxfId="2439"/>
    <tableColumn id="13980" xr3:uid="{14B34FC8-2A97-478D-92C6-597C44E259FE}" name="Columna13974" dataDxfId="2438"/>
    <tableColumn id="13981" xr3:uid="{C51E418F-95E9-47ED-9996-EB9E1E43AAE1}" name="Columna13975" dataDxfId="2437"/>
    <tableColumn id="13982" xr3:uid="{27EED32B-815C-4494-913B-44931240BD07}" name="Columna13976" dataDxfId="2436"/>
    <tableColumn id="13983" xr3:uid="{C203CB8B-6D6D-40CB-A140-A6AE5B179C9A}" name="Columna13977" dataDxfId="2435"/>
    <tableColumn id="13984" xr3:uid="{D70A9A5C-6EFC-4844-AE13-F95FC751BDFE}" name="Columna13978" dataDxfId="2434"/>
    <tableColumn id="13985" xr3:uid="{506AD8EA-2873-490A-B0CE-510813FCC687}" name="Columna13979" dataDxfId="2433"/>
    <tableColumn id="13986" xr3:uid="{220D5E9C-75C9-4A54-83D0-3DD0BA478668}" name="Columna13980" dataDxfId="2432"/>
    <tableColumn id="13987" xr3:uid="{3E4A208B-AC08-49D8-B4D6-ED856096667F}" name="Columna13981" dataDxfId="2431"/>
    <tableColumn id="13988" xr3:uid="{9F1D82CC-8BBA-4AA1-B2A0-6985AE8F448D}" name="Columna13982" dataDxfId="2430"/>
    <tableColumn id="13989" xr3:uid="{474412FF-FAC3-4A31-AC7C-F3A207D9255E}" name="Columna13983" dataDxfId="2429"/>
    <tableColumn id="13990" xr3:uid="{676EDB8F-6E35-4ECD-83D8-9D56CD2D21AF}" name="Columna13984" dataDxfId="2428"/>
    <tableColumn id="13991" xr3:uid="{E6920997-B7AE-483A-9D48-847331D59940}" name="Columna13985" dataDxfId="2427"/>
    <tableColumn id="13992" xr3:uid="{8437139A-D6B4-482C-926E-127695B7475E}" name="Columna13986" dataDxfId="2426"/>
    <tableColumn id="13993" xr3:uid="{E73CC727-1492-454C-8C9F-FF347C58C0D7}" name="Columna13987" dataDxfId="2425"/>
    <tableColumn id="13994" xr3:uid="{D25FE163-D09D-4822-9B02-72344CEEC2A7}" name="Columna13988" dataDxfId="2424"/>
    <tableColumn id="13995" xr3:uid="{B87E1119-7658-44CA-A0FE-63A66C5C81E7}" name="Columna13989" dataDxfId="2423"/>
    <tableColumn id="13996" xr3:uid="{7F2C905D-E5AC-44BA-B1B9-702CBE314E92}" name="Columna13990" dataDxfId="2422"/>
    <tableColumn id="13997" xr3:uid="{539FE856-1BAE-4899-AA2E-4D3BA0696A0D}" name="Columna13991" dataDxfId="2421"/>
    <tableColumn id="13998" xr3:uid="{FB9DC8C4-6290-48BE-A224-D94085874A1A}" name="Columna13992" dataDxfId="2420"/>
    <tableColumn id="13999" xr3:uid="{6596A96D-4904-40AA-8503-880C8FE353EE}" name="Columna13993" dataDxfId="2419"/>
    <tableColumn id="14000" xr3:uid="{5508827A-4B84-4525-8947-4720D4E46E05}" name="Columna13994" dataDxfId="2418"/>
    <tableColumn id="14001" xr3:uid="{9E68D59F-D08D-4250-A9A3-C1BA882CB23B}" name="Columna13995" dataDxfId="2417"/>
    <tableColumn id="14002" xr3:uid="{E16CD74D-288E-4534-8C5A-2D30E3B1E91C}" name="Columna13996" dataDxfId="2416"/>
    <tableColumn id="14003" xr3:uid="{927D4950-89BC-45FE-AA68-FB686CF249AF}" name="Columna13997" dataDxfId="2415"/>
    <tableColumn id="14004" xr3:uid="{2E9A2287-39B2-45BB-B7F6-7D4B5DC0268D}" name="Columna13998" dataDxfId="2414"/>
    <tableColumn id="14005" xr3:uid="{ABCE8793-D7A4-4099-86C7-3A73428A9B3D}" name="Columna13999" dataDxfId="2413"/>
    <tableColumn id="14006" xr3:uid="{94EA028D-F6C2-4B4E-88D8-AAD77050401C}" name="Columna14000" dataDxfId="2412"/>
    <tableColumn id="14007" xr3:uid="{33716251-C74A-406D-85D5-FB2CEA8046F2}" name="Columna14001" dataDxfId="2411"/>
    <tableColumn id="14008" xr3:uid="{F432D12A-F9D2-45A9-9DFC-55FCC7B336AC}" name="Columna14002" dataDxfId="2410"/>
    <tableColumn id="14009" xr3:uid="{10BCCAF2-FB24-4C16-92DF-3FC33911F20D}" name="Columna14003" dataDxfId="2409"/>
    <tableColumn id="14010" xr3:uid="{B6826E8B-CC62-4198-88AD-521435988944}" name="Columna14004" dataDxfId="2408"/>
    <tableColumn id="14011" xr3:uid="{ECFB0613-6AD7-42CD-8B86-39A700BE36F0}" name="Columna14005" dataDxfId="2407"/>
    <tableColumn id="14012" xr3:uid="{B065D069-4C89-4974-B3D4-36AF38686828}" name="Columna14006" dataDxfId="2406"/>
    <tableColumn id="14013" xr3:uid="{3AB13155-1019-4D7C-B5CE-B1FC425EE78C}" name="Columna14007" dataDxfId="2405"/>
    <tableColumn id="14014" xr3:uid="{251B4996-1C89-49E5-99AB-783125833750}" name="Columna14008" dataDxfId="2404"/>
    <tableColumn id="14015" xr3:uid="{FD1CF61E-A309-4DA2-9309-5B6F535F22C5}" name="Columna14009" dataDxfId="2403"/>
    <tableColumn id="14016" xr3:uid="{7E6B73DC-467A-4280-ABB3-98FC5E836D81}" name="Columna14010" dataDxfId="2402"/>
    <tableColumn id="14017" xr3:uid="{CDC20C97-439E-47B5-A7CD-4CDE19EC0F75}" name="Columna14011" dataDxfId="2401"/>
    <tableColumn id="14018" xr3:uid="{89AF0C12-4486-46B3-9EC7-33F78D2E3E33}" name="Columna14012" dataDxfId="2400"/>
    <tableColumn id="14019" xr3:uid="{2EB54BC3-5A71-4B4E-B555-37C1267D08BB}" name="Columna14013" dataDxfId="2399"/>
    <tableColumn id="14020" xr3:uid="{9E26FABD-571D-499C-BC2E-E5CE7244426E}" name="Columna14014" dataDxfId="2398"/>
    <tableColumn id="14021" xr3:uid="{7715C608-761F-47F9-AAB4-E10FC9852378}" name="Columna14015" dataDxfId="2397"/>
    <tableColumn id="14022" xr3:uid="{C6946F7B-053A-4D5E-A23B-EFDB9422CAFE}" name="Columna14016" dataDxfId="2396"/>
    <tableColumn id="14023" xr3:uid="{DE326112-4B8F-4726-801E-3848E71F6515}" name="Columna14017" dataDxfId="2395"/>
    <tableColumn id="14024" xr3:uid="{4F5A6DA2-C290-4BF9-84A1-499754238D2A}" name="Columna14018" dataDxfId="2394"/>
    <tableColumn id="14025" xr3:uid="{CC8FAC00-32DD-4400-B3D9-DAF70660D9C9}" name="Columna14019" dataDxfId="2393"/>
    <tableColumn id="14026" xr3:uid="{D7C5B618-3353-4182-A2FF-8BE0444BBC2C}" name="Columna14020" dataDxfId="2392"/>
    <tableColumn id="14027" xr3:uid="{864EB5DC-80AF-4F36-851B-C1987D8A4D5D}" name="Columna14021" dataDxfId="2391"/>
    <tableColumn id="14028" xr3:uid="{33AF3CF3-29D8-4D1D-9962-AD00E2C76D5D}" name="Columna14022" dataDxfId="2390"/>
    <tableColumn id="14029" xr3:uid="{DDEEA636-45F6-443A-BB9E-482125615C27}" name="Columna14023" dataDxfId="2389"/>
    <tableColumn id="14030" xr3:uid="{DDBCA239-F86F-45CA-9878-7111ED6FA4C4}" name="Columna14024" dataDxfId="2388"/>
    <tableColumn id="14031" xr3:uid="{08E6015D-11BD-46EF-828E-1184D6520EAE}" name="Columna14025" dataDxfId="2387"/>
    <tableColumn id="14032" xr3:uid="{EC8F25FD-DC09-44D4-94EF-D72E82B9FC09}" name="Columna14026" dataDxfId="2386"/>
    <tableColumn id="14033" xr3:uid="{E1EFAA88-5833-4D72-98FC-99D13D86CD28}" name="Columna14027" dataDxfId="2385"/>
    <tableColumn id="14034" xr3:uid="{2FE0F441-6264-4EF0-99FB-A94F12612824}" name="Columna14028" dataDxfId="2384"/>
    <tableColumn id="14035" xr3:uid="{BF9EFDBB-0C11-49E6-B5D6-1A00776C6047}" name="Columna14029" dataDxfId="2383"/>
    <tableColumn id="14036" xr3:uid="{E2FB6352-9661-438E-9398-B05A619A0141}" name="Columna14030" dataDxfId="2382"/>
    <tableColumn id="14037" xr3:uid="{78DE8E2D-F2D2-4A6F-9E0E-6441F71113CF}" name="Columna14031" dataDxfId="2381"/>
    <tableColumn id="14038" xr3:uid="{CEF49246-2F4F-4620-A455-25E783D99BB5}" name="Columna14032" dataDxfId="2380"/>
    <tableColumn id="14039" xr3:uid="{576E85D2-CC89-4C9F-9042-523CA63B1BFA}" name="Columna14033" dataDxfId="2379"/>
    <tableColumn id="14040" xr3:uid="{02BCD023-251E-4653-884D-EE430FDF2C3F}" name="Columna14034" dataDxfId="2378"/>
    <tableColumn id="14041" xr3:uid="{B8A6C5EF-728D-45A0-A100-FD719C82E38D}" name="Columna14035" dataDxfId="2377"/>
    <tableColumn id="14042" xr3:uid="{CF906CFB-53B7-442E-B246-E12AC90390A6}" name="Columna14036" dataDxfId="2376"/>
    <tableColumn id="14043" xr3:uid="{CFB1EABA-9823-4E18-AADA-6D82E185C936}" name="Columna14037" dataDxfId="2375"/>
    <tableColumn id="14044" xr3:uid="{9B165B64-9210-420B-927A-478C235A149A}" name="Columna14038" dataDxfId="2374"/>
    <tableColumn id="14045" xr3:uid="{05F17DD0-5FDD-46D7-B36A-788753EF80CD}" name="Columna14039" dataDxfId="2373"/>
    <tableColumn id="14046" xr3:uid="{2CD4A3DD-D0D9-4E3D-8A0F-D4C5D27E3378}" name="Columna14040" dataDxfId="2372"/>
    <tableColumn id="14047" xr3:uid="{C255379A-6906-4BD7-AD63-27C08213BC65}" name="Columna14041" dataDxfId="2371"/>
    <tableColumn id="14048" xr3:uid="{FCB963BF-90F9-4B85-ADA7-439025644AA0}" name="Columna14042" dataDxfId="2370"/>
    <tableColumn id="14049" xr3:uid="{B6B58505-0122-44C7-AF59-E8C3F828F3EA}" name="Columna14043" dataDxfId="2369"/>
    <tableColumn id="14050" xr3:uid="{933EBDAC-D5CE-4941-9384-D70A6621721A}" name="Columna14044" dataDxfId="2368"/>
    <tableColumn id="14051" xr3:uid="{07082C31-4154-42DC-9919-5C5217796E1B}" name="Columna14045" dataDxfId="2367"/>
    <tableColumn id="14052" xr3:uid="{394D6EE5-FDB4-4E6D-8390-A27C674046FA}" name="Columna14046" dataDxfId="2366"/>
    <tableColumn id="14053" xr3:uid="{02E51939-3A21-43C6-B7A6-C0A3351FA32E}" name="Columna14047" dataDxfId="2365"/>
    <tableColumn id="14054" xr3:uid="{4B5D9BB8-3390-49B9-963A-F5BAAD4E4B76}" name="Columna14048" dataDxfId="2364"/>
    <tableColumn id="14055" xr3:uid="{EE580739-AA8F-4799-AA40-451D09D356B8}" name="Columna14049" dataDxfId="2363"/>
    <tableColumn id="14056" xr3:uid="{DB79ABEC-7B06-4B3E-9360-2BF9615394DE}" name="Columna14050" dataDxfId="2362"/>
    <tableColumn id="14057" xr3:uid="{595C61EE-DC9E-4564-97DF-9111DA31C061}" name="Columna14051" dataDxfId="2361"/>
    <tableColumn id="14058" xr3:uid="{255BB728-C4E7-4B2A-8AEC-5EC99E909B40}" name="Columna14052" dataDxfId="2360"/>
    <tableColumn id="14059" xr3:uid="{59D1669D-D1AE-4076-B8C6-B5DBFFAC15C5}" name="Columna14053" dataDxfId="2359"/>
    <tableColumn id="14060" xr3:uid="{5F5588A9-2DC8-4511-AB6B-4151A38E24CD}" name="Columna14054" dataDxfId="2358"/>
    <tableColumn id="14061" xr3:uid="{709DE19B-43CE-4738-94ED-0D045A5F63AB}" name="Columna14055" dataDxfId="2357"/>
    <tableColumn id="14062" xr3:uid="{31B8F024-1A03-4038-A5B0-CCB3FCD4855F}" name="Columna14056" dataDxfId="2356"/>
    <tableColumn id="14063" xr3:uid="{D840D189-F756-492C-88A2-A904B061FA46}" name="Columna14057" dataDxfId="2355"/>
    <tableColumn id="14064" xr3:uid="{1E2C722A-81B6-423B-AE3B-8E43BFB03ECB}" name="Columna14058" dataDxfId="2354"/>
    <tableColumn id="14065" xr3:uid="{F9E11B08-41D4-4D72-8AFA-4DA73DF33CC1}" name="Columna14059" dataDxfId="2353"/>
    <tableColumn id="14066" xr3:uid="{38F8F0B9-3D47-4B71-B697-874AD2B4A77E}" name="Columna14060" dataDxfId="2352"/>
    <tableColumn id="14067" xr3:uid="{D062B69F-CC06-4B3F-B515-F4F3041D4FAB}" name="Columna14061" dataDxfId="2351"/>
    <tableColumn id="14068" xr3:uid="{7D7D5281-0263-41A8-A469-9C7A26554800}" name="Columna14062" dataDxfId="2350"/>
    <tableColumn id="14069" xr3:uid="{DDB43E75-603F-41B8-9032-E86CA2E4FA6C}" name="Columna14063" dataDxfId="2349"/>
    <tableColumn id="14070" xr3:uid="{30A42727-4AED-4320-8880-BCC964FEE881}" name="Columna14064" dataDxfId="2348"/>
    <tableColumn id="14071" xr3:uid="{836344A8-2359-418C-B8AB-2484B0204EA5}" name="Columna14065" dataDxfId="2347"/>
    <tableColumn id="14072" xr3:uid="{8D3181DB-A765-4531-8BB2-457E35429DE9}" name="Columna14066" dataDxfId="2346"/>
    <tableColumn id="14073" xr3:uid="{AA6D795C-F313-4ECE-BAE6-9F70D9C3EAB0}" name="Columna14067" dataDxfId="2345"/>
    <tableColumn id="14074" xr3:uid="{8841EB0D-7E94-41F7-8CEB-6D11A30EABBD}" name="Columna14068" dataDxfId="2344"/>
    <tableColumn id="14075" xr3:uid="{2A5AF461-A04C-4197-BF3B-8C434CE8F4A5}" name="Columna14069" dataDxfId="2343"/>
    <tableColumn id="14076" xr3:uid="{00E0824E-438F-432E-8101-838A14BA945C}" name="Columna14070" dataDxfId="2342"/>
    <tableColumn id="14077" xr3:uid="{4237B374-A581-4C45-932E-B8569E64C191}" name="Columna14071" dataDxfId="2341"/>
    <tableColumn id="14078" xr3:uid="{9D628068-59CA-40E3-A1F6-2C3E6B00777B}" name="Columna14072" dataDxfId="2340"/>
    <tableColumn id="14079" xr3:uid="{61683748-CAD7-4DAE-B101-03F30852537F}" name="Columna14073" dataDxfId="2339"/>
    <tableColumn id="14080" xr3:uid="{B3B9F7B0-8680-4825-B8C9-82FB3AEC357E}" name="Columna14074" dataDxfId="2338"/>
    <tableColumn id="14081" xr3:uid="{1672D9E3-9495-492C-A371-6B4F2E5C9991}" name="Columna14075" dataDxfId="2337"/>
    <tableColumn id="14082" xr3:uid="{B5B76AA9-1AD0-4BCD-826D-6D604824FC3F}" name="Columna14076" dataDxfId="2336"/>
    <tableColumn id="14083" xr3:uid="{641B2769-1FAF-4F3F-BB0C-5F024B3DC46F}" name="Columna14077" dataDxfId="2335"/>
    <tableColumn id="14084" xr3:uid="{9EB7B348-8902-4229-9DC2-B41A3B49FBA4}" name="Columna14078" dataDxfId="2334"/>
    <tableColumn id="14085" xr3:uid="{4665AE29-38E7-40CC-B21B-CE8249345A18}" name="Columna14079" dataDxfId="2333"/>
    <tableColumn id="14086" xr3:uid="{00B8BDD2-E326-4607-8F9A-23CE129A5D23}" name="Columna14080" dataDxfId="2332"/>
    <tableColumn id="14087" xr3:uid="{E91A146D-C77F-423B-9722-70D2AEC30DC2}" name="Columna14081" dataDxfId="2331"/>
    <tableColumn id="14088" xr3:uid="{4A42F154-832F-4F07-899A-16AB82A145D2}" name="Columna14082" dataDxfId="2330"/>
    <tableColumn id="14089" xr3:uid="{10ABC54D-D880-4A6B-9E33-784A9A52AB73}" name="Columna14083" dataDxfId="2329"/>
    <tableColumn id="14090" xr3:uid="{660926A7-2CF5-4782-B2A3-711C8920FD72}" name="Columna14084" dataDxfId="2328"/>
    <tableColumn id="14091" xr3:uid="{3563A250-1D35-49A2-9F02-81131A586D56}" name="Columna14085" dataDxfId="2327"/>
    <tableColumn id="14092" xr3:uid="{90BD8864-04B6-42B6-9774-8EAF223847F7}" name="Columna14086" dataDxfId="2326"/>
    <tableColumn id="14093" xr3:uid="{F99AA687-D957-4A92-9E3C-8B1028612588}" name="Columna14087" dataDxfId="2325"/>
    <tableColumn id="14094" xr3:uid="{775E9D23-B6E7-42DF-B5CB-1A040D44E7D6}" name="Columna14088" dataDxfId="2324"/>
    <tableColumn id="14095" xr3:uid="{183999DC-3C01-4054-9961-0E77D3F42960}" name="Columna14089" dataDxfId="2323"/>
    <tableColumn id="14096" xr3:uid="{F0C9C7E2-7259-4A7C-8CD1-04E92572DE55}" name="Columna14090" dataDxfId="2322"/>
    <tableColumn id="14097" xr3:uid="{F028D56A-1C99-4DC5-B6EE-7EEB8A8F7EFF}" name="Columna14091" dataDxfId="2321"/>
    <tableColumn id="14098" xr3:uid="{C5EFBC97-3AE5-4328-AA37-26EE065EC2E2}" name="Columna14092" dataDxfId="2320"/>
    <tableColumn id="14099" xr3:uid="{EFA1686E-2C7F-4F8D-A52F-CADED4FCC439}" name="Columna14093" dataDxfId="2319"/>
    <tableColumn id="14100" xr3:uid="{0A4DBCB5-F1B3-430E-9EF8-E80EE12CD093}" name="Columna14094" dataDxfId="2318"/>
    <tableColumn id="14101" xr3:uid="{A723C96F-2629-437E-8386-B8A079B79D83}" name="Columna14095" dataDxfId="2317"/>
    <tableColumn id="14102" xr3:uid="{2F16380A-FA17-4350-8C34-9F0865B423D0}" name="Columna14096" dataDxfId="2316"/>
    <tableColumn id="14103" xr3:uid="{EA05C879-8840-4A45-A052-3CBCB2A886F8}" name="Columna14097" dataDxfId="2315"/>
    <tableColumn id="14104" xr3:uid="{D9E86CFD-57FC-4630-93C2-E0C071E070C9}" name="Columna14098" dataDxfId="2314"/>
    <tableColumn id="14105" xr3:uid="{5E928307-78F9-4ABB-8B11-D8F38CFCB628}" name="Columna14099" dataDxfId="2313"/>
    <tableColumn id="14106" xr3:uid="{05557986-609F-46EC-B273-7C9D584BB694}" name="Columna14100" dataDxfId="2312"/>
    <tableColumn id="14107" xr3:uid="{10C7F4EA-3924-4F8A-B77E-81A2FBECAE4B}" name="Columna14101" dataDxfId="2311"/>
    <tableColumn id="14108" xr3:uid="{B42AFA63-AF32-429A-9FA1-262266383C9E}" name="Columna14102" dataDxfId="2310"/>
    <tableColumn id="14109" xr3:uid="{4E5D86AF-D5E4-470B-BCCB-410A39B36590}" name="Columna14103" dataDxfId="2309"/>
    <tableColumn id="14110" xr3:uid="{4348DD47-1960-45A0-986F-0CE70A20EC61}" name="Columna14104" dataDxfId="2308"/>
    <tableColumn id="14111" xr3:uid="{D7143C25-57D8-45D5-9924-6BE412BC2A8E}" name="Columna14105" dataDxfId="2307"/>
    <tableColumn id="14112" xr3:uid="{92FD3F81-119F-4C7F-BF15-9A526373C8E0}" name="Columna14106" dataDxfId="2306"/>
    <tableColumn id="14113" xr3:uid="{02BE606E-06AC-4106-B51C-C5E56A0614E3}" name="Columna14107" dataDxfId="2305"/>
    <tableColumn id="14114" xr3:uid="{CBB77D55-A61B-4804-9212-2A4BA7242CB0}" name="Columna14108" dataDxfId="2304"/>
    <tableColumn id="14115" xr3:uid="{0CAD1228-B606-4C42-94BE-0D71B0D63566}" name="Columna14109" dataDxfId="2303"/>
    <tableColumn id="14116" xr3:uid="{0BEA0B54-AA94-48F3-9B0F-EF8A6253CB47}" name="Columna14110" dataDxfId="2302"/>
    <tableColumn id="14117" xr3:uid="{2A57BE71-3751-4574-A5D1-0216ABBFE13C}" name="Columna14111" dataDxfId="2301"/>
    <tableColumn id="14118" xr3:uid="{AF9EEE7D-D1FA-46A3-BA2D-8904C3A95184}" name="Columna14112" dataDxfId="2300"/>
    <tableColumn id="14119" xr3:uid="{7B8ECA94-E93B-44F6-BCFE-C1F50DD07C68}" name="Columna14113" dataDxfId="2299"/>
    <tableColumn id="14120" xr3:uid="{6BD5AB3C-29AF-42F1-B2D0-DCCF041EF05C}" name="Columna14114" dataDxfId="2298"/>
    <tableColumn id="14121" xr3:uid="{B1F3353B-9526-4338-B1FA-F96B4FA6D1F5}" name="Columna14115" dataDxfId="2297"/>
    <tableColumn id="14122" xr3:uid="{B3AB5B36-2A28-4700-9A36-90DBEF1D157A}" name="Columna14116" dataDxfId="2296"/>
    <tableColumn id="14123" xr3:uid="{CAA329F8-9938-4507-B4B4-24635B7965B3}" name="Columna14117" dataDxfId="2295"/>
    <tableColumn id="14124" xr3:uid="{951B6915-8958-4B32-8038-3FF7480D8B86}" name="Columna14118" dataDxfId="2294"/>
    <tableColumn id="14125" xr3:uid="{7647F54F-A0E3-4C2C-A5C7-2FE7D1303062}" name="Columna14119" dataDxfId="2293"/>
    <tableColumn id="14126" xr3:uid="{92967B16-844A-437D-BA3F-2E6C2B8E80FC}" name="Columna14120" dataDxfId="2292"/>
    <tableColumn id="14127" xr3:uid="{B3DF0A4A-97F7-49F8-84CB-E517487E2089}" name="Columna14121" dataDxfId="2291"/>
    <tableColumn id="14128" xr3:uid="{377EE85A-EA61-4238-969B-FF28A15A9160}" name="Columna14122" dataDxfId="2290"/>
    <tableColumn id="14129" xr3:uid="{9D1C618B-3A84-46F4-8B01-880142930149}" name="Columna14123" dataDxfId="2289"/>
    <tableColumn id="14130" xr3:uid="{A65E7A93-E938-4A7B-B2A8-9DAEE7D5BA02}" name="Columna14124" dataDxfId="2288"/>
    <tableColumn id="14131" xr3:uid="{2924F7AA-071F-49CE-8B1D-95F224BFF090}" name="Columna14125" dataDxfId="2287"/>
    <tableColumn id="14132" xr3:uid="{66AE89DF-CA41-458F-8000-3530645B801B}" name="Columna14126" dataDxfId="2286"/>
    <tableColumn id="14133" xr3:uid="{B4FBCB32-FDE4-4DA1-B4BC-BDCB847A9620}" name="Columna14127" dataDxfId="2285"/>
    <tableColumn id="14134" xr3:uid="{0BB53133-286B-4F8A-8A4A-EFB6629F1643}" name="Columna14128" dataDxfId="2284"/>
    <tableColumn id="14135" xr3:uid="{7DBA8485-9392-4748-BDFB-4B777393964E}" name="Columna14129" dataDxfId="2283"/>
    <tableColumn id="14136" xr3:uid="{4ED0B168-C8D8-4507-B3A2-BD05B99682F2}" name="Columna14130" dataDxfId="2282"/>
    <tableColumn id="14137" xr3:uid="{70361416-FD53-4835-ADE7-904E2006C071}" name="Columna14131" dataDxfId="2281"/>
    <tableColumn id="14138" xr3:uid="{7FB47965-61D7-4A92-B88D-B3129BBA3E30}" name="Columna14132" dataDxfId="2280"/>
    <tableColumn id="14139" xr3:uid="{3C622E6E-4A59-46C2-AD2E-F80A347404A0}" name="Columna14133" dataDxfId="2279"/>
    <tableColumn id="14140" xr3:uid="{BCAD51A8-27C1-418B-8267-903AFC735E4B}" name="Columna14134" dataDxfId="2278"/>
    <tableColumn id="14141" xr3:uid="{3D26FEF2-78E1-4495-BDEC-9959B6F56D60}" name="Columna14135" dataDxfId="2277"/>
    <tableColumn id="14142" xr3:uid="{8BE7E45C-FCA5-4073-8537-3C3CE5E32814}" name="Columna14136" dataDxfId="2276"/>
    <tableColumn id="14143" xr3:uid="{6CFB898C-DB8B-4D1A-A775-EA4690A8B388}" name="Columna14137" dataDxfId="2275"/>
    <tableColumn id="14144" xr3:uid="{E72ABABF-FA9D-45AF-A4B4-842AAA2396DA}" name="Columna14138" dataDxfId="2274"/>
    <tableColumn id="14145" xr3:uid="{6DDEE113-64D6-4EED-9DED-CCCB7AB6BB94}" name="Columna14139" dataDxfId="2273"/>
    <tableColumn id="14146" xr3:uid="{6A83CA4A-25DD-4574-9713-C3B01AF377B0}" name="Columna14140" dataDxfId="2272"/>
    <tableColumn id="14147" xr3:uid="{67DAA286-FD5A-42EF-A8C1-633513DE4D4D}" name="Columna14141" dataDxfId="2271"/>
    <tableColumn id="14148" xr3:uid="{E0FB899D-C843-4900-9464-1E4E1082F682}" name="Columna14142" dataDxfId="2270"/>
    <tableColumn id="14149" xr3:uid="{648DB6A1-47C7-410E-81A4-096A15E5379B}" name="Columna14143" dataDxfId="2269"/>
    <tableColumn id="14150" xr3:uid="{D005CA03-153D-404F-9640-6F561BB2758B}" name="Columna14144" dataDxfId="2268"/>
    <tableColumn id="14151" xr3:uid="{E6FD03C4-783E-4965-9DC5-08472A572B1F}" name="Columna14145" dataDxfId="2267"/>
    <tableColumn id="14152" xr3:uid="{83E759FD-59CE-435B-B3C8-158433AC963A}" name="Columna14146" dataDxfId="2266"/>
    <tableColumn id="14153" xr3:uid="{DCC5E49E-ACA8-4052-882B-BD068E765261}" name="Columna14147" dataDxfId="2265"/>
    <tableColumn id="14154" xr3:uid="{88FF392C-4C7F-409B-8316-FAF5E17BAA48}" name="Columna14148" dataDxfId="2264"/>
    <tableColumn id="14155" xr3:uid="{85C93E93-943D-4D2B-ADA9-C3F6B8E503BE}" name="Columna14149" dataDxfId="2263"/>
    <tableColumn id="14156" xr3:uid="{AA839E00-DAA5-457F-ADEB-65ACD5EAE625}" name="Columna14150" dataDxfId="2262"/>
    <tableColumn id="14157" xr3:uid="{28D02A95-FD7A-411E-8DAC-7156F24DA951}" name="Columna14151" dataDxfId="2261"/>
    <tableColumn id="14158" xr3:uid="{D6B634BA-8DC9-4762-AC92-A76F929240E3}" name="Columna14152" dataDxfId="2260"/>
    <tableColumn id="14159" xr3:uid="{8AEEFB52-604A-47D8-8463-4A6D38CE0681}" name="Columna14153" dataDxfId="2259"/>
    <tableColumn id="14160" xr3:uid="{E6F99F3D-EF90-4000-B95F-7DDFC4C57120}" name="Columna14154" dataDxfId="2258"/>
    <tableColumn id="14161" xr3:uid="{E3717358-96CE-4A8C-A633-1F3806B0BA01}" name="Columna14155" dataDxfId="2257"/>
    <tableColumn id="14162" xr3:uid="{711381A4-E585-42B7-A550-12F43F19D635}" name="Columna14156" dataDxfId="2256"/>
    <tableColumn id="14163" xr3:uid="{F7BFA525-C812-47D1-BC26-B79164F67E69}" name="Columna14157" dataDxfId="2255"/>
    <tableColumn id="14164" xr3:uid="{DE4F9FDB-32EA-4445-9E37-2FA61B87D77C}" name="Columna14158" dataDxfId="2254"/>
    <tableColumn id="14165" xr3:uid="{EE3A76D9-C299-460D-80F8-AF71414B08BB}" name="Columna14159" dataDxfId="2253"/>
    <tableColumn id="14166" xr3:uid="{915273C1-3181-49F7-81A3-B771DBBF7E8E}" name="Columna14160" dataDxfId="2252"/>
    <tableColumn id="14167" xr3:uid="{BFC933DA-D0B8-4D88-A5B8-6126DE6E2368}" name="Columna14161" dataDxfId="2251"/>
    <tableColumn id="14168" xr3:uid="{E4FA5072-FB8B-4CA5-9979-42F5AE577442}" name="Columna14162" dataDxfId="2250"/>
    <tableColumn id="14169" xr3:uid="{31C90B3E-96C8-4D05-B76A-D6E0C7347783}" name="Columna14163" dataDxfId="2249"/>
    <tableColumn id="14170" xr3:uid="{89695ACA-32F9-4EDD-A532-ECFBD269E1EB}" name="Columna14164" dataDxfId="2248"/>
    <tableColumn id="14171" xr3:uid="{1386E787-7C19-4AB2-9FE7-FBB9D2F9A17E}" name="Columna14165" dataDxfId="2247"/>
    <tableColumn id="14172" xr3:uid="{41A5BB2D-E3E1-44C9-A9C6-B0BE26842F73}" name="Columna14166" dataDxfId="2246"/>
    <tableColumn id="14173" xr3:uid="{3495C223-9E01-487B-85DC-6F98D1FC5E88}" name="Columna14167" dataDxfId="2245"/>
    <tableColumn id="14174" xr3:uid="{E6887AD8-12FD-4581-B170-A3D1CC9DA0F8}" name="Columna14168" dataDxfId="2244"/>
    <tableColumn id="14175" xr3:uid="{906279B5-F1EE-4F75-B9D9-D77FC2D27F80}" name="Columna14169" dataDxfId="2243"/>
    <tableColumn id="14176" xr3:uid="{92E0A3DA-65B5-41B7-BF6A-B4BF8DF07633}" name="Columna14170" dataDxfId="2242"/>
    <tableColumn id="14177" xr3:uid="{914DEC9F-469D-49B6-B5C9-A70854DCE203}" name="Columna14171" dataDxfId="2241"/>
    <tableColumn id="14178" xr3:uid="{DD011879-C3F7-48EE-A933-D7F9CC7C48BA}" name="Columna14172" dataDxfId="2240"/>
    <tableColumn id="14179" xr3:uid="{12F6AD11-7312-4DEC-869C-F01EA25B7016}" name="Columna14173" dataDxfId="2239"/>
    <tableColumn id="14180" xr3:uid="{4CD45C41-04BE-468C-8BE9-1599E20DBFE1}" name="Columna14174" dataDxfId="2238"/>
    <tableColumn id="14181" xr3:uid="{B7A0E04F-94E4-41B9-99E3-9E63F46008F6}" name="Columna14175" dataDxfId="2237"/>
    <tableColumn id="14182" xr3:uid="{5A4BAA68-04ED-43A4-B35D-75FA834EAFC9}" name="Columna14176" dataDxfId="2236"/>
    <tableColumn id="14183" xr3:uid="{101A7FEC-24DE-4F65-BF2C-AEB420711B12}" name="Columna14177" dataDxfId="2235"/>
    <tableColumn id="14184" xr3:uid="{2D5E481E-16D1-4506-B8BA-707101BAA33E}" name="Columna14178" dataDxfId="2234"/>
    <tableColumn id="14185" xr3:uid="{DE43CA5D-3362-4681-9D7C-2677A1195D40}" name="Columna14179" dataDxfId="2233"/>
    <tableColumn id="14186" xr3:uid="{C3BC10CC-B4C1-40DF-8CF2-1F16A110A912}" name="Columna14180" dataDxfId="2232"/>
    <tableColumn id="14187" xr3:uid="{688280CF-81F0-414D-B8F1-48307C6B7F15}" name="Columna14181" dataDxfId="2231"/>
    <tableColumn id="14188" xr3:uid="{4F932FC9-24BF-41AF-9E8B-514604D45BBC}" name="Columna14182" dataDxfId="2230"/>
    <tableColumn id="14189" xr3:uid="{0D5CB6AB-9A76-46FB-BE7B-B149257D1637}" name="Columna14183" dataDxfId="2229"/>
    <tableColumn id="14190" xr3:uid="{EFCBD5BB-12DE-44C3-8592-9D4D742271C7}" name="Columna14184" dataDxfId="2228"/>
    <tableColumn id="14191" xr3:uid="{B60C303A-F386-4BBB-97A6-13E29E2C874C}" name="Columna14185" dataDxfId="2227"/>
    <tableColumn id="14192" xr3:uid="{27083D82-1DC3-4EB2-A5F0-0B5A8C351A2A}" name="Columna14186" dataDxfId="2226"/>
    <tableColumn id="14193" xr3:uid="{226BB4F5-1429-4B3E-9935-4401525AB430}" name="Columna14187" dataDxfId="2225"/>
    <tableColumn id="14194" xr3:uid="{473076C4-9A6E-422B-B130-FCB34C583928}" name="Columna14188" dataDxfId="2224"/>
    <tableColumn id="14195" xr3:uid="{9DFC1CFC-C0D9-4EF7-BDA3-0A5AB96A469A}" name="Columna14189" dataDxfId="2223"/>
    <tableColumn id="14196" xr3:uid="{3200792A-9241-49B6-9D67-0CA27A371BBD}" name="Columna14190" dataDxfId="2222"/>
    <tableColumn id="14197" xr3:uid="{3D5905BA-A8DA-4414-AB6D-D142EEB37B88}" name="Columna14191" dataDxfId="2221"/>
    <tableColumn id="14198" xr3:uid="{2039C985-5661-41BE-874E-CC30CEA4417A}" name="Columna14192" dataDxfId="2220"/>
    <tableColumn id="14199" xr3:uid="{8AEF050E-88F3-46B7-8851-54038CC5307A}" name="Columna14193" dataDxfId="2219"/>
    <tableColumn id="14200" xr3:uid="{A7682C41-26D5-4EB0-B128-8AC6177C3753}" name="Columna14194" dataDxfId="2218"/>
    <tableColumn id="14201" xr3:uid="{C250DC51-69BC-496B-BDE2-FEA249BC5760}" name="Columna14195" dataDxfId="2217"/>
    <tableColumn id="14202" xr3:uid="{5728381A-24EA-446D-A533-54CDCB99AF3E}" name="Columna14196" dataDxfId="2216"/>
    <tableColumn id="14203" xr3:uid="{3C10E107-6778-4BD5-BD47-63FED6580FA0}" name="Columna14197" dataDxfId="2215"/>
    <tableColumn id="14204" xr3:uid="{77D1F89A-CDAF-4AB8-A7EF-3D4897CDBFBA}" name="Columna14198" dataDxfId="2214"/>
    <tableColumn id="14205" xr3:uid="{150C5629-291B-479F-96C3-80F72751435A}" name="Columna14199" dataDxfId="2213"/>
    <tableColumn id="14206" xr3:uid="{9F8A1C5F-49C6-4D76-A35C-27825FEB7B75}" name="Columna14200" dataDxfId="2212"/>
    <tableColumn id="14207" xr3:uid="{25990F29-ADC1-4CEE-B092-6FF914F1016D}" name="Columna14201" dataDxfId="2211"/>
    <tableColumn id="14208" xr3:uid="{5AEB552B-3AF0-47E4-846D-6CF18B270D93}" name="Columna14202" dataDxfId="2210"/>
    <tableColumn id="14209" xr3:uid="{1A7C7CD5-FADE-4F74-9F33-DA7013260486}" name="Columna14203" dataDxfId="2209"/>
    <tableColumn id="14210" xr3:uid="{7FDB9168-F10B-4E74-8672-0BC712BEE80D}" name="Columna14204" dataDxfId="2208"/>
    <tableColumn id="14211" xr3:uid="{F3A29163-3AF1-4FF9-9BEA-2DE93CC95CC5}" name="Columna14205" dataDxfId="2207"/>
    <tableColumn id="14212" xr3:uid="{EFD83149-FC8A-438F-87F8-56AB8EB9EA4E}" name="Columna14206" dataDxfId="2206"/>
    <tableColumn id="14213" xr3:uid="{0CC087FD-A675-4023-8890-18A28C9784C6}" name="Columna14207" dataDxfId="2205"/>
    <tableColumn id="14214" xr3:uid="{7B41A90A-0D65-4963-9472-B6FC60BB2BC8}" name="Columna14208" dataDxfId="2204"/>
    <tableColumn id="14215" xr3:uid="{82C04C3F-F8B4-4EB4-90FD-1A398A9ACA84}" name="Columna14209" dataDxfId="2203"/>
    <tableColumn id="14216" xr3:uid="{89D86F96-2ED2-42FA-BF96-3CD8FA5D74A7}" name="Columna14210" dataDxfId="2202"/>
    <tableColumn id="14217" xr3:uid="{67140C89-F1FC-41F7-AEB4-615ED71B924A}" name="Columna14211" dataDxfId="2201"/>
    <tableColumn id="14218" xr3:uid="{35CAB559-FB84-4DCC-9E2D-22797EEAC24B}" name="Columna14212" dataDxfId="2200"/>
    <tableColumn id="14219" xr3:uid="{9840CE8E-E89B-4F69-B978-9508FAF19B03}" name="Columna14213" dataDxfId="2199"/>
    <tableColumn id="14220" xr3:uid="{F221FA79-213D-4082-A156-D8C2B1DA2D2D}" name="Columna14214" dataDxfId="2198"/>
    <tableColumn id="14221" xr3:uid="{19A98637-304E-4127-B911-E6A85FDFC006}" name="Columna14215" dataDxfId="2197"/>
    <tableColumn id="14222" xr3:uid="{8E336B83-417F-4678-834A-0D81327AA092}" name="Columna14216" dataDxfId="2196"/>
    <tableColumn id="14223" xr3:uid="{E8E539B1-8B7D-40B9-97CC-E1A191B208D6}" name="Columna14217" dataDxfId="2195"/>
    <tableColumn id="14224" xr3:uid="{56E46596-2077-44C3-A04F-286A22A3CDC9}" name="Columna14218" dataDxfId="2194"/>
    <tableColumn id="14225" xr3:uid="{BD12B22C-B94B-4EA1-91B1-5124E72BC0DD}" name="Columna14219" dataDxfId="2193"/>
    <tableColumn id="14226" xr3:uid="{DF25A771-DED0-41EE-A0FC-01FB7BBD8039}" name="Columna14220" dataDxfId="2192"/>
    <tableColumn id="14227" xr3:uid="{CE57C489-8797-4B7D-8580-F6D3502A76A8}" name="Columna14221" dataDxfId="2191"/>
    <tableColumn id="14228" xr3:uid="{ADEC7C1C-B602-4151-8BD0-5E6F0829BD5A}" name="Columna14222" dataDxfId="2190"/>
    <tableColumn id="14229" xr3:uid="{A18B2474-81BF-438F-B5C5-A9E9ABD97D27}" name="Columna14223" dataDxfId="2189"/>
    <tableColumn id="14230" xr3:uid="{DFB055B7-718B-4824-9354-76CB38FD7444}" name="Columna14224" dataDxfId="2188"/>
    <tableColumn id="14231" xr3:uid="{3D9AB5BD-5343-4075-8C2D-D13E069248CB}" name="Columna14225" dataDxfId="2187"/>
    <tableColumn id="14232" xr3:uid="{78AD01F3-185A-4884-B935-C089B251A2B9}" name="Columna14226" dataDxfId="2186"/>
    <tableColumn id="14233" xr3:uid="{1C1092A0-DCEC-4C07-BC93-127C6747D3F8}" name="Columna14227" dataDxfId="2185"/>
    <tableColumn id="14234" xr3:uid="{E201A036-5A09-4C55-B31F-C9C9FACBCA72}" name="Columna14228" dataDxfId="2184"/>
    <tableColumn id="14235" xr3:uid="{D6087474-08DC-4829-ADF9-FF5A8C3F3040}" name="Columna14229" dataDxfId="2183"/>
    <tableColumn id="14236" xr3:uid="{CA3F27E6-C728-4921-901A-3526D6F9D8B7}" name="Columna14230" dataDxfId="2182"/>
    <tableColumn id="14237" xr3:uid="{D972185A-B718-4F31-B6A1-CAE2AAEBF92D}" name="Columna14231" dataDxfId="2181"/>
    <tableColumn id="14238" xr3:uid="{17D032C4-1BC5-4617-A239-2AD1EF0D4D5A}" name="Columna14232" dataDxfId="2180"/>
    <tableColumn id="14239" xr3:uid="{2FFDC521-3E9F-4924-A3F1-AB14752C8EDD}" name="Columna14233" dataDxfId="2179"/>
    <tableColumn id="14240" xr3:uid="{60CBC22A-FC56-432F-B108-A74A6543BBC0}" name="Columna14234" dataDxfId="2178"/>
    <tableColumn id="14241" xr3:uid="{E3B82CF6-CA6E-4FA8-98E2-4A7F926F0570}" name="Columna14235" dataDxfId="2177"/>
    <tableColumn id="14242" xr3:uid="{3035CC3F-9D22-4D10-A265-E6E39D369300}" name="Columna14236" dataDxfId="2176"/>
    <tableColumn id="14243" xr3:uid="{613FF55E-4518-4E7C-88A5-4FB190484CFA}" name="Columna14237" dataDxfId="2175"/>
    <tableColumn id="14244" xr3:uid="{FEEED4C7-DC13-45CF-B816-76864C700D29}" name="Columna14238" dataDxfId="2174"/>
    <tableColumn id="14245" xr3:uid="{38454A83-921F-4D13-B342-4A769AC787F7}" name="Columna14239" dataDxfId="2173"/>
    <tableColumn id="14246" xr3:uid="{08AE3E79-84CD-4ADC-97A4-ACA6A4584202}" name="Columna14240" dataDxfId="2172"/>
    <tableColumn id="14247" xr3:uid="{BF15B6B4-9FCD-4207-8909-F394CA59F9C4}" name="Columna14241" dataDxfId="2171"/>
    <tableColumn id="14248" xr3:uid="{185F1F8D-D68B-4ED6-A18E-0627EC9432C8}" name="Columna14242" dataDxfId="2170"/>
    <tableColumn id="14249" xr3:uid="{3E580457-E328-415C-8338-E3DBB7F27D43}" name="Columna14243" dataDxfId="2169"/>
    <tableColumn id="14250" xr3:uid="{738B4DA8-5317-4E31-9778-658F3EB92FF9}" name="Columna14244" dataDxfId="2168"/>
    <tableColumn id="14251" xr3:uid="{DE44B8F9-D810-43FB-B462-137F4089AD3B}" name="Columna14245" dataDxfId="2167"/>
    <tableColumn id="14252" xr3:uid="{6576951A-2773-41AE-B169-F69978415E9B}" name="Columna14246" dataDxfId="2166"/>
    <tableColumn id="14253" xr3:uid="{B2ACF1E4-017A-436C-BE74-E7EEFE398EC1}" name="Columna14247" dataDxfId="2165"/>
    <tableColumn id="14254" xr3:uid="{47E7D808-F2F9-4C0B-9B77-D0853BF306F2}" name="Columna14248" dataDxfId="2164"/>
    <tableColumn id="14255" xr3:uid="{7D367F88-5ADB-4BB7-83C3-14485E104A2F}" name="Columna14249" dataDxfId="2163"/>
    <tableColumn id="14256" xr3:uid="{F3AED752-8211-4E87-8144-DD0ABD105FA1}" name="Columna14250" dataDxfId="2162"/>
    <tableColumn id="14257" xr3:uid="{C32DA7DB-88A7-4DC4-BBC8-C6662EBC0761}" name="Columna14251" dataDxfId="2161"/>
    <tableColumn id="14258" xr3:uid="{325903D1-4938-47A7-9162-76C0E5DF4069}" name="Columna14252" dataDxfId="2160"/>
    <tableColumn id="14259" xr3:uid="{5B98043D-79EB-44D8-BB10-8B5FF2575177}" name="Columna14253" dataDxfId="2159"/>
    <tableColumn id="14260" xr3:uid="{C1EDA6CA-7916-4FDA-943A-44350E60AAEA}" name="Columna14254" dataDxfId="2158"/>
    <tableColumn id="14261" xr3:uid="{63BA36A2-CE5B-4EA6-A915-685C05B0A56F}" name="Columna14255" dataDxfId="2157"/>
    <tableColumn id="14262" xr3:uid="{DA22CAD2-3BC9-4689-AB82-FD06D8E1A836}" name="Columna14256" dataDxfId="2156"/>
    <tableColumn id="14263" xr3:uid="{34C45189-0EF3-4219-9B39-1894ECCDCA96}" name="Columna14257" dataDxfId="2155"/>
    <tableColumn id="14264" xr3:uid="{4A932804-818B-475F-9D21-BD1AB3F9ECA4}" name="Columna14258" dataDxfId="2154"/>
    <tableColumn id="14265" xr3:uid="{41D48A92-695B-43BE-BB36-9F26AB75A988}" name="Columna14259" dataDxfId="2153"/>
    <tableColumn id="14266" xr3:uid="{90882D45-E75A-43AA-892D-605146342822}" name="Columna14260" dataDxfId="2152"/>
    <tableColumn id="14267" xr3:uid="{5D6C4510-BBAD-4A96-8D08-A7AC8B160CE8}" name="Columna14261" dataDxfId="2151"/>
    <tableColumn id="14268" xr3:uid="{7B6535EF-6609-4886-94D6-0020B20E66F4}" name="Columna14262" dataDxfId="2150"/>
    <tableColumn id="14269" xr3:uid="{9F694F84-B8AF-4AAB-933F-29001054C47A}" name="Columna14263" dataDxfId="2149"/>
    <tableColumn id="14270" xr3:uid="{F797B16A-02B9-414B-A07E-F795EFA7E01A}" name="Columna14264" dataDxfId="2148"/>
    <tableColumn id="14271" xr3:uid="{EC21949D-A603-4829-981D-7A9F399DBB5C}" name="Columna14265" dataDxfId="2147"/>
    <tableColumn id="14272" xr3:uid="{A6929C30-D37E-4137-89F7-E7567AC5C9B1}" name="Columna14266" dataDxfId="2146"/>
    <tableColumn id="14273" xr3:uid="{A39A66E9-15B6-4731-96F8-968A39097E7F}" name="Columna14267" dataDxfId="2145"/>
    <tableColumn id="14274" xr3:uid="{4B84BA1C-726F-417F-95BE-0DF5F158FAC0}" name="Columna14268" dataDxfId="2144"/>
    <tableColumn id="14275" xr3:uid="{C99D242E-40C3-4FA0-BEE2-DBB93FF766A3}" name="Columna14269" dataDxfId="2143"/>
    <tableColumn id="14276" xr3:uid="{CD56FAD5-6930-4CD1-B6A7-C753FC0D6279}" name="Columna14270" dataDxfId="2142"/>
    <tableColumn id="14277" xr3:uid="{19192E91-D128-4099-8515-79C2D01B4D04}" name="Columna14271" dataDxfId="2141"/>
    <tableColumn id="14278" xr3:uid="{110F8D6D-1990-4256-834B-27A0D1F6843F}" name="Columna14272" dataDxfId="2140"/>
    <tableColumn id="14279" xr3:uid="{9E522734-9D85-4FF2-8D81-CD566D5188CE}" name="Columna14273" dataDxfId="2139"/>
    <tableColumn id="14280" xr3:uid="{BC77336E-B2E0-46EB-AF1F-34395B56F60F}" name="Columna14274" dataDxfId="2138"/>
    <tableColumn id="14281" xr3:uid="{DCB0C4DD-2D74-4F26-99D9-7EE21AE4CD7A}" name="Columna14275" dataDxfId="2137"/>
    <tableColumn id="14282" xr3:uid="{018267D6-921C-4FE0-BF2A-45B557E664CB}" name="Columna14276" dataDxfId="2136"/>
    <tableColumn id="14283" xr3:uid="{4F223E36-F270-4A4A-BABF-21541872AFF3}" name="Columna14277" dataDxfId="2135"/>
    <tableColumn id="14284" xr3:uid="{EE9A73AA-BAB5-4EF9-A208-2717D006B4EC}" name="Columna14278" dataDxfId="2134"/>
    <tableColumn id="14285" xr3:uid="{192F095B-F124-4138-A22B-9F3CC50C26E5}" name="Columna14279" dataDxfId="2133"/>
    <tableColumn id="14286" xr3:uid="{292C5538-7435-4A39-8AFE-3F88F6D3D667}" name="Columna14280" dataDxfId="2132"/>
    <tableColumn id="14287" xr3:uid="{89E7D66F-FD02-454A-91A1-803845EB8E5E}" name="Columna14281" dataDxfId="2131"/>
    <tableColumn id="14288" xr3:uid="{F298E3CD-FC8A-4E61-92BB-76AE99041D37}" name="Columna14282" dataDxfId="2130"/>
    <tableColumn id="14289" xr3:uid="{2833B6EF-F256-48EB-AD8D-23BF13A8BA89}" name="Columna14283" dataDxfId="2129"/>
    <tableColumn id="14290" xr3:uid="{1F721920-CECF-4844-8BAA-29C03DD313B0}" name="Columna14284" dataDxfId="2128"/>
    <tableColumn id="14291" xr3:uid="{F5B8B93A-EED8-4AED-8B17-4DB152F824D2}" name="Columna14285" dataDxfId="2127"/>
    <tableColumn id="14292" xr3:uid="{89871058-C6F2-4920-A072-E89AC02C8E17}" name="Columna14286" dataDxfId="2126"/>
    <tableColumn id="14293" xr3:uid="{AE05DE86-95C0-4DDA-90C1-F5471C78274F}" name="Columna14287" dataDxfId="2125"/>
    <tableColumn id="14294" xr3:uid="{B1D8E6AD-31CF-484A-BD9B-D2484169B404}" name="Columna14288" dataDxfId="2124"/>
    <tableColumn id="14295" xr3:uid="{FF96EE2D-1B1C-474A-A479-92892D042550}" name="Columna14289" dataDxfId="2123"/>
    <tableColumn id="14296" xr3:uid="{2EBB985B-C643-4E96-9274-F23DD05573FF}" name="Columna14290" dataDxfId="2122"/>
    <tableColumn id="14297" xr3:uid="{FE59F612-1EF3-4FC0-81EF-6D2FD12CCD98}" name="Columna14291" dataDxfId="2121"/>
    <tableColumn id="14298" xr3:uid="{C533EB5F-7042-4228-A9AC-7FD9B1F151A5}" name="Columna14292" dataDxfId="2120"/>
    <tableColumn id="14299" xr3:uid="{B58CEFDE-AFBE-4D36-A9F3-17A491CADAF1}" name="Columna14293" dataDxfId="2119"/>
    <tableColumn id="14300" xr3:uid="{9088E6D5-446A-4B00-8FB5-B3AA57AAC4E4}" name="Columna14294" dataDxfId="2118"/>
    <tableColumn id="14301" xr3:uid="{8D09C036-43B5-43EF-8A87-06A3C604331A}" name="Columna14295" dataDxfId="2117"/>
    <tableColumn id="14302" xr3:uid="{155E0FCA-8D53-4335-86EF-96BCB4A177AB}" name="Columna14296" dataDxfId="2116"/>
    <tableColumn id="14303" xr3:uid="{4257BA89-6705-40EA-A38A-0EAECC87F49E}" name="Columna14297" dataDxfId="2115"/>
    <tableColumn id="14304" xr3:uid="{2612ED59-7547-455A-8DBC-FBFDC4C29E41}" name="Columna14298" dataDxfId="2114"/>
    <tableColumn id="14305" xr3:uid="{117E29DA-36C9-4E7F-A221-4D7F86EF59DF}" name="Columna14299" dataDxfId="2113"/>
    <tableColumn id="14306" xr3:uid="{056E5D45-6DDC-4CA1-B0BC-4280DAF76EAC}" name="Columna14300" dataDxfId="2112"/>
    <tableColumn id="14307" xr3:uid="{71DA6BC3-E416-42E1-8808-E84B0A4B3CC6}" name="Columna14301" dataDxfId="2111"/>
    <tableColumn id="14308" xr3:uid="{03BE5589-1B0A-40EA-983D-9BDADE4EF7F5}" name="Columna14302" dataDxfId="2110"/>
    <tableColumn id="14309" xr3:uid="{52AEF37B-12F8-4B17-A15A-622A0FD0BFAF}" name="Columna14303" dataDxfId="2109"/>
    <tableColumn id="14310" xr3:uid="{68CB1DE8-20F0-4881-A03C-B3F28FB6304F}" name="Columna14304" dataDxfId="2108"/>
    <tableColumn id="14311" xr3:uid="{DF885442-6C84-421E-BFE2-0FA81BBE69C5}" name="Columna14305" dataDxfId="2107"/>
    <tableColumn id="14312" xr3:uid="{1AFD36AE-3E8D-435E-BF36-F4A47816A2B7}" name="Columna14306" dataDxfId="2106"/>
    <tableColumn id="14313" xr3:uid="{E3FF1A64-3E7F-4732-B1C0-106408B79265}" name="Columna14307" dataDxfId="2105"/>
    <tableColumn id="14314" xr3:uid="{46F6FC6E-8746-4BDD-8F0F-EDF14DB6DC4B}" name="Columna14308" dataDxfId="2104"/>
    <tableColumn id="14315" xr3:uid="{0B6E3AD6-80FB-4672-B638-BFFB2DA07EAD}" name="Columna14309" dataDxfId="2103"/>
    <tableColumn id="14316" xr3:uid="{58ED10D4-85FB-40A9-9D7E-31F1839B09B5}" name="Columna14310" dataDxfId="2102"/>
    <tableColumn id="14317" xr3:uid="{170AACAD-E66B-4731-9039-F34D4ADD66C9}" name="Columna14311" dataDxfId="2101"/>
    <tableColumn id="14318" xr3:uid="{5AC92773-80F3-4EEF-B29A-A4C61A2219E5}" name="Columna14312" dataDxfId="2100"/>
    <tableColumn id="14319" xr3:uid="{0EC0BAD2-17C1-4EC5-85B4-176C66CCD44D}" name="Columna14313" dataDxfId="2099"/>
    <tableColumn id="14320" xr3:uid="{186BE146-F72D-485D-9325-0715CAD0F0D9}" name="Columna14314" dataDxfId="2098"/>
    <tableColumn id="14321" xr3:uid="{92E402D0-C5CA-479B-B3AB-4B6F5D99DEF2}" name="Columna14315" dataDxfId="2097"/>
    <tableColumn id="14322" xr3:uid="{30113F68-3727-4691-BE66-7EA57D3C322D}" name="Columna14316" dataDxfId="2096"/>
    <tableColumn id="14323" xr3:uid="{608A7462-BBDB-44A8-B6DB-B980F303F13B}" name="Columna14317" dataDxfId="2095"/>
    <tableColumn id="14324" xr3:uid="{FCB5CDEC-4A4A-4FA6-B943-9C8E180DFE20}" name="Columna14318" dataDxfId="2094"/>
    <tableColumn id="14325" xr3:uid="{81A5C488-CA4B-4F20-B310-6535805B97F5}" name="Columna14319" dataDxfId="2093"/>
    <tableColumn id="14326" xr3:uid="{3B5E9EBA-708C-4C31-8161-CE8FFE7DE453}" name="Columna14320" dataDxfId="2092"/>
    <tableColumn id="14327" xr3:uid="{12322CEA-D98B-4099-994A-122AEED0E29D}" name="Columna14321" dataDxfId="2091"/>
    <tableColumn id="14328" xr3:uid="{4C6D9AFA-3276-4CC6-A977-ECC7B1670A92}" name="Columna14322" dataDxfId="2090"/>
    <tableColumn id="14329" xr3:uid="{03329F8C-29BE-4114-AAA0-841A407CEB65}" name="Columna14323" dataDxfId="2089"/>
    <tableColumn id="14330" xr3:uid="{8E61883F-5D6B-471A-B34A-C4AF1B71C8C3}" name="Columna14324" dataDxfId="2088"/>
    <tableColumn id="14331" xr3:uid="{6406CB6D-9A7F-457E-9B35-3E04D2D976E0}" name="Columna14325" dataDxfId="2087"/>
    <tableColumn id="14332" xr3:uid="{7D8FD239-C648-48A4-8D8D-3CCCE74A7B5B}" name="Columna14326" dataDxfId="2086"/>
    <tableColumn id="14333" xr3:uid="{EDE1A765-84EB-4439-A702-8A9B3354D4B9}" name="Columna14327" dataDxfId="2085"/>
    <tableColumn id="14334" xr3:uid="{7D0C3643-EDDB-46C2-BAB9-8AFE86C21F41}" name="Columna14328" dataDxfId="2084"/>
    <tableColumn id="14335" xr3:uid="{7DA3B2C8-C417-432A-BDA4-9D8C3C9627B0}" name="Columna14329" dataDxfId="2083"/>
    <tableColumn id="14336" xr3:uid="{1FFB9A04-3487-42EF-9651-672DF1D7DC8F}" name="Columna14330" dataDxfId="2082"/>
    <tableColumn id="14337" xr3:uid="{2AD84A75-E918-450D-89F1-2C33F82D37CA}" name="Columna14331" dataDxfId="2081"/>
    <tableColumn id="14338" xr3:uid="{A79162AC-2DC0-4D90-9FC3-EE6CBBEFCE44}" name="Columna14332" dataDxfId="2080"/>
    <tableColumn id="14339" xr3:uid="{6946BED5-096A-4B48-BB6E-FF8BDD00F880}" name="Columna14333" dataDxfId="2079"/>
    <tableColumn id="14340" xr3:uid="{3358DF49-3EC3-4434-BB19-C6A3F73EFC3B}" name="Columna14334" dataDxfId="2078"/>
    <tableColumn id="14341" xr3:uid="{FF4E4510-3523-4E5C-896A-BB32FC889D3E}" name="Columna14335" dataDxfId="2077"/>
    <tableColumn id="14342" xr3:uid="{4BB9BD5E-5793-4AEF-AE47-E46335E1203E}" name="Columna14336" dataDxfId="2076"/>
    <tableColumn id="14343" xr3:uid="{EABAA8A3-A406-4128-B3CF-C5431F4A285E}" name="Columna14337" dataDxfId="2075"/>
    <tableColumn id="14344" xr3:uid="{CE3BFC56-0C5B-42FE-BBF8-06C1D570E6DC}" name="Columna14338" dataDxfId="2074"/>
    <tableColumn id="14345" xr3:uid="{8C0F6C7B-F7F5-4597-96DA-266AB03041B1}" name="Columna14339" dataDxfId="2073"/>
    <tableColumn id="14346" xr3:uid="{0DBEE4D9-9EFA-4FE5-8C12-A11B3F9CD05F}" name="Columna14340" dataDxfId="2072"/>
    <tableColumn id="14347" xr3:uid="{7E0A8810-DE4B-45E7-AF6A-DE7D6DFC4F4B}" name="Columna14341" dataDxfId="2071"/>
    <tableColumn id="14348" xr3:uid="{4B9AE548-46D6-460E-829A-EA4BD0E9BF9E}" name="Columna14342" dataDxfId="2070"/>
    <tableColumn id="14349" xr3:uid="{C04FCF69-729A-40D3-A539-EDCB4C2B0352}" name="Columna14343" dataDxfId="2069"/>
    <tableColumn id="14350" xr3:uid="{14FE9802-31C5-4140-994B-179D344C77EB}" name="Columna14344" dataDxfId="2068"/>
    <tableColumn id="14351" xr3:uid="{45A6BA51-D972-42FB-9920-12D7B70772B0}" name="Columna14345" dataDxfId="2067"/>
    <tableColumn id="14352" xr3:uid="{F0D990EA-E377-475F-A776-8FBA5A75A463}" name="Columna14346" dataDxfId="2066"/>
    <tableColumn id="14353" xr3:uid="{FD102C84-A6F9-4483-B412-2D1E24F08CF3}" name="Columna14347" dataDxfId="2065"/>
    <tableColumn id="14354" xr3:uid="{BD94BACA-1089-45B4-BBD6-6160553216E3}" name="Columna14348" dataDxfId="2064"/>
    <tableColumn id="14355" xr3:uid="{C86E55CF-793B-4CA0-ACC2-E6B0CEA44CD1}" name="Columna14349" dataDxfId="2063"/>
    <tableColumn id="14356" xr3:uid="{CFD2CE0F-3A25-428F-95A5-B4C9640D2DE8}" name="Columna14350" dataDxfId="2062"/>
    <tableColumn id="14357" xr3:uid="{8D1442EC-7E76-4830-95B4-58C96A1A8C5D}" name="Columna14351" dataDxfId="2061"/>
    <tableColumn id="14358" xr3:uid="{1763A013-D878-47F9-8789-C59F779D82B8}" name="Columna14352" dataDxfId="2060"/>
    <tableColumn id="14359" xr3:uid="{6FEAAC62-D1DD-4978-B598-561897B5072D}" name="Columna14353" dataDxfId="2059"/>
    <tableColumn id="14360" xr3:uid="{EA984034-98E9-41C4-BE06-10D0C4451467}" name="Columna14354" dataDxfId="2058"/>
    <tableColumn id="14361" xr3:uid="{DE763E1C-E9CE-410B-8C98-54BEF210410D}" name="Columna14355" dataDxfId="2057"/>
    <tableColumn id="14362" xr3:uid="{A1F63A42-ACB2-454B-ADFC-549817E8EA58}" name="Columna14356" dataDxfId="2056"/>
    <tableColumn id="14363" xr3:uid="{883BBBF8-CE55-4AB4-8A49-046F9364EFAC}" name="Columna14357" dataDxfId="2055"/>
    <tableColumn id="14364" xr3:uid="{D07F6C7E-0D68-4463-931F-61FBA0DB89E6}" name="Columna14358" dataDxfId="2054"/>
    <tableColumn id="14365" xr3:uid="{5F57C5E7-8877-468C-8602-1BB5FAA84165}" name="Columna14359" dataDxfId="2053"/>
    <tableColumn id="14366" xr3:uid="{D3F1A7AA-51EC-43E7-A554-1D58EBD6945C}" name="Columna14360" dataDxfId="2052"/>
    <tableColumn id="14367" xr3:uid="{C6DA2159-D0E1-4920-9F29-210D6113FB36}" name="Columna14361" dataDxfId="2051"/>
    <tableColumn id="14368" xr3:uid="{D47F168D-9B38-41A3-AB54-2CC136D59DC5}" name="Columna14362" dataDxfId="2050"/>
    <tableColumn id="14369" xr3:uid="{D9404C0A-8115-407F-B769-B9A31CADE4A8}" name="Columna14363" dataDxfId="2049"/>
    <tableColumn id="14370" xr3:uid="{4FDEFC36-802E-4EB1-94A1-62FDF4DA8B03}" name="Columna14364" dataDxfId="2048"/>
    <tableColumn id="14371" xr3:uid="{14F1A7F5-8584-4BD5-813B-D7365A1A540B}" name="Columna14365" dataDxfId="2047"/>
    <tableColumn id="14372" xr3:uid="{523738A8-0265-4791-BE1D-DECD9B495394}" name="Columna14366" dataDxfId="2046"/>
    <tableColumn id="14373" xr3:uid="{65EA5E34-FE69-41E1-AB37-5BA8A9759DA0}" name="Columna14367" dataDxfId="2045"/>
    <tableColumn id="14374" xr3:uid="{13113B6A-6F33-4279-8595-FB9560604661}" name="Columna14368" dataDxfId="2044"/>
    <tableColumn id="14375" xr3:uid="{E5F35BB1-2ED6-4BFE-975C-98729664878F}" name="Columna14369" dataDxfId="2043"/>
    <tableColumn id="14376" xr3:uid="{197B3194-D1EA-495C-ADBF-8A7C554D048D}" name="Columna14370" dataDxfId="2042"/>
    <tableColumn id="14377" xr3:uid="{73783B53-B494-4F09-83CD-C06AB74369C4}" name="Columna14371" dataDxfId="2041"/>
    <tableColumn id="14378" xr3:uid="{7D083E28-C348-4581-BBF5-3A3AD4BF2F9E}" name="Columna14372" dataDxfId="2040"/>
    <tableColumn id="14379" xr3:uid="{17B34916-6421-4C0E-BECB-3B93E6DC651A}" name="Columna14373" dataDxfId="2039"/>
    <tableColumn id="14380" xr3:uid="{9E3818E9-2A08-4D97-9719-8B248FC3C666}" name="Columna14374" dataDxfId="2038"/>
    <tableColumn id="14381" xr3:uid="{E06BC59C-6B68-4425-8DFB-FA7F188C1B41}" name="Columna14375" dataDxfId="2037"/>
    <tableColumn id="14382" xr3:uid="{C3311B9D-7595-4E4E-8D85-9E400593650C}" name="Columna14376" dataDxfId="2036"/>
    <tableColumn id="14383" xr3:uid="{DD865C65-409F-4F6B-8DE9-0417EB03323D}" name="Columna14377" dataDxfId="2035"/>
    <tableColumn id="14384" xr3:uid="{2ADAF1DE-CD09-4C25-BF1A-27056AEA0119}" name="Columna14378" dataDxfId="2034"/>
    <tableColumn id="14385" xr3:uid="{60DAD170-8D93-4B7A-BA27-BB29EB6D9114}" name="Columna14379" dataDxfId="2033"/>
    <tableColumn id="14386" xr3:uid="{55BB4980-20D2-4AEA-84DA-78DD06AF6D32}" name="Columna14380" dataDxfId="2032"/>
    <tableColumn id="14387" xr3:uid="{5DAEF0BF-6E5A-4F70-BE6E-8359AC58848E}" name="Columna14381" dataDxfId="2031"/>
    <tableColumn id="14388" xr3:uid="{63BDCA79-DA52-418C-9C09-899E5BEFB827}" name="Columna14382" dataDxfId="2030"/>
    <tableColumn id="14389" xr3:uid="{DFF4B2E2-D18E-498E-B980-F639A6341ABA}" name="Columna14383" dataDxfId="2029"/>
    <tableColumn id="14390" xr3:uid="{578DB74D-CAAB-49D7-9A55-FC239A0EF1D2}" name="Columna14384" dataDxfId="2028"/>
    <tableColumn id="14391" xr3:uid="{7F8725AE-EFE7-4CB7-B3A0-4BEBC5B5A692}" name="Columna14385" dataDxfId="2027"/>
    <tableColumn id="14392" xr3:uid="{14ED56BE-3A91-4C9E-85CC-0250E8357D22}" name="Columna14386" dataDxfId="2026"/>
    <tableColumn id="14393" xr3:uid="{9B3027DB-E108-46F0-854C-73880F8FF1C3}" name="Columna14387" dataDxfId="2025"/>
    <tableColumn id="14394" xr3:uid="{BBAEF121-CA82-4696-8374-D06C568FB395}" name="Columna14388" dataDxfId="2024"/>
    <tableColumn id="14395" xr3:uid="{68678CA5-D6FF-45D9-B7CF-B361CAC6B570}" name="Columna14389" dataDxfId="2023"/>
    <tableColumn id="14396" xr3:uid="{FD733FA9-30C2-4EF8-8302-53994B5506D4}" name="Columna14390" dataDxfId="2022"/>
    <tableColumn id="14397" xr3:uid="{605C9748-6248-42E7-867E-98B6515442A1}" name="Columna14391" dataDxfId="2021"/>
    <tableColumn id="14398" xr3:uid="{32E58777-CC27-49DA-ABCC-4C4A1EEBE8E8}" name="Columna14392" dataDxfId="2020"/>
    <tableColumn id="14399" xr3:uid="{68C8B393-3C1B-4B47-8C7F-55C9B41F5E50}" name="Columna14393" dataDxfId="2019"/>
    <tableColumn id="14400" xr3:uid="{05B2189C-4F99-4849-AF5F-C6851A5C4FC1}" name="Columna14394" dataDxfId="2018"/>
    <tableColumn id="14401" xr3:uid="{066856CB-BDE8-4BD8-AE41-A47ADA934975}" name="Columna14395" dataDxfId="2017"/>
    <tableColumn id="14402" xr3:uid="{822876EB-3302-4727-AD25-EBCBB6EAAE7D}" name="Columna14396" dataDxfId="2016"/>
    <tableColumn id="14403" xr3:uid="{19058441-711A-47D1-AACB-32FCA67821B5}" name="Columna14397" dataDxfId="2015"/>
    <tableColumn id="14404" xr3:uid="{5ECD3571-FA9E-4178-A3FE-32007AC3593C}" name="Columna14398" dataDxfId="2014"/>
    <tableColumn id="14405" xr3:uid="{31A74F00-8F83-433B-AE3C-9B536DB6144E}" name="Columna14399" dataDxfId="2013"/>
    <tableColumn id="14406" xr3:uid="{6BF9D98E-F47C-4FED-8A34-1B7B3F238A32}" name="Columna14400" dataDxfId="2012"/>
    <tableColumn id="14407" xr3:uid="{89402C6F-7A68-474E-9CD1-FEA7B0EDF609}" name="Columna14401" dataDxfId="2011"/>
    <tableColumn id="14408" xr3:uid="{EC8A83B6-8EEF-4BD0-94FD-17135D3452DB}" name="Columna14402" dataDxfId="2010"/>
    <tableColumn id="14409" xr3:uid="{DD595AD3-0A32-4EF1-89B6-8DD55543A220}" name="Columna14403" dataDxfId="2009"/>
    <tableColumn id="14410" xr3:uid="{BCEFD6BF-6C49-4ADB-83D0-BFFD7C436C47}" name="Columna14404" dataDxfId="2008"/>
    <tableColumn id="14411" xr3:uid="{0CED3F28-F1A4-447B-B941-59A0F549E8B2}" name="Columna14405" dataDxfId="2007"/>
    <tableColumn id="14412" xr3:uid="{A4C7A66D-977E-47D4-910E-890FD7A0213D}" name="Columna14406" dataDxfId="2006"/>
    <tableColumn id="14413" xr3:uid="{EC41D019-2F59-4BCE-81D8-29F30566A292}" name="Columna14407" dataDxfId="2005"/>
    <tableColumn id="14414" xr3:uid="{A1ADAE33-54F0-46F2-A313-9C234721966C}" name="Columna14408" dataDxfId="2004"/>
    <tableColumn id="14415" xr3:uid="{999FF42E-7A97-4431-93B4-97106F3E965A}" name="Columna14409" dataDxfId="2003"/>
    <tableColumn id="14416" xr3:uid="{A829C2F0-24BD-4C8D-B8F7-FBECB07A31EC}" name="Columna14410" dataDxfId="2002"/>
    <tableColumn id="14417" xr3:uid="{B5C370DC-A9F3-4875-A99F-B3DA572C124D}" name="Columna14411" dataDxfId="2001"/>
    <tableColumn id="14418" xr3:uid="{893FE17C-F393-4502-99BD-31B863ACE6BC}" name="Columna14412" dataDxfId="2000"/>
    <tableColumn id="14419" xr3:uid="{3D1D03D0-6FF8-401C-B5FF-B6DE82DF1E0B}" name="Columna14413" dataDxfId="1999"/>
    <tableColumn id="14420" xr3:uid="{72AF5C9F-3C93-48B5-8572-C6699E22D152}" name="Columna14414" dataDxfId="1998"/>
    <tableColumn id="14421" xr3:uid="{A595A03C-236B-4B20-BFFE-F11300DFC3F1}" name="Columna14415" dataDxfId="1997"/>
    <tableColumn id="14422" xr3:uid="{BEBBEBE5-AC74-457C-85BD-58E82D6FEE57}" name="Columna14416" dataDxfId="1996"/>
    <tableColumn id="14423" xr3:uid="{1F2C5757-1687-469A-B243-04346BB83A27}" name="Columna14417" dataDxfId="1995"/>
    <tableColumn id="14424" xr3:uid="{E9921D1E-5B85-422D-AA27-9B89AF85D607}" name="Columna14418" dataDxfId="1994"/>
    <tableColumn id="14425" xr3:uid="{CF6CF3E6-9318-4B61-BB29-21549246EEB5}" name="Columna14419" dataDxfId="1993"/>
    <tableColumn id="14426" xr3:uid="{29756004-D5DC-4E02-B6D8-0FA2F0508150}" name="Columna14420" dataDxfId="1992"/>
    <tableColumn id="14427" xr3:uid="{C9C6854D-F1A4-4F75-8067-4DFB2E9E2662}" name="Columna14421" dataDxfId="1991"/>
    <tableColumn id="14428" xr3:uid="{982C5CB3-97C2-47F9-A17F-BB64CFD1DCEC}" name="Columna14422" dataDxfId="1990"/>
    <tableColumn id="14429" xr3:uid="{ED434EF5-C3C2-43DD-B54E-1C0E78C65F78}" name="Columna14423" dataDxfId="1989"/>
    <tableColumn id="14430" xr3:uid="{B1A85B50-DB74-4F6D-8D0F-A051D38FA3B2}" name="Columna14424" dataDxfId="1988"/>
    <tableColumn id="14431" xr3:uid="{32A9AAEC-D638-4312-BDE9-1829EE58A01B}" name="Columna14425" dataDxfId="1987"/>
    <tableColumn id="14432" xr3:uid="{B77045D4-F432-4356-89B5-40EBED960DE8}" name="Columna14426" dataDxfId="1986"/>
    <tableColumn id="14433" xr3:uid="{59B8C19C-9468-4A66-A97D-3272FBB02DB4}" name="Columna14427" dataDxfId="1985"/>
    <tableColumn id="14434" xr3:uid="{6E1A26CA-0473-4610-9260-1CC9F8A628AB}" name="Columna14428" dataDxfId="1984"/>
    <tableColumn id="14435" xr3:uid="{2F4BCF4D-A6B9-49C7-AB07-30B6AACAB56A}" name="Columna14429" dataDxfId="1983"/>
    <tableColumn id="14436" xr3:uid="{E432F8AA-4BCB-4538-A4B0-C61801F309E2}" name="Columna14430" dataDxfId="1982"/>
    <tableColumn id="14437" xr3:uid="{F8CC9991-5C93-48B4-9C89-BDE9CCA1F354}" name="Columna14431" dataDxfId="1981"/>
    <tableColumn id="14438" xr3:uid="{DA95F25D-C128-4230-AE81-7BC1669877BE}" name="Columna14432" dataDxfId="1980"/>
    <tableColumn id="14439" xr3:uid="{AFA0BA79-5D17-4FB7-98F7-BEE8F9B0EC04}" name="Columna14433" dataDxfId="1979"/>
    <tableColumn id="14440" xr3:uid="{6DFFC2E5-AE4D-42CA-BA69-06BA3CCDC80A}" name="Columna14434" dataDxfId="1978"/>
    <tableColumn id="14441" xr3:uid="{D552F4D4-39D1-4842-8CAF-E302925D4C49}" name="Columna14435" dataDxfId="1977"/>
    <tableColumn id="14442" xr3:uid="{BA755788-6B4F-4B86-8B88-8AADF93D0582}" name="Columna14436" dataDxfId="1976"/>
    <tableColumn id="14443" xr3:uid="{EA9C5E4C-F627-428F-9C3A-4C1212CCE6BD}" name="Columna14437" dataDxfId="1975"/>
    <tableColumn id="14444" xr3:uid="{922E7176-5BC2-49AC-88B8-1A90C40B6EF3}" name="Columna14438" dataDxfId="1974"/>
    <tableColumn id="14445" xr3:uid="{EE7F6FA0-5758-4944-A401-9553FA90853A}" name="Columna14439" dataDxfId="1973"/>
    <tableColumn id="14446" xr3:uid="{4899CEC9-CE46-4CC4-8694-47D1DF30BB13}" name="Columna14440" dataDxfId="1972"/>
    <tableColumn id="14447" xr3:uid="{6AC99155-5BB2-4294-B519-19AF34B9ADD7}" name="Columna14441" dataDxfId="1971"/>
    <tableColumn id="14448" xr3:uid="{8E9CE178-7C9A-414C-B938-913FED969F2C}" name="Columna14442" dataDxfId="1970"/>
    <tableColumn id="14449" xr3:uid="{9DAD8D5A-8E36-4AE6-B83F-BAD57B086BFF}" name="Columna14443" dataDxfId="1969"/>
    <tableColumn id="14450" xr3:uid="{F669EF4C-B640-4F90-96E4-4E632BB9D962}" name="Columna14444" dataDxfId="1968"/>
    <tableColumn id="14451" xr3:uid="{11EA9E30-B56A-464B-94F7-91FF6C313E56}" name="Columna14445" dataDxfId="1967"/>
    <tableColumn id="14452" xr3:uid="{C2A0D261-FE44-4F64-9555-EAAD01D37797}" name="Columna14446" dataDxfId="1966"/>
    <tableColumn id="14453" xr3:uid="{58A0739A-4E5A-430C-A1A8-9363892CF4FD}" name="Columna14447" dataDxfId="1965"/>
    <tableColumn id="14454" xr3:uid="{DAE32694-8A93-419C-B83F-5E92E8D788DA}" name="Columna14448" dataDxfId="1964"/>
    <tableColumn id="14455" xr3:uid="{43C2B69B-1DD7-4E80-BB13-F6D9FCD0368F}" name="Columna14449" dataDxfId="1963"/>
    <tableColumn id="14456" xr3:uid="{BD7BB2A4-E654-4B73-BAAC-0B9BDFE98392}" name="Columna14450" dataDxfId="1962"/>
    <tableColumn id="14457" xr3:uid="{79F89B36-A3C6-4AF9-B800-B07926093585}" name="Columna14451" dataDxfId="1961"/>
    <tableColumn id="14458" xr3:uid="{01855FC8-33B5-4F45-890E-9BBD18D2780E}" name="Columna14452" dataDxfId="1960"/>
    <tableColumn id="14459" xr3:uid="{16B7BAF4-76E8-4486-8BC3-9B9736BD828C}" name="Columna14453" dataDxfId="1959"/>
    <tableColumn id="14460" xr3:uid="{1B6CF47E-C6DE-4892-ADDB-9E78C1C8356C}" name="Columna14454" dataDxfId="1958"/>
    <tableColumn id="14461" xr3:uid="{1A7EF609-F1D1-44F3-B9BD-7088561DCA3D}" name="Columna14455" dataDxfId="1957"/>
    <tableColumn id="14462" xr3:uid="{4F7D20EF-FDB0-481F-89D0-8C36B6A635EE}" name="Columna14456" dataDxfId="1956"/>
    <tableColumn id="14463" xr3:uid="{D3351E62-1F6A-49AA-8073-C72B30FDA2E8}" name="Columna14457" dataDxfId="1955"/>
    <tableColumn id="14464" xr3:uid="{62D838EB-11BF-4400-A16D-F3C495150CF1}" name="Columna14458" dataDxfId="1954"/>
    <tableColumn id="14465" xr3:uid="{96757671-83F2-43AC-B207-833A3E4BE465}" name="Columna14459" dataDxfId="1953"/>
    <tableColumn id="14466" xr3:uid="{699B42CF-A979-4EAB-AF24-CBB415927982}" name="Columna14460" dataDxfId="1952"/>
    <tableColumn id="14467" xr3:uid="{1A693FE0-ACE0-4476-8D3C-B87DACC6C524}" name="Columna14461" dataDxfId="1951"/>
    <tableColumn id="14468" xr3:uid="{16EF9FE0-93A4-4CA4-94A6-52634C381A42}" name="Columna14462" dataDxfId="1950"/>
    <tableColumn id="14469" xr3:uid="{433BC1C5-D45A-46A4-A710-749073DAFC32}" name="Columna14463" dataDxfId="1949"/>
    <tableColumn id="14470" xr3:uid="{B3B4A984-8E25-47C5-9EDE-8D9D39077B88}" name="Columna14464" dataDxfId="1948"/>
    <tableColumn id="14471" xr3:uid="{9256BE1E-25AB-472E-BCC6-BB981DC4F92E}" name="Columna14465" dataDxfId="1947"/>
    <tableColumn id="14472" xr3:uid="{4C6313FA-6B3F-4773-9A65-B2B09A17E947}" name="Columna14466" dataDxfId="1946"/>
    <tableColumn id="14473" xr3:uid="{CB810986-88B2-4A5A-988D-8EFD0746D8E8}" name="Columna14467" dataDxfId="1945"/>
    <tableColumn id="14474" xr3:uid="{88667B1C-F033-4B87-B324-D92EF32950F3}" name="Columna14468" dataDxfId="1944"/>
    <tableColumn id="14475" xr3:uid="{58632612-FE6C-4B59-88AC-20146F6896D6}" name="Columna14469" dataDxfId="1943"/>
    <tableColumn id="14476" xr3:uid="{900161E6-8C32-4370-A497-83AFA829248E}" name="Columna14470" dataDxfId="1942"/>
    <tableColumn id="14477" xr3:uid="{85443EB4-701B-4CB1-8608-8E189FA8FB90}" name="Columna14471" dataDxfId="1941"/>
    <tableColumn id="14478" xr3:uid="{5029D64E-4B2D-4F71-A897-118E1B615EF2}" name="Columna14472" dataDxfId="1940"/>
    <tableColumn id="14479" xr3:uid="{CB98B7B7-A991-4E8C-ACB6-5715B93EE924}" name="Columna14473" dataDxfId="1939"/>
    <tableColumn id="14480" xr3:uid="{55BF1159-3910-4080-A415-3F9D92E3D160}" name="Columna14474" dataDxfId="1938"/>
    <tableColumn id="14481" xr3:uid="{590679EF-A2B3-4D2D-970E-96377011C9B9}" name="Columna14475" dataDxfId="1937"/>
    <tableColumn id="14482" xr3:uid="{E5F2742D-E7F5-4B49-88C9-74205B66BAFC}" name="Columna14476" dataDxfId="1936"/>
    <tableColumn id="14483" xr3:uid="{0F5AE75C-094D-453A-97E1-95F9858B8EEA}" name="Columna14477" dataDxfId="1935"/>
    <tableColumn id="14484" xr3:uid="{EB4C4197-98D1-475F-A265-26F8FA1AFD19}" name="Columna14478" dataDxfId="1934"/>
    <tableColumn id="14485" xr3:uid="{195EFE22-66B7-479C-AB19-EB4CDE2FF1A1}" name="Columna14479" dataDxfId="1933"/>
    <tableColumn id="14486" xr3:uid="{6A8AE27B-9222-4575-BE9D-F31EA9C640B1}" name="Columna14480" dataDxfId="1932"/>
    <tableColumn id="14487" xr3:uid="{B1F590A0-15E2-4931-96F6-D7A7A7277349}" name="Columna14481" dataDxfId="1931"/>
    <tableColumn id="14488" xr3:uid="{3A749B03-7C07-4E7F-B832-CA5CFEBA0596}" name="Columna14482" dataDxfId="1930"/>
    <tableColumn id="14489" xr3:uid="{5F504401-46EC-430C-933A-9FAADE4CA7DC}" name="Columna14483" dataDxfId="1929"/>
    <tableColumn id="14490" xr3:uid="{AC02E92D-CAD1-4BB4-B9CA-0EAFBCBE242B}" name="Columna14484" dataDxfId="1928"/>
    <tableColumn id="14491" xr3:uid="{3A0E5DAF-63D2-4F61-AFC9-8D3649324910}" name="Columna14485" dataDxfId="1927"/>
    <tableColumn id="14492" xr3:uid="{77519DFC-DF15-458A-9525-A977A8E771F8}" name="Columna14486" dataDxfId="1926"/>
    <tableColumn id="14493" xr3:uid="{BB4BB743-B47A-4CA0-A560-6A592AF76A56}" name="Columna14487" dataDxfId="1925"/>
    <tableColumn id="14494" xr3:uid="{40BB1859-19EF-4349-84F2-D6E76B054B0B}" name="Columna14488" dataDxfId="1924"/>
    <tableColumn id="14495" xr3:uid="{5F41652C-C9EC-458F-B828-7615C6A84E02}" name="Columna14489" dataDxfId="1923"/>
    <tableColumn id="14496" xr3:uid="{522E6420-4104-4902-BEA6-74AA301DECCA}" name="Columna14490" dataDxfId="1922"/>
    <tableColumn id="14497" xr3:uid="{279D76B0-F5C4-4831-9C2C-CCDE82B287E9}" name="Columna14491" dataDxfId="1921"/>
    <tableColumn id="14498" xr3:uid="{E6BAAACA-826E-434A-8C50-EB2C6C0246F3}" name="Columna14492" dataDxfId="1920"/>
    <tableColumn id="14499" xr3:uid="{6A0BFD8F-B12C-40F3-A935-1D0FEC8651ED}" name="Columna14493" dataDxfId="1919"/>
    <tableColumn id="14500" xr3:uid="{6B6770E5-D319-48AF-91F6-8210A4046C16}" name="Columna14494" dataDxfId="1918"/>
    <tableColumn id="14501" xr3:uid="{E380515B-DB10-47F4-A470-D4562D00D57A}" name="Columna14495" dataDxfId="1917"/>
    <tableColumn id="14502" xr3:uid="{12B0491B-F1EE-4AE7-84C0-C57E7703D06B}" name="Columna14496" dataDxfId="1916"/>
    <tableColumn id="14503" xr3:uid="{1595A729-5D53-4468-9231-3E1568F377E1}" name="Columna14497" dataDxfId="1915"/>
    <tableColumn id="14504" xr3:uid="{8840C6E2-B648-4E2C-A1B4-B5D33F5A1435}" name="Columna14498" dataDxfId="1914"/>
    <tableColumn id="14505" xr3:uid="{3AB074B8-644F-4F27-89B5-6A559A33622E}" name="Columna14499" dataDxfId="1913"/>
    <tableColumn id="14506" xr3:uid="{B24201D8-0BB2-4C78-8E0F-76D41D81BAAC}" name="Columna14500" dataDxfId="1912"/>
    <tableColumn id="14507" xr3:uid="{C9B4DCAB-E2D8-4CA6-AE8E-952A36CEA79B}" name="Columna14501" dataDxfId="1911"/>
    <tableColumn id="14508" xr3:uid="{848730AC-4ACA-4643-AB46-372974F1C17E}" name="Columna14502" dataDxfId="1910"/>
    <tableColumn id="14509" xr3:uid="{558770A7-2B64-4E64-80F1-523E451AFBA7}" name="Columna14503" dataDxfId="1909"/>
    <tableColumn id="14510" xr3:uid="{2A088C64-39B4-428A-9CD3-48198AD0A296}" name="Columna14504" dataDxfId="1908"/>
    <tableColumn id="14511" xr3:uid="{F9EC8082-59AD-4ECA-A8BB-3A4F2D4BF682}" name="Columna14505" dataDxfId="1907"/>
    <tableColumn id="14512" xr3:uid="{CCC9D674-F27A-4E44-ADFD-46741D749FAE}" name="Columna14506" dataDxfId="1906"/>
    <tableColumn id="14513" xr3:uid="{F7CBCBC9-22A3-405F-B242-820998BD4160}" name="Columna14507" dataDxfId="1905"/>
    <tableColumn id="14514" xr3:uid="{8E84DA5F-4744-432D-9575-5D485B0A623B}" name="Columna14508" dataDxfId="1904"/>
    <tableColumn id="14515" xr3:uid="{7E5CF72C-9867-40A7-8475-C82D1A3AF384}" name="Columna14509" dataDxfId="1903"/>
    <tableColumn id="14516" xr3:uid="{772720A4-BFBA-4B16-AE11-81B4ADAF6DF1}" name="Columna14510" dataDxfId="1902"/>
    <tableColumn id="14517" xr3:uid="{8551DAE8-1566-47DB-AB5B-C3300A0BE809}" name="Columna14511" dataDxfId="1901"/>
    <tableColumn id="14518" xr3:uid="{1D2537B0-706F-42FA-9C7D-75A75F11F4EF}" name="Columna14512" dataDxfId="1900"/>
    <tableColumn id="14519" xr3:uid="{76E1F2A3-007D-43AE-A29E-D2CC447D9827}" name="Columna14513" dataDxfId="1899"/>
    <tableColumn id="14520" xr3:uid="{67622DAB-27AF-4AD4-BDD3-BBBCFB67FC49}" name="Columna14514" dataDxfId="1898"/>
    <tableColumn id="14521" xr3:uid="{15D146D5-309F-4919-9C24-C95D4038632B}" name="Columna14515" dataDxfId="1897"/>
    <tableColumn id="14522" xr3:uid="{43669E9B-5487-48E1-AAE3-806F3094FD01}" name="Columna14516" dataDxfId="1896"/>
    <tableColumn id="14523" xr3:uid="{4ACC3288-7BDC-40F1-A3A3-6494CD289DF9}" name="Columna14517" dataDxfId="1895"/>
    <tableColumn id="14524" xr3:uid="{B17B94FA-B180-4523-B1A9-1FC2F5EAFFE7}" name="Columna14518" dataDxfId="1894"/>
    <tableColumn id="14525" xr3:uid="{45A9818C-4807-4DC1-8F83-BD7837D544DE}" name="Columna14519" dataDxfId="1893"/>
    <tableColumn id="14526" xr3:uid="{7E40F5C7-0F30-4ECA-9171-56F5D716CEC1}" name="Columna14520" dataDxfId="1892"/>
    <tableColumn id="14527" xr3:uid="{6DAF1D24-72CB-4EC1-A67A-3263C0C18BE6}" name="Columna14521" dataDxfId="1891"/>
    <tableColumn id="14528" xr3:uid="{A098F506-51E7-40D6-9A19-3665A9DCB34B}" name="Columna14522" dataDxfId="1890"/>
    <tableColumn id="14529" xr3:uid="{93D3DC72-02D1-4E82-8839-E27B24C5B538}" name="Columna14523" dataDxfId="1889"/>
    <tableColumn id="14530" xr3:uid="{0169322B-A596-40B0-8C90-656026CEC887}" name="Columna14524" dataDxfId="1888"/>
    <tableColumn id="14531" xr3:uid="{D763F966-BD9B-40CB-8350-C8A1E36D3CC4}" name="Columna14525" dataDxfId="1887"/>
    <tableColumn id="14532" xr3:uid="{07054A90-186C-40DC-8211-EDC1ECA250F9}" name="Columna14526" dataDxfId="1886"/>
    <tableColumn id="14533" xr3:uid="{4EE06EFC-E8F5-479B-B212-99FCBFBDE6C8}" name="Columna14527" dataDxfId="1885"/>
    <tableColumn id="14534" xr3:uid="{83DEA3E5-689F-437E-B6F1-387CFBD0AE27}" name="Columna14528" dataDxfId="1884"/>
    <tableColumn id="14535" xr3:uid="{7DBCF6A7-149C-4E00-8ADD-8A9DF8A2481D}" name="Columna14529" dataDxfId="1883"/>
    <tableColumn id="14536" xr3:uid="{A50EC972-DA53-47A4-B150-EB0E48E033B8}" name="Columna14530" dataDxfId="1882"/>
    <tableColumn id="14537" xr3:uid="{219090BF-246E-411C-A413-EB46EB50497F}" name="Columna14531" dataDxfId="1881"/>
    <tableColumn id="14538" xr3:uid="{FF9B9747-2531-4790-AA0B-286929619D0D}" name="Columna14532" dataDxfId="1880"/>
    <tableColumn id="14539" xr3:uid="{32FF1C8B-D0A1-4994-9D33-836D4F1132FA}" name="Columna14533" dataDxfId="1879"/>
    <tableColumn id="14540" xr3:uid="{307E395B-1F92-41E7-9679-3AE2F9E6827B}" name="Columna14534" dataDxfId="1878"/>
    <tableColumn id="14541" xr3:uid="{A4089B0A-4B03-4271-8895-5533832E6EBD}" name="Columna14535" dataDxfId="1877"/>
    <tableColumn id="14542" xr3:uid="{8C8EB043-1724-4D49-A340-20989AB802BC}" name="Columna14536" dataDxfId="1876"/>
    <tableColumn id="14543" xr3:uid="{E05302D4-3DB1-472B-8980-4DE2D7E53C5B}" name="Columna14537" dataDxfId="1875"/>
    <tableColumn id="14544" xr3:uid="{11A1D256-EC7C-4B91-B751-9BEA1C5420A8}" name="Columna14538" dataDxfId="1874"/>
    <tableColumn id="14545" xr3:uid="{DA7C69C5-30A1-41BA-B5F3-859496BB40A3}" name="Columna14539" dataDxfId="1873"/>
    <tableColumn id="14546" xr3:uid="{149B79C9-51F6-4594-BE81-2B40B668222A}" name="Columna14540" dataDxfId="1872"/>
    <tableColumn id="14547" xr3:uid="{1E0EA52E-01E0-49AA-A234-BC6502F2522E}" name="Columna14541" dataDxfId="1871"/>
    <tableColumn id="14548" xr3:uid="{24230DE9-C4C4-4680-A4CF-6F8F49E3510F}" name="Columna14542" dataDxfId="1870"/>
    <tableColumn id="14549" xr3:uid="{77A702C2-00A4-48AC-B9EE-DF82F1A86355}" name="Columna14543" dataDxfId="1869"/>
    <tableColumn id="14550" xr3:uid="{0700BB77-2037-46BE-B5AA-24AA88E09788}" name="Columna14544" dataDxfId="1868"/>
    <tableColumn id="14551" xr3:uid="{24354C14-17A6-4695-B54D-D4A69F43CAF9}" name="Columna14545" dataDxfId="1867"/>
    <tableColumn id="14552" xr3:uid="{716323E7-CD38-494D-87B7-7D06C085DDE1}" name="Columna14546" dataDxfId="1866"/>
    <tableColumn id="14553" xr3:uid="{CEE950AF-7A34-490F-AE65-BEAA0C96C68E}" name="Columna14547" dataDxfId="1865"/>
    <tableColumn id="14554" xr3:uid="{D29EF239-A8BD-4D6A-8083-FA0D3C2648F2}" name="Columna14548" dataDxfId="1864"/>
    <tableColumn id="14555" xr3:uid="{9AE5F50D-34D2-4C23-AC91-8AF958F756DC}" name="Columna14549" dataDxfId="1863"/>
    <tableColumn id="14556" xr3:uid="{EDC18D53-F2F1-42D8-BED7-2B4AA64851BE}" name="Columna14550" dataDxfId="1862"/>
    <tableColumn id="14557" xr3:uid="{C518BD94-C5CE-4EB1-B661-9FC13FC93DFD}" name="Columna14551" dataDxfId="1861"/>
    <tableColumn id="14558" xr3:uid="{2F5F0814-C46C-4D35-8874-6F6A72649A4D}" name="Columna14552" dataDxfId="1860"/>
    <tableColumn id="14559" xr3:uid="{9A9386B9-1310-49EF-9896-245441FB4AC8}" name="Columna14553" dataDxfId="1859"/>
    <tableColumn id="14560" xr3:uid="{92042BAB-77C0-4843-BE1F-01D398F1F7BE}" name="Columna14554" dataDxfId="1858"/>
    <tableColumn id="14561" xr3:uid="{212E9D27-E868-4C4A-AB83-BC4186D19D16}" name="Columna14555" dataDxfId="1857"/>
    <tableColumn id="14562" xr3:uid="{4048408C-BFA3-436D-9604-EC05C89AFFC2}" name="Columna14556" dataDxfId="1856"/>
    <tableColumn id="14563" xr3:uid="{5509E69D-6B68-417C-B8FE-5D1154DEAEBF}" name="Columna14557" dataDxfId="1855"/>
    <tableColumn id="14564" xr3:uid="{7B167C28-4161-499A-BF1F-EC7DCE6341B9}" name="Columna14558" dataDxfId="1854"/>
    <tableColumn id="14565" xr3:uid="{4056009F-5719-4B8C-92AE-9ED73B033FAE}" name="Columna14559" dataDxfId="1853"/>
    <tableColumn id="14566" xr3:uid="{645D1709-18D6-4F46-924C-D2DB04A15595}" name="Columna14560" dataDxfId="1852"/>
    <tableColumn id="14567" xr3:uid="{6ADE98FE-3D92-4029-84FB-3BBC8CE16488}" name="Columna14561" dataDxfId="1851"/>
    <tableColumn id="14568" xr3:uid="{AC661E02-A20B-483E-802C-5E4A28EA49D5}" name="Columna14562" dataDxfId="1850"/>
    <tableColumn id="14569" xr3:uid="{44BAA0C3-7E23-4E14-8C96-56C58FAC9B35}" name="Columna14563" dataDxfId="1849"/>
    <tableColumn id="14570" xr3:uid="{FF9BB56D-8682-402C-BE98-FCD0B21FD502}" name="Columna14564" dataDxfId="1848"/>
    <tableColumn id="14571" xr3:uid="{A0813528-6F4B-44CA-9DB0-6924E71B39BC}" name="Columna14565" dataDxfId="1847"/>
    <tableColumn id="14572" xr3:uid="{079CB55B-4D2B-4C0D-A730-44EED1C421B0}" name="Columna14566" dataDxfId="1846"/>
    <tableColumn id="14573" xr3:uid="{AA1D2F54-DEBB-4229-8F5B-2F707412962B}" name="Columna14567" dataDxfId="1845"/>
    <tableColumn id="14574" xr3:uid="{87C265BE-6305-448C-A029-9B09EB06A34A}" name="Columna14568" dataDxfId="1844"/>
    <tableColumn id="14575" xr3:uid="{963CA6BD-C784-440A-92A7-AF94B5D1DCEC}" name="Columna14569" dataDxfId="1843"/>
    <tableColumn id="14576" xr3:uid="{0C2B9332-CCFD-46BA-BFFC-7E941437805D}" name="Columna14570" dataDxfId="1842"/>
    <tableColumn id="14577" xr3:uid="{760AEEF0-BDFC-4E49-9FEE-45BA5A024ED9}" name="Columna14571" dataDxfId="1841"/>
    <tableColumn id="14578" xr3:uid="{F92B57F3-9A2B-4557-8659-DD335DFE105E}" name="Columna14572" dataDxfId="1840"/>
    <tableColumn id="14579" xr3:uid="{E4B14301-5CF3-4100-A9F5-FCD50E0C5243}" name="Columna14573" dataDxfId="1839"/>
    <tableColumn id="14580" xr3:uid="{5304DB71-7F18-4426-85DA-3B01363AD372}" name="Columna14574" dataDxfId="1838"/>
    <tableColumn id="14581" xr3:uid="{B7D21981-9645-4153-A227-706F1C9572ED}" name="Columna14575" dataDxfId="1837"/>
    <tableColumn id="14582" xr3:uid="{48F2CDEA-C305-48D4-B493-3CE07234190B}" name="Columna14576" dataDxfId="1836"/>
    <tableColumn id="14583" xr3:uid="{73E2DC03-D555-4F76-828B-D44AF926693E}" name="Columna14577" dataDxfId="1835"/>
    <tableColumn id="14584" xr3:uid="{AE647795-02E0-49E6-B141-F4C0FBA1A11A}" name="Columna14578" dataDxfId="1834"/>
    <tableColumn id="14585" xr3:uid="{5A4CDF40-5356-4DC6-8735-D3D234AC0219}" name="Columna14579" dataDxfId="1833"/>
    <tableColumn id="14586" xr3:uid="{78E45A6C-B44F-4EC4-8845-A369A393CA19}" name="Columna14580" dataDxfId="1832"/>
    <tableColumn id="14587" xr3:uid="{70398619-7751-46C1-848F-43A6F6A56C25}" name="Columna14581" dataDxfId="1831"/>
    <tableColumn id="14588" xr3:uid="{ED9A7F34-8E56-47F9-8BBC-BAE5296BDBC2}" name="Columna14582" dataDxfId="1830"/>
    <tableColumn id="14589" xr3:uid="{B370AE9B-C5C6-49BA-A5E2-4CCD1035D5E0}" name="Columna14583" dataDxfId="1829"/>
    <tableColumn id="14590" xr3:uid="{68AA88E2-A770-47DF-B815-B14AA0C0AA19}" name="Columna14584" dataDxfId="1828"/>
    <tableColumn id="14591" xr3:uid="{DB33A606-F29A-43AF-A8D9-E85203053DC8}" name="Columna14585" dataDxfId="1827"/>
    <tableColumn id="14592" xr3:uid="{6EF74E4B-354F-48EB-B902-BD3497B23111}" name="Columna14586" dataDxfId="1826"/>
    <tableColumn id="14593" xr3:uid="{4A122F3B-378C-4AFA-8F74-8C81A83B57FD}" name="Columna14587" dataDxfId="1825"/>
    <tableColumn id="14594" xr3:uid="{3A685F2C-F523-40DA-877A-0FA878741887}" name="Columna14588" dataDxfId="1824"/>
    <tableColumn id="14595" xr3:uid="{C11008D3-2CB5-47C6-9A27-A6479C180B9C}" name="Columna14589" dataDxfId="1823"/>
    <tableColumn id="14596" xr3:uid="{B4A2D436-A60A-42F3-A046-F9D2EF373C1E}" name="Columna14590" dataDxfId="1822"/>
    <tableColumn id="14597" xr3:uid="{2CEF4F15-0700-4B67-90C6-36D753183435}" name="Columna14591" dataDxfId="1821"/>
    <tableColumn id="14598" xr3:uid="{3CF82483-9DDC-4A4F-9529-D5ED9AF88293}" name="Columna14592" dataDxfId="1820"/>
    <tableColumn id="14599" xr3:uid="{38E49990-CDB1-476E-9A26-F8C41C30EDB1}" name="Columna14593" dataDxfId="1819"/>
    <tableColumn id="14600" xr3:uid="{1D27D0AF-40D0-4F90-83A6-EBD9F83E6DFF}" name="Columna14594" dataDxfId="1818"/>
    <tableColumn id="14601" xr3:uid="{5D732D6D-6A41-48A8-8B17-30C9E217C84B}" name="Columna14595" dataDxfId="1817"/>
    <tableColumn id="14602" xr3:uid="{A3895713-43B6-47CD-853C-D84A36BBE879}" name="Columna14596" dataDxfId="1816"/>
    <tableColumn id="14603" xr3:uid="{4024C77C-FF9D-4337-8DC3-EE54021101D2}" name="Columna14597" dataDxfId="1815"/>
    <tableColumn id="14604" xr3:uid="{61E51DB1-8DF5-4545-916B-20A580E2FD96}" name="Columna14598" dataDxfId="1814"/>
    <tableColumn id="14605" xr3:uid="{560286E0-2E6A-4B59-A986-0D583EB0F96A}" name="Columna14599" dataDxfId="1813"/>
    <tableColumn id="14606" xr3:uid="{0358FFEA-FFB6-49DE-B42E-04EF665A05C0}" name="Columna14600" dataDxfId="1812"/>
    <tableColumn id="14607" xr3:uid="{C1AF8804-50E7-492A-98DC-AD33B8E84248}" name="Columna14601" dataDxfId="1811"/>
    <tableColumn id="14608" xr3:uid="{B79BF640-C53C-421D-A5B3-D270284DE33A}" name="Columna14602" dataDxfId="1810"/>
    <tableColumn id="14609" xr3:uid="{3276EBB0-691A-4BE9-9EB3-14069DFFA49D}" name="Columna14603" dataDxfId="1809"/>
    <tableColumn id="14610" xr3:uid="{31DD234B-B463-4861-B32D-A5A237E44C7C}" name="Columna14604" dataDxfId="1808"/>
    <tableColumn id="14611" xr3:uid="{4E5A0181-DCBA-41B3-9114-901610D4F48A}" name="Columna14605" dataDxfId="1807"/>
    <tableColumn id="14612" xr3:uid="{77E6227B-AC14-4C4A-9526-2ACECFD4FBA4}" name="Columna14606" dataDxfId="1806"/>
    <tableColumn id="14613" xr3:uid="{874031F5-B4AD-44DE-8C5C-63AB430DD622}" name="Columna14607" dataDxfId="1805"/>
    <tableColumn id="14614" xr3:uid="{484713D4-6143-48EE-AFAC-8A357F800B62}" name="Columna14608" dataDxfId="1804"/>
    <tableColumn id="14615" xr3:uid="{D0BBA779-C7C0-44D9-915D-3ED051F6EC5B}" name="Columna14609" dataDxfId="1803"/>
    <tableColumn id="14616" xr3:uid="{CA5E4C87-DCA4-4791-8627-BDD56DAD7813}" name="Columna14610" dataDxfId="1802"/>
    <tableColumn id="14617" xr3:uid="{EDADEB13-2C79-4DE7-929B-B94EABCC9B9B}" name="Columna14611" dataDxfId="1801"/>
    <tableColumn id="14618" xr3:uid="{BF7D8650-99C1-4AFA-9F6D-2E77308CE216}" name="Columna14612" dataDxfId="1800"/>
    <tableColumn id="14619" xr3:uid="{AEA5B308-5DE3-45C3-A34F-14406696ADD9}" name="Columna14613" dataDxfId="1799"/>
    <tableColumn id="14620" xr3:uid="{28AB8C90-14B7-4A5A-98C6-B0DC87C2205B}" name="Columna14614" dataDxfId="1798"/>
    <tableColumn id="14621" xr3:uid="{22806ADB-FDE5-4C11-ADF3-5A09F3244148}" name="Columna14615" dataDxfId="1797"/>
    <tableColumn id="14622" xr3:uid="{71447C5D-E69A-40AD-BC5B-1EE250CB19AD}" name="Columna14616" dataDxfId="1796"/>
    <tableColumn id="14623" xr3:uid="{51F933FB-64C4-4426-8D99-8ABC321F8875}" name="Columna14617" dataDxfId="1795"/>
    <tableColumn id="14624" xr3:uid="{DE5EC0C5-11E3-4BCA-853A-341D6B532E7B}" name="Columna14618" dataDxfId="1794"/>
    <tableColumn id="14625" xr3:uid="{37925615-AD2A-4BD9-8BB8-7D4BCFED92D7}" name="Columna14619" dataDxfId="1793"/>
    <tableColumn id="14626" xr3:uid="{C0D9F461-E59A-4F25-AF38-8B574DBA9C13}" name="Columna14620" dataDxfId="1792"/>
    <tableColumn id="14627" xr3:uid="{65B41ED6-8E05-4778-8505-95024F0D886A}" name="Columna14621" dataDxfId="1791"/>
    <tableColumn id="14628" xr3:uid="{F2911419-8277-4483-8B92-ABD93F7D31B9}" name="Columna14622" dataDxfId="1790"/>
    <tableColumn id="14629" xr3:uid="{9E140E0C-036C-4223-BF03-C32ECE0C8C8C}" name="Columna14623" dataDxfId="1789"/>
    <tableColumn id="14630" xr3:uid="{D729EF7F-48E6-4585-A83F-0A56F767EFA9}" name="Columna14624" dataDxfId="1788"/>
    <tableColumn id="14631" xr3:uid="{54DC6D21-A8D8-4600-9375-5749EC661A5A}" name="Columna14625" dataDxfId="1787"/>
    <tableColumn id="14632" xr3:uid="{6D50A1F7-7412-42B5-93A9-414180A3E5FC}" name="Columna14626" dataDxfId="1786"/>
    <tableColumn id="14633" xr3:uid="{3888A696-0CE1-4C5D-A70F-B6D68CF977D0}" name="Columna14627" dataDxfId="1785"/>
    <tableColumn id="14634" xr3:uid="{870E9C1F-B478-4612-832C-F29ECF38B50E}" name="Columna14628" dataDxfId="1784"/>
    <tableColumn id="14635" xr3:uid="{C2408124-673F-4E7E-84B5-FBFFD2B3D01E}" name="Columna14629" dataDxfId="1783"/>
    <tableColumn id="14636" xr3:uid="{5DB1CD10-209B-4E0E-9406-96B10AA8FA99}" name="Columna14630" dataDxfId="1782"/>
    <tableColumn id="14637" xr3:uid="{3C402530-FADC-400C-A150-EB8A8232057E}" name="Columna14631" dataDxfId="1781"/>
    <tableColumn id="14638" xr3:uid="{DCEAF0AA-57AF-4901-8015-096FE7FC72CB}" name="Columna14632" dataDxfId="1780"/>
    <tableColumn id="14639" xr3:uid="{8F583101-07D8-4F3B-9DF0-5F2D58A00E48}" name="Columna14633" dataDxfId="1779"/>
    <tableColumn id="14640" xr3:uid="{93762D78-965A-4D20-B927-44AAD7EC6DC0}" name="Columna14634" dataDxfId="1778"/>
    <tableColumn id="14641" xr3:uid="{F18E654E-5A9F-4147-AB73-48B4D6BFE145}" name="Columna14635" dataDxfId="1777"/>
    <tableColumn id="14642" xr3:uid="{F55DF2BA-6D51-4279-9F7A-8619397086F5}" name="Columna14636" dataDxfId="1776"/>
    <tableColumn id="14643" xr3:uid="{CAFE5491-5C92-4DEF-BE3E-A396C1788FAF}" name="Columna14637" dataDxfId="1775"/>
    <tableColumn id="14644" xr3:uid="{EBECDDB0-29AF-4A4D-A899-02666468F00F}" name="Columna14638" dataDxfId="1774"/>
    <tableColumn id="14645" xr3:uid="{0239FA26-D389-4BDD-8E18-8E3988526423}" name="Columna14639" dataDxfId="1773"/>
    <tableColumn id="14646" xr3:uid="{490E6111-CE72-45E1-90F9-73696991E1D2}" name="Columna14640" dataDxfId="1772"/>
    <tableColumn id="14647" xr3:uid="{74AB86E9-C6D8-410E-998D-1DAC57950FB2}" name="Columna14641" dataDxfId="1771"/>
    <tableColumn id="14648" xr3:uid="{08460FC8-FFF8-4191-8DD0-927B9CDFD311}" name="Columna14642" dataDxfId="1770"/>
    <tableColumn id="14649" xr3:uid="{95ED81E5-1D73-48A7-B2A6-8A416B606124}" name="Columna14643" dataDxfId="1769"/>
    <tableColumn id="14650" xr3:uid="{E0602BE5-A7E8-4997-967B-FEE38EDA137B}" name="Columna14644" dataDxfId="1768"/>
    <tableColumn id="14651" xr3:uid="{2A430FB7-BD36-4A30-9F44-99975F7B4875}" name="Columna14645" dataDxfId="1767"/>
    <tableColumn id="14652" xr3:uid="{0F8ABA34-112F-4AC5-8DA4-116C047E3DA1}" name="Columna14646" dataDxfId="1766"/>
    <tableColumn id="14653" xr3:uid="{911436F6-1B21-4BB9-8E80-7A4065AFABCD}" name="Columna14647" dataDxfId="1765"/>
    <tableColumn id="14654" xr3:uid="{370AC9B4-9FE9-4814-935F-0117AD5D50C5}" name="Columna14648" dataDxfId="1764"/>
    <tableColumn id="14655" xr3:uid="{6A870410-8140-47D2-B90B-F23DC16794AD}" name="Columna14649" dataDxfId="1763"/>
    <tableColumn id="14656" xr3:uid="{E5250B69-2CE4-4771-92D5-0208858AB86C}" name="Columna14650" dataDxfId="1762"/>
    <tableColumn id="14657" xr3:uid="{DE4ED9DD-EB41-4DCF-A6F4-1E33038513C6}" name="Columna14651" dataDxfId="1761"/>
    <tableColumn id="14658" xr3:uid="{65CD7DBF-94B6-4849-BF23-82A201FAC7A1}" name="Columna14652" dataDxfId="1760"/>
    <tableColumn id="14659" xr3:uid="{C5CB3574-7A3D-446F-8735-285053C2CC7E}" name="Columna14653" dataDxfId="1759"/>
    <tableColumn id="14660" xr3:uid="{AE600E39-D03B-43B9-AA03-E27071BBFDD5}" name="Columna14654" dataDxfId="1758"/>
    <tableColumn id="14661" xr3:uid="{24A32E63-959B-4AFB-819E-F03EE4E6D005}" name="Columna14655" dataDxfId="1757"/>
    <tableColumn id="14662" xr3:uid="{5D03504F-30D8-493C-91EB-D176604FF2E9}" name="Columna14656" dataDxfId="1756"/>
    <tableColumn id="14663" xr3:uid="{CC101F11-9F5F-4D33-BC92-F2D5A5044D3E}" name="Columna14657" dataDxfId="1755"/>
    <tableColumn id="14664" xr3:uid="{31810D0C-5F54-4716-B340-E043A87F98F5}" name="Columna14658" dataDxfId="1754"/>
    <tableColumn id="14665" xr3:uid="{F9BF5EC0-72B3-4CE2-AB06-0629120AEBAB}" name="Columna14659" dataDxfId="1753"/>
    <tableColumn id="14666" xr3:uid="{D07CE5E2-A0E8-4786-9D9D-04211E7C4834}" name="Columna14660" dataDxfId="1752"/>
    <tableColumn id="14667" xr3:uid="{C4F10267-661B-42EC-9E5A-56B6614DE6E0}" name="Columna14661" dataDxfId="1751"/>
    <tableColumn id="14668" xr3:uid="{CE50A218-668B-43AE-8266-4564366CBB34}" name="Columna14662" dataDxfId="1750"/>
    <tableColumn id="14669" xr3:uid="{5E7306C3-1989-4C0C-B22D-69DFFC03F613}" name="Columna14663" dataDxfId="1749"/>
    <tableColumn id="14670" xr3:uid="{BC87BEAA-DBD6-41CF-AD25-69A8F36825BF}" name="Columna14664" dataDxfId="1748"/>
    <tableColumn id="14671" xr3:uid="{E9777D13-EFC7-42F5-BCE0-8957B51E2C23}" name="Columna14665" dataDxfId="1747"/>
    <tableColumn id="14672" xr3:uid="{F4F20B0C-0FD1-42E1-B1AB-908F9A7F712A}" name="Columna14666" dataDxfId="1746"/>
    <tableColumn id="14673" xr3:uid="{D48FEE35-2151-4962-87C2-3F92726B5CC9}" name="Columna14667" dataDxfId="1745"/>
    <tableColumn id="14674" xr3:uid="{C81021A3-9A5E-43E7-A741-B81E9D86BEF9}" name="Columna14668" dataDxfId="1744"/>
    <tableColumn id="14675" xr3:uid="{5741416E-E929-4443-9FC9-CE8053676EC8}" name="Columna14669" dataDxfId="1743"/>
    <tableColumn id="14676" xr3:uid="{37ACAB4F-F155-428A-9A08-FC52473744ED}" name="Columna14670" dataDxfId="1742"/>
    <tableColumn id="14677" xr3:uid="{5C909B8C-9DD2-422E-9FE4-A6FCB3EA1914}" name="Columna14671" dataDxfId="1741"/>
    <tableColumn id="14678" xr3:uid="{B61673D9-3DA6-4A2C-B650-D4C89BAFA227}" name="Columna14672" dataDxfId="1740"/>
    <tableColumn id="14679" xr3:uid="{1B87A5C9-307E-444B-9545-A31CA314CF38}" name="Columna14673" dataDxfId="1739"/>
    <tableColumn id="14680" xr3:uid="{B7ACA7E7-572B-47F2-9034-55A86B98F103}" name="Columna14674" dataDxfId="1738"/>
    <tableColumn id="14681" xr3:uid="{80A1C36A-AFED-4C87-BC32-43ACC60CA5D2}" name="Columna14675" dataDxfId="1737"/>
    <tableColumn id="14682" xr3:uid="{CB85094B-7C86-4E2B-B136-8759087EE308}" name="Columna14676" dataDxfId="1736"/>
    <tableColumn id="14683" xr3:uid="{A756C608-1BDB-4A9F-9E00-BF949097566A}" name="Columna14677" dataDxfId="1735"/>
    <tableColumn id="14684" xr3:uid="{81383276-8815-4848-943D-949A03FC4FB3}" name="Columna14678" dataDxfId="1734"/>
    <tableColumn id="14685" xr3:uid="{05CB0E1D-34FF-4EA9-AA8C-71988CE00397}" name="Columna14679" dataDxfId="1733"/>
    <tableColumn id="14686" xr3:uid="{161AA7B3-8073-4F3D-818E-64498CE3FFA7}" name="Columna14680" dataDxfId="1732"/>
    <tableColumn id="14687" xr3:uid="{97D9B7CE-D89D-4757-A7A0-627A1CDFC3D3}" name="Columna14681" dataDxfId="1731"/>
    <tableColumn id="14688" xr3:uid="{004E5AF7-1FF5-44DD-8A9E-53A891BB7A03}" name="Columna14682" dataDxfId="1730"/>
    <tableColumn id="14689" xr3:uid="{D493F65F-6F11-4D57-A717-9241A2FC6C22}" name="Columna14683" dataDxfId="1729"/>
    <tableColumn id="14690" xr3:uid="{C55A5837-151A-42E3-A9FE-162B71936D8D}" name="Columna14684" dataDxfId="1728"/>
    <tableColumn id="14691" xr3:uid="{8DD31CDF-8E08-4C2E-AEE6-CA4CEB1E18C8}" name="Columna14685" dataDxfId="1727"/>
    <tableColumn id="14692" xr3:uid="{88F26936-AD79-42CF-B748-52FB28DAC3E5}" name="Columna14686" dataDxfId="1726"/>
    <tableColumn id="14693" xr3:uid="{948DB347-DAE5-451F-96D8-C6FE4AD5919E}" name="Columna14687" dataDxfId="1725"/>
    <tableColumn id="14694" xr3:uid="{ACA1966F-CEFE-45B4-988F-77C52DEB8F26}" name="Columna14688" dataDxfId="1724"/>
    <tableColumn id="14695" xr3:uid="{26947E99-4B6F-4DBD-801D-85E0B51E2FC5}" name="Columna14689" dataDxfId="1723"/>
    <tableColumn id="14696" xr3:uid="{4FA8DE33-55A0-4C13-AC57-F423A1C37B5C}" name="Columna14690" dataDxfId="1722"/>
    <tableColumn id="14697" xr3:uid="{8FD8E0FF-A2E6-4124-8D2F-20216093743E}" name="Columna14691" dataDxfId="1721"/>
    <tableColumn id="14698" xr3:uid="{3561FBA4-6B42-493D-A9E6-AEFF44AA3754}" name="Columna14692" dataDxfId="1720"/>
    <tableColumn id="14699" xr3:uid="{F95C362C-A46B-4D7C-826A-69D62C8667AD}" name="Columna14693" dataDxfId="1719"/>
    <tableColumn id="14700" xr3:uid="{59939E7A-4E2D-4FEA-AFBD-F79AFAC9B89F}" name="Columna14694" dataDxfId="1718"/>
    <tableColumn id="14701" xr3:uid="{AE4E26C4-D659-4085-B5B4-C945EC81383D}" name="Columna14695" dataDxfId="1717"/>
    <tableColumn id="14702" xr3:uid="{004D26C3-CBDA-4786-A333-A3FC43D436EF}" name="Columna14696" dataDxfId="1716"/>
    <tableColumn id="14703" xr3:uid="{FB23A905-4122-482F-9877-3C1B4DBC4B13}" name="Columna14697" dataDxfId="1715"/>
    <tableColumn id="14704" xr3:uid="{6C2179E6-8240-4E67-AFAE-7465E3B962A5}" name="Columna14698" dataDxfId="1714"/>
    <tableColumn id="14705" xr3:uid="{08DA6C62-02CB-4D37-A63E-6464AC38A87A}" name="Columna14699" dataDxfId="1713"/>
    <tableColumn id="14706" xr3:uid="{BB175C52-669D-43EE-8CFD-26118F63F852}" name="Columna14700" dataDxfId="1712"/>
    <tableColumn id="14707" xr3:uid="{20692069-6153-4E40-9E5A-2A799DFDB3DB}" name="Columna14701" dataDxfId="1711"/>
    <tableColumn id="14708" xr3:uid="{3942649C-9015-43B0-95A8-CBA3E6762E92}" name="Columna14702" dataDxfId="1710"/>
    <tableColumn id="14709" xr3:uid="{42EA03F9-7030-4AA3-BC03-EBA3402F3CE2}" name="Columna14703" dataDxfId="1709"/>
    <tableColumn id="14710" xr3:uid="{1BB3C7A2-1503-4A7A-93E4-01FB13063DBE}" name="Columna14704" dataDxfId="1708"/>
    <tableColumn id="14711" xr3:uid="{6E0ED307-B1B4-4B51-83F9-7227321E6D2C}" name="Columna14705" dataDxfId="1707"/>
    <tableColumn id="14712" xr3:uid="{A8BA560B-E2D5-4991-B76B-9D483846C51D}" name="Columna14706" dataDxfId="1706"/>
    <tableColumn id="14713" xr3:uid="{6D7FD4EF-29E7-4CB2-8AF8-52832E63BECD}" name="Columna14707" dataDxfId="1705"/>
    <tableColumn id="14714" xr3:uid="{58C100DE-4801-4E70-8A5F-11EA350BFDDD}" name="Columna14708" dataDxfId="1704"/>
    <tableColumn id="14715" xr3:uid="{EB948468-369E-4DAB-A378-DE616D3163A9}" name="Columna14709" dataDxfId="1703"/>
    <tableColumn id="14716" xr3:uid="{41ABAD8D-2372-4651-A1A8-D5753F294734}" name="Columna14710" dataDxfId="1702"/>
    <tableColumn id="14717" xr3:uid="{E49410BE-704F-4AE8-99A1-9751145C1459}" name="Columna14711" dataDxfId="1701"/>
    <tableColumn id="14718" xr3:uid="{298C101F-AF39-4F8C-A1A1-065DCE2886BB}" name="Columna14712" dataDxfId="1700"/>
    <tableColumn id="14719" xr3:uid="{06A43D3A-CEBA-4131-8FB0-F5FAF6CAD9A6}" name="Columna14713" dataDxfId="1699"/>
    <tableColumn id="14720" xr3:uid="{566BB896-B718-408F-8E2E-F72560F6D93D}" name="Columna14714" dataDxfId="1698"/>
    <tableColumn id="14721" xr3:uid="{A2BCAE52-C4AA-4361-A022-700D7C307648}" name="Columna14715" dataDxfId="1697"/>
    <tableColumn id="14722" xr3:uid="{FE055245-DECF-4615-B80A-81BD7AD6169E}" name="Columna14716" dataDxfId="1696"/>
    <tableColumn id="14723" xr3:uid="{474884C6-E9FD-470B-BE8A-36979085F4F5}" name="Columna14717" dataDxfId="1695"/>
    <tableColumn id="14724" xr3:uid="{58047F25-5637-49F3-BD75-537793DCAE6B}" name="Columna14718" dataDxfId="1694"/>
    <tableColumn id="14725" xr3:uid="{FBA051B2-D122-4274-A652-AD2835773A47}" name="Columna14719" dataDxfId="1693"/>
    <tableColumn id="14726" xr3:uid="{BC61F14B-CC89-49B0-8AE9-D74DECF4070B}" name="Columna14720" dataDxfId="1692"/>
    <tableColumn id="14727" xr3:uid="{BBAB6196-CBD9-41DB-A382-AD71541BEEA6}" name="Columna14721" dataDxfId="1691"/>
    <tableColumn id="14728" xr3:uid="{DB1D25B9-3C0E-49D3-817F-2A66CDFA382D}" name="Columna14722" dataDxfId="1690"/>
    <tableColumn id="14729" xr3:uid="{2C613FD4-9E0B-422C-B31A-8F170C32332E}" name="Columna14723" dataDxfId="1689"/>
    <tableColumn id="14730" xr3:uid="{867156EE-50D6-4CFE-B40D-79BCAC6EB5E0}" name="Columna14724" dataDxfId="1688"/>
    <tableColumn id="14731" xr3:uid="{AA06D86D-0ABE-431F-ACEE-A95F4D0B7A56}" name="Columna14725" dataDxfId="1687"/>
    <tableColumn id="14732" xr3:uid="{78C5C106-191F-4B8C-9622-B08CD469B584}" name="Columna14726" dataDxfId="1686"/>
    <tableColumn id="14733" xr3:uid="{4DEAB401-0E01-43C9-BB0A-240CC0D3F6DF}" name="Columna14727" dataDxfId="1685"/>
    <tableColumn id="14734" xr3:uid="{037C9C78-F0F7-471D-8751-D060ABB17DD0}" name="Columna14728" dataDxfId="1684"/>
    <tableColumn id="14735" xr3:uid="{2E5301AD-8386-43F9-A4B3-B70E909D2A18}" name="Columna14729" dataDxfId="1683"/>
    <tableColumn id="14736" xr3:uid="{DB2FDD58-B774-4FFB-A2FB-40E02F920DF5}" name="Columna14730" dataDxfId="1682"/>
    <tableColumn id="14737" xr3:uid="{CA05C413-87DB-451A-A5AF-65E64508ED1D}" name="Columna14731" dataDxfId="1681"/>
    <tableColumn id="14738" xr3:uid="{316CDE16-9240-41C7-96B1-E751B6CC8329}" name="Columna14732" dataDxfId="1680"/>
    <tableColumn id="14739" xr3:uid="{DE1DE90E-FAC2-460A-9983-3B5E30E1C783}" name="Columna14733" dataDxfId="1679"/>
    <tableColumn id="14740" xr3:uid="{30351A40-28B2-4793-8C6B-407A9CA2BB0F}" name="Columna14734" dataDxfId="1678"/>
    <tableColumn id="14741" xr3:uid="{0960D722-A6CF-4234-A622-9E9779F290CC}" name="Columna14735" dataDxfId="1677"/>
    <tableColumn id="14742" xr3:uid="{B8F54971-00ED-44D5-9667-770431CC2C46}" name="Columna14736" dataDxfId="1676"/>
    <tableColumn id="14743" xr3:uid="{E6A1606E-255B-463E-A7C6-F4DC93EA8EBD}" name="Columna14737" dataDxfId="1675"/>
    <tableColumn id="14744" xr3:uid="{2A6816AA-2E01-4BC4-B806-77AE6B409871}" name="Columna14738" dataDxfId="1674"/>
    <tableColumn id="14745" xr3:uid="{7BBA03AC-F22C-4E3C-8FF6-87DD74890670}" name="Columna14739" dataDxfId="1673"/>
    <tableColumn id="14746" xr3:uid="{29E15B1E-1CA2-4DD6-BC06-A16C323AA8B2}" name="Columna14740" dataDxfId="1672"/>
    <tableColumn id="14747" xr3:uid="{3D50BCA5-2CD2-4849-BDF2-998EB2C86EF0}" name="Columna14741" dataDxfId="1671"/>
    <tableColumn id="14748" xr3:uid="{DCE7DA70-7B42-4F45-B550-91585526AEEA}" name="Columna14742" dataDxfId="1670"/>
    <tableColumn id="14749" xr3:uid="{DFBDC22C-778A-4101-ACCF-862CA2BAF689}" name="Columna14743" dataDxfId="1669"/>
    <tableColumn id="14750" xr3:uid="{5623C11D-B1CC-40A8-97B7-21020B162728}" name="Columna14744" dataDxfId="1668"/>
    <tableColumn id="14751" xr3:uid="{9D7DDB03-0233-4072-86C5-17B2CD175E61}" name="Columna14745" dataDxfId="1667"/>
    <tableColumn id="14752" xr3:uid="{C62879A2-7229-49C3-94A8-C6F6390C84B6}" name="Columna14746" dataDxfId="1666"/>
    <tableColumn id="14753" xr3:uid="{A150CF1B-905F-454D-B782-03920EB279C9}" name="Columna14747" dataDxfId="1665"/>
    <tableColumn id="14754" xr3:uid="{3D338690-AD2A-4D33-9DC4-E6725239281F}" name="Columna14748" dataDxfId="1664"/>
    <tableColumn id="14755" xr3:uid="{9DB48003-C5A6-4FE1-8FCA-A8327A9EC7FF}" name="Columna14749" dataDxfId="1663"/>
    <tableColumn id="14756" xr3:uid="{60173AD3-E11E-4379-9CE3-DAFB7DA007DB}" name="Columna14750" dataDxfId="1662"/>
    <tableColumn id="14757" xr3:uid="{68E553A3-2047-47D9-9CF3-291266D7D7A0}" name="Columna14751" dataDxfId="1661"/>
    <tableColumn id="14758" xr3:uid="{AC0F8DB6-0A31-4619-83CC-47DEDA616B36}" name="Columna14752" dataDxfId="1660"/>
    <tableColumn id="14759" xr3:uid="{FA885309-B90B-44B4-8905-7787676E3D6F}" name="Columna14753" dataDxfId="1659"/>
    <tableColumn id="14760" xr3:uid="{086C9E75-BBD0-4D70-B8F3-DEC843E2A7B3}" name="Columna14754" dataDxfId="1658"/>
    <tableColumn id="14761" xr3:uid="{5F66D837-6A5E-4AC0-BE58-0E529B80F79C}" name="Columna14755" dataDxfId="1657"/>
    <tableColumn id="14762" xr3:uid="{E2D68739-F87D-4009-A639-CAB8436D0BD9}" name="Columna14756" dataDxfId="1656"/>
    <tableColumn id="14763" xr3:uid="{117E26E6-D5E7-4471-B047-95C0FBC876E5}" name="Columna14757" dataDxfId="1655"/>
    <tableColumn id="14764" xr3:uid="{F42929B8-0EFF-4211-9732-19DB458A417F}" name="Columna14758" dataDxfId="1654"/>
    <tableColumn id="14765" xr3:uid="{B92B27AF-D7EB-43BE-9238-098F9EAC70AE}" name="Columna14759" dataDxfId="1653"/>
    <tableColumn id="14766" xr3:uid="{45B66191-B300-4809-B18E-90AD6147B70F}" name="Columna14760" dataDxfId="1652"/>
    <tableColumn id="14767" xr3:uid="{17AC359D-6D15-4683-B035-4341E43DC950}" name="Columna14761" dataDxfId="1651"/>
    <tableColumn id="14768" xr3:uid="{C53FC19B-9BB2-490C-846B-793B4FFE745D}" name="Columna14762" dataDxfId="1650"/>
    <tableColumn id="14769" xr3:uid="{71A53498-8D56-4F6F-BC00-3F933EB75809}" name="Columna14763" dataDxfId="1649"/>
    <tableColumn id="14770" xr3:uid="{6CDE7744-CB98-4D5F-8948-769FA41A9530}" name="Columna14764" dataDxfId="1648"/>
    <tableColumn id="14771" xr3:uid="{86403A43-8B78-4596-B1D1-DE15C4236B11}" name="Columna14765" dataDxfId="1647"/>
    <tableColumn id="14772" xr3:uid="{0DE86EB7-597F-4FAB-BE82-C6EFDFFFE5C9}" name="Columna14766" dataDxfId="1646"/>
    <tableColumn id="14773" xr3:uid="{D2A10903-AFEE-4524-B3A9-757B84979B1C}" name="Columna14767" dataDxfId="1645"/>
    <tableColumn id="14774" xr3:uid="{A6CCAAC7-ACB9-4631-8FCB-6C6AAD5F7DAC}" name="Columna14768" dataDxfId="1644"/>
    <tableColumn id="14775" xr3:uid="{CFA3817C-3116-46BA-9615-1F198AC5C269}" name="Columna14769" dataDxfId="1643"/>
    <tableColumn id="14776" xr3:uid="{652A85DD-A501-4DD6-8E32-C8C41C013BC7}" name="Columna14770" dataDxfId="1642"/>
    <tableColumn id="14777" xr3:uid="{07089B13-D883-47A2-8A4F-FC283230E268}" name="Columna14771" dataDxfId="1641"/>
    <tableColumn id="14778" xr3:uid="{51BCC858-E647-46CC-94E1-8D55D8DA742B}" name="Columna14772" dataDxfId="1640"/>
    <tableColumn id="14779" xr3:uid="{09BDD3BD-937E-4641-94A5-DD5A1C0923BB}" name="Columna14773" dataDxfId="1639"/>
    <tableColumn id="14780" xr3:uid="{7E81CA30-1289-41B9-8F4D-9D2B18296CA3}" name="Columna14774" dataDxfId="1638"/>
    <tableColumn id="14781" xr3:uid="{8F614E44-F820-45F7-9686-BDF3906F87BC}" name="Columna14775" dataDxfId="1637"/>
    <tableColumn id="14782" xr3:uid="{A440EE37-0DDF-4AC4-9A27-5E04A91B211C}" name="Columna14776" dataDxfId="1636"/>
    <tableColumn id="14783" xr3:uid="{CFB2593E-4FED-489B-B664-D3F208DAF2E7}" name="Columna14777" dataDxfId="1635"/>
    <tableColumn id="14784" xr3:uid="{32066CCA-F57E-426C-86C1-F372D4DC0163}" name="Columna14778" dataDxfId="1634"/>
    <tableColumn id="14785" xr3:uid="{5D10349A-92F8-4D5F-A2BB-10E9DC738C75}" name="Columna14779" dataDxfId="1633"/>
    <tableColumn id="14786" xr3:uid="{DB497F05-CBA1-41C5-857F-2929216C7843}" name="Columna14780" dataDxfId="1632"/>
    <tableColumn id="14787" xr3:uid="{1644AEBD-8593-439C-B88B-36699F8596AB}" name="Columna14781" dataDxfId="1631"/>
    <tableColumn id="14788" xr3:uid="{B72B4663-59AC-4DED-982D-6ACFAB12C38D}" name="Columna14782" dataDxfId="1630"/>
    <tableColumn id="14789" xr3:uid="{D9C67FA3-C2E7-409B-AABE-484A36612870}" name="Columna14783" dataDxfId="1629"/>
    <tableColumn id="14790" xr3:uid="{D0504A45-9D2E-4697-9DF0-E2F738F8E006}" name="Columna14784" dataDxfId="1628"/>
    <tableColumn id="14791" xr3:uid="{3EEED744-2679-4BCE-BDAB-6823D3B131BD}" name="Columna14785" dataDxfId="1627"/>
    <tableColumn id="14792" xr3:uid="{CDEFD74E-A13C-460F-A3CD-33AA326FDAEE}" name="Columna14786" dataDxfId="1626"/>
    <tableColumn id="14793" xr3:uid="{811592F8-B988-4573-9BE8-46BFB0046711}" name="Columna14787" dataDxfId="1625"/>
    <tableColumn id="14794" xr3:uid="{D5130A39-5125-4F4B-B68D-3614D7BEE8E7}" name="Columna14788" dataDxfId="1624"/>
    <tableColumn id="14795" xr3:uid="{6359E544-78E9-4670-BE1C-35080B6CD56A}" name="Columna14789" dataDxfId="1623"/>
    <tableColumn id="14796" xr3:uid="{33A6D4B2-BD2B-4304-80B3-2F450551FB04}" name="Columna14790" dataDxfId="1622"/>
    <tableColumn id="14797" xr3:uid="{8D0765C6-9205-4454-94A8-1169187865B2}" name="Columna14791" dataDxfId="1621"/>
    <tableColumn id="14798" xr3:uid="{341C8873-00A3-4E40-A5C2-5E4E632A082F}" name="Columna14792" dataDxfId="1620"/>
    <tableColumn id="14799" xr3:uid="{6CCBEC31-7313-4FCE-9D8B-42E6F438A045}" name="Columna14793" dataDxfId="1619"/>
    <tableColumn id="14800" xr3:uid="{7E016793-A424-4EB9-89BB-D8CABCCCCD4D}" name="Columna14794" dataDxfId="1618"/>
    <tableColumn id="14801" xr3:uid="{78615402-C30E-4E5D-9AB5-2E9DBD31BDB4}" name="Columna14795" dataDxfId="1617"/>
    <tableColumn id="14802" xr3:uid="{1DCE9702-6AD1-48B1-8C61-3B852A83E499}" name="Columna14796" dataDxfId="1616"/>
    <tableColumn id="14803" xr3:uid="{237EFCD7-8FC5-4CDB-8D24-3B0D35F8D03F}" name="Columna14797" dataDxfId="1615"/>
    <tableColumn id="14804" xr3:uid="{91B4BFE4-A61B-4269-8C65-CDCEB270D9A0}" name="Columna14798" dataDxfId="1614"/>
    <tableColumn id="14805" xr3:uid="{29694601-3030-4875-87FA-99D6BA93D37B}" name="Columna14799" dataDxfId="1613"/>
    <tableColumn id="14806" xr3:uid="{68517D17-5B26-44D5-86C8-CE5917233B11}" name="Columna14800" dataDxfId="1612"/>
    <tableColumn id="14807" xr3:uid="{91760B56-AC58-445A-8EDF-B40AFF194A66}" name="Columna14801" dataDxfId="1611"/>
    <tableColumn id="14808" xr3:uid="{FD7ED160-A4F0-42BA-AE37-2F7DC8B2CA7B}" name="Columna14802" dataDxfId="1610"/>
    <tableColumn id="14809" xr3:uid="{BE3AB1D1-E1FD-465B-A19B-D9A15163BE8C}" name="Columna14803" dataDxfId="1609"/>
    <tableColumn id="14810" xr3:uid="{00E60CAF-9D12-4FE2-BB65-3F7955D64E1C}" name="Columna14804" dataDxfId="1608"/>
    <tableColumn id="14811" xr3:uid="{72162E00-650E-49E5-82E2-4359C421178E}" name="Columna14805" dataDxfId="1607"/>
    <tableColumn id="14812" xr3:uid="{2D679368-5EB0-4BF6-A305-991B822A2E46}" name="Columna14806" dataDxfId="1606"/>
    <tableColumn id="14813" xr3:uid="{68172B6B-A722-4522-B7F5-A5C3E870E131}" name="Columna14807" dataDxfId="1605"/>
    <tableColumn id="14814" xr3:uid="{4BFD0A6E-BC66-409D-91A5-090A8453D499}" name="Columna14808" dataDxfId="1604"/>
    <tableColumn id="14815" xr3:uid="{7F9A7545-8979-44E8-9971-459F99D7B09E}" name="Columna14809" dataDxfId="1603"/>
    <tableColumn id="14816" xr3:uid="{BD8EEA5C-C8C2-402E-8C38-66325BA6AC7B}" name="Columna14810" dataDxfId="1602"/>
    <tableColumn id="14817" xr3:uid="{C986A4C6-C209-4B62-AFCC-B0CF32AF406A}" name="Columna14811" dataDxfId="1601"/>
    <tableColumn id="14818" xr3:uid="{F29098AD-6C5D-4ECB-8A13-195F20D32F2D}" name="Columna14812" dataDxfId="1600"/>
    <tableColumn id="14819" xr3:uid="{1339A838-3BDF-44BB-84A8-5834C7A48514}" name="Columna14813" dataDxfId="1599"/>
    <tableColumn id="14820" xr3:uid="{42647AFB-EABD-4DAF-AC63-464122275A73}" name="Columna14814" dataDxfId="1598"/>
    <tableColumn id="14821" xr3:uid="{03C61952-F662-4F48-9325-694B6E582BE8}" name="Columna14815" dataDxfId="1597"/>
    <tableColumn id="14822" xr3:uid="{CE7A33D1-7AB9-4D4F-8BDA-175EB54DA443}" name="Columna14816" dataDxfId="1596"/>
    <tableColumn id="14823" xr3:uid="{0E597474-15E8-4CD9-A0B8-FAE6B3395A7F}" name="Columna14817" dataDxfId="1595"/>
    <tableColumn id="14824" xr3:uid="{FD80E855-47BA-4F19-ADEE-F429660F10CB}" name="Columna14818" dataDxfId="1594"/>
    <tableColumn id="14825" xr3:uid="{97FFDEFA-9194-4BF2-A890-FB57472A2BA9}" name="Columna14819" dataDxfId="1593"/>
    <tableColumn id="14826" xr3:uid="{02CF1544-9C79-453C-97D5-358D7E2B293E}" name="Columna14820" dataDxfId="1592"/>
    <tableColumn id="14827" xr3:uid="{77370AD5-43EF-4C02-8C63-4E9DA65F33B8}" name="Columna14821" dataDxfId="1591"/>
    <tableColumn id="14828" xr3:uid="{A54669C8-AE0D-4432-8679-284C9256F9D3}" name="Columna14822" dataDxfId="1590"/>
    <tableColumn id="14829" xr3:uid="{DF586510-9FDD-4F5C-9BF5-1398EABA9204}" name="Columna14823" dataDxfId="1589"/>
    <tableColumn id="14830" xr3:uid="{1F4AFDB8-E0AC-484B-ACB6-28EF639BA837}" name="Columna14824" dataDxfId="1588"/>
    <tableColumn id="14831" xr3:uid="{0CA0F33E-E6EB-4A61-9C58-CA83100084A1}" name="Columna14825" dataDxfId="1587"/>
    <tableColumn id="14832" xr3:uid="{68477294-1676-467F-9A52-C6C78EF91FA7}" name="Columna14826" dataDxfId="1586"/>
    <tableColumn id="14833" xr3:uid="{422F9D86-2A2E-4880-BA50-A11A0874D5A3}" name="Columna14827" dataDxfId="1585"/>
    <tableColumn id="14834" xr3:uid="{9874466F-9489-4801-AB78-5F3291D46BFA}" name="Columna14828" dataDxfId="1584"/>
    <tableColumn id="14835" xr3:uid="{A4EE1FFF-D2CC-4CD5-9B8B-FC66508C35FC}" name="Columna14829" dataDxfId="1583"/>
    <tableColumn id="14836" xr3:uid="{98A1118E-3B3E-4F61-9020-F0D63B331678}" name="Columna14830" dataDxfId="1582"/>
    <tableColumn id="14837" xr3:uid="{9E89DD97-2642-4537-A9A6-AC09031C3ED7}" name="Columna14831" dataDxfId="1581"/>
    <tableColumn id="14838" xr3:uid="{E17EB8C2-41CD-4EC2-B8A8-E2B8659DEFBA}" name="Columna14832" dataDxfId="1580"/>
    <tableColumn id="14839" xr3:uid="{9AFA3BD2-2D83-437D-8CEA-A62CE66A6630}" name="Columna14833" dataDxfId="1579"/>
    <tableColumn id="14840" xr3:uid="{0C62FF52-7A0F-4C12-A3F2-836D85D991B7}" name="Columna14834" dataDxfId="1578"/>
    <tableColumn id="14841" xr3:uid="{C177D6BF-2045-4A6F-8943-DE2C1CD2EEF5}" name="Columna14835" dataDxfId="1577"/>
    <tableColumn id="14842" xr3:uid="{3F6CE12E-158D-4C60-8996-DA30C2EB049C}" name="Columna14836" dataDxfId="1576"/>
    <tableColumn id="14843" xr3:uid="{48C59A31-A8D1-415B-923B-EA6E552DD2F2}" name="Columna14837" dataDxfId="1575"/>
    <tableColumn id="14844" xr3:uid="{F6B436ED-E1FD-428A-8458-C0E9BF7C352B}" name="Columna14838" dataDxfId="1574"/>
    <tableColumn id="14845" xr3:uid="{3F593A5C-1CC7-468B-8E7A-083D43013801}" name="Columna14839" dataDxfId="1573"/>
    <tableColumn id="14846" xr3:uid="{00CE68C3-EB3E-4328-B7F0-DBE7616D61C5}" name="Columna14840" dataDxfId="1572"/>
    <tableColumn id="14847" xr3:uid="{C1AA3F9C-0115-4F32-9C2D-07A7E9598805}" name="Columna14841" dataDxfId="1571"/>
    <tableColumn id="14848" xr3:uid="{BFAFBF1D-CA3F-4014-B6CF-E731FB8A1DF6}" name="Columna14842" dataDxfId="1570"/>
    <tableColumn id="14849" xr3:uid="{24E9376E-3500-4B98-877F-12F2BA846E4B}" name="Columna14843" dataDxfId="1569"/>
    <tableColumn id="14850" xr3:uid="{36D84203-C3E5-4673-99F9-68AE2D2C3D29}" name="Columna14844" dataDxfId="1568"/>
    <tableColumn id="14851" xr3:uid="{0258D848-4578-4F04-AA70-A158C90BC927}" name="Columna14845" dataDxfId="1567"/>
    <tableColumn id="14852" xr3:uid="{2E79E10A-86C3-4C6C-84EF-7365D8AA7535}" name="Columna14846" dataDxfId="1566"/>
    <tableColumn id="14853" xr3:uid="{BDE2B2E4-2C90-4197-AF23-896EBFB6C966}" name="Columna14847" dataDxfId="1565"/>
    <tableColumn id="14854" xr3:uid="{A8CC9ADC-E14E-49E7-8A80-03845C77680E}" name="Columna14848" dataDxfId="1564"/>
    <tableColumn id="14855" xr3:uid="{7F66B6C6-4BCF-4A97-873A-123862636FB8}" name="Columna14849" dataDxfId="1563"/>
    <tableColumn id="14856" xr3:uid="{A05E5955-8DDD-4329-A5F9-A93E3F40F1D4}" name="Columna14850" dataDxfId="1562"/>
    <tableColumn id="14857" xr3:uid="{B97A197F-A34F-482C-9A7F-E5A08BA63957}" name="Columna14851" dataDxfId="1561"/>
    <tableColumn id="14858" xr3:uid="{EE1CD381-CABA-4173-85F3-98DC7713ACD2}" name="Columna14852" dataDxfId="1560"/>
    <tableColumn id="14859" xr3:uid="{8B370AE3-B43C-4207-ADE2-BA2E8A36D423}" name="Columna14853" dataDxfId="1559"/>
    <tableColumn id="14860" xr3:uid="{60196C02-128A-4368-BDB5-8433538D7C72}" name="Columna14854" dataDxfId="1558"/>
    <tableColumn id="14861" xr3:uid="{32D6332D-711A-402D-8D6E-3C7FF9C1AB62}" name="Columna14855" dataDxfId="1557"/>
    <tableColumn id="14862" xr3:uid="{330DD6F1-B3C7-4B97-BC84-905FAE2619B9}" name="Columna14856" dataDxfId="1556"/>
    <tableColumn id="14863" xr3:uid="{6929599F-5D14-4FDC-B90A-BD17CCA3E032}" name="Columna14857" dataDxfId="1555"/>
    <tableColumn id="14864" xr3:uid="{E9548CF6-2189-4E61-BE77-378C0803A0C6}" name="Columna14858" dataDxfId="1554"/>
    <tableColumn id="14865" xr3:uid="{A3F1E0FB-948E-4112-B7B0-5F23A5395D9B}" name="Columna14859" dataDxfId="1553"/>
    <tableColumn id="14866" xr3:uid="{C18A91F7-F567-4E03-B9ED-7056DBBDF3EA}" name="Columna14860" dataDxfId="1552"/>
    <tableColumn id="14867" xr3:uid="{40B806A5-EB13-40C5-90EC-3B4887B55633}" name="Columna14861" dataDxfId="1551"/>
    <tableColumn id="14868" xr3:uid="{B9F64176-76C4-44F7-9462-886A06BA04E8}" name="Columna14862" dataDxfId="1550"/>
    <tableColumn id="14869" xr3:uid="{62540F2F-C26D-4DAA-AF5E-71B302AC54BF}" name="Columna14863" dataDxfId="1549"/>
    <tableColumn id="14870" xr3:uid="{5A5E8E61-A8EB-473B-B892-E31C9CFCEFFF}" name="Columna14864" dataDxfId="1548"/>
    <tableColumn id="14871" xr3:uid="{7D52BC97-202B-4598-9874-4EC4AE0187BD}" name="Columna14865" dataDxfId="1547"/>
    <tableColumn id="14872" xr3:uid="{27C3CA58-690C-401A-BE5C-5E6E884FFBA1}" name="Columna14866" dataDxfId="1546"/>
    <tableColumn id="14873" xr3:uid="{70D08E78-DD18-4102-97FF-5AC20D83B482}" name="Columna14867" dataDxfId="1545"/>
    <tableColumn id="14874" xr3:uid="{A30A8AD1-1359-4FC0-8020-275BD9BE4A42}" name="Columna14868" dataDxfId="1544"/>
    <tableColumn id="14875" xr3:uid="{38F44BBC-F91D-41F9-A0E8-B2C028266248}" name="Columna14869" dataDxfId="1543"/>
    <tableColumn id="14876" xr3:uid="{E12AD5A2-F9E1-4B7C-80A8-819AAFFE6E8C}" name="Columna14870" dataDxfId="1542"/>
    <tableColumn id="14877" xr3:uid="{DFEA9E09-DFBB-444D-871F-75E21E5232B8}" name="Columna14871" dataDxfId="1541"/>
    <tableColumn id="14878" xr3:uid="{E922BD8B-C4D1-42D6-B060-FC822BAADE6B}" name="Columna14872" dataDxfId="1540"/>
    <tableColumn id="14879" xr3:uid="{101B94F7-7407-4F01-8814-13DCA23E7920}" name="Columna14873" dataDxfId="1539"/>
    <tableColumn id="14880" xr3:uid="{5A999B45-D751-44B9-AFA7-A238E98A035A}" name="Columna14874" dataDxfId="1538"/>
    <tableColumn id="14881" xr3:uid="{1076D3F9-FF88-4C0B-94BD-24595EE0F92B}" name="Columna14875" dataDxfId="1537"/>
    <tableColumn id="14882" xr3:uid="{89CD0105-E56D-4F6F-AF78-F72CF190473D}" name="Columna14876" dataDxfId="1536"/>
    <tableColumn id="14883" xr3:uid="{4479C15F-8B9C-4AD1-A799-4130153B3D9E}" name="Columna14877" dataDxfId="1535"/>
    <tableColumn id="14884" xr3:uid="{EEE53289-0CF8-4864-B780-3D91A34C8EC5}" name="Columna14878" dataDxfId="1534"/>
    <tableColumn id="14885" xr3:uid="{98854131-A5C3-486B-86DE-48D568E034AD}" name="Columna14879" dataDxfId="1533"/>
    <tableColumn id="14886" xr3:uid="{D68A6A1A-468B-4A87-9D39-117AC7BA846A}" name="Columna14880" dataDxfId="1532"/>
    <tableColumn id="14887" xr3:uid="{24E81370-FB29-48F0-98F4-FC0D85A53F16}" name="Columna14881" dataDxfId="1531"/>
    <tableColumn id="14888" xr3:uid="{0B8707CB-AB60-45A7-903E-EC9D8A93F356}" name="Columna14882" dataDxfId="1530"/>
    <tableColumn id="14889" xr3:uid="{3941E356-1649-444E-AF1F-E5A48963D72D}" name="Columna14883" dataDxfId="1529"/>
    <tableColumn id="14890" xr3:uid="{CEFB4341-3604-44EE-8232-095C8B66B776}" name="Columna14884" dataDxfId="1528"/>
    <tableColumn id="14891" xr3:uid="{5B48CB75-423E-4F92-B1F6-BC8EE64D165D}" name="Columna14885" dataDxfId="1527"/>
    <tableColumn id="14892" xr3:uid="{A0FF1869-D90F-4B72-8CE8-FA3757DA4217}" name="Columna14886" dataDxfId="1526"/>
    <tableColumn id="14893" xr3:uid="{FCA67E82-78D1-414F-A978-67DEA9D32C03}" name="Columna14887" dataDxfId="1525"/>
    <tableColumn id="14894" xr3:uid="{14ACC04A-D20C-4AEA-9302-F9F62F745788}" name="Columna14888" dataDxfId="1524"/>
    <tableColumn id="14895" xr3:uid="{158009FC-D1F4-4E5A-80FB-E1B6AF8F8E76}" name="Columna14889" dataDxfId="1523"/>
    <tableColumn id="14896" xr3:uid="{CB288C74-8463-4A99-A902-0878753CA50C}" name="Columna14890" dataDxfId="1522"/>
    <tableColumn id="14897" xr3:uid="{768550D1-DE52-4186-A39B-D06F06EB140B}" name="Columna14891" dataDxfId="1521"/>
    <tableColumn id="14898" xr3:uid="{D6FACAD1-F3AC-4F41-BBC9-832D49706E99}" name="Columna14892" dataDxfId="1520"/>
    <tableColumn id="14899" xr3:uid="{306830D8-EEA8-477E-9743-A2F0F86D09EC}" name="Columna14893" dataDxfId="1519"/>
    <tableColumn id="14900" xr3:uid="{F2D3389F-A055-4B1C-A860-7DD11FB54CC3}" name="Columna14894" dataDxfId="1518"/>
    <tableColumn id="14901" xr3:uid="{5039CD90-0FDF-4E48-B1A2-50F83F6F57FD}" name="Columna14895" dataDxfId="1517"/>
    <tableColumn id="14902" xr3:uid="{CF09079A-9926-467E-976C-4BDA2E4E1219}" name="Columna14896" dataDxfId="1516"/>
    <tableColumn id="14903" xr3:uid="{81ED94E9-2349-4127-8203-5DDD3D6A65BB}" name="Columna14897" dataDxfId="1515"/>
    <tableColumn id="14904" xr3:uid="{DC71B8C6-E553-4751-BF73-A34908B0B1EE}" name="Columna14898" dataDxfId="1514"/>
    <tableColumn id="14905" xr3:uid="{1D807ABF-70F6-4062-B3D8-27D88E67D1BA}" name="Columna14899" dataDxfId="1513"/>
    <tableColumn id="14906" xr3:uid="{AA9F9D51-5FBD-4195-B292-4370DB4F6552}" name="Columna14900" dataDxfId="1512"/>
    <tableColumn id="14907" xr3:uid="{07A1DB4E-6E01-4D06-AC71-F982988B5F41}" name="Columna14901" dataDxfId="1511"/>
    <tableColumn id="14908" xr3:uid="{B27AAEF5-5DF0-44DC-BA19-CD38821E1C0E}" name="Columna14902" dataDxfId="1510"/>
    <tableColumn id="14909" xr3:uid="{EC9CC276-D653-4214-8DEC-05078122B8F1}" name="Columna14903" dataDxfId="1509"/>
    <tableColumn id="14910" xr3:uid="{BA6CB108-091E-499A-A8F8-A99B41B74B4E}" name="Columna14904" dataDxfId="1508"/>
    <tableColumn id="14911" xr3:uid="{BF672FA0-97CC-4912-8DA2-FB97F6370D3A}" name="Columna14905" dataDxfId="1507"/>
    <tableColumn id="14912" xr3:uid="{4A62E09E-A85B-493F-87A8-9D45819C2E7E}" name="Columna14906" dataDxfId="1506"/>
    <tableColumn id="14913" xr3:uid="{5A08E81C-58F7-4936-A3EF-9D2CA99A36C3}" name="Columna14907" dataDxfId="1505"/>
    <tableColumn id="14914" xr3:uid="{6B07D468-3A41-402B-ADB3-E795EA0762C1}" name="Columna14908" dataDxfId="1504"/>
    <tableColumn id="14915" xr3:uid="{D71FFF89-A26F-4B24-95C2-0E9AD874B039}" name="Columna14909" dataDxfId="1503"/>
    <tableColumn id="14916" xr3:uid="{53D000B5-35BB-4C4C-847E-E76BD552688F}" name="Columna14910" dataDxfId="1502"/>
    <tableColumn id="14917" xr3:uid="{3E719735-0A26-49C5-A661-21CDC87CFC0C}" name="Columna14911" dataDxfId="1501"/>
    <tableColumn id="14918" xr3:uid="{2F4A5901-6465-4B31-984B-60683168DF9E}" name="Columna14912" dataDxfId="1500"/>
    <tableColumn id="14919" xr3:uid="{0C4F7F8F-0978-428B-BEEE-E2D68BD9218C}" name="Columna14913" dataDxfId="1499"/>
    <tableColumn id="14920" xr3:uid="{73560DC0-6168-4CC7-90BD-61ADCE808E60}" name="Columna14914" dataDxfId="1498"/>
    <tableColumn id="14921" xr3:uid="{0646D4D3-764F-4BE5-BA74-C36F721070D0}" name="Columna14915" dataDxfId="1497"/>
    <tableColumn id="14922" xr3:uid="{BBD9FFD1-4ADA-44E9-A27A-3F03A9669B87}" name="Columna14916" dataDxfId="1496"/>
    <tableColumn id="14923" xr3:uid="{5ACA2B88-626E-4B75-B0D8-3091F0D8FA40}" name="Columna14917" dataDxfId="1495"/>
    <tableColumn id="14924" xr3:uid="{0CD96E8D-A439-4AA8-A3DC-2678A597A0C3}" name="Columna14918" dataDxfId="1494"/>
    <tableColumn id="14925" xr3:uid="{A25CFF8E-48D5-4445-B0AA-B943B443B17D}" name="Columna14919" dataDxfId="1493"/>
    <tableColumn id="14926" xr3:uid="{EFAC1A78-DE7D-4B61-ABD8-DD991BF3F7CD}" name="Columna14920" dataDxfId="1492"/>
    <tableColumn id="14927" xr3:uid="{591E0B59-F840-4D1B-B0F3-EA5B50502378}" name="Columna14921" dataDxfId="1491"/>
    <tableColumn id="14928" xr3:uid="{2211DF9F-6F40-4C14-9FEB-613DAA67D607}" name="Columna14922" dataDxfId="1490"/>
    <tableColumn id="14929" xr3:uid="{7CDB755B-CB49-446B-9EF3-4EA871F5D9B7}" name="Columna14923" dataDxfId="1489"/>
    <tableColumn id="14930" xr3:uid="{BF00CD35-8B09-4574-9ADA-C86381BEA6E1}" name="Columna14924" dataDxfId="1488"/>
    <tableColumn id="14931" xr3:uid="{F80E9F9F-5ED6-4148-8A8F-A2EF2D70D022}" name="Columna14925" dataDxfId="1487"/>
    <tableColumn id="14932" xr3:uid="{1C7DDC2A-5C9A-4D01-ADB2-891721F5DC29}" name="Columna14926" dataDxfId="1486"/>
    <tableColumn id="14933" xr3:uid="{0C82FE5B-CB1A-49FF-BF5A-D480A9041BC0}" name="Columna14927" dataDxfId="1485"/>
    <tableColumn id="14934" xr3:uid="{6A90C403-4F14-4CD2-880A-D14033DA0C99}" name="Columna14928" dataDxfId="1484"/>
    <tableColumn id="14935" xr3:uid="{5F5F7AF1-97D1-4E86-89FF-96E773A7E297}" name="Columna14929" dataDxfId="1483"/>
    <tableColumn id="14936" xr3:uid="{9FB7F52D-A6A7-4A21-93A8-28E5DD09FA56}" name="Columna14930" dataDxfId="1482"/>
    <tableColumn id="14937" xr3:uid="{9396DCDA-9D25-470C-AC4A-68A89BCB8F52}" name="Columna14931" dataDxfId="1481"/>
    <tableColumn id="14938" xr3:uid="{4DB6D376-5BD0-4EE1-B0D8-D7C21E030D17}" name="Columna14932" dataDxfId="1480"/>
    <tableColumn id="14939" xr3:uid="{421902D7-D56F-419E-BAC5-437DA2417CC4}" name="Columna14933" dataDxfId="1479"/>
    <tableColumn id="14940" xr3:uid="{B82E8314-3811-4F63-9E6F-584A9370F8C6}" name="Columna14934" dataDxfId="1478"/>
    <tableColumn id="14941" xr3:uid="{F8BD15B7-D9DD-4C52-829C-7C2A9D655FAF}" name="Columna14935" dataDxfId="1477"/>
    <tableColumn id="14942" xr3:uid="{E3E4993C-F1B0-4CD1-ADB6-71CBD761F70B}" name="Columna14936" dataDxfId="1476"/>
    <tableColumn id="14943" xr3:uid="{F1203637-350A-477D-B384-B5D0A7F61E31}" name="Columna14937" dataDxfId="1475"/>
    <tableColumn id="14944" xr3:uid="{DA8E5A87-5B70-4BB2-AE16-44529A235B6E}" name="Columna14938" dataDxfId="1474"/>
    <tableColumn id="14945" xr3:uid="{4D270A8D-04F2-493A-AEB0-9B172F06DD43}" name="Columna14939" dataDxfId="1473"/>
    <tableColumn id="14946" xr3:uid="{E2DED436-216F-48BC-88D8-008F02CB499B}" name="Columna14940" dataDxfId="1472"/>
    <tableColumn id="14947" xr3:uid="{7879B436-318D-4F54-969A-6AC7B6F9D850}" name="Columna14941" dataDxfId="1471"/>
    <tableColumn id="14948" xr3:uid="{B2D2A48B-DE0F-4D57-A95D-B4D87FFEA023}" name="Columna14942" dataDxfId="1470"/>
    <tableColumn id="14949" xr3:uid="{6B229C61-ED87-4973-91DD-005DD1938963}" name="Columna14943" dataDxfId="1469"/>
    <tableColumn id="14950" xr3:uid="{22858CFE-6ABB-4311-A3B9-2573BA02AD66}" name="Columna14944" dataDxfId="1468"/>
    <tableColumn id="14951" xr3:uid="{51B31F2D-5AFA-43CB-AE0F-EE2384AC0F7D}" name="Columna14945" dataDxfId="1467"/>
    <tableColumn id="14952" xr3:uid="{DDAB685B-007B-4E31-B413-848E3AA75CF1}" name="Columna14946" dataDxfId="1466"/>
    <tableColumn id="14953" xr3:uid="{EC9E4155-8AE6-4D51-9CE8-924A24069C91}" name="Columna14947" dataDxfId="1465"/>
    <tableColumn id="14954" xr3:uid="{3B889A55-FA01-4517-85D9-9DFAB6E18C6B}" name="Columna14948" dataDxfId="1464"/>
    <tableColumn id="14955" xr3:uid="{7B0FB820-48A5-42F0-8CF1-562A6F9D95BE}" name="Columna14949" dataDxfId="1463"/>
    <tableColumn id="14956" xr3:uid="{09FF266D-D0A2-448C-88FC-C446523D522B}" name="Columna14950" dataDxfId="1462"/>
    <tableColumn id="14957" xr3:uid="{401C6D6A-2ADC-42BA-AEF4-0A9BD997C1F7}" name="Columna14951" dataDxfId="1461"/>
    <tableColumn id="14958" xr3:uid="{BC51AE5E-7785-4805-9BD0-01F4F72808BC}" name="Columna14952" dataDxfId="1460"/>
    <tableColumn id="14959" xr3:uid="{9AB289CB-4863-4411-8FC2-DEA5E86EEE8E}" name="Columna14953" dataDxfId="1459"/>
    <tableColumn id="14960" xr3:uid="{128788FE-BB04-4EE5-81BB-13EABC962557}" name="Columna14954" dataDxfId="1458"/>
    <tableColumn id="14961" xr3:uid="{D891921A-A05C-442D-B353-9FCD555484FA}" name="Columna14955" dataDxfId="1457"/>
    <tableColumn id="14962" xr3:uid="{1021CD25-FBAB-4309-8473-C0C05FF12C61}" name="Columna14956" dataDxfId="1456"/>
    <tableColumn id="14963" xr3:uid="{C2FDF794-0109-4220-B1C1-0539B9DC775B}" name="Columna14957" dataDxfId="1455"/>
    <tableColumn id="14964" xr3:uid="{095A1312-4921-4A41-A40C-C2C707EC34E0}" name="Columna14958" dataDxfId="1454"/>
    <tableColumn id="14965" xr3:uid="{20326EF9-599C-4429-9920-09BB9E7F9017}" name="Columna14959" dataDxfId="1453"/>
    <tableColumn id="14966" xr3:uid="{C9F7AF57-13A7-4085-8BA0-C39F3592FD1D}" name="Columna14960" dataDxfId="1452"/>
    <tableColumn id="14967" xr3:uid="{3D2B898E-0DD7-467C-8B09-AF507A9A0FD9}" name="Columna14961" dataDxfId="1451"/>
    <tableColumn id="14968" xr3:uid="{E6C878C1-F060-470F-A9E8-5AD38AAE1570}" name="Columna14962" dataDxfId="1450"/>
    <tableColumn id="14969" xr3:uid="{816C150B-67BB-46A7-B4F2-40937198D2BE}" name="Columna14963" dataDxfId="1449"/>
    <tableColumn id="14970" xr3:uid="{5484F71E-24E6-4B58-9C5C-CC28EDD84948}" name="Columna14964" dataDxfId="1448"/>
    <tableColumn id="14971" xr3:uid="{12CF7D22-802B-4DDA-92B8-FEC92022E815}" name="Columna14965" dataDxfId="1447"/>
    <tableColumn id="14972" xr3:uid="{DE268F94-2530-459E-ACF9-2D2A69BB6CA5}" name="Columna14966" dataDxfId="1446"/>
    <tableColumn id="14973" xr3:uid="{065B2038-CF5A-4913-B637-0E86C4E3642C}" name="Columna14967" dataDxfId="1445"/>
    <tableColumn id="14974" xr3:uid="{9B35E1B5-6C56-47B2-934E-7F659DBDEB4F}" name="Columna14968" dataDxfId="1444"/>
    <tableColumn id="14975" xr3:uid="{E5744867-7270-4B3A-BB64-DA7C84AE7DCB}" name="Columna14969" dataDxfId="1443"/>
    <tableColumn id="14976" xr3:uid="{0507DA3D-8434-4A50-B079-88E5E071335A}" name="Columna14970" dataDxfId="1442"/>
    <tableColumn id="14977" xr3:uid="{8B808DA8-1367-492B-B60E-4370470DD85B}" name="Columna14971" dataDxfId="1441"/>
    <tableColumn id="14978" xr3:uid="{F311D7AD-8AFF-4F41-90EF-5D5984EC3A5C}" name="Columna14972" dataDxfId="1440"/>
    <tableColumn id="14979" xr3:uid="{8B377E95-A467-4D5A-90FA-D78F6589FDB7}" name="Columna14973" dataDxfId="1439"/>
    <tableColumn id="14980" xr3:uid="{BB0AE111-6A0B-441D-99B6-33F86370E052}" name="Columna14974" dataDxfId="1438"/>
    <tableColumn id="14981" xr3:uid="{E633FC81-5BDD-44FF-8AAB-9B7DB8454687}" name="Columna14975" dataDxfId="1437"/>
    <tableColumn id="14982" xr3:uid="{8A0BD637-07E2-4C62-B0A1-ED6A67AD95AB}" name="Columna14976" dataDxfId="1436"/>
    <tableColumn id="14983" xr3:uid="{E8D3FAE7-6339-4F98-8F11-78078DC7EBCB}" name="Columna14977" dataDxfId="1435"/>
    <tableColumn id="14984" xr3:uid="{094C4F97-EC14-40E2-B2B2-3580864351CC}" name="Columna14978" dataDxfId="1434"/>
    <tableColumn id="14985" xr3:uid="{D9177C30-6351-4D3E-BEFE-B217A97146A9}" name="Columna14979" dataDxfId="1433"/>
    <tableColumn id="14986" xr3:uid="{F30655A9-2BBD-45EB-A974-1A12B381A17E}" name="Columna14980" dataDxfId="1432"/>
    <tableColumn id="14987" xr3:uid="{2FA2FF98-AAF5-48D6-9FD4-C39411656FDB}" name="Columna14981" dataDxfId="1431"/>
    <tableColumn id="14988" xr3:uid="{B05AA100-7650-4580-BD49-B74293D2C9D8}" name="Columna14982" dataDxfId="1430"/>
    <tableColumn id="14989" xr3:uid="{D0168582-D9D9-4203-808A-72C6D90F2E34}" name="Columna14983" dataDxfId="1429"/>
    <tableColumn id="14990" xr3:uid="{91D341F3-E2C7-4BFE-B75E-17C419D9666C}" name="Columna14984" dataDxfId="1428"/>
    <tableColumn id="14991" xr3:uid="{6FAAFCFE-6287-44AA-ABEB-2FC8B5715776}" name="Columna14985" dataDxfId="1427"/>
    <tableColumn id="14992" xr3:uid="{3BACDFFE-4F66-474D-9DDC-6C6B384B10A9}" name="Columna14986" dataDxfId="1426"/>
    <tableColumn id="14993" xr3:uid="{7B0DD28D-A15C-4EF7-B8AB-57CEDBC3ABD5}" name="Columna14987" dataDxfId="1425"/>
    <tableColumn id="14994" xr3:uid="{7E3C9C2C-1832-4799-8CE6-1F5B3437D98B}" name="Columna14988" dataDxfId="1424"/>
    <tableColumn id="14995" xr3:uid="{567575C4-4760-4A55-9966-1149557F44F2}" name="Columna14989" dataDxfId="1423"/>
    <tableColumn id="14996" xr3:uid="{FA8296BA-D0E6-4C03-8018-DEFB5D4B2C22}" name="Columna14990" dataDxfId="1422"/>
    <tableColumn id="14997" xr3:uid="{5695AEB4-826B-4AF8-A59B-227D75F4DBDB}" name="Columna14991" dataDxfId="1421"/>
    <tableColumn id="14998" xr3:uid="{4860A04D-B765-48A0-AF5B-665C89DA13AF}" name="Columna14992" dataDxfId="1420"/>
    <tableColumn id="14999" xr3:uid="{BE5DA318-FE31-40F1-AA52-E92CA2D688CF}" name="Columna14993" dataDxfId="1419"/>
    <tableColumn id="15000" xr3:uid="{0E1C1FB7-E43B-4620-BE12-7D6A891DDDA3}" name="Columna14994" dataDxfId="1418"/>
    <tableColumn id="15001" xr3:uid="{05C0E6C9-E7FF-49AA-871C-B79C1C3A1013}" name="Columna14995" dataDxfId="1417"/>
    <tableColumn id="15002" xr3:uid="{A5ECA21B-699A-4332-A8A6-6FF053A88BF0}" name="Columna14996" dataDxfId="1416"/>
    <tableColumn id="15003" xr3:uid="{A3312392-8384-45D3-8D9B-6C1B54CA199D}" name="Columna14997" dataDxfId="1415"/>
    <tableColumn id="15004" xr3:uid="{BF3C652C-62A6-498C-92EB-BB88716D1095}" name="Columna14998" dataDxfId="1414"/>
    <tableColumn id="15005" xr3:uid="{57E81325-64D7-40C4-A05A-5BB137EFD9AF}" name="Columna14999" dataDxfId="1413"/>
    <tableColumn id="15006" xr3:uid="{F0C0627D-70EC-41FF-8487-2175F3BBC1F6}" name="Columna15000" dataDxfId="1412"/>
    <tableColumn id="15007" xr3:uid="{4CA3AA78-19DD-4B6B-AFBD-FB77C94E25AB}" name="Columna15001" dataDxfId="1411"/>
    <tableColumn id="15008" xr3:uid="{0F1C9272-A00C-4CD2-AA30-5357D5A1E9C4}" name="Columna15002" dataDxfId="1410"/>
    <tableColumn id="15009" xr3:uid="{E8FB5AEE-4DF1-47A1-9BDF-C53D49E72DE6}" name="Columna15003" dataDxfId="1409"/>
    <tableColumn id="15010" xr3:uid="{90986EA2-4F8D-4A1A-BD28-5154F21B42F2}" name="Columna15004" dataDxfId="1408"/>
    <tableColumn id="15011" xr3:uid="{735CDDAE-667F-4B3B-AEB8-64DBD899F426}" name="Columna15005" dataDxfId="1407"/>
    <tableColumn id="15012" xr3:uid="{3903D2ED-64E3-4068-9F46-7F3FA8192BC8}" name="Columna15006" dataDxfId="1406"/>
    <tableColumn id="15013" xr3:uid="{EC4B9EDB-C365-4AA1-BC56-CD8970713C02}" name="Columna15007" dataDxfId="1405"/>
    <tableColumn id="15014" xr3:uid="{C5C6059D-6B5C-4FCE-9683-93861722A3E4}" name="Columna15008" dataDxfId="1404"/>
    <tableColumn id="15015" xr3:uid="{C96D1740-C8A2-4A1B-B180-DFD83970A6B9}" name="Columna15009" dataDxfId="1403"/>
    <tableColumn id="15016" xr3:uid="{613DEA2D-1A8F-4AAC-B59C-FC73C74C6AEB}" name="Columna15010" dataDxfId="1402"/>
    <tableColumn id="15017" xr3:uid="{500865FE-5495-4CFD-AFB8-B0BCB6932FF3}" name="Columna15011" dataDxfId="1401"/>
    <tableColumn id="15018" xr3:uid="{270F8D6D-4D9E-489E-B161-68539CDDE5A7}" name="Columna15012" dataDxfId="1400"/>
    <tableColumn id="15019" xr3:uid="{6B3EBCEF-4FCD-4F81-BE59-23ED5025DCF6}" name="Columna15013" dataDxfId="1399"/>
    <tableColumn id="15020" xr3:uid="{7D4E21BE-8AB0-4276-99B6-B59C0FDA2AAD}" name="Columna15014" dataDxfId="1398"/>
    <tableColumn id="15021" xr3:uid="{CBC4D1C5-5A83-41A9-930F-D76EDDCDDFD7}" name="Columna15015" dataDxfId="1397"/>
    <tableColumn id="15022" xr3:uid="{1C75F980-1DD5-4752-A700-BF47703C6D9E}" name="Columna15016" dataDxfId="1396"/>
    <tableColumn id="15023" xr3:uid="{E3E3A232-F7CF-41EE-9E9B-E2EC9076ABB0}" name="Columna15017" dataDxfId="1395"/>
    <tableColumn id="15024" xr3:uid="{B23C2FAC-70BC-4C20-889E-8252E0FA2E0B}" name="Columna15018" dataDxfId="1394"/>
    <tableColumn id="15025" xr3:uid="{6C6FA422-CAF3-41B1-A5E1-E80BC0A65F68}" name="Columna15019" dataDxfId="1393"/>
    <tableColumn id="15026" xr3:uid="{C0FC3AC9-83D2-4E53-9EFA-A2678F4EF490}" name="Columna15020" dataDxfId="1392"/>
    <tableColumn id="15027" xr3:uid="{D3AD2840-DF9A-48ED-90F1-FAB099184568}" name="Columna15021" dataDxfId="1391"/>
    <tableColumn id="15028" xr3:uid="{B5446B50-0718-43B8-8E5A-6E61D4F98A3D}" name="Columna15022" dataDxfId="1390"/>
    <tableColumn id="15029" xr3:uid="{75CB5FEE-DE0B-468F-90C8-3066CF0B85F1}" name="Columna15023" dataDxfId="1389"/>
    <tableColumn id="15030" xr3:uid="{33048C6E-1824-4373-BC04-9FAF5C0BBE2D}" name="Columna15024" dataDxfId="1388"/>
    <tableColumn id="15031" xr3:uid="{F50E9384-55BA-4512-8860-FF9B8C313764}" name="Columna15025" dataDxfId="1387"/>
    <tableColumn id="15032" xr3:uid="{028278A1-436F-4DC5-BDFA-F338BCC18DF3}" name="Columna15026" dataDxfId="1386"/>
    <tableColumn id="15033" xr3:uid="{D0239F23-EA3C-4589-A4FF-E8199E32984E}" name="Columna15027" dataDxfId="1385"/>
    <tableColumn id="15034" xr3:uid="{D6EB1728-4CAE-488B-8956-BB69B3F3DD10}" name="Columna15028" dataDxfId="1384"/>
    <tableColumn id="15035" xr3:uid="{7B035385-91E9-4D3E-8AC3-9F166859FC4D}" name="Columna15029" dataDxfId="1383"/>
    <tableColumn id="15036" xr3:uid="{79D10C3F-549A-4E70-8605-94132AFA6F73}" name="Columna15030" dataDxfId="1382"/>
    <tableColumn id="15037" xr3:uid="{C68D82AB-9D3C-470B-856C-C08A3AFFA7A5}" name="Columna15031" dataDxfId="1381"/>
    <tableColumn id="15038" xr3:uid="{A2B9D12C-5C27-4098-A753-70BFFB1F0F24}" name="Columna15032" dataDxfId="1380"/>
    <tableColumn id="15039" xr3:uid="{3E210458-556E-41CE-924D-4A6037A06BE1}" name="Columna15033" dataDxfId="1379"/>
    <tableColumn id="15040" xr3:uid="{D6C63550-EF8B-48E1-BB72-C6C776CAFE3B}" name="Columna15034" dataDxfId="1378"/>
    <tableColumn id="15041" xr3:uid="{6CCD2BE8-4CEE-49AD-A4F0-F7A3401C6DDC}" name="Columna15035" dataDxfId="1377"/>
    <tableColumn id="15042" xr3:uid="{3824CE35-49AC-4CA8-87EE-2BDB8FB0E6C0}" name="Columna15036" dataDxfId="1376"/>
    <tableColumn id="15043" xr3:uid="{94B954F4-5C40-48A8-9F04-C90834520510}" name="Columna15037" dataDxfId="1375"/>
    <tableColumn id="15044" xr3:uid="{8451469A-44CD-423F-AB2B-8B03BEDDCC55}" name="Columna15038" dataDxfId="1374"/>
    <tableColumn id="15045" xr3:uid="{DDC8B888-7571-47AA-B02A-70A121FF91D2}" name="Columna15039" dataDxfId="1373"/>
    <tableColumn id="15046" xr3:uid="{50DB5BD5-172C-437A-8B08-A84D2DD22246}" name="Columna15040" dataDxfId="1372"/>
    <tableColumn id="15047" xr3:uid="{0EBBD3AC-40C0-4F27-AFDD-D5D9105EEF64}" name="Columna15041" dataDxfId="1371"/>
    <tableColumn id="15048" xr3:uid="{F512D942-77AF-4A61-9BEB-0245FAFF07DC}" name="Columna15042" dataDxfId="1370"/>
    <tableColumn id="15049" xr3:uid="{957BAB7D-C9C1-42EF-8424-E89471DB601E}" name="Columna15043" dataDxfId="1369"/>
    <tableColumn id="15050" xr3:uid="{F4065F8B-8672-478A-9076-02FFBD787ED7}" name="Columna15044" dataDxfId="1368"/>
    <tableColumn id="15051" xr3:uid="{971D3EB4-3229-4322-BBC3-602F2A6D1515}" name="Columna15045" dataDxfId="1367"/>
    <tableColumn id="15052" xr3:uid="{D1B7EA03-3EF7-4742-8019-D0840CAB414F}" name="Columna15046" dataDxfId="1366"/>
    <tableColumn id="15053" xr3:uid="{FD943599-583A-4592-9EEF-83EEC16E7362}" name="Columna15047" dataDxfId="1365"/>
    <tableColumn id="15054" xr3:uid="{0623BEBF-75DE-4E29-9C91-34A9E025D1CD}" name="Columna15048" dataDxfId="1364"/>
    <tableColumn id="15055" xr3:uid="{EBB3A134-9F7B-4036-9398-5F4738B6236B}" name="Columna15049" dataDxfId="1363"/>
    <tableColumn id="15056" xr3:uid="{95153EC9-A0D4-4871-A401-07887E0173CD}" name="Columna15050" dataDxfId="1362"/>
    <tableColumn id="15057" xr3:uid="{024EFA86-47E7-4EC0-8460-254E7E9A30F2}" name="Columna15051" dataDxfId="1361"/>
    <tableColumn id="15058" xr3:uid="{53A6F968-86BC-49E2-B336-DFD07E635C50}" name="Columna15052" dataDxfId="1360"/>
    <tableColumn id="15059" xr3:uid="{5CA46F76-FDCA-4352-B58B-CDC4979B67C8}" name="Columna15053" dataDxfId="1359"/>
    <tableColumn id="15060" xr3:uid="{A965A3D4-B496-4EA5-8ABA-5F29B7D39F36}" name="Columna15054" dataDxfId="1358"/>
    <tableColumn id="15061" xr3:uid="{1BE0CFF1-EA6F-4EAA-A97F-8B82FF635F55}" name="Columna15055" dataDxfId="1357"/>
    <tableColumn id="15062" xr3:uid="{11DEA1DA-8AE1-4BBB-94B2-E524A924C898}" name="Columna15056" dataDxfId="1356"/>
    <tableColumn id="15063" xr3:uid="{20F0A401-A8D4-40EC-A892-E81B144D7455}" name="Columna15057" dataDxfId="1355"/>
    <tableColumn id="15064" xr3:uid="{33CD2B7C-2B8C-4CCA-8FDE-820C76E12919}" name="Columna15058" dataDxfId="1354"/>
    <tableColumn id="15065" xr3:uid="{DD890B4D-F588-413D-9A59-5531729B17F8}" name="Columna15059" dataDxfId="1353"/>
    <tableColumn id="15066" xr3:uid="{7FEB57AB-E0A8-42DD-8218-AEA60CBB1A1F}" name="Columna15060" dataDxfId="1352"/>
    <tableColumn id="15067" xr3:uid="{662D917E-840E-49AF-AD23-338AC1002A70}" name="Columna15061" dataDxfId="1351"/>
    <tableColumn id="15068" xr3:uid="{8F391C3A-4E56-453D-A8A9-235A2059FA74}" name="Columna15062" dataDxfId="1350"/>
    <tableColumn id="15069" xr3:uid="{B7726BFD-8064-47EE-8953-2C832F4AC2CB}" name="Columna15063" dataDxfId="1349"/>
    <tableColumn id="15070" xr3:uid="{9933BE86-DA4C-4E3D-A79B-ED81E03BEA9B}" name="Columna15064" dataDxfId="1348"/>
    <tableColumn id="15071" xr3:uid="{2C890240-7CA8-497A-B210-795918802918}" name="Columna15065" dataDxfId="1347"/>
    <tableColumn id="15072" xr3:uid="{C67FFF66-28DB-415D-8FC4-58A67A04ACE6}" name="Columna15066" dataDxfId="1346"/>
    <tableColumn id="15073" xr3:uid="{D3CC355A-E0E7-4926-B12C-E0420F3E0361}" name="Columna15067" dataDxfId="1345"/>
    <tableColumn id="15074" xr3:uid="{9824FB41-FA98-42E0-AAEC-E055BC3570A6}" name="Columna15068" dataDxfId="1344"/>
    <tableColumn id="15075" xr3:uid="{326DEC23-67D6-4A79-92EF-83F9ABEAFC18}" name="Columna15069" dataDxfId="1343"/>
    <tableColumn id="15076" xr3:uid="{A271D5A9-ACE2-42A8-919E-4E3A9A566EDA}" name="Columna15070" dataDxfId="1342"/>
    <tableColumn id="15077" xr3:uid="{647CF055-007E-4B8A-A967-2689779BD52B}" name="Columna15071" dataDxfId="1341"/>
    <tableColumn id="15078" xr3:uid="{95820263-7CDE-4D5A-BEE1-84E4EC87ADDD}" name="Columna15072" dataDxfId="1340"/>
    <tableColumn id="15079" xr3:uid="{FDDB783C-7B8F-4865-AEC8-CF920805BFA6}" name="Columna15073" dataDxfId="1339"/>
    <tableColumn id="15080" xr3:uid="{0EE17711-6E67-4213-A842-6271CA2A28B7}" name="Columna15074" dataDxfId="1338"/>
    <tableColumn id="15081" xr3:uid="{B6D7E334-A905-4B70-8DAA-5A4C68A54583}" name="Columna15075" dataDxfId="1337"/>
    <tableColumn id="15082" xr3:uid="{B7388F88-82C8-4E97-9049-C01DA7DAD2C8}" name="Columna15076" dataDxfId="1336"/>
    <tableColumn id="15083" xr3:uid="{E531BAD8-7FAC-4968-84D3-4E7AFF987D41}" name="Columna15077" dataDxfId="1335"/>
    <tableColumn id="15084" xr3:uid="{AD28D36A-963E-4559-9B9C-2602B7283355}" name="Columna15078" dataDxfId="1334"/>
    <tableColumn id="15085" xr3:uid="{6621E2CC-5B74-484A-BB04-A3DA893A88B1}" name="Columna15079" dataDxfId="1333"/>
    <tableColumn id="15086" xr3:uid="{3AADD6C7-A5F2-4BDF-9277-2D0AFDB9890E}" name="Columna15080" dataDxfId="1332"/>
    <tableColumn id="15087" xr3:uid="{7B530475-F0B6-4EB0-AF30-4CB6AC9BF2CD}" name="Columna15081" dataDxfId="1331"/>
    <tableColumn id="15088" xr3:uid="{258FAF38-0920-4F15-8CA1-0552859248C4}" name="Columna15082" dataDxfId="1330"/>
    <tableColumn id="15089" xr3:uid="{344F009B-27FB-46EB-BE5A-343C4D3172B0}" name="Columna15083" dataDxfId="1329"/>
    <tableColumn id="15090" xr3:uid="{38A3451F-12E8-4219-BDC8-4238A3E55ACB}" name="Columna15084" dataDxfId="1328"/>
    <tableColumn id="15091" xr3:uid="{D49AF707-52D6-4519-9001-3A211FDE776E}" name="Columna15085" dataDxfId="1327"/>
    <tableColumn id="15092" xr3:uid="{4B0713E9-F74C-49A0-B76D-BCFBECDE4549}" name="Columna15086" dataDxfId="1326"/>
    <tableColumn id="15093" xr3:uid="{16E55699-D048-4AD5-AABE-88FD47104D64}" name="Columna15087" dataDxfId="1325"/>
    <tableColumn id="15094" xr3:uid="{20C353C2-8C94-431A-B518-7F8237604BD1}" name="Columna15088" dataDxfId="1324"/>
    <tableColumn id="15095" xr3:uid="{47238DA2-E191-4865-9FF0-861519858B8C}" name="Columna15089" dataDxfId="1323"/>
    <tableColumn id="15096" xr3:uid="{2961666B-006F-4345-B254-424878F01B8F}" name="Columna15090" dataDxfId="1322"/>
    <tableColumn id="15097" xr3:uid="{C5E32E5B-A1D6-4871-8E5D-D31B9851E539}" name="Columna15091" dataDxfId="1321"/>
    <tableColumn id="15098" xr3:uid="{7E3B1FD9-DFB3-4DE4-AEC3-BB44C8E174C4}" name="Columna15092" dataDxfId="1320"/>
    <tableColumn id="15099" xr3:uid="{382CD9AB-BC92-4496-A7BA-36909218F160}" name="Columna15093" dataDxfId="1319"/>
    <tableColumn id="15100" xr3:uid="{98BC694C-5C46-4188-9CF6-6E854746655C}" name="Columna15094" dataDxfId="1318"/>
    <tableColumn id="15101" xr3:uid="{582C874D-9E63-425C-85FC-9BEA7CF6B3B6}" name="Columna15095" dataDxfId="1317"/>
    <tableColumn id="15102" xr3:uid="{35A9FC64-49A4-46CA-AA9C-9F0890BCFD79}" name="Columna15096" dataDxfId="1316"/>
    <tableColumn id="15103" xr3:uid="{BBAFFB40-07DD-40FC-95E8-39B0734C6168}" name="Columna15097" dataDxfId="1315"/>
    <tableColumn id="15104" xr3:uid="{C76127E6-88ED-4B46-8E82-3F54E6D942F6}" name="Columna15098" dataDxfId="1314"/>
    <tableColumn id="15105" xr3:uid="{1C693AEE-243B-4E25-9061-0E6372671CB8}" name="Columna15099" dataDxfId="1313"/>
    <tableColumn id="15106" xr3:uid="{CFD4C975-740D-42B3-BB2F-E7F736654F8D}" name="Columna15100" dataDxfId="1312"/>
    <tableColumn id="15107" xr3:uid="{3842D20D-760F-467A-B576-CF415C25446C}" name="Columna15101" dataDxfId="1311"/>
    <tableColumn id="15108" xr3:uid="{D2C92760-50C9-442D-A192-5882F73CFA51}" name="Columna15102" dataDxfId="1310"/>
    <tableColumn id="15109" xr3:uid="{6051A794-59F7-4931-8B39-43C9155D2D5D}" name="Columna15103" dataDxfId="1309"/>
    <tableColumn id="15110" xr3:uid="{DDD24C03-D50C-48AF-AF5C-7DF4598337C4}" name="Columna15104" dataDxfId="1308"/>
    <tableColumn id="15111" xr3:uid="{37BB2A2E-33F2-4CAC-A8DC-BD87DDAA7B6B}" name="Columna15105" dataDxfId="1307"/>
    <tableColumn id="15112" xr3:uid="{70D12E07-0B51-4EF9-B2C2-ADC8278A43B8}" name="Columna15106" dataDxfId="1306"/>
    <tableColumn id="15113" xr3:uid="{C0F90CF8-8825-48F4-A5C1-EBA5B000DF2E}" name="Columna15107" dataDxfId="1305"/>
    <tableColumn id="15114" xr3:uid="{4C496CB0-EE07-499F-875F-717067BBDCFF}" name="Columna15108" dataDxfId="1304"/>
    <tableColumn id="15115" xr3:uid="{24418F04-B3E0-4B8E-BD70-E18BF45B6330}" name="Columna15109" dataDxfId="1303"/>
    <tableColumn id="15116" xr3:uid="{5A7C747B-1521-4CE1-891B-76816E996746}" name="Columna15110" dataDxfId="1302"/>
    <tableColumn id="15117" xr3:uid="{3A70DF45-B007-4884-8A32-8CB4D5E60AD1}" name="Columna15111" dataDxfId="1301"/>
    <tableColumn id="15118" xr3:uid="{7FAF549F-4D4C-42ED-B446-02C1DBC5105D}" name="Columna15112" dataDxfId="1300"/>
    <tableColumn id="15119" xr3:uid="{72FFB7FB-DBAB-4AD6-95DF-43CF76E62234}" name="Columna15113" dataDxfId="1299"/>
    <tableColumn id="15120" xr3:uid="{AED2FB81-2595-4638-B886-0442CE908EBF}" name="Columna15114" dataDxfId="1298"/>
    <tableColumn id="15121" xr3:uid="{1679DD15-7A1C-4EE7-AF77-FEC01FB01642}" name="Columna15115" dataDxfId="1297"/>
    <tableColumn id="15122" xr3:uid="{E2A1863F-6F17-4352-8BCB-C042C2204A4F}" name="Columna15116" dataDxfId="1296"/>
    <tableColumn id="15123" xr3:uid="{28529202-D847-44B3-8445-901609047021}" name="Columna15117" dataDxfId="1295"/>
    <tableColumn id="15124" xr3:uid="{97D8DAB8-B2B1-4958-A86B-34EDDD4B3E08}" name="Columna15118" dataDxfId="1294"/>
    <tableColumn id="15125" xr3:uid="{51CB725E-F38E-47AA-B382-F74C8A9746CF}" name="Columna15119" dataDxfId="1293"/>
    <tableColumn id="15126" xr3:uid="{FE6DCDD3-7DB7-4054-BE7A-7D834E9702CB}" name="Columna15120" dataDxfId="1292"/>
    <tableColumn id="15127" xr3:uid="{57EC947E-8A90-4AFF-ACEF-C34DAE78A245}" name="Columna15121" dataDxfId="1291"/>
    <tableColumn id="15128" xr3:uid="{8AE52145-AA0D-45B4-A982-0B1C823EBAFA}" name="Columna15122" dataDxfId="1290"/>
    <tableColumn id="15129" xr3:uid="{AC5274B4-1AF2-4914-BC53-7557D5A8593D}" name="Columna15123" dataDxfId="1289"/>
    <tableColumn id="15130" xr3:uid="{FE49AA23-F187-4C23-A60E-74B7FEA70F11}" name="Columna15124" dataDxfId="1288"/>
    <tableColumn id="15131" xr3:uid="{C713B2A7-33DD-4D1C-9FE8-A7D385ADC6F1}" name="Columna15125" dataDxfId="1287"/>
    <tableColumn id="15132" xr3:uid="{3DFF09C5-0BB3-4F37-8DBF-4AB9890FA25B}" name="Columna15126" dataDxfId="1286"/>
    <tableColumn id="15133" xr3:uid="{F8FC2BC0-5932-4930-B3B6-B3EC4FC81185}" name="Columna15127" dataDxfId="1285"/>
    <tableColumn id="15134" xr3:uid="{1C9FC4F9-7219-4291-B5D8-483BB7196561}" name="Columna15128" dataDxfId="1284"/>
    <tableColumn id="15135" xr3:uid="{7B2B72D0-48C8-4527-96E2-AAFA729F34DE}" name="Columna15129" dataDxfId="1283"/>
    <tableColumn id="15136" xr3:uid="{FC4909F8-89D8-435F-8E5B-7A671B0BF2B0}" name="Columna15130" dataDxfId="1282"/>
    <tableColumn id="15137" xr3:uid="{DEA10F68-0EDE-47EA-9437-9AEAE62E9B3E}" name="Columna15131" dataDxfId="1281"/>
    <tableColumn id="15138" xr3:uid="{65C65779-9D86-4936-8F54-27A719849E3C}" name="Columna15132" dataDxfId="1280"/>
    <tableColumn id="15139" xr3:uid="{62340D9A-24C3-4108-8D66-3A8AE9CBC340}" name="Columna15133" dataDxfId="1279"/>
    <tableColumn id="15140" xr3:uid="{C2FF7118-DA8F-472B-BB78-34B60234E890}" name="Columna15134" dataDxfId="1278"/>
    <tableColumn id="15141" xr3:uid="{C01A17F6-B592-485E-878F-40AFBA14F007}" name="Columna15135" dataDxfId="1277"/>
    <tableColumn id="15142" xr3:uid="{49B5B021-2B95-46E1-96DA-C707FD1F63B8}" name="Columna15136" dataDxfId="1276"/>
    <tableColumn id="15143" xr3:uid="{983D2A4F-9623-4E84-8C0E-E3B2DB53D1C0}" name="Columna15137" dataDxfId="1275"/>
    <tableColumn id="15144" xr3:uid="{DC307023-B30F-4736-A053-D477B211C793}" name="Columna15138" dataDxfId="1274"/>
    <tableColumn id="15145" xr3:uid="{D71727DE-E117-44D7-8AA6-B1C995109786}" name="Columna15139" dataDxfId="1273"/>
    <tableColumn id="15146" xr3:uid="{76CEAC67-407A-483A-9A58-1D7A9AFD7EF0}" name="Columna15140" dataDxfId="1272"/>
    <tableColumn id="15147" xr3:uid="{79837D74-C0B7-43B4-8DEF-9E873EC7360F}" name="Columna15141" dataDxfId="1271"/>
    <tableColumn id="15148" xr3:uid="{9CB07A1A-DDC2-457D-A529-A6A5B4D3C85B}" name="Columna15142" dataDxfId="1270"/>
    <tableColumn id="15149" xr3:uid="{910766FA-5606-4F2A-BB9D-8F9F178B3FC7}" name="Columna15143" dataDxfId="1269"/>
    <tableColumn id="15150" xr3:uid="{803EFCEF-92C3-4CD0-ADE1-D3783E210CCB}" name="Columna15144" dataDxfId="1268"/>
    <tableColumn id="15151" xr3:uid="{F6933E88-E731-4F7E-B7C8-CA3439F80A20}" name="Columna15145" dataDxfId="1267"/>
    <tableColumn id="15152" xr3:uid="{20A64BC1-104A-442C-A307-3335A8AACCDC}" name="Columna15146" dataDxfId="1266"/>
    <tableColumn id="15153" xr3:uid="{EA28A696-580D-45F4-9907-E15344ACA201}" name="Columna15147" dataDxfId="1265"/>
    <tableColumn id="15154" xr3:uid="{4C206A21-F09B-401A-9E6E-0EAEA76B579D}" name="Columna15148" dataDxfId="1264"/>
    <tableColumn id="15155" xr3:uid="{AE4FF6E5-CE0B-4086-9592-EB40D5A717D0}" name="Columna15149" dataDxfId="1263"/>
    <tableColumn id="15156" xr3:uid="{AC719444-FE29-48AE-8BC2-42BF2FCEF539}" name="Columna15150" dataDxfId="1262"/>
    <tableColumn id="15157" xr3:uid="{D522DEB9-00AA-431B-9661-F141E07817F5}" name="Columna15151" dataDxfId="1261"/>
    <tableColumn id="15158" xr3:uid="{73AC7A57-DAA4-4D0C-91B6-8699E7D9669A}" name="Columna15152" dataDxfId="1260"/>
    <tableColumn id="15159" xr3:uid="{4B1B19AF-B914-4FFE-8195-6494E9B10860}" name="Columna15153" dataDxfId="1259"/>
    <tableColumn id="15160" xr3:uid="{80F8DCCB-68FB-4FED-80C7-A5AE74B3BA3D}" name="Columna15154" dataDxfId="1258"/>
    <tableColumn id="15161" xr3:uid="{42F7D145-1DB3-4A77-942D-AA88297CD9FE}" name="Columna15155" dataDxfId="1257"/>
    <tableColumn id="15162" xr3:uid="{1BC0D3BC-7176-4BF5-BAC5-4D4064619F5F}" name="Columna15156" dataDxfId="1256"/>
    <tableColumn id="15163" xr3:uid="{BB283D72-3F94-4096-B775-9C350F78E9F5}" name="Columna15157" dataDxfId="1255"/>
    <tableColumn id="15164" xr3:uid="{E8255C18-ECF0-4F6F-8B12-7675BFBCE177}" name="Columna15158" dataDxfId="1254"/>
    <tableColumn id="15165" xr3:uid="{FAA883FA-B5B9-4E07-BBA8-8475DDEF856E}" name="Columna15159" dataDxfId="1253"/>
    <tableColumn id="15166" xr3:uid="{2596CD43-556B-4E56-ADCB-6E08AE99E394}" name="Columna15160" dataDxfId="1252"/>
    <tableColumn id="15167" xr3:uid="{D1A07209-750C-4630-96AB-4C6D03AFDF5F}" name="Columna15161" dataDxfId="1251"/>
    <tableColumn id="15168" xr3:uid="{6605F229-A647-481A-9B9B-19895F6ED1E5}" name="Columna15162" dataDxfId="1250"/>
    <tableColumn id="15169" xr3:uid="{00F2617A-34FD-42B8-AEBE-26E9DCC30915}" name="Columna15163" dataDxfId="1249"/>
    <tableColumn id="15170" xr3:uid="{C829A73E-EB5E-4EA8-BEC0-C67097DEEC4A}" name="Columna15164" dataDxfId="1248"/>
    <tableColumn id="15171" xr3:uid="{F0D46323-1FAE-42A3-9E12-D1AD676B7E82}" name="Columna15165" dataDxfId="1247"/>
    <tableColumn id="15172" xr3:uid="{939040A9-185D-4DCF-BAE3-F40A4B88EFAC}" name="Columna15166" dataDxfId="1246"/>
    <tableColumn id="15173" xr3:uid="{9E89AB13-EE7F-4355-B785-DAA84B109DE5}" name="Columna15167" dataDxfId="1245"/>
    <tableColumn id="15174" xr3:uid="{700B7E05-408E-414F-9527-C304CD647CBD}" name="Columna15168" dataDxfId="1244"/>
    <tableColumn id="15175" xr3:uid="{2DCBBC0E-2E41-4886-924F-64BDC5F5CE85}" name="Columna15169" dataDxfId="1243"/>
    <tableColumn id="15176" xr3:uid="{50780063-E078-4DB2-9BA4-E1FB18982A71}" name="Columna15170" dataDxfId="1242"/>
    <tableColumn id="15177" xr3:uid="{D5BAB29D-CD3D-4570-A194-18FD079FA3AE}" name="Columna15171" dataDxfId="1241"/>
    <tableColumn id="15178" xr3:uid="{734860A9-B5F9-455D-8F12-5F550ED6706F}" name="Columna15172" dataDxfId="1240"/>
    <tableColumn id="15179" xr3:uid="{6292E291-70C0-4D01-958E-3C8E14DE93EB}" name="Columna15173" dataDxfId="1239"/>
    <tableColumn id="15180" xr3:uid="{E937A75C-D4E1-499A-97C2-41C3B3F8C564}" name="Columna15174" dataDxfId="1238"/>
    <tableColumn id="15181" xr3:uid="{AA095450-BBE1-42EC-B017-57376BADB158}" name="Columna15175" dataDxfId="1237"/>
    <tableColumn id="15182" xr3:uid="{C020B255-067A-4444-98B2-1A2145E7DF2B}" name="Columna15176" dataDxfId="1236"/>
    <tableColumn id="15183" xr3:uid="{AE35AE7E-94E9-4045-9057-04F628F27BB3}" name="Columna15177" dataDxfId="1235"/>
    <tableColumn id="15184" xr3:uid="{780E458C-DA68-4CEA-9F3A-0E03A30F335A}" name="Columna15178" dataDxfId="1234"/>
    <tableColumn id="15185" xr3:uid="{85A7CFDF-A4E1-4095-A28E-B6094DFC8A77}" name="Columna15179" dataDxfId="1233"/>
    <tableColumn id="15186" xr3:uid="{225F00D3-CABA-44DA-B986-7E14C9401EFD}" name="Columna15180" dataDxfId="1232"/>
    <tableColumn id="15187" xr3:uid="{83FB199B-3991-44C6-B9EA-96F34F178C4B}" name="Columna15181" dataDxfId="1231"/>
    <tableColumn id="15188" xr3:uid="{27BDE283-9CAD-4425-B284-26E78DB1C3E1}" name="Columna15182" dataDxfId="1230"/>
    <tableColumn id="15189" xr3:uid="{2B4DBE26-AB6A-4901-ACC7-3A0B2671DD74}" name="Columna15183" dataDxfId="1229"/>
    <tableColumn id="15190" xr3:uid="{B51476D2-BB48-4916-9845-9FF2D66806B0}" name="Columna15184" dataDxfId="1228"/>
    <tableColumn id="15191" xr3:uid="{8F003686-E04F-4D06-9F2C-F5047C5332ED}" name="Columna15185" dataDxfId="1227"/>
    <tableColumn id="15192" xr3:uid="{85314FF6-28AB-4734-8B41-237F571D4EF5}" name="Columna15186" dataDxfId="1226"/>
    <tableColumn id="15193" xr3:uid="{1CDB1727-43B4-434E-A0A7-DE3FBD1D2CCF}" name="Columna15187" dataDxfId="1225"/>
    <tableColumn id="15194" xr3:uid="{9349A93A-0CC8-4400-BC36-F7198A739612}" name="Columna15188" dataDxfId="1224"/>
    <tableColumn id="15195" xr3:uid="{93E1F9D0-2709-4D61-94C9-DAAA4E85322F}" name="Columna15189" dataDxfId="1223"/>
    <tableColumn id="15196" xr3:uid="{92DCDCE3-83D9-42FC-8668-3EB69CEAFFCB}" name="Columna15190" dataDxfId="1222"/>
    <tableColumn id="15197" xr3:uid="{300B42B5-3398-45BC-94DA-5D14AD51CA5A}" name="Columna15191" dataDxfId="1221"/>
    <tableColumn id="15198" xr3:uid="{49F930C1-79C5-4F24-91F2-7358362A98DA}" name="Columna15192" dataDxfId="1220"/>
    <tableColumn id="15199" xr3:uid="{CAF3C542-ED32-4BAD-A883-9046D7507A38}" name="Columna15193" dataDxfId="1219"/>
    <tableColumn id="15200" xr3:uid="{664BEAED-DAB6-49C0-8DFD-C7E2634966E3}" name="Columna15194" dataDxfId="1218"/>
    <tableColumn id="15201" xr3:uid="{F8B51E61-941E-406D-BEEA-E0BEC057A693}" name="Columna15195" dataDxfId="1217"/>
    <tableColumn id="15202" xr3:uid="{8D043347-9FFC-4691-B0B7-9F1473EDE2ED}" name="Columna15196" dataDxfId="1216"/>
    <tableColumn id="15203" xr3:uid="{85C6511F-5019-43A2-82F4-96F12707AF4A}" name="Columna15197" dataDxfId="1215"/>
    <tableColumn id="15204" xr3:uid="{44156D25-5BF9-49A7-BD47-15485AFDE27A}" name="Columna15198" dataDxfId="1214"/>
    <tableColumn id="15205" xr3:uid="{EE014EFB-FE08-4CE1-8384-5BA7639852BB}" name="Columna15199" dataDxfId="1213"/>
    <tableColumn id="15206" xr3:uid="{6A975E4D-1170-434E-A461-06A1E699C6AC}" name="Columna15200" dataDxfId="1212"/>
    <tableColumn id="15207" xr3:uid="{CC9423A7-19CD-44D8-944C-0B87D2EB9A3D}" name="Columna15201" dataDxfId="1211"/>
    <tableColumn id="15208" xr3:uid="{A53DCAA6-6E2B-4A92-B36A-A29A73495665}" name="Columna15202" dataDxfId="1210"/>
    <tableColumn id="15209" xr3:uid="{920171B7-2CA6-478A-86C1-2588809FDA74}" name="Columna15203" dataDxfId="1209"/>
    <tableColumn id="15210" xr3:uid="{7357B27D-A6DF-4BD5-952C-065C35184B09}" name="Columna15204" dataDxfId="1208"/>
    <tableColumn id="15211" xr3:uid="{107387A4-3522-407E-827D-99053BBDCF71}" name="Columna15205" dataDxfId="1207"/>
    <tableColumn id="15212" xr3:uid="{C4901246-5C56-4FBB-A675-DA6863DB4E00}" name="Columna15206" dataDxfId="1206"/>
    <tableColumn id="15213" xr3:uid="{D4D77938-60D6-4090-BD7F-AF793C97464D}" name="Columna15207" dataDxfId="1205"/>
    <tableColumn id="15214" xr3:uid="{67370CA9-9B6A-44E8-B5CD-8C1B2C67EB74}" name="Columna15208" dataDxfId="1204"/>
    <tableColumn id="15215" xr3:uid="{3EFF5316-9E31-4945-90F7-E1F61DABD7CD}" name="Columna15209" dataDxfId="1203"/>
    <tableColumn id="15216" xr3:uid="{C6FF806E-8074-4DED-8D1B-590400DE9CCC}" name="Columna15210" dataDxfId="1202"/>
    <tableColumn id="15217" xr3:uid="{F7D02AD3-1547-4722-805C-181C15C5C83C}" name="Columna15211" dataDxfId="1201"/>
    <tableColumn id="15218" xr3:uid="{B4E79543-A2FC-429A-ACD0-F88EAE6FE6A4}" name="Columna15212" dataDxfId="1200"/>
    <tableColumn id="15219" xr3:uid="{E4697F34-C015-4DCA-B0CF-3E9477EC50D0}" name="Columna15213" dataDxfId="1199"/>
    <tableColumn id="15220" xr3:uid="{A1336E08-B3BF-4341-91AD-F74F1897F9D8}" name="Columna15214" dataDxfId="1198"/>
    <tableColumn id="15221" xr3:uid="{B343B87B-2794-4651-A46E-92D714AAB997}" name="Columna15215" dataDxfId="1197"/>
    <tableColumn id="15222" xr3:uid="{B22FF149-83AD-427D-9849-6C95374959C9}" name="Columna15216" dataDxfId="1196"/>
    <tableColumn id="15223" xr3:uid="{5308548E-B944-4D24-86A5-5A012E3207EB}" name="Columna15217" dataDxfId="1195"/>
    <tableColumn id="15224" xr3:uid="{295438F4-F6D4-4BC6-8418-7F4025629706}" name="Columna15218" dataDxfId="1194"/>
    <tableColumn id="15225" xr3:uid="{3937C871-5EE6-4F05-9CAE-F4E38B777D5A}" name="Columna15219" dataDxfId="1193"/>
    <tableColumn id="15226" xr3:uid="{3861A5E0-13E0-48A7-9058-E78ED85E76EA}" name="Columna15220" dataDxfId="1192"/>
    <tableColumn id="15227" xr3:uid="{DCC82778-3EDE-4599-88B1-F1E51D601C73}" name="Columna15221" dataDxfId="1191"/>
    <tableColumn id="15228" xr3:uid="{ACA71964-554A-4555-9E97-508A33768103}" name="Columna15222" dataDxfId="1190"/>
    <tableColumn id="15229" xr3:uid="{EF247AAE-92EC-4735-A4C9-158C5109C892}" name="Columna15223" dataDxfId="1189"/>
    <tableColumn id="15230" xr3:uid="{6DCAFC30-C976-4DB5-B1E8-E370C97EF00B}" name="Columna15224" dataDxfId="1188"/>
    <tableColumn id="15231" xr3:uid="{6374B432-B212-430F-B834-A2EE8EFA9FB1}" name="Columna15225" dataDxfId="1187"/>
    <tableColumn id="15232" xr3:uid="{C2018003-CAE5-4B5E-A729-83405BBEC6EB}" name="Columna15226" dataDxfId="1186"/>
    <tableColumn id="15233" xr3:uid="{1C12BDCF-7BB2-4402-BAEF-ABAAC74AAD6A}" name="Columna15227" dataDxfId="1185"/>
    <tableColumn id="15234" xr3:uid="{D22B0D46-D62B-40D4-8369-DC5E53917764}" name="Columna15228" dataDxfId="1184"/>
    <tableColumn id="15235" xr3:uid="{13914212-3500-4751-A05B-9CA4176B1AB5}" name="Columna15229" dataDxfId="1183"/>
    <tableColumn id="15236" xr3:uid="{142A023B-EAF3-4A00-81A8-1E7094026BEB}" name="Columna15230" dataDxfId="1182"/>
    <tableColumn id="15237" xr3:uid="{E96E530E-33AB-41F7-98DD-149BFDF2743B}" name="Columna15231" dataDxfId="1181"/>
    <tableColumn id="15238" xr3:uid="{BF2BCE11-BA13-4D58-A0A7-B3405EBC827E}" name="Columna15232" dataDxfId="1180"/>
    <tableColumn id="15239" xr3:uid="{E70129F3-BE03-4D2F-9054-AFFADF9D479E}" name="Columna15233" dataDxfId="1179"/>
    <tableColumn id="15240" xr3:uid="{9E242D1B-3E4D-4966-A164-97B9BB6E2CAA}" name="Columna15234" dataDxfId="1178"/>
    <tableColumn id="15241" xr3:uid="{C9DE5489-284D-4B73-80DF-8FEF28E3917D}" name="Columna15235" dataDxfId="1177"/>
    <tableColumn id="15242" xr3:uid="{1E2506D1-FDFA-406C-8DF0-0704C35AED89}" name="Columna15236" dataDxfId="1176"/>
    <tableColumn id="15243" xr3:uid="{06B86E48-F6EE-4CE0-95D7-E4143774C7C3}" name="Columna15237" dataDxfId="1175"/>
    <tableColumn id="15244" xr3:uid="{6B65F03C-DA51-4038-8469-9A43C6701034}" name="Columna15238" dataDxfId="1174"/>
    <tableColumn id="15245" xr3:uid="{543A641C-00B5-423E-8C10-2546CCD4BACD}" name="Columna15239" dataDxfId="1173"/>
    <tableColumn id="15246" xr3:uid="{5CB73061-C06C-402A-A844-30F2FD0818DA}" name="Columna15240" dataDxfId="1172"/>
    <tableColumn id="15247" xr3:uid="{01C01764-11F7-44BD-80A2-D8A89B2D5E5E}" name="Columna15241" dataDxfId="1171"/>
    <tableColumn id="15248" xr3:uid="{5B1BC931-2C43-4BAE-B82D-77EBA49DBB6D}" name="Columna15242" dataDxfId="1170"/>
    <tableColumn id="15249" xr3:uid="{DD8BEE24-9F76-4D04-A220-74F2D25AB3FF}" name="Columna15243" dataDxfId="1169"/>
    <tableColumn id="15250" xr3:uid="{DBD3F1B8-1A79-4757-B4B8-57AE29486953}" name="Columna15244" dataDxfId="1168"/>
    <tableColumn id="15251" xr3:uid="{611AE79E-C441-470E-BD65-6310C253E326}" name="Columna15245" dataDxfId="1167"/>
    <tableColumn id="15252" xr3:uid="{D6C78929-6D15-4CBE-B520-74A497F16391}" name="Columna15246" dataDxfId="1166"/>
    <tableColumn id="15253" xr3:uid="{CE8D13AE-5211-4C98-83C7-5518826CC848}" name="Columna15247" dataDxfId="1165"/>
    <tableColumn id="15254" xr3:uid="{3EBA129F-7B66-48A0-84B3-75B336F1FDAD}" name="Columna15248" dataDxfId="1164"/>
    <tableColumn id="15255" xr3:uid="{A72375B0-A9CC-46C7-BF1F-6178F8927DD3}" name="Columna15249" dataDxfId="1163"/>
    <tableColumn id="15256" xr3:uid="{B2603D4E-20A4-4F08-A87D-E2971FCBF5F0}" name="Columna15250" dataDxfId="1162"/>
    <tableColumn id="15257" xr3:uid="{73DED800-4A2A-4393-A2A0-DB6EDA2F7014}" name="Columna15251" dataDxfId="1161"/>
    <tableColumn id="15258" xr3:uid="{C6A5F0DC-DEF1-4DD7-ADE9-0712F15409A9}" name="Columna15252" dataDxfId="1160"/>
    <tableColumn id="15259" xr3:uid="{E1D0622D-9029-4347-8B64-0EDFD290DB0A}" name="Columna15253" dataDxfId="1159"/>
    <tableColumn id="15260" xr3:uid="{5454D098-F723-4B56-922F-C9B84DF62F70}" name="Columna15254" dataDxfId="1158"/>
    <tableColumn id="15261" xr3:uid="{CA1235DC-AF49-4677-8903-914D24BA4191}" name="Columna15255" dataDxfId="1157"/>
    <tableColumn id="15262" xr3:uid="{8CBCDDD4-6952-4E9E-A5D1-59BDE7723051}" name="Columna15256" dataDxfId="1156"/>
    <tableColumn id="15263" xr3:uid="{13C73DD6-A342-4E74-8CE5-9C0B461B2F67}" name="Columna15257" dataDxfId="1155"/>
    <tableColumn id="15264" xr3:uid="{E8890CD8-94D4-4627-B97B-B4474E396D7D}" name="Columna15258" dataDxfId="1154"/>
    <tableColumn id="15265" xr3:uid="{ABE1083C-355B-4919-BEBF-61CA67CCBA18}" name="Columna15259" dataDxfId="1153"/>
    <tableColumn id="15266" xr3:uid="{912FEF02-ED5F-40CC-81F9-0C341716819E}" name="Columna15260" dataDxfId="1152"/>
    <tableColumn id="15267" xr3:uid="{46131E02-F642-4174-87DD-15D68224FDB7}" name="Columna15261" dataDxfId="1151"/>
    <tableColumn id="15268" xr3:uid="{415640AA-9DF8-423E-B304-836921A8369C}" name="Columna15262" dataDxfId="1150"/>
    <tableColumn id="15269" xr3:uid="{3C0E11A9-EFDC-4774-A899-4ED24FA91A72}" name="Columna15263" dataDxfId="1149"/>
    <tableColumn id="15270" xr3:uid="{A1B2CA4A-EA97-48D6-A66D-7036A49508DA}" name="Columna15264" dataDxfId="1148"/>
    <tableColumn id="15271" xr3:uid="{CCC2ACFC-F6B8-4265-933F-F29F5FC76DA1}" name="Columna15265" dataDxfId="1147"/>
    <tableColumn id="15272" xr3:uid="{FFDDCD34-DB09-4172-9CDF-095565CCB1A8}" name="Columna15266" dataDxfId="1146"/>
    <tableColumn id="15273" xr3:uid="{1B49786E-D147-484B-AAAC-60FD01A79749}" name="Columna15267" dataDxfId="1145"/>
    <tableColumn id="15274" xr3:uid="{6E57186F-0766-4999-8657-0A84493EA1F3}" name="Columna15268" dataDxfId="1144"/>
    <tableColumn id="15275" xr3:uid="{50BEAC0D-93EC-494B-BF5F-AA7677EBD2DD}" name="Columna15269" dataDxfId="1143"/>
    <tableColumn id="15276" xr3:uid="{93388C81-6AE3-4759-A990-4B5CF610BD29}" name="Columna15270" dataDxfId="1142"/>
    <tableColumn id="15277" xr3:uid="{93F828FC-66AD-4AEB-BB04-A0C7E2E3E754}" name="Columna15271" dataDxfId="1141"/>
    <tableColumn id="15278" xr3:uid="{63FECEAC-2698-4168-8F38-2E3B03310FA1}" name="Columna15272" dataDxfId="1140"/>
    <tableColumn id="15279" xr3:uid="{34F55354-81A9-4C01-81E2-7CCB4F0FB8A6}" name="Columna15273" dataDxfId="1139"/>
    <tableColumn id="15280" xr3:uid="{163734E0-F5B0-4AB3-BCDA-A77018A33C1A}" name="Columna15274" dataDxfId="1138"/>
    <tableColumn id="15281" xr3:uid="{1D2760E7-0256-4E89-BFCC-A895489A230C}" name="Columna15275" dataDxfId="1137"/>
    <tableColumn id="15282" xr3:uid="{BE725193-D00B-4294-AC36-EDA702E9011F}" name="Columna15276" dataDxfId="1136"/>
    <tableColumn id="15283" xr3:uid="{109A2A97-A7F0-4011-A978-A6F612794984}" name="Columna15277" dataDxfId="1135"/>
    <tableColumn id="15284" xr3:uid="{12909F8A-0B4E-47AF-A9C8-793A4CF07BAB}" name="Columna15278" dataDxfId="1134"/>
    <tableColumn id="15285" xr3:uid="{798CFF72-DEB1-4E5D-B28A-BAE84D17400D}" name="Columna15279" dataDxfId="1133"/>
    <tableColumn id="15286" xr3:uid="{83BF6DC3-7DFC-4B19-A811-EE99D482AA53}" name="Columna15280" dataDxfId="1132"/>
    <tableColumn id="15287" xr3:uid="{C59F5B3F-6739-4084-8239-95EB9851A163}" name="Columna15281" dataDxfId="1131"/>
    <tableColumn id="15288" xr3:uid="{96E3A689-A20D-4ED3-9024-47B2D7E0ED4E}" name="Columna15282" dataDxfId="1130"/>
    <tableColumn id="15289" xr3:uid="{ECAAB965-6370-4669-9A4D-BD7EACA7399F}" name="Columna15283" dataDxfId="1129"/>
    <tableColumn id="15290" xr3:uid="{5BB84ABF-D41C-4BF7-BF5A-40ECB0D41ACA}" name="Columna15284" dataDxfId="1128"/>
    <tableColumn id="15291" xr3:uid="{028FA7CE-90E7-4315-A96B-80C1341EC89C}" name="Columna15285" dataDxfId="1127"/>
    <tableColumn id="15292" xr3:uid="{3B48785B-04E1-4F45-B37C-8C81B2C928E8}" name="Columna15286" dataDxfId="1126"/>
    <tableColumn id="15293" xr3:uid="{1630E724-F393-45E3-A90D-B61796AEF240}" name="Columna15287" dataDxfId="1125"/>
    <tableColumn id="15294" xr3:uid="{AFD4EF2B-FF38-48DF-A061-715E73AAC122}" name="Columna15288" dataDxfId="1124"/>
    <tableColumn id="15295" xr3:uid="{6391A5A5-C886-47FC-A2B7-1E5C5D0A02E8}" name="Columna15289" dataDxfId="1123"/>
    <tableColumn id="15296" xr3:uid="{879E3780-FD9B-4633-9738-2FFB25F35230}" name="Columna15290" dataDxfId="1122"/>
    <tableColumn id="15297" xr3:uid="{5550E840-1063-4D2C-AE1D-2765AC195554}" name="Columna15291" dataDxfId="1121"/>
    <tableColumn id="15298" xr3:uid="{61259293-C0D4-4A24-B309-769C2D6976F1}" name="Columna15292" dataDxfId="1120"/>
    <tableColumn id="15299" xr3:uid="{C4DD551D-310B-40DA-86DA-598579FA6686}" name="Columna15293" dataDxfId="1119"/>
    <tableColumn id="15300" xr3:uid="{646A7779-D30C-485F-82EB-DC470E92B99A}" name="Columna15294" dataDxfId="1118"/>
    <tableColumn id="15301" xr3:uid="{90F5E19D-4FD2-458D-9E03-7C172D21C610}" name="Columna15295" dataDxfId="1117"/>
    <tableColumn id="15302" xr3:uid="{6D4E221A-E534-42ED-8835-02F13255B206}" name="Columna15296" dataDxfId="1116"/>
    <tableColumn id="15303" xr3:uid="{05E720C0-F831-4D82-B1D0-FE7BFEE6BFB4}" name="Columna15297" dataDxfId="1115"/>
    <tableColumn id="15304" xr3:uid="{66BC88E4-F3BB-493C-AB8C-9D1E2AC37348}" name="Columna15298" dataDxfId="1114"/>
    <tableColumn id="15305" xr3:uid="{86DEC688-E042-41CC-BA5D-AFB9E1D174C5}" name="Columna15299" dataDxfId="1113"/>
    <tableColumn id="15306" xr3:uid="{2383A81C-6CA8-4414-8C90-AE0283D4687A}" name="Columna15300" dataDxfId="1112"/>
    <tableColumn id="15307" xr3:uid="{09559673-DCEE-4C9A-B21C-09D70BC014A3}" name="Columna15301" dataDxfId="1111"/>
    <tableColumn id="15308" xr3:uid="{C0D51E50-8B6B-4327-B9B6-34DF69D195AF}" name="Columna15302" dataDxfId="1110"/>
    <tableColumn id="15309" xr3:uid="{00134A1E-29E3-4CE9-99FD-E3E9DD253693}" name="Columna15303" dataDxfId="1109"/>
    <tableColumn id="15310" xr3:uid="{BD2A7313-A771-4CB8-9E59-683577DE02B5}" name="Columna15304" dataDxfId="1108"/>
    <tableColumn id="15311" xr3:uid="{93EA3283-06BF-4BC4-99F2-7F9C91D879A7}" name="Columna15305" dataDxfId="1107"/>
    <tableColumn id="15312" xr3:uid="{82AA0418-7911-454D-B4BC-0016BABFB1D6}" name="Columna15306" dataDxfId="1106"/>
    <tableColumn id="15313" xr3:uid="{758237B7-B665-4BB5-9D3D-BF224ACD1740}" name="Columna15307" dataDxfId="1105"/>
    <tableColumn id="15314" xr3:uid="{EB3E674B-0D6E-46A2-8652-6AD09C55574F}" name="Columna15308" dataDxfId="1104"/>
    <tableColumn id="15315" xr3:uid="{1D9C4B95-A00B-4C8C-A318-5D3025CFAA68}" name="Columna15309" dataDxfId="1103"/>
    <tableColumn id="15316" xr3:uid="{0DC97487-E38F-49CC-8BF2-268F8A83358C}" name="Columna15310" dataDxfId="1102"/>
    <tableColumn id="15317" xr3:uid="{E8E75FB8-D0A6-4456-830F-B804C62D42E3}" name="Columna15311" dataDxfId="1101"/>
    <tableColumn id="15318" xr3:uid="{248C1724-A243-4419-8D76-2470191880B4}" name="Columna15312" dataDxfId="1100"/>
    <tableColumn id="15319" xr3:uid="{750605A8-1037-4F82-A89B-4DA1A77343CE}" name="Columna15313" dataDxfId="1099"/>
    <tableColumn id="15320" xr3:uid="{2DCD3D05-0988-4205-945C-055BE3DEFE95}" name="Columna15314" dataDxfId="1098"/>
    <tableColumn id="15321" xr3:uid="{45842862-1730-4637-A7F4-787E7856DADC}" name="Columna15315" dataDxfId="1097"/>
    <tableColumn id="15322" xr3:uid="{ED613288-CAC6-4D83-A0D7-01E40A481BBD}" name="Columna15316" dataDxfId="1096"/>
    <tableColumn id="15323" xr3:uid="{41A4F8BF-C538-4E45-9D71-DF2BDF0EEFB2}" name="Columna15317" dataDxfId="1095"/>
    <tableColumn id="15324" xr3:uid="{251F7383-0855-4771-9CEC-42B71E71DB9F}" name="Columna15318" dataDxfId="1094"/>
    <tableColumn id="15325" xr3:uid="{4F0A17A1-CC0E-484C-BE1D-8169CE3CEFDE}" name="Columna15319" dataDxfId="1093"/>
    <tableColumn id="15326" xr3:uid="{548F0628-93CE-4FBC-AAC4-72F751D94811}" name="Columna15320" dataDxfId="1092"/>
    <tableColumn id="15327" xr3:uid="{4FCDD8E7-FB4D-4D01-92AE-FB47FCEED98B}" name="Columna15321" dataDxfId="1091"/>
    <tableColumn id="15328" xr3:uid="{B4621F34-5F8D-4576-94C7-867416CACE57}" name="Columna15322" dataDxfId="1090"/>
    <tableColumn id="15329" xr3:uid="{444CF292-AECE-4E73-B604-9A0C529860D6}" name="Columna15323" dataDxfId="1089"/>
    <tableColumn id="15330" xr3:uid="{19C8B6FA-04BF-4ADC-AA24-F75D6DDE798D}" name="Columna15324" dataDxfId="1088"/>
    <tableColumn id="15331" xr3:uid="{44E2B2FA-C29D-4B56-9B74-44761EC5A021}" name="Columna15325" dataDxfId="1087"/>
    <tableColumn id="15332" xr3:uid="{4E79D60A-CAFB-4716-AEAB-9845ED2F0EC7}" name="Columna15326" dataDxfId="1086"/>
    <tableColumn id="15333" xr3:uid="{523AF5A5-2CEB-4851-93A3-5F53A29F0577}" name="Columna15327" dataDxfId="1085"/>
    <tableColumn id="15334" xr3:uid="{777FBB25-7D13-4431-8278-9C2C9B06408F}" name="Columna15328" dataDxfId="1084"/>
    <tableColumn id="15335" xr3:uid="{3DA0CB12-96ED-4347-BC09-FAA7D9A713CA}" name="Columna15329" dataDxfId="1083"/>
    <tableColumn id="15336" xr3:uid="{A303B307-6A89-4EFF-AA35-80C9D81F9768}" name="Columna15330" dataDxfId="1082"/>
    <tableColumn id="15337" xr3:uid="{6BA60A44-4729-42A0-8FB9-356E71EDEB4E}" name="Columna15331" dataDxfId="1081"/>
    <tableColumn id="15338" xr3:uid="{CA02077B-CF80-4884-B1F9-1FC0D7B9BB6A}" name="Columna15332" dataDxfId="1080"/>
    <tableColumn id="15339" xr3:uid="{5800AA11-7148-4297-800B-7312EED1A379}" name="Columna15333" dataDxfId="1079"/>
    <tableColumn id="15340" xr3:uid="{C12D26A3-DEE6-48FD-A48C-874B06E462C0}" name="Columna15334" dataDxfId="1078"/>
    <tableColumn id="15341" xr3:uid="{76A06CFD-6DE3-49E9-BF1B-F63E49EC0C78}" name="Columna15335" dataDxfId="1077"/>
    <tableColumn id="15342" xr3:uid="{930E9019-352A-4284-9D95-A05B34C6BB75}" name="Columna15336" dataDxfId="1076"/>
    <tableColumn id="15343" xr3:uid="{89B301B9-47B5-4370-AC6A-0AE5C145C9B8}" name="Columna15337" dataDxfId="1075"/>
    <tableColumn id="15344" xr3:uid="{7417B811-14ED-431F-8A8C-B459BE207DA2}" name="Columna15338" dataDxfId="1074"/>
    <tableColumn id="15345" xr3:uid="{63D9F78B-EC21-4A73-89AF-933DB46F9007}" name="Columna15339" dataDxfId="1073"/>
    <tableColumn id="15346" xr3:uid="{1FBE792F-D81E-40B8-BFA5-33CB0C796A2F}" name="Columna15340" dataDxfId="1072"/>
    <tableColumn id="15347" xr3:uid="{8A803B6B-F71A-4F5F-BF52-82708DD76CAA}" name="Columna15341" dataDxfId="1071"/>
    <tableColumn id="15348" xr3:uid="{E22C293B-215F-476B-88B6-ED51E3DD2881}" name="Columna15342" dataDxfId="1070"/>
    <tableColumn id="15349" xr3:uid="{96E40CF2-7ABC-4CC2-8B38-A463BEF14280}" name="Columna15343" dataDxfId="1069"/>
    <tableColumn id="15350" xr3:uid="{8CD6EF92-92E3-429A-A6B9-B40582EA442C}" name="Columna15344" dataDxfId="1068"/>
    <tableColumn id="15351" xr3:uid="{FF65DDB5-667D-4E39-B405-6E7FC885DD90}" name="Columna15345" dataDxfId="1067"/>
    <tableColumn id="15352" xr3:uid="{A04D6246-1907-4EB3-9861-40AD222AFA76}" name="Columna15346" dataDxfId="1066"/>
    <tableColumn id="15353" xr3:uid="{2BC61DE1-09C9-48D7-92F0-B398C4599F04}" name="Columna15347" dataDxfId="1065"/>
    <tableColumn id="15354" xr3:uid="{6DD259BA-321F-4225-96E9-AD5252A7498A}" name="Columna15348" dataDxfId="1064"/>
    <tableColumn id="15355" xr3:uid="{3F9A3D08-DAF6-4A5E-96EC-C4B71DA0564C}" name="Columna15349" dataDxfId="1063"/>
    <tableColumn id="15356" xr3:uid="{C35E3413-F812-426E-A7EE-12DA8AAB6BF5}" name="Columna15350" dataDxfId="1062"/>
    <tableColumn id="15357" xr3:uid="{20E5786E-C66F-45A1-9DB9-FF480B0CFE5D}" name="Columna15351" dataDxfId="1061"/>
    <tableColumn id="15358" xr3:uid="{5F23B633-BB7B-4779-8921-A289A5917B59}" name="Columna15352" dataDxfId="1060"/>
    <tableColumn id="15359" xr3:uid="{F57A4F68-57A5-41BA-85CF-9DFB1D5B208C}" name="Columna15353" dataDxfId="1059"/>
    <tableColumn id="15360" xr3:uid="{65D206BC-B279-4BE6-800C-4EC092B9D86A}" name="Columna15354" dataDxfId="1058"/>
    <tableColumn id="15361" xr3:uid="{3B1D3FD7-5B7A-4971-8638-997ABE23F595}" name="Columna15355" dataDxfId="1057"/>
    <tableColumn id="15362" xr3:uid="{FEA253E9-657B-427F-B06F-818667A6251B}" name="Columna15356" dataDxfId="1056"/>
    <tableColumn id="15363" xr3:uid="{5CB1BF9C-C30A-462B-A051-BEDC2D605144}" name="Columna15357" dataDxfId="1055"/>
    <tableColumn id="15364" xr3:uid="{A2E09534-570A-4E2F-9812-C47A6D8818FF}" name="Columna15358" dataDxfId="1054"/>
    <tableColumn id="15365" xr3:uid="{8E108EE2-24B8-484E-91A0-F6951FDD8B94}" name="Columna15359" dataDxfId="1053"/>
    <tableColumn id="15366" xr3:uid="{6758A624-9B57-4FC0-8E31-C7B04755185A}" name="Columna15360" dataDxfId="1052"/>
    <tableColumn id="15367" xr3:uid="{67EC3ADA-6E47-4EDF-B0C8-371C32B55853}" name="Columna15361" dataDxfId="1051"/>
    <tableColumn id="15368" xr3:uid="{EC2F6376-00AF-48BC-8321-0F85C6273EF6}" name="Columna15362" dataDxfId="1050"/>
    <tableColumn id="15369" xr3:uid="{933881C3-1B32-474C-B94B-F623379DC4F2}" name="Columna15363" dataDxfId="1049"/>
    <tableColumn id="15370" xr3:uid="{2E50D16B-BBA4-488B-9E39-1ED044470B52}" name="Columna15364" dataDxfId="1048"/>
    <tableColumn id="15371" xr3:uid="{ABA1E354-2A3B-46B9-A9FE-75CD61ECE2B4}" name="Columna15365" dataDxfId="1047"/>
    <tableColumn id="15372" xr3:uid="{F089CCC1-310B-4032-AB64-087195F718E1}" name="Columna15366" dataDxfId="1046"/>
    <tableColumn id="15373" xr3:uid="{1673AF69-7A9E-4CA8-9A0E-D11A29A2C537}" name="Columna15367" dataDxfId="1045"/>
    <tableColumn id="15374" xr3:uid="{90E4D962-F916-4218-8DEB-38D10D4E1552}" name="Columna15368" dataDxfId="1044"/>
    <tableColumn id="15375" xr3:uid="{46F41F93-FE31-4F3E-817E-4018C57903B8}" name="Columna15369" dataDxfId="1043"/>
    <tableColumn id="15376" xr3:uid="{4877D89E-A5A8-42C9-AA36-036C824A05B1}" name="Columna15370" dataDxfId="1042"/>
    <tableColumn id="15377" xr3:uid="{1118D040-76C2-492F-8DE3-C4D11FB237EF}" name="Columna15371" dataDxfId="1041"/>
    <tableColumn id="15378" xr3:uid="{4E45277D-8B43-43DF-82CF-473F5E643BDD}" name="Columna15372" dataDxfId="1040"/>
    <tableColumn id="15379" xr3:uid="{21E48210-37BE-4006-8416-1B36BF1F222B}" name="Columna15373" dataDxfId="1039"/>
    <tableColumn id="15380" xr3:uid="{DE9A691E-C6C8-4A2B-93B9-F67824FA6013}" name="Columna15374" dataDxfId="1038"/>
    <tableColumn id="15381" xr3:uid="{3F824D3B-FC63-4CD4-82F3-EEADF248F7C3}" name="Columna15375" dataDxfId="1037"/>
    <tableColumn id="15382" xr3:uid="{7C9036AC-C512-4BAE-B9D1-88EFC3A27C2E}" name="Columna15376" dataDxfId="1036"/>
    <tableColumn id="15383" xr3:uid="{8A8070E8-3B26-44D4-B177-77710BFF7094}" name="Columna15377" dataDxfId="1035"/>
    <tableColumn id="15384" xr3:uid="{27FF283C-BC02-496F-90EE-7D908095A3E9}" name="Columna15378" dataDxfId="1034"/>
    <tableColumn id="15385" xr3:uid="{1C630B2C-96C1-4767-9EFC-095556F72FCC}" name="Columna15379" dataDxfId="1033"/>
    <tableColumn id="15386" xr3:uid="{9F12C4E5-7599-4852-848F-148247D73223}" name="Columna15380" dataDxfId="1032"/>
    <tableColumn id="15387" xr3:uid="{574BA196-48F5-4060-8A4D-00F79B88B69D}" name="Columna15381" dataDxfId="1031"/>
    <tableColumn id="15388" xr3:uid="{C5741480-3ECD-4AD5-B078-1015F76CC075}" name="Columna15382" dataDxfId="1030"/>
    <tableColumn id="15389" xr3:uid="{317CFA5D-ECF8-4B1D-B7F5-F101B6CBDE36}" name="Columna15383" dataDxfId="1029"/>
    <tableColumn id="15390" xr3:uid="{BB97EC52-BDF4-423C-B220-BBC8C83C8B51}" name="Columna15384" dataDxfId="1028"/>
    <tableColumn id="15391" xr3:uid="{5624A420-D2AD-4CE9-BE4F-DA312C8777A4}" name="Columna15385" dataDxfId="1027"/>
    <tableColumn id="15392" xr3:uid="{4812E643-4CC7-4EBF-BD31-260EAACE6010}" name="Columna15386" dataDxfId="1026"/>
    <tableColumn id="15393" xr3:uid="{7795BADD-8CC7-4813-B9E9-F9491EDCF430}" name="Columna15387" dataDxfId="1025"/>
    <tableColumn id="15394" xr3:uid="{5C647788-9FFA-4E52-9B5F-079E8A44A714}" name="Columna15388" dataDxfId="1024"/>
    <tableColumn id="15395" xr3:uid="{267E6468-FF86-443C-B420-156A35781822}" name="Columna15389" dataDxfId="1023"/>
    <tableColumn id="15396" xr3:uid="{60EB58FF-E52C-4B37-8668-64FD8C5ED20D}" name="Columna15390" dataDxfId="1022"/>
    <tableColumn id="15397" xr3:uid="{C51CF737-AB3B-4D99-93DE-2951D6360A0E}" name="Columna15391" dataDxfId="1021"/>
    <tableColumn id="15398" xr3:uid="{33E5AA17-D55F-4F8B-9C73-6E98C8B06C44}" name="Columna15392" dataDxfId="1020"/>
    <tableColumn id="15399" xr3:uid="{96DAE9EC-647C-4180-A449-449BCEFE7FDD}" name="Columna15393" dataDxfId="1019"/>
    <tableColumn id="15400" xr3:uid="{BFB9B74F-126E-4B85-ABFF-D56776BBE482}" name="Columna15394" dataDxfId="1018"/>
    <tableColumn id="15401" xr3:uid="{E9E52834-E92F-42F3-A4B8-A40F1E473E9E}" name="Columna15395" dataDxfId="1017"/>
    <tableColumn id="15402" xr3:uid="{C0ABD5CC-3AE0-49A8-8523-7B76774B9531}" name="Columna15396" dataDxfId="1016"/>
    <tableColumn id="15403" xr3:uid="{90E36B27-0B95-44F8-8077-BAE7CE87FAE1}" name="Columna15397" dataDxfId="1015"/>
    <tableColumn id="15404" xr3:uid="{B781BC94-C3FF-4DC2-92D1-8D19B943E193}" name="Columna15398" dataDxfId="1014"/>
    <tableColumn id="15405" xr3:uid="{6C6697AC-CE4E-403C-A788-5C16A4E47612}" name="Columna15399" dataDxfId="1013"/>
    <tableColumn id="15406" xr3:uid="{52300D85-9445-4DF1-8215-09A4D18666EC}" name="Columna15400" dataDxfId="1012"/>
    <tableColumn id="15407" xr3:uid="{CB373A7D-1B63-4DDC-9891-52E3E2A3B919}" name="Columna15401" dataDxfId="1011"/>
    <tableColumn id="15408" xr3:uid="{E1183A48-9C9A-47A9-9A8F-DF378789EC8A}" name="Columna15402" dataDxfId="1010"/>
    <tableColumn id="15409" xr3:uid="{6843DD35-C15B-4237-8601-EB3570F8C0EA}" name="Columna15403" dataDxfId="1009"/>
    <tableColumn id="15410" xr3:uid="{6CBC7626-15A4-4EF7-A0F4-BD3D024FD457}" name="Columna15404" dataDxfId="1008"/>
    <tableColumn id="15411" xr3:uid="{96B929C9-B5EF-4387-A08F-E741175218A7}" name="Columna15405" dataDxfId="1007"/>
    <tableColumn id="15412" xr3:uid="{C5CBBACB-D0F7-484C-8595-61BD8E81D22E}" name="Columna15406" dataDxfId="1006"/>
    <tableColumn id="15413" xr3:uid="{A7958972-C340-49FA-B814-A3D5312635B3}" name="Columna15407" dataDxfId="1005"/>
    <tableColumn id="15414" xr3:uid="{F660D5B5-7C8D-4FB1-A27F-D2F7C08D8B60}" name="Columna15408" dataDxfId="1004"/>
    <tableColumn id="15415" xr3:uid="{829CCEBA-195B-4A22-AADB-ABC4CB73038B}" name="Columna15409" dataDxfId="1003"/>
    <tableColumn id="15416" xr3:uid="{AEEA3255-8A98-41A8-9B69-6B46A8D6AFAE}" name="Columna15410" dataDxfId="1002"/>
    <tableColumn id="15417" xr3:uid="{C2C0466C-F9CD-404B-BCAD-8799F24757C8}" name="Columna15411" dataDxfId="1001"/>
    <tableColumn id="15418" xr3:uid="{90FFF47F-21C3-4CAE-8FC1-7F5A098D2E23}" name="Columna15412" dataDxfId="1000"/>
    <tableColumn id="15419" xr3:uid="{6EA3243C-E40B-4301-ABA7-4AC85CD2288F}" name="Columna15413" dataDxfId="999"/>
    <tableColumn id="15420" xr3:uid="{D3A3B19C-6225-4C0A-9920-A27412D9A49D}" name="Columna15414" dataDxfId="998"/>
    <tableColumn id="15421" xr3:uid="{540AA3DA-011B-446E-9FB0-EE96E9CD2854}" name="Columna15415" dataDxfId="997"/>
    <tableColumn id="15422" xr3:uid="{F1AF0600-FA40-4F3C-B59A-99FDF6B5C6B9}" name="Columna15416" dataDxfId="996"/>
    <tableColumn id="15423" xr3:uid="{021B0C15-7947-433D-9B8C-03FEFC0186CF}" name="Columna15417" dataDxfId="995"/>
    <tableColumn id="15424" xr3:uid="{9A21A988-F332-45D3-A2EE-A6782323B159}" name="Columna15418" dataDxfId="994"/>
    <tableColumn id="15425" xr3:uid="{FC5C0E6C-977C-48E5-9F28-29D1489AB9D2}" name="Columna15419" dataDxfId="993"/>
    <tableColumn id="15426" xr3:uid="{FAFDDCC7-08A8-4878-92BE-CDD9C55B68CC}" name="Columna15420" dataDxfId="992"/>
    <tableColumn id="15427" xr3:uid="{2057380C-5A31-46A9-841E-69F9F5E56BD9}" name="Columna15421" dataDxfId="991"/>
    <tableColumn id="15428" xr3:uid="{177CE629-9698-4817-8190-37FD1DC9144D}" name="Columna15422" dataDxfId="990"/>
    <tableColumn id="15429" xr3:uid="{D4E8F175-EFB9-4DAE-995D-CA13AD775CF7}" name="Columna15423" dataDxfId="989"/>
    <tableColumn id="15430" xr3:uid="{C1033D68-FF6B-4C92-8DB2-4AFFEEDA43E7}" name="Columna15424" dataDxfId="988"/>
    <tableColumn id="15431" xr3:uid="{80CA0C5A-4AC1-4E88-B03E-2083A5EA9843}" name="Columna15425" dataDxfId="987"/>
    <tableColumn id="15432" xr3:uid="{F51278BB-468E-435C-AE15-88CD7820708A}" name="Columna15426" dataDxfId="986"/>
    <tableColumn id="15433" xr3:uid="{6840102D-FA59-4957-B76B-166A77B84656}" name="Columna15427" dataDxfId="985"/>
    <tableColumn id="15434" xr3:uid="{B389BC6D-B452-434D-BA9E-0D650C023D82}" name="Columna15428" dataDxfId="984"/>
    <tableColumn id="15435" xr3:uid="{D937F10F-8928-4990-9B05-37271E0442E5}" name="Columna15429" dataDxfId="983"/>
    <tableColumn id="15436" xr3:uid="{D128CB36-2985-486C-9736-3D90C2C76CAE}" name="Columna15430" dataDxfId="982"/>
    <tableColumn id="15437" xr3:uid="{AF4621A0-669D-4C48-BD20-A74B141D9042}" name="Columna15431" dataDxfId="981"/>
    <tableColumn id="15438" xr3:uid="{39A78836-617E-4467-92A2-A1BB2C730963}" name="Columna15432" dataDxfId="980"/>
    <tableColumn id="15439" xr3:uid="{441B010B-6DB1-4C88-AD1F-43A08FC5059A}" name="Columna15433" dataDxfId="979"/>
    <tableColumn id="15440" xr3:uid="{FA91E2AE-7649-4CDB-BFB9-067243AED50A}" name="Columna15434" dataDxfId="978"/>
    <tableColumn id="15441" xr3:uid="{4F6DEE77-6EF3-4E26-A8BD-B5E843E5073B}" name="Columna15435" dataDxfId="977"/>
    <tableColumn id="15442" xr3:uid="{5B510D28-23D8-42E7-81D5-3C5A5BCC4EC5}" name="Columna15436" dataDxfId="976"/>
    <tableColumn id="15443" xr3:uid="{DFC63CAD-77B4-449A-9E72-F2AD15785C16}" name="Columna15437" dataDxfId="975"/>
    <tableColumn id="15444" xr3:uid="{028B4B6D-AA09-4500-84AD-D5081D6CA3B9}" name="Columna15438" dataDxfId="974"/>
    <tableColumn id="15445" xr3:uid="{E51DCBE8-C421-4788-9485-06010C8240C2}" name="Columna15439" dataDxfId="973"/>
    <tableColumn id="15446" xr3:uid="{CBEC2A27-D673-4ECD-B250-18A433A03886}" name="Columna15440" dataDxfId="972"/>
    <tableColumn id="15447" xr3:uid="{5FFFB4F2-EA86-48B7-BB12-7D2DA475B194}" name="Columna15441" dataDxfId="971"/>
    <tableColumn id="15448" xr3:uid="{D1DD643A-D08C-4D70-BCEE-1C8722FCC260}" name="Columna15442" dataDxfId="970"/>
    <tableColumn id="15449" xr3:uid="{F8CC3BE6-EED6-409B-B33C-3CE2BDE04E02}" name="Columna15443" dataDxfId="969"/>
    <tableColumn id="15450" xr3:uid="{D7F64795-0F7E-4B8F-B73E-EE0A73902323}" name="Columna15444" dataDxfId="968"/>
    <tableColumn id="15451" xr3:uid="{E6DE6CCB-4A92-4809-842D-C2965F37D484}" name="Columna15445" dataDxfId="967"/>
    <tableColumn id="15452" xr3:uid="{65705823-D32F-428A-9409-82C8E14BE5FD}" name="Columna15446" dataDxfId="966"/>
    <tableColumn id="15453" xr3:uid="{0B8E5D4F-D7DA-4D47-9ED5-4D85DE26FDEE}" name="Columna15447" dataDxfId="965"/>
    <tableColumn id="15454" xr3:uid="{D9F63EAD-9480-4A93-86F9-4608DA8B55A6}" name="Columna15448" dataDxfId="964"/>
    <tableColumn id="15455" xr3:uid="{9145BCBE-88ED-48B1-AF00-0EB932E8B332}" name="Columna15449" dataDxfId="963"/>
    <tableColumn id="15456" xr3:uid="{69F646E4-2DC5-4A53-ABB3-FDCBE37D4F07}" name="Columna15450" dataDxfId="962"/>
    <tableColumn id="15457" xr3:uid="{7C82557E-1F86-4DA2-A519-3CA9C424DD4E}" name="Columna15451" dataDxfId="961"/>
    <tableColumn id="15458" xr3:uid="{209712AA-B070-4965-A3B9-6CA9A75D2D26}" name="Columna15452" dataDxfId="960"/>
    <tableColumn id="15459" xr3:uid="{A0589278-2FE9-4E36-831D-9A328A26B167}" name="Columna15453" dataDxfId="959"/>
    <tableColumn id="15460" xr3:uid="{9895926D-5584-4C5D-BA7D-CD34A0869C39}" name="Columna15454" dataDxfId="958"/>
    <tableColumn id="15461" xr3:uid="{9F999D5F-EED5-4314-BADB-3B39E02FB254}" name="Columna15455" dataDxfId="957"/>
    <tableColumn id="15462" xr3:uid="{D0DFB89F-2AE5-4686-93E2-8FE31794D02F}" name="Columna15456" dataDxfId="956"/>
    <tableColumn id="15463" xr3:uid="{35FB9A72-0E9D-4EF3-9AEE-8AB6D8F85B44}" name="Columna15457" dataDxfId="955"/>
    <tableColumn id="15464" xr3:uid="{189ABD29-2747-449E-BA70-7A85A659FC66}" name="Columna15458" dataDxfId="954"/>
    <tableColumn id="15465" xr3:uid="{7E93DBC2-D38E-4007-8360-7B56EED9FB7C}" name="Columna15459" dataDxfId="953"/>
    <tableColumn id="15466" xr3:uid="{6F771395-FF7A-42CD-84B8-47B99C7F7639}" name="Columna15460" dataDxfId="952"/>
    <tableColumn id="15467" xr3:uid="{B8E69276-21E4-45D6-8700-2CF2F1D7B491}" name="Columna15461" dataDxfId="951"/>
    <tableColumn id="15468" xr3:uid="{8C0AFD83-42E5-407F-98ED-818ECD940560}" name="Columna15462" dataDxfId="950"/>
    <tableColumn id="15469" xr3:uid="{0E7228DC-4D0A-4CBF-9325-44EAC42CBF79}" name="Columna15463" dataDxfId="949"/>
    <tableColumn id="15470" xr3:uid="{8DBDAD8F-6DEF-44EB-B011-1561A4AF3080}" name="Columna15464" dataDxfId="948"/>
    <tableColumn id="15471" xr3:uid="{02320C38-F3DF-49E0-A42D-691E563AF740}" name="Columna15465" dataDxfId="947"/>
    <tableColumn id="15472" xr3:uid="{0F7851F1-9E8C-4AF8-ADFE-BDB616E61E7F}" name="Columna15466" dataDxfId="946"/>
    <tableColumn id="15473" xr3:uid="{C1828CB3-7633-4DEF-99C9-91F355B774CB}" name="Columna15467" dataDxfId="945"/>
    <tableColumn id="15474" xr3:uid="{80EE34F4-1305-456B-967F-9ED27B9902CB}" name="Columna15468" dataDxfId="944"/>
    <tableColumn id="15475" xr3:uid="{73B0EFD8-E21E-44AD-8272-DF215AEBE14D}" name="Columna15469" dataDxfId="943"/>
    <tableColumn id="15476" xr3:uid="{11DAD499-1A06-4333-A8F6-90F5F4DC0064}" name="Columna15470" dataDxfId="942"/>
    <tableColumn id="15477" xr3:uid="{8E7FF3D7-144A-4E86-9BF3-515B0B62E236}" name="Columna15471" dataDxfId="941"/>
    <tableColumn id="15478" xr3:uid="{4E714379-2D06-4C09-B6FD-27D3D4C44288}" name="Columna15472" dataDxfId="940"/>
    <tableColumn id="15479" xr3:uid="{F67080E0-C2AC-4FAC-B29F-20A08F80B808}" name="Columna15473" dataDxfId="939"/>
    <tableColumn id="15480" xr3:uid="{6BC2D8A7-6F92-44AA-A61F-FEF5D4A6BD2E}" name="Columna15474" dataDxfId="938"/>
    <tableColumn id="15481" xr3:uid="{46779A6A-B1FD-4BA6-B291-EE4FF746786C}" name="Columna15475" dataDxfId="937"/>
    <tableColumn id="15482" xr3:uid="{5C6A461E-F1F4-49E7-8935-4F0040A251B2}" name="Columna15476" dataDxfId="936"/>
    <tableColumn id="15483" xr3:uid="{3EC28C89-887F-4E27-BA2D-CB0DC41DA8E2}" name="Columna15477" dataDxfId="935"/>
    <tableColumn id="15484" xr3:uid="{94195673-B25B-4A85-9C91-C2FEECAABDAC}" name="Columna15478" dataDxfId="934"/>
    <tableColumn id="15485" xr3:uid="{480D1A3B-167C-448D-94C9-2F4921130B55}" name="Columna15479" dataDxfId="933"/>
    <tableColumn id="15486" xr3:uid="{A8ED4BD3-B774-4D6D-B07D-1C6B0A78DF93}" name="Columna15480" dataDxfId="932"/>
    <tableColumn id="15487" xr3:uid="{14D47113-FFC1-4684-AC00-797D56A0D2CC}" name="Columna15481" dataDxfId="931"/>
    <tableColumn id="15488" xr3:uid="{7CB7D27D-C598-47A1-98AC-858C19D83B76}" name="Columna15482" dataDxfId="930"/>
    <tableColumn id="15489" xr3:uid="{AD073A14-6C24-4006-ADC1-1B1DEB2083FC}" name="Columna15483" dataDxfId="929"/>
    <tableColumn id="15490" xr3:uid="{DAC5F0CA-EEF3-4C41-AA5E-BA1AF042DB0C}" name="Columna15484" dataDxfId="928"/>
    <tableColumn id="15491" xr3:uid="{2A880B91-16AA-4161-A6BE-02F56FFD2D3D}" name="Columna15485" dataDxfId="927"/>
    <tableColumn id="15492" xr3:uid="{7E8FEA03-12A8-47B6-AE03-5AA8EA3B5AED}" name="Columna15486" dataDxfId="926"/>
    <tableColumn id="15493" xr3:uid="{098F3D5D-D3D0-42C7-86B6-1B5D2EB3E3F8}" name="Columna15487" dataDxfId="925"/>
    <tableColumn id="15494" xr3:uid="{479A9B31-0262-4F57-87C5-53D7E0C6C0C2}" name="Columna15488" dataDxfId="924"/>
    <tableColumn id="15495" xr3:uid="{D8FEDABD-691A-44AD-AC24-D6DCDA683CAC}" name="Columna15489" dataDxfId="923"/>
    <tableColumn id="15496" xr3:uid="{EB375DAF-FBA7-4797-85C4-330E5D97B94D}" name="Columna15490" dataDxfId="922"/>
    <tableColumn id="15497" xr3:uid="{79961B57-125F-45C3-B549-BB8693E75133}" name="Columna15491" dataDxfId="921"/>
    <tableColumn id="15498" xr3:uid="{DCDE4122-566C-4D7E-B697-EE1F319BA853}" name="Columna15492" dataDxfId="920"/>
    <tableColumn id="15499" xr3:uid="{BFFAC558-708D-4643-99BC-A16DC792CECF}" name="Columna15493" dataDxfId="919"/>
    <tableColumn id="15500" xr3:uid="{CE521EB5-1344-43AD-9782-B137801E5122}" name="Columna15494" dataDxfId="918"/>
    <tableColumn id="15501" xr3:uid="{DAD00780-2F71-4192-9960-BCADDC3FA980}" name="Columna15495" dataDxfId="917"/>
    <tableColumn id="15502" xr3:uid="{1C8B5629-E4ED-447F-8D26-51E01755FB71}" name="Columna15496" dataDxfId="916"/>
    <tableColumn id="15503" xr3:uid="{3A571910-E486-4AF6-97BE-2E728EA46ACA}" name="Columna15497" dataDxfId="915"/>
    <tableColumn id="15504" xr3:uid="{3CD83446-E3F6-4BD9-9EC7-5B5389686B87}" name="Columna15498" dataDxfId="914"/>
    <tableColumn id="15505" xr3:uid="{77EB4E1A-FC27-4009-8DF4-4452547BEBD1}" name="Columna15499" dataDxfId="913"/>
    <tableColumn id="15506" xr3:uid="{F4F413A7-B438-4271-B35D-F45C71521440}" name="Columna15500" dataDxfId="912"/>
    <tableColumn id="15507" xr3:uid="{37E5460F-4B68-464A-B13C-EBAF51894B9E}" name="Columna15501" dataDxfId="911"/>
    <tableColumn id="15508" xr3:uid="{DA6E4A04-9ED0-4966-8E62-0C32359BB296}" name="Columna15502" dataDxfId="910"/>
    <tableColumn id="15509" xr3:uid="{92007BD8-13C2-46BC-80D9-BBAF83E1486C}" name="Columna15503" dataDxfId="909"/>
    <tableColumn id="15510" xr3:uid="{EE0C6FF2-D090-47A0-9116-E4DB44ACF454}" name="Columna15504" dataDxfId="908"/>
    <tableColumn id="15511" xr3:uid="{A100560D-4FC2-4A0D-B2EF-3E84291E900E}" name="Columna15505" dataDxfId="907"/>
    <tableColumn id="15512" xr3:uid="{311A2894-BB5B-43C6-B43F-A65071BF4FD0}" name="Columna15506" dataDxfId="906"/>
    <tableColumn id="15513" xr3:uid="{0D96AA27-7414-4759-BD7A-1E9A3434C8E4}" name="Columna15507" dataDxfId="905"/>
    <tableColumn id="15514" xr3:uid="{A6EC5D3E-BD43-4B10-B887-746AA668B0F3}" name="Columna15508" dataDxfId="904"/>
    <tableColumn id="15515" xr3:uid="{A6DE9E83-9694-4488-92EF-A52566A91924}" name="Columna15509" dataDxfId="903"/>
    <tableColumn id="15516" xr3:uid="{9B284A9D-775A-432C-9B12-771027569286}" name="Columna15510" dataDxfId="902"/>
    <tableColumn id="15517" xr3:uid="{E9A947C7-7E2B-4571-94FC-6A97D2ECE189}" name="Columna15511" dataDxfId="901"/>
    <tableColumn id="15518" xr3:uid="{AF29C7E1-4676-466A-9F56-709FAFFDE355}" name="Columna15512" dataDxfId="900"/>
    <tableColumn id="15519" xr3:uid="{4C540E2C-61CC-48CA-8D2C-FE8CDD384F24}" name="Columna15513" dataDxfId="899"/>
    <tableColumn id="15520" xr3:uid="{853411CD-09F6-4D29-813D-971C8B0AF960}" name="Columna15514" dataDxfId="898"/>
    <tableColumn id="15521" xr3:uid="{E05096BC-EFB5-4FE7-85AB-D36F2FC3E990}" name="Columna15515" dataDxfId="897"/>
    <tableColumn id="15522" xr3:uid="{CA5B4800-3F6E-4427-B0B8-2523BD9DC5D6}" name="Columna15516" dataDxfId="896"/>
    <tableColumn id="15523" xr3:uid="{992EF063-237F-4DFF-9C7F-46E996DC535D}" name="Columna15517" dataDxfId="895"/>
    <tableColumn id="15524" xr3:uid="{8F0F7A59-B23D-47AA-9E1D-032B1DE84224}" name="Columna15518" dataDxfId="894"/>
    <tableColumn id="15525" xr3:uid="{A474EDD8-8F2C-428A-BFCA-B93A7C64492C}" name="Columna15519" dataDxfId="893"/>
    <tableColumn id="15526" xr3:uid="{7225188C-8AE3-4732-93B2-C3DB4346F7D6}" name="Columna15520" dataDxfId="892"/>
    <tableColumn id="15527" xr3:uid="{4AF0A155-D2C5-457D-8BEE-A8C334FB6522}" name="Columna15521" dataDxfId="891"/>
    <tableColumn id="15528" xr3:uid="{7BA57AAF-4BEE-46AF-87A0-A0B9A31ACD59}" name="Columna15522" dataDxfId="890"/>
    <tableColumn id="15529" xr3:uid="{7F01B077-1B87-4B5E-83F7-673D7453C066}" name="Columna15523" dataDxfId="889"/>
    <tableColumn id="15530" xr3:uid="{537BC6A2-0223-4EE2-ADFF-785912F908D5}" name="Columna15524" dataDxfId="888"/>
    <tableColumn id="15531" xr3:uid="{1AB69588-9C99-4520-B1F6-A0802065721B}" name="Columna15525" dataDxfId="887"/>
    <tableColumn id="15532" xr3:uid="{E03BBD0B-63C5-4B92-BC01-48FCE760B28B}" name="Columna15526" dataDxfId="886"/>
    <tableColumn id="15533" xr3:uid="{9A752132-22DD-4DED-9D61-1FE2CF3F6779}" name="Columna15527" dataDxfId="885"/>
    <tableColumn id="15534" xr3:uid="{564D7EE4-0BE0-43FD-8AB6-D1CC764FA0F1}" name="Columna15528" dataDxfId="884"/>
    <tableColumn id="15535" xr3:uid="{7BB69B14-E5E6-42F1-8119-D8EC53376EE2}" name="Columna15529" dataDxfId="883"/>
    <tableColumn id="15536" xr3:uid="{E102F5E2-64E4-4B36-834A-3F067B7EADB6}" name="Columna15530" dataDxfId="882"/>
    <tableColumn id="15537" xr3:uid="{4DF898AA-9CCE-49B7-ABC8-C67429115161}" name="Columna15531" dataDxfId="881"/>
    <tableColumn id="15538" xr3:uid="{4AD14347-5EF7-4802-99F9-50C4ACF2D5FC}" name="Columna15532" dataDxfId="880"/>
    <tableColumn id="15539" xr3:uid="{EAF96DAF-EB4E-4696-93DB-F8909B4F51A3}" name="Columna15533" dataDxfId="879"/>
    <tableColumn id="15540" xr3:uid="{BFF93351-7859-4FD5-AD7B-60072C76A607}" name="Columna15534" dataDxfId="878"/>
    <tableColumn id="15541" xr3:uid="{6E2BEFFE-798C-4E7B-A2F4-A69DD457ABC4}" name="Columna15535" dataDxfId="877"/>
    <tableColumn id="15542" xr3:uid="{E5E19F7A-6986-4486-A970-56B4842D0CEF}" name="Columna15536" dataDxfId="876"/>
    <tableColumn id="15543" xr3:uid="{AAA90A1A-F495-44F4-9DC5-A6C8A5191A9D}" name="Columna15537" dataDxfId="875"/>
    <tableColumn id="15544" xr3:uid="{FCCBE7DC-F7EE-4B9C-8734-796D4533D0F1}" name="Columna15538" dataDxfId="874"/>
    <tableColumn id="15545" xr3:uid="{399CA726-C528-43B7-925F-8F4E473F4D73}" name="Columna15539" dataDxfId="873"/>
    <tableColumn id="15546" xr3:uid="{83350125-00EF-4F1B-A4B1-AEAB3437B4AF}" name="Columna15540" dataDxfId="872"/>
    <tableColumn id="15547" xr3:uid="{A8299CC0-1814-485B-ADBA-5B2C64CE6191}" name="Columna15541" dataDxfId="871"/>
    <tableColumn id="15548" xr3:uid="{7A5AF072-947F-4359-8F66-0259F517600B}" name="Columna15542" dataDxfId="870"/>
    <tableColumn id="15549" xr3:uid="{C5BDE13A-F3FA-44A5-ACA4-42B774820DBC}" name="Columna15543" dataDxfId="869"/>
    <tableColumn id="15550" xr3:uid="{750AE7CC-B577-4F2F-9BA3-BB1137A71424}" name="Columna15544" dataDxfId="868"/>
    <tableColumn id="15551" xr3:uid="{DDDA4185-BCFF-48FC-A0ED-F0617FCD0D9D}" name="Columna15545" dataDxfId="867"/>
    <tableColumn id="15552" xr3:uid="{44C16418-59B8-4D92-98FB-B484B21CBCE1}" name="Columna15546" dataDxfId="866"/>
    <tableColumn id="15553" xr3:uid="{55E31FFD-E39D-4ABE-B18D-BB57DDD79594}" name="Columna15547" dataDxfId="865"/>
    <tableColumn id="15554" xr3:uid="{CEBBEE89-94FD-47F3-94CE-0F7E81FC7768}" name="Columna15548" dataDxfId="864"/>
    <tableColumn id="15555" xr3:uid="{1DE7D967-7350-441C-A852-CD6A4B19F190}" name="Columna15549" dataDxfId="863"/>
    <tableColumn id="15556" xr3:uid="{80ECFEC5-FD4D-4D1C-8175-D5B041F45392}" name="Columna15550" dataDxfId="862"/>
    <tableColumn id="15557" xr3:uid="{33E5D652-5EC9-47BB-A0FC-A541A689B56D}" name="Columna15551" dataDxfId="861"/>
    <tableColumn id="15558" xr3:uid="{3CA17265-3219-40FA-976E-F18EDC34163A}" name="Columna15552" dataDxfId="860"/>
    <tableColumn id="15559" xr3:uid="{B97B165F-F685-4C9E-A1CD-FA2A85DB8C75}" name="Columna15553" dataDxfId="859"/>
    <tableColumn id="15560" xr3:uid="{6B491B71-85CB-4BBB-BABF-88BB49048070}" name="Columna15554" dataDxfId="858"/>
    <tableColumn id="15561" xr3:uid="{94724B98-5E00-4C51-A435-61918D2A1BDE}" name="Columna15555" dataDxfId="857"/>
    <tableColumn id="15562" xr3:uid="{2C691E3F-9AE6-43A8-9524-77DF4BAA1AC0}" name="Columna15556" dataDxfId="856"/>
    <tableColumn id="15563" xr3:uid="{1ADB353D-C74D-42B7-8314-74443177731E}" name="Columna15557" dataDxfId="855"/>
    <tableColumn id="15564" xr3:uid="{C24C75E8-1D1C-449D-A76A-88D189368AC0}" name="Columna15558" dataDxfId="854"/>
    <tableColumn id="15565" xr3:uid="{D9A84FC6-8EAD-4B7A-84CE-A020A7E3EC35}" name="Columna15559" dataDxfId="853"/>
    <tableColumn id="15566" xr3:uid="{BF4A69E9-E34C-4365-840D-4A8F587EE3E8}" name="Columna15560" dataDxfId="852"/>
    <tableColumn id="15567" xr3:uid="{632EAAAA-0CA9-4171-8542-3DA81AABE397}" name="Columna15561" dataDxfId="851"/>
    <tableColumn id="15568" xr3:uid="{0A1BD412-188F-4B1F-A27D-FE9AEBA72FC6}" name="Columna15562" dataDxfId="850"/>
    <tableColumn id="15569" xr3:uid="{7D88D73D-08E3-49A5-B096-EFF67C65FC1E}" name="Columna15563" dataDxfId="849"/>
    <tableColumn id="15570" xr3:uid="{03C75F2A-0FDE-4D62-841D-3731D72C2E98}" name="Columna15564" dataDxfId="848"/>
    <tableColumn id="15571" xr3:uid="{6F1877B8-A19F-4B1A-B7D8-703404D0BE3F}" name="Columna15565" dataDxfId="847"/>
    <tableColumn id="15572" xr3:uid="{E313797B-42D6-4018-9369-B7299F9A24B0}" name="Columna15566" dataDxfId="846"/>
    <tableColumn id="15573" xr3:uid="{B5AB9FE8-429D-475D-AEBA-36F05351D085}" name="Columna15567" dataDxfId="845"/>
    <tableColumn id="15574" xr3:uid="{DCC11F80-A88C-4C7A-9037-D8A19F3A4DF2}" name="Columna15568" dataDxfId="844"/>
    <tableColumn id="15575" xr3:uid="{5F843DB7-DEE6-455F-860C-4BB896AE138A}" name="Columna15569" dataDxfId="843"/>
    <tableColumn id="15576" xr3:uid="{3B46B5D5-924C-466E-ACDC-B86C75097145}" name="Columna15570" dataDxfId="842"/>
    <tableColumn id="15577" xr3:uid="{CB2FBAE4-5533-4F47-BD35-683108D233F9}" name="Columna15571" dataDxfId="841"/>
    <tableColumn id="15578" xr3:uid="{6EC1B305-2513-4CC5-83C3-6718A4426786}" name="Columna15572" dataDxfId="840"/>
    <tableColumn id="15579" xr3:uid="{3432C8DB-1003-4C57-B7A2-70121F095D89}" name="Columna15573" dataDxfId="839"/>
    <tableColumn id="15580" xr3:uid="{4F0F643A-2E6B-4EF6-9104-C4A4989C7247}" name="Columna15574" dataDxfId="838"/>
    <tableColumn id="15581" xr3:uid="{30E96B1A-4A60-43DE-B527-EA6BC92941F7}" name="Columna15575" dataDxfId="837"/>
    <tableColumn id="15582" xr3:uid="{E5FB6613-D1F4-4439-A563-714AB7977692}" name="Columna15576" dataDxfId="836"/>
    <tableColumn id="15583" xr3:uid="{87E58190-CAC0-43D4-95FC-35B04CBBD95E}" name="Columna15577" dataDxfId="835"/>
    <tableColumn id="15584" xr3:uid="{7E2DC296-D018-468B-8EFC-B2D18B1F97D4}" name="Columna15578" dataDxfId="834"/>
    <tableColumn id="15585" xr3:uid="{A130E897-F59E-49EA-A7E5-E5ED2B93DEEC}" name="Columna15579" dataDxfId="833"/>
    <tableColumn id="15586" xr3:uid="{A6333DFD-DD33-4BEB-8422-22AD716150EE}" name="Columna15580" dataDxfId="832"/>
    <tableColumn id="15587" xr3:uid="{9D034F02-BA1D-41CC-A6C5-89C757AD4DE2}" name="Columna15581" dataDxfId="831"/>
    <tableColumn id="15588" xr3:uid="{7BD69F3B-7E01-4030-B00C-34015B204E09}" name="Columna15582" dataDxfId="830"/>
    <tableColumn id="15589" xr3:uid="{5AE0A44D-38F8-4F69-B92D-6B1FB6D404A4}" name="Columna15583" dataDxfId="829"/>
    <tableColumn id="15590" xr3:uid="{3B21EC1F-3CAC-4BCD-9B3C-9BE4D02C1420}" name="Columna15584" dataDxfId="828"/>
    <tableColumn id="15591" xr3:uid="{B4C0431A-18B3-4218-AD47-840E41C6C439}" name="Columna15585" dataDxfId="827"/>
    <tableColumn id="15592" xr3:uid="{6CF4B95D-0E97-43BC-9898-911651032210}" name="Columna15586" dataDxfId="826"/>
    <tableColumn id="15593" xr3:uid="{882190C2-300C-4FD2-BF29-438BB37CDB74}" name="Columna15587" dataDxfId="825"/>
    <tableColumn id="15594" xr3:uid="{CFC23418-C09A-4DE5-859E-C51EB1A415FF}" name="Columna15588" dataDxfId="824"/>
    <tableColumn id="15595" xr3:uid="{A72C1A2A-8B4A-449A-8F27-1EF20036E1EC}" name="Columna15589" dataDxfId="823"/>
    <tableColumn id="15596" xr3:uid="{B0D9F63C-9657-4793-A01C-30539A62A344}" name="Columna15590" dataDxfId="822"/>
    <tableColumn id="15597" xr3:uid="{BB05B818-FC4E-447D-B15A-D419DE6484A9}" name="Columna15591" dataDxfId="821"/>
    <tableColumn id="15598" xr3:uid="{E09BE079-F234-4908-9C57-566C14A0AD88}" name="Columna15592" dataDxfId="820"/>
    <tableColumn id="15599" xr3:uid="{3F8F8C38-4D4D-417F-A019-EE973B2E9142}" name="Columna15593" dataDxfId="819"/>
    <tableColumn id="15600" xr3:uid="{0E4F8841-7E25-42D2-8416-4F3EDDAB5FF3}" name="Columna15594" dataDxfId="818"/>
    <tableColumn id="15601" xr3:uid="{EC8B5967-970E-4E07-8278-41A732B3593A}" name="Columna15595" dataDxfId="817"/>
    <tableColumn id="15602" xr3:uid="{19FD7D30-D597-43EB-8426-CFC28B7E304C}" name="Columna15596" dataDxfId="816"/>
    <tableColumn id="15603" xr3:uid="{E3BFC996-62D3-4C35-9A1E-242CDD409507}" name="Columna15597" dataDxfId="815"/>
    <tableColumn id="15604" xr3:uid="{72F23D0A-09E9-4598-83A6-B95A93418782}" name="Columna15598" dataDxfId="814"/>
    <tableColumn id="15605" xr3:uid="{C95BDE1C-5D9F-4AD6-9089-8790BDD8459B}" name="Columna15599" dataDxfId="813"/>
    <tableColumn id="15606" xr3:uid="{CCEB16D6-D88B-4A33-A82A-E4D6C96D774A}" name="Columna15600" dataDxfId="812"/>
    <tableColumn id="15607" xr3:uid="{B3DAB4E2-FA64-44B6-8C64-A40A575BE967}" name="Columna15601" dataDxfId="811"/>
    <tableColumn id="15608" xr3:uid="{67989C90-04CB-497D-B043-FAED2B9347CA}" name="Columna15602" dataDxfId="810"/>
    <tableColumn id="15609" xr3:uid="{0ECD8EF5-47EC-496A-8A2D-955D5FB5891E}" name="Columna15603" dataDxfId="809"/>
    <tableColumn id="15610" xr3:uid="{492F15FE-E1FD-4665-8B62-FA771BF40FEE}" name="Columna15604" dataDxfId="808"/>
    <tableColumn id="15611" xr3:uid="{EE2CC298-729A-4C59-A372-9C00F58B356D}" name="Columna15605" dataDxfId="807"/>
    <tableColumn id="15612" xr3:uid="{E0286BB0-C5D2-428F-B320-4A84CC78C681}" name="Columna15606" dataDxfId="806"/>
    <tableColumn id="15613" xr3:uid="{8C5435FB-91A4-45F2-A3D6-0ED535490EF9}" name="Columna15607" dataDxfId="805"/>
    <tableColumn id="15614" xr3:uid="{7244E6E5-38DC-47C3-86CA-9CA886794774}" name="Columna15608" dataDxfId="804"/>
    <tableColumn id="15615" xr3:uid="{20A4409F-C700-4E62-98DA-501E9885F669}" name="Columna15609" dataDxfId="803"/>
    <tableColumn id="15616" xr3:uid="{58A07137-B96C-4B37-8665-086B1360C969}" name="Columna15610" dataDxfId="802"/>
    <tableColumn id="15617" xr3:uid="{9AAF63EB-FA36-4DB7-A8F9-1042DA6BBBEC}" name="Columna15611" dataDxfId="801"/>
    <tableColumn id="15618" xr3:uid="{220E405E-420A-4E4F-9386-939BA4C48B0D}" name="Columna15612" dataDxfId="800"/>
    <tableColumn id="15619" xr3:uid="{F02ACF6E-1A45-43CC-B36A-20313D293C65}" name="Columna15613" dataDxfId="799"/>
    <tableColumn id="15620" xr3:uid="{CEFC793F-2D40-4447-8E9C-1EE79ED404F9}" name="Columna15614" dataDxfId="798"/>
    <tableColumn id="15621" xr3:uid="{0EB1950F-A269-4368-8BD6-206A65FCEA63}" name="Columna15615" dataDxfId="797"/>
    <tableColumn id="15622" xr3:uid="{5F1DB588-9B33-4C2B-AA2F-D27948B1E1F3}" name="Columna15616" dataDxfId="796"/>
    <tableColumn id="15623" xr3:uid="{4D834B8B-1EB6-40AB-B007-E1AD8105695B}" name="Columna15617" dataDxfId="795"/>
    <tableColumn id="15624" xr3:uid="{9EEEA01F-5916-496C-8E5A-BA984F1CEFD7}" name="Columna15618" dataDxfId="794"/>
    <tableColumn id="15625" xr3:uid="{CBC7F27D-CF82-47E8-852A-CCB3003B4109}" name="Columna15619" dataDxfId="793"/>
    <tableColumn id="15626" xr3:uid="{17C26093-C817-4E28-A18A-41416C368BAE}" name="Columna15620" dataDxfId="792"/>
    <tableColumn id="15627" xr3:uid="{E93CF5A4-8CAE-4BFA-8AC8-BEDB4E96321A}" name="Columna15621" dataDxfId="791"/>
    <tableColumn id="15628" xr3:uid="{2D2F4D8C-E1EE-44D6-BA2F-27FF40B39016}" name="Columna15622" dataDxfId="790"/>
    <tableColumn id="15629" xr3:uid="{A2CF20A0-79FE-4592-A409-D9395E6A8A45}" name="Columna15623" dataDxfId="789"/>
    <tableColumn id="15630" xr3:uid="{59697908-0392-453D-A7FC-1436AF445E2B}" name="Columna15624" dataDxfId="788"/>
    <tableColumn id="15631" xr3:uid="{A1C39475-561C-4861-BACA-DDEE04EBA992}" name="Columna15625" dataDxfId="787"/>
    <tableColumn id="15632" xr3:uid="{757B34CC-6E4D-4E2D-A529-1887BB880364}" name="Columna15626" dataDxfId="786"/>
    <tableColumn id="15633" xr3:uid="{AAD461B2-930A-4E49-81FD-18EF55B08509}" name="Columna15627" dataDxfId="785"/>
    <tableColumn id="15634" xr3:uid="{55AD2FE7-4EFF-4A88-8B66-D57EBA585AD2}" name="Columna15628" dataDxfId="784"/>
    <tableColumn id="15635" xr3:uid="{EF511FA6-5897-4C58-8F7C-24F11000C87C}" name="Columna15629" dataDxfId="783"/>
    <tableColumn id="15636" xr3:uid="{359E497E-BF6E-4696-BC34-ED139608B784}" name="Columna15630" dataDxfId="782"/>
    <tableColumn id="15637" xr3:uid="{97F36EB9-56BD-42AA-B661-A9973970E978}" name="Columna15631" dataDxfId="781"/>
    <tableColumn id="15638" xr3:uid="{BC789022-DCFE-47E9-A303-0C6FBD79A55C}" name="Columna15632" dataDxfId="780"/>
    <tableColumn id="15639" xr3:uid="{39CDFAE5-5B39-4C38-B2BC-319A980421ED}" name="Columna15633" dataDxfId="779"/>
    <tableColumn id="15640" xr3:uid="{4E9B150A-3EA7-482B-AB3E-B8ADCE110802}" name="Columna15634" dataDxfId="778"/>
    <tableColumn id="15641" xr3:uid="{3F95249E-D59F-41D2-BB4A-83430946B115}" name="Columna15635" dataDxfId="777"/>
    <tableColumn id="15642" xr3:uid="{3759A672-66AE-41BE-8ABE-44085F9C55A0}" name="Columna15636" dataDxfId="776"/>
    <tableColumn id="15643" xr3:uid="{EC8088B4-239B-4FCF-A090-90C215432C0E}" name="Columna15637" dataDxfId="775"/>
    <tableColumn id="15644" xr3:uid="{42FE223B-AB1B-4F06-8F5D-19C8D450D71C}" name="Columna15638" dataDxfId="774"/>
    <tableColumn id="15645" xr3:uid="{4E9369CE-321D-4E0D-A620-C48D8AB3A43F}" name="Columna15639" dataDxfId="773"/>
    <tableColumn id="15646" xr3:uid="{CD526035-58F8-47C8-AF47-EBF62FA258A7}" name="Columna15640" dataDxfId="772"/>
    <tableColumn id="15647" xr3:uid="{3282B3F2-3E85-40EC-84FF-D11029D079AF}" name="Columna15641" dataDxfId="771"/>
    <tableColumn id="15648" xr3:uid="{36DC4D04-E7EE-40D7-900B-389D5D014047}" name="Columna15642" dataDxfId="770"/>
    <tableColumn id="15649" xr3:uid="{C81B1ECB-9D61-4B81-A5C8-9B9E242A7F25}" name="Columna15643" dataDxfId="769"/>
    <tableColumn id="15650" xr3:uid="{240F6823-2342-4439-A87C-AE82F8FFCB70}" name="Columna15644" dataDxfId="768"/>
    <tableColumn id="15651" xr3:uid="{851E4809-189E-4703-88CC-F4E2BDD1F1FE}" name="Columna15645" dataDxfId="767"/>
    <tableColumn id="15652" xr3:uid="{C6928308-D876-4FCC-8CEB-CB09D2481A61}" name="Columna15646" dataDxfId="766"/>
    <tableColumn id="15653" xr3:uid="{11B73078-3CCE-4468-AE1A-566DFDCC6CEE}" name="Columna15647" dataDxfId="765"/>
    <tableColumn id="15654" xr3:uid="{312A3582-613F-4EAE-88D7-0C4A515174BC}" name="Columna15648" dataDxfId="764"/>
    <tableColumn id="15655" xr3:uid="{02D87B9B-4172-4CC2-B059-5175314A969B}" name="Columna15649" dataDxfId="763"/>
    <tableColumn id="15656" xr3:uid="{916B4702-93DF-420E-8D18-3AACF835CBD5}" name="Columna15650" dataDxfId="762"/>
    <tableColumn id="15657" xr3:uid="{C7C69594-10F0-4EF2-AB02-A408D1861915}" name="Columna15651" dataDxfId="761"/>
    <tableColumn id="15658" xr3:uid="{4FF85683-F505-4AB1-ACF2-3CF662C0B950}" name="Columna15652" dataDxfId="760"/>
    <tableColumn id="15659" xr3:uid="{4562C7D8-3941-4823-8014-3F4791F66AED}" name="Columna15653" dataDxfId="759"/>
    <tableColumn id="15660" xr3:uid="{2C321037-AE67-4F87-B373-C6051BE03E80}" name="Columna15654" dataDxfId="758"/>
    <tableColumn id="15661" xr3:uid="{5DA802E0-94DA-4643-8052-FB6463F7B233}" name="Columna15655" dataDxfId="757"/>
    <tableColumn id="15662" xr3:uid="{2794409A-FA38-4DBF-88B1-750CFF342E58}" name="Columna15656" dataDxfId="756"/>
    <tableColumn id="15663" xr3:uid="{AC2205ED-BC2D-4F35-A151-4B9B74F32CA0}" name="Columna15657" dataDxfId="755"/>
    <tableColumn id="15664" xr3:uid="{EE21C6A4-E5D5-4121-9770-B60F67B0D231}" name="Columna15658" dataDxfId="754"/>
    <tableColumn id="15665" xr3:uid="{C6E13543-F2A4-4227-863F-A1705127EE8B}" name="Columna15659" dataDxfId="753"/>
    <tableColumn id="15666" xr3:uid="{BB5013BB-E3DF-4A33-9B36-F6C3A4C48513}" name="Columna15660" dataDxfId="752"/>
    <tableColumn id="15667" xr3:uid="{6E940F3F-5EB9-4221-9734-3199C9E0E0E8}" name="Columna15661" dataDxfId="751"/>
    <tableColumn id="15668" xr3:uid="{99776C82-F73D-4114-8EE4-43AFE0E1A547}" name="Columna15662" dataDxfId="750"/>
    <tableColumn id="15669" xr3:uid="{719B4CE8-2C65-4406-B453-F096D0500398}" name="Columna15663" dataDxfId="749"/>
    <tableColumn id="15670" xr3:uid="{6C4302D4-94E3-47A0-8120-F6A195ABEB2F}" name="Columna15664" dataDxfId="748"/>
    <tableColumn id="15671" xr3:uid="{1B1C8AF9-1D59-4CDA-9D74-075167E1E118}" name="Columna15665" dataDxfId="747"/>
    <tableColumn id="15672" xr3:uid="{2F3A8027-5A68-415B-BFF8-AB3ACFF107C8}" name="Columna15666" dataDxfId="746"/>
    <tableColumn id="15673" xr3:uid="{FF6205E5-D5BB-4F84-A1BB-0946D892E50E}" name="Columna15667" dataDxfId="745"/>
    <tableColumn id="15674" xr3:uid="{D2E4683F-C290-4263-8374-4A166F933AEF}" name="Columna15668" dataDxfId="744"/>
    <tableColumn id="15675" xr3:uid="{24811963-9DC9-4107-B094-146315D252FE}" name="Columna15669" dataDxfId="743"/>
    <tableColumn id="15676" xr3:uid="{13ED83CD-F0B7-42DC-8C64-5BA95E84BC8D}" name="Columna15670" dataDxfId="742"/>
    <tableColumn id="15677" xr3:uid="{B665E55F-919D-4344-867A-93B1EA22AF18}" name="Columna15671" dataDxfId="741"/>
    <tableColumn id="15678" xr3:uid="{CCA86632-050F-403B-A5D7-060812CEC0A8}" name="Columna15672" dataDxfId="740"/>
    <tableColumn id="15679" xr3:uid="{790D0F5B-9E18-40F7-83D0-FAB8C5735F5E}" name="Columna15673" dataDxfId="739"/>
    <tableColumn id="15680" xr3:uid="{0CA453F2-542D-4BD3-9136-69D724DA0B48}" name="Columna15674" dataDxfId="738"/>
    <tableColumn id="15681" xr3:uid="{B0E992B1-B774-472C-8D59-FA42CE99214A}" name="Columna15675" dataDxfId="737"/>
    <tableColumn id="15682" xr3:uid="{E34FD389-A266-4FA0-BB56-F5EF420A2CF4}" name="Columna15676" dataDxfId="736"/>
    <tableColumn id="15683" xr3:uid="{10E88E77-09E3-47F6-A660-18670E84E72F}" name="Columna15677" dataDxfId="735"/>
    <tableColumn id="15684" xr3:uid="{E5DC44A4-1B9A-4513-8E2C-9EA5D34EBC7E}" name="Columna15678" dataDxfId="734"/>
    <tableColumn id="15685" xr3:uid="{6B4C91C9-28D1-4B0D-9DFC-2ED227A7478C}" name="Columna15679" dataDxfId="733"/>
    <tableColumn id="15686" xr3:uid="{98F079CC-8416-41DE-BDFA-0D01437D40FF}" name="Columna15680" dataDxfId="732"/>
    <tableColumn id="15687" xr3:uid="{0093F6C2-B18D-42AC-B024-3F338AFE2E83}" name="Columna15681" dataDxfId="731"/>
    <tableColumn id="15688" xr3:uid="{6EE503FA-4BE0-45FE-9A32-41C868C84D77}" name="Columna15682" dataDxfId="730"/>
    <tableColumn id="15689" xr3:uid="{806D4DC4-C693-4B68-B037-FDAEE880DC28}" name="Columna15683" dataDxfId="729"/>
    <tableColumn id="15690" xr3:uid="{499A6B41-254E-47F4-B3F3-15C930D56CFA}" name="Columna15684" dataDxfId="728"/>
    <tableColumn id="15691" xr3:uid="{6BC6AE46-1289-4589-826B-5F451BB76FDA}" name="Columna15685" dataDxfId="727"/>
    <tableColumn id="15692" xr3:uid="{53BD447B-4213-46BE-BD9A-608203944691}" name="Columna15686" dataDxfId="726"/>
    <tableColumn id="15693" xr3:uid="{56F0D482-76CF-4D70-AD01-B65309C4DC2E}" name="Columna15687" dataDxfId="725"/>
    <tableColumn id="15694" xr3:uid="{CEC47C34-5F41-45D3-872E-B43974744055}" name="Columna15688" dataDxfId="724"/>
    <tableColumn id="15695" xr3:uid="{D88B7D4B-48CF-47F1-8ABF-EF67C08E042D}" name="Columna15689" dataDxfId="723"/>
    <tableColumn id="15696" xr3:uid="{7D08C4CD-C5AF-44F2-8CBF-2567F2D4A3F1}" name="Columna15690" dataDxfId="722"/>
    <tableColumn id="15697" xr3:uid="{3ACB939D-9EB4-4142-A20D-96AA5C222138}" name="Columna15691" dataDxfId="721"/>
    <tableColumn id="15698" xr3:uid="{0E5F72C9-C049-4EEC-83DD-59ED73681A06}" name="Columna15692" dataDxfId="720"/>
    <tableColumn id="15699" xr3:uid="{9B91942A-FCFC-4781-B072-2C2A5FC47550}" name="Columna15693" dataDxfId="719"/>
    <tableColumn id="15700" xr3:uid="{02B689A4-9734-4012-B392-BD3E030C1C24}" name="Columna15694" dataDxfId="718"/>
    <tableColumn id="15701" xr3:uid="{CABE3ABB-7C86-4BB5-9D77-D7452DCBF497}" name="Columna15695" dataDxfId="717"/>
    <tableColumn id="15702" xr3:uid="{EED5A48B-DCC8-4D6C-95CD-8052FCF1F38C}" name="Columna15696" dataDxfId="716"/>
    <tableColumn id="15703" xr3:uid="{D34055D1-91A6-4D3B-AE97-788AFF11576B}" name="Columna15697" dataDxfId="715"/>
    <tableColumn id="15704" xr3:uid="{C224A841-8496-4AA6-83E6-55975B3EA292}" name="Columna15698" dataDxfId="714"/>
    <tableColumn id="15705" xr3:uid="{9C1A78F7-D6DB-4365-A09E-F1554F8ACA01}" name="Columna15699" dataDxfId="713"/>
    <tableColumn id="15706" xr3:uid="{8781B533-CCBD-4810-BA7E-A7253CE8D3E0}" name="Columna15700" dataDxfId="712"/>
    <tableColumn id="15707" xr3:uid="{762FFF60-9B90-4F97-AAFC-8FE176DFA8F1}" name="Columna15701" dataDxfId="711"/>
    <tableColumn id="15708" xr3:uid="{4D7FE5AC-CF6F-4314-A43C-0CB59B52A602}" name="Columna15702" dataDxfId="710"/>
    <tableColumn id="15709" xr3:uid="{380A71E4-5189-4866-9C28-2C4DB504CBA7}" name="Columna15703" dataDxfId="709"/>
    <tableColumn id="15710" xr3:uid="{D40FD243-0047-439F-8921-E0537B7546A9}" name="Columna15704" dataDxfId="708"/>
    <tableColumn id="15711" xr3:uid="{C8000244-C7A5-4170-A7ED-0F41E420878D}" name="Columna15705" dataDxfId="707"/>
    <tableColumn id="15712" xr3:uid="{519C0C87-366D-4150-92A9-82EE503D0370}" name="Columna15706" dataDxfId="706"/>
    <tableColumn id="15713" xr3:uid="{5B35326E-8528-4640-A578-614BC4347417}" name="Columna15707" dataDxfId="705"/>
    <tableColumn id="15714" xr3:uid="{D84DC9AE-D5A3-4894-9941-76BE0B43D224}" name="Columna15708" dataDxfId="704"/>
    <tableColumn id="15715" xr3:uid="{55142ACC-21D5-4C18-9826-0843799D31B8}" name="Columna15709" dataDxfId="703"/>
    <tableColumn id="15716" xr3:uid="{8C88CD18-4326-4368-985A-2D9BDA91CD81}" name="Columna15710" dataDxfId="702"/>
    <tableColumn id="15717" xr3:uid="{B16AB585-45B4-45EF-AC6E-32DC24361415}" name="Columna15711" dataDxfId="701"/>
    <tableColumn id="15718" xr3:uid="{238E0858-DFB1-4513-AA59-E3C79EF94274}" name="Columna15712" dataDxfId="700"/>
    <tableColumn id="15719" xr3:uid="{1160642B-8D55-4081-8BB5-E53720322FD2}" name="Columna15713" dataDxfId="699"/>
    <tableColumn id="15720" xr3:uid="{AAEFF0A7-0D09-4747-9086-5815A986E352}" name="Columna15714" dataDxfId="698"/>
    <tableColumn id="15721" xr3:uid="{C24818CE-0337-4744-8F5B-EFD4AA9F176C}" name="Columna15715" dataDxfId="697"/>
    <tableColumn id="15722" xr3:uid="{B8C37701-C78D-4211-A62D-95C7BE93BB60}" name="Columna15716" dataDxfId="696"/>
    <tableColumn id="15723" xr3:uid="{1C232566-BC37-4D60-A844-06A799CDF40A}" name="Columna15717" dataDxfId="695"/>
    <tableColumn id="15724" xr3:uid="{F6B38434-3489-49AB-B16D-39C3CFD7E4F7}" name="Columna15718" dataDxfId="694"/>
    <tableColumn id="15725" xr3:uid="{BBBFD01A-A5B1-43EA-934F-D1782921465A}" name="Columna15719" dataDxfId="693"/>
    <tableColumn id="15726" xr3:uid="{AE78C637-5CFC-4E96-A75F-810270835C01}" name="Columna15720" dataDxfId="692"/>
    <tableColumn id="15727" xr3:uid="{DC00B16F-CF45-49F3-A8B8-2F94129E078E}" name="Columna15721" dataDxfId="691"/>
    <tableColumn id="15728" xr3:uid="{C5888EE5-3112-4CB6-A5FF-E856AB0AE4E6}" name="Columna15722" dataDxfId="690"/>
    <tableColumn id="15729" xr3:uid="{7A9C1B63-2779-49FB-91F1-830C01C05CA5}" name="Columna15723" dataDxfId="689"/>
    <tableColumn id="15730" xr3:uid="{4485A1BB-D738-4870-A19D-4834EEB4C958}" name="Columna15724" dataDxfId="688"/>
    <tableColumn id="15731" xr3:uid="{FDA074B5-9AD3-4722-B642-BE1FADAC5C4C}" name="Columna15725" dataDxfId="687"/>
    <tableColumn id="15732" xr3:uid="{F39A981B-9F74-49E7-A907-BE76EB8F3A8A}" name="Columna15726" dataDxfId="686"/>
    <tableColumn id="15733" xr3:uid="{74C344EB-C5D3-41A2-BD96-A90E3F5F7876}" name="Columna15727" dataDxfId="685"/>
    <tableColumn id="15734" xr3:uid="{7A8A99D8-82B9-4FBE-A5A9-79E5961E96F5}" name="Columna15728" dataDxfId="684"/>
    <tableColumn id="15735" xr3:uid="{FEDE0B08-001C-4980-9B2A-8A226EBE19E6}" name="Columna15729" dataDxfId="683"/>
    <tableColumn id="15736" xr3:uid="{AD4EC849-CE24-4EF2-B186-91D4D8F39DBD}" name="Columna15730" dataDxfId="682"/>
    <tableColumn id="15737" xr3:uid="{48625B2F-0819-4DA0-A479-56A46FD63AF0}" name="Columna15731" dataDxfId="681"/>
    <tableColumn id="15738" xr3:uid="{EAEF9CA4-5CF1-4303-97BA-B47D03E82A69}" name="Columna15732" dataDxfId="680"/>
    <tableColumn id="15739" xr3:uid="{8B672DA1-5B82-4513-9168-7F3DE1CAF4E5}" name="Columna15733" dataDxfId="679"/>
    <tableColumn id="15740" xr3:uid="{9B6D3E93-2E02-479A-B575-9C8AC5B3F52E}" name="Columna15734" dataDxfId="678"/>
    <tableColumn id="15741" xr3:uid="{F789A3FD-A277-440F-A3E1-5CD119AF2935}" name="Columna15735" dataDxfId="677"/>
    <tableColumn id="15742" xr3:uid="{A57E24C9-B533-42A6-85C3-2025C54022F5}" name="Columna15736" dataDxfId="676"/>
    <tableColumn id="15743" xr3:uid="{1DC0A85B-0BF1-4FF6-B2C3-D6CF00B1EA12}" name="Columna15737" dataDxfId="675"/>
    <tableColumn id="15744" xr3:uid="{9477594A-1388-4DEC-9E00-7F898BAD3CF1}" name="Columna15738" dataDxfId="674"/>
    <tableColumn id="15745" xr3:uid="{3DCE8F25-AC30-4C00-81B8-1DB35272CDE1}" name="Columna15739" dataDxfId="673"/>
    <tableColumn id="15746" xr3:uid="{B8B0401F-3241-4C1C-895F-38A30ECAE548}" name="Columna15740" dataDxfId="672"/>
    <tableColumn id="15747" xr3:uid="{5A24D9A2-10E2-4C76-AF82-00592AB6BD7F}" name="Columna15741" dataDxfId="671"/>
    <tableColumn id="15748" xr3:uid="{623E6AFA-E4C5-44E7-A5D0-E0D20A94448E}" name="Columna15742" dataDxfId="670"/>
    <tableColumn id="15749" xr3:uid="{2E295A45-02B4-4B61-8FF2-715B42A6CA15}" name="Columna15743" dataDxfId="669"/>
    <tableColumn id="15750" xr3:uid="{B1DC0CFE-B7DB-42FE-B264-B4A5FFEB72D1}" name="Columna15744" dataDxfId="668"/>
    <tableColumn id="15751" xr3:uid="{4E6D1EE3-BFD9-491F-A91E-6DC2A8BC585D}" name="Columna15745" dataDxfId="667"/>
    <tableColumn id="15752" xr3:uid="{39B0F279-4DE1-4C36-A810-00A78CEA5CB3}" name="Columna15746" dataDxfId="666"/>
    <tableColumn id="15753" xr3:uid="{FB81FDAB-812E-48ED-A9C3-F438C408697E}" name="Columna15747" dataDxfId="665"/>
    <tableColumn id="15754" xr3:uid="{1CE4F1BB-B1E0-4B90-BA1A-E1ED575869DA}" name="Columna15748" dataDxfId="664"/>
    <tableColumn id="15755" xr3:uid="{4DD48C82-EBC4-48C2-97EE-68DA1A2C8AC4}" name="Columna15749" dataDxfId="663"/>
    <tableColumn id="15756" xr3:uid="{FD023339-2148-44E3-A461-5AC98ADBF4F1}" name="Columna15750" dataDxfId="662"/>
    <tableColumn id="15757" xr3:uid="{A476CBCB-A33D-4FAD-92C3-90BA0EE4241B}" name="Columna15751" dataDxfId="661"/>
    <tableColumn id="15758" xr3:uid="{4B488AC2-A7CE-44F6-BBC7-86DA687DFA35}" name="Columna15752" dataDxfId="660"/>
    <tableColumn id="15759" xr3:uid="{58859E60-2C07-4BE0-A708-7128C447C928}" name="Columna15753" dataDxfId="659"/>
    <tableColumn id="15760" xr3:uid="{D86AD782-D0C0-491D-89AB-548D76D26D95}" name="Columna15754" dataDxfId="658"/>
    <tableColumn id="15761" xr3:uid="{55C53470-9A0E-4375-87A5-9413B7B1965F}" name="Columna15755" dataDxfId="657"/>
    <tableColumn id="15762" xr3:uid="{54F7F76E-A305-4A61-8599-81E949A8C7BE}" name="Columna15756" dataDxfId="656"/>
    <tableColumn id="15763" xr3:uid="{899E9C5B-152B-4A90-A971-9C7B6C3E5259}" name="Columna15757" dataDxfId="655"/>
    <tableColumn id="15764" xr3:uid="{A5A28578-AF31-4AB9-99A5-43DA529D1A70}" name="Columna15758" dataDxfId="654"/>
    <tableColumn id="15765" xr3:uid="{E3F955A9-BD3A-4DDA-95C0-22398A2B7767}" name="Columna15759" dataDxfId="653"/>
    <tableColumn id="15766" xr3:uid="{8CC1FB08-9E1D-44E5-9F2E-F12E25B3717B}" name="Columna15760" dataDxfId="652"/>
    <tableColumn id="15767" xr3:uid="{C7BD51A0-A4EF-459F-866C-F868E1BF6527}" name="Columna15761" dataDxfId="651"/>
    <tableColumn id="15768" xr3:uid="{E1675883-3167-4BBC-B33A-68332A9703AD}" name="Columna15762" dataDxfId="650"/>
    <tableColumn id="15769" xr3:uid="{CC77BFF1-484C-4C9E-9880-1C28D19E2794}" name="Columna15763" dataDxfId="649"/>
    <tableColumn id="15770" xr3:uid="{FB0042A4-5E7C-495C-AF23-5D0CE0122CD4}" name="Columna15764" dataDxfId="648"/>
    <tableColumn id="15771" xr3:uid="{6B5F83B9-333F-423F-9B26-5AAB6B864802}" name="Columna15765" dataDxfId="647"/>
    <tableColumn id="15772" xr3:uid="{6D9A1901-24FC-4BC4-A6AD-F4B56DFE1CBA}" name="Columna15766" dataDxfId="646"/>
    <tableColumn id="15773" xr3:uid="{4CCD82C7-342D-44F2-9C26-C01400D49AC0}" name="Columna15767" dataDxfId="645"/>
    <tableColumn id="15774" xr3:uid="{D4BDDFBA-7DEA-4CC2-BBCE-6096C9BA6368}" name="Columna15768" dataDxfId="644"/>
    <tableColumn id="15775" xr3:uid="{01D7EC7B-8D9C-4B85-A323-635F0470E7B1}" name="Columna15769" dataDxfId="643"/>
    <tableColumn id="15776" xr3:uid="{06EC1DDA-556B-4399-95E6-D3C6D3BE19D7}" name="Columna15770" dataDxfId="642"/>
    <tableColumn id="15777" xr3:uid="{2137EC05-AA6A-4972-8BBD-BA415BD1FE45}" name="Columna15771" dataDxfId="641"/>
    <tableColumn id="15778" xr3:uid="{EF96B177-32B4-4574-BA96-9C6796FC7736}" name="Columna15772" dataDxfId="640"/>
    <tableColumn id="15779" xr3:uid="{91AB6A30-AAFC-4849-B1D7-0A00F618EBE9}" name="Columna15773" dataDxfId="639"/>
    <tableColumn id="15780" xr3:uid="{95A0928D-04CD-43B0-A28D-7D47E70CB4C9}" name="Columna15774" dataDxfId="638"/>
    <tableColumn id="15781" xr3:uid="{0611CAC4-4F0C-4C43-B328-F3BEFE30BBDB}" name="Columna15775" dataDxfId="637"/>
    <tableColumn id="15782" xr3:uid="{75600863-B82B-453B-8910-328595C23A23}" name="Columna15776" dataDxfId="636"/>
    <tableColumn id="15783" xr3:uid="{61C4E0D7-D9B8-46BB-8C09-FC8907C7DB73}" name="Columna15777" dataDxfId="635"/>
    <tableColumn id="15784" xr3:uid="{1E85AA68-EA0D-47A0-A9FE-7C8BD6F8ACB8}" name="Columna15778" dataDxfId="634"/>
    <tableColumn id="15785" xr3:uid="{9BA9CB4A-A591-42B3-8DDF-F7D0C850C0C1}" name="Columna15779" dataDxfId="633"/>
    <tableColumn id="15786" xr3:uid="{7CBDFEE9-340C-4915-92AA-D17090846B98}" name="Columna15780" dataDxfId="632"/>
    <tableColumn id="15787" xr3:uid="{68F8F35C-85AC-42B5-9F53-E77AC4A18B07}" name="Columna15781" dataDxfId="631"/>
    <tableColumn id="15788" xr3:uid="{A163C9C9-2ED7-4817-B490-0F04BB8DC79D}" name="Columna15782" dataDxfId="630"/>
    <tableColumn id="15789" xr3:uid="{91483A6B-FE2D-430A-8D31-6B72A293293A}" name="Columna15783" dataDxfId="629"/>
    <tableColumn id="15790" xr3:uid="{68D7831B-CD72-406F-A31F-043DB9991595}" name="Columna15784" dataDxfId="628"/>
    <tableColumn id="15791" xr3:uid="{FFE50865-D2F0-400E-8358-864B79DFD1BE}" name="Columna15785" dataDxfId="627"/>
    <tableColumn id="15792" xr3:uid="{748F379D-2FE3-47A2-8269-6FB9261009D4}" name="Columna15786" dataDxfId="626"/>
    <tableColumn id="15793" xr3:uid="{973FA279-8F72-4083-BB6F-B5A0A6EAF911}" name="Columna15787" dataDxfId="625"/>
    <tableColumn id="15794" xr3:uid="{B363E992-F569-4486-9C66-F9D53165FD57}" name="Columna15788" dataDxfId="624"/>
    <tableColumn id="15795" xr3:uid="{3975BA1E-6B37-4640-BC42-FC29CF063FC6}" name="Columna15789" dataDxfId="623"/>
    <tableColumn id="15796" xr3:uid="{6C6B9C51-FB93-4A45-B33A-5A97C9B50B68}" name="Columna15790" dataDxfId="622"/>
    <tableColumn id="15797" xr3:uid="{D8DCD007-057E-46CA-9DB9-08A456AD65FB}" name="Columna15791" dataDxfId="621"/>
    <tableColumn id="15798" xr3:uid="{5A7F76E2-3EDA-4657-8037-1F77CF0FC619}" name="Columna15792" dataDxfId="620"/>
    <tableColumn id="15799" xr3:uid="{B2544C13-C9AC-4984-8A67-ABC21C6CE646}" name="Columna15793" dataDxfId="619"/>
    <tableColumn id="15800" xr3:uid="{6555D7EB-1743-458B-A6C1-0FEF2493E403}" name="Columna15794" dataDxfId="618"/>
    <tableColumn id="15801" xr3:uid="{C716698A-17EB-49A8-B543-C61B4F4CE2B3}" name="Columna15795" dataDxfId="617"/>
    <tableColumn id="15802" xr3:uid="{2CC13966-EC2C-441B-B58B-AEED86CCA353}" name="Columna15796" dataDxfId="616"/>
    <tableColumn id="15803" xr3:uid="{F3FD884D-546C-4AAF-A208-D40E7223A75C}" name="Columna15797" dataDxfId="615"/>
    <tableColumn id="15804" xr3:uid="{47E6248D-4D5F-4BD0-A1FF-D978756764EC}" name="Columna15798" dataDxfId="614"/>
    <tableColumn id="15805" xr3:uid="{F18A307C-83D7-4CDD-A562-FCAEEB4F1266}" name="Columna15799" dataDxfId="613"/>
    <tableColumn id="15806" xr3:uid="{26C4209C-6C53-4B1C-A7DA-73D0C2D089C1}" name="Columna15800" dataDxfId="612"/>
    <tableColumn id="15807" xr3:uid="{B24259EE-2218-405D-9373-C192445CC345}" name="Columna15801" dataDxfId="611"/>
    <tableColumn id="15808" xr3:uid="{DA1D7D82-48BD-4E2E-9AF7-95555206B0DE}" name="Columna15802" dataDxfId="610"/>
    <tableColumn id="15809" xr3:uid="{2FB4A9AE-DC2F-4CA7-9716-F76CED571669}" name="Columna15803" dataDxfId="609"/>
    <tableColumn id="15810" xr3:uid="{054CDA26-4111-4C94-9690-E122503ACD1D}" name="Columna15804" dataDxfId="608"/>
    <tableColumn id="15811" xr3:uid="{94DE09A4-FDAA-4F28-A8C2-BE04E8AD9FC9}" name="Columna15805" dataDxfId="607"/>
    <tableColumn id="15812" xr3:uid="{08CC726E-9317-4C39-826E-8C9926C5608C}" name="Columna15806" dataDxfId="606"/>
    <tableColumn id="15813" xr3:uid="{A23C6B87-1159-4905-BB9C-8D2A7CFC460B}" name="Columna15807" dataDxfId="605"/>
    <tableColumn id="15814" xr3:uid="{F3214E47-A6FE-436A-B6EC-857A556ABE56}" name="Columna15808" dataDxfId="604"/>
    <tableColumn id="15815" xr3:uid="{9CEA0EF6-DAA6-4F3C-A645-3D29F21AE3FC}" name="Columna15809" dataDxfId="603"/>
    <tableColumn id="15816" xr3:uid="{303FB33F-26AE-4570-858E-50806EB72F7D}" name="Columna15810" dataDxfId="602"/>
    <tableColumn id="15817" xr3:uid="{3AA82FE6-979D-4F92-A73E-12122D83891C}" name="Columna15811" dataDxfId="601"/>
    <tableColumn id="15818" xr3:uid="{2D59A8FE-D8B5-4D1D-98B5-29F24AF58F07}" name="Columna15812" dataDxfId="600"/>
    <tableColumn id="15819" xr3:uid="{1EEE2267-A9EE-4C81-B82E-D7D4C67AE5E9}" name="Columna15813" dataDxfId="599"/>
    <tableColumn id="15820" xr3:uid="{6ADAE3D2-1149-4DCD-B241-76BCD4F7FE32}" name="Columna15814" dataDxfId="598"/>
    <tableColumn id="15821" xr3:uid="{A39DDE2F-3A45-494E-8356-210FCFCB021C}" name="Columna15815" dataDxfId="597"/>
    <tableColumn id="15822" xr3:uid="{88C570D9-7E3A-4D32-9E9C-56206A601AC7}" name="Columna15816" dataDxfId="596"/>
    <tableColumn id="15823" xr3:uid="{7B9BBE06-BC87-41AC-8287-630C6CA769A9}" name="Columna15817" dataDxfId="595"/>
    <tableColumn id="15824" xr3:uid="{7E9B29B5-2B3E-469D-B275-EEAF14716DEC}" name="Columna15818" dataDxfId="594"/>
    <tableColumn id="15825" xr3:uid="{E1121D24-C248-4832-BF7A-24AB5D6FF499}" name="Columna15819" dataDxfId="593"/>
    <tableColumn id="15826" xr3:uid="{FABFA4D4-6797-4BDE-AD3E-19F916C9E496}" name="Columna15820" dataDxfId="592"/>
    <tableColumn id="15827" xr3:uid="{184A5B5F-76BE-43DC-BB1F-84C06C015F2E}" name="Columna15821" dataDxfId="591"/>
    <tableColumn id="15828" xr3:uid="{EB6F726B-3AD6-4C21-A419-C85D85A3736D}" name="Columna15822" dataDxfId="590"/>
    <tableColumn id="15829" xr3:uid="{02A7A03E-F934-40FF-99AE-834246C68543}" name="Columna15823" dataDxfId="589"/>
    <tableColumn id="15830" xr3:uid="{1393FAFD-2B4C-48A9-BD43-AA66FBD83E15}" name="Columna15824" dataDxfId="588"/>
    <tableColumn id="15831" xr3:uid="{E4C88778-0835-4F2A-BC9A-26E0F829FA4B}" name="Columna15825" dataDxfId="587"/>
    <tableColumn id="15832" xr3:uid="{5C44D0DC-66FD-4273-8203-69F1633B221F}" name="Columna15826" dataDxfId="586"/>
    <tableColumn id="15833" xr3:uid="{4D4386CF-2828-4E2B-8D3C-6BBDE1AD04DA}" name="Columna15827" dataDxfId="585"/>
    <tableColumn id="15834" xr3:uid="{162E8AF4-A158-4914-8D28-BF026270F300}" name="Columna15828" dataDxfId="584"/>
    <tableColumn id="15835" xr3:uid="{A58884EC-5B1E-4D72-88A5-E0811779E7A5}" name="Columna15829" dataDxfId="583"/>
    <tableColumn id="15836" xr3:uid="{CE018488-D1ED-466B-9A11-F50A6AE0E473}" name="Columna15830" dataDxfId="582"/>
    <tableColumn id="15837" xr3:uid="{657C57E1-26D9-40E8-92CA-26E5D5712563}" name="Columna15831" dataDxfId="581"/>
    <tableColumn id="15838" xr3:uid="{349E6551-49C5-47C1-8DF3-E5CE2397C213}" name="Columna15832" dataDxfId="580"/>
    <tableColumn id="15839" xr3:uid="{4CEF60E6-3DB6-44A4-8778-8B891D5A7DC6}" name="Columna15833" dataDxfId="579"/>
    <tableColumn id="15840" xr3:uid="{BE0329B3-CD71-41AD-BFBF-213785C1FBA4}" name="Columna15834" dataDxfId="578"/>
    <tableColumn id="15841" xr3:uid="{A56453ED-F04B-4416-8A88-5CE0B38890BC}" name="Columna15835" dataDxfId="577"/>
    <tableColumn id="15842" xr3:uid="{F08B6693-D3E8-48CB-B3D3-B52C46BEA1F1}" name="Columna15836" dataDxfId="576"/>
    <tableColumn id="15843" xr3:uid="{75BEDF52-E569-49C0-8474-C8F9DB29B4D6}" name="Columna15837" dataDxfId="575"/>
    <tableColumn id="15844" xr3:uid="{0C96BA8B-6174-413F-82AF-F4344AB8CE35}" name="Columna15838" dataDxfId="574"/>
    <tableColumn id="15845" xr3:uid="{3D0A289B-03DE-4F91-B029-0C6048BE4FA9}" name="Columna15839" dataDxfId="573"/>
    <tableColumn id="15846" xr3:uid="{D8A2EC0F-AF38-4F19-B51C-6D051F5381A2}" name="Columna15840" dataDxfId="572"/>
    <tableColumn id="15847" xr3:uid="{38C69C8B-8349-41E6-956E-0C67E7FE7089}" name="Columna15841" dataDxfId="571"/>
    <tableColumn id="15848" xr3:uid="{D2836B09-8414-4A87-924A-95FD7A98469D}" name="Columna15842" dataDxfId="570"/>
    <tableColumn id="15849" xr3:uid="{DD4B4A4E-EE9F-4361-A9E6-E047031690FC}" name="Columna15843" dataDxfId="569"/>
    <tableColumn id="15850" xr3:uid="{98BC4941-8396-4D46-BDCE-FE3B4FAC713C}" name="Columna15844" dataDxfId="568"/>
    <tableColumn id="15851" xr3:uid="{59661B89-C68B-4744-88BD-45B0CCCCA285}" name="Columna15845" dataDxfId="567"/>
    <tableColumn id="15852" xr3:uid="{F7D72FEA-F560-4114-9927-A73DB5C6EC96}" name="Columna15846" dataDxfId="566"/>
    <tableColumn id="15853" xr3:uid="{DB980C03-75A1-4279-8D89-4C4592B6ED21}" name="Columna15847" dataDxfId="565"/>
    <tableColumn id="15854" xr3:uid="{01A7361D-D52A-49BA-86BD-B7DD7F6AE160}" name="Columna15848" dataDxfId="564"/>
    <tableColumn id="15855" xr3:uid="{4461A9C6-DA84-48E4-A1B4-F396122388A7}" name="Columna15849" dataDxfId="563"/>
    <tableColumn id="15856" xr3:uid="{8A35B043-A324-4A39-99BF-170217BA27E9}" name="Columna15850" dataDxfId="562"/>
    <tableColumn id="15857" xr3:uid="{49185B75-9370-46E6-BDEB-A556080489CB}" name="Columna15851" dataDxfId="561"/>
    <tableColumn id="15858" xr3:uid="{9A926D5B-9901-44E9-A70A-0F849B4DC086}" name="Columna15852" dataDxfId="560"/>
    <tableColumn id="15859" xr3:uid="{3D76F917-8B91-4526-BED8-79C0BEA950E4}" name="Columna15853" dataDxfId="559"/>
    <tableColumn id="15860" xr3:uid="{CC9CD262-5FE9-49F3-B93B-478B8BE04AE4}" name="Columna15854" dataDxfId="558"/>
    <tableColumn id="15861" xr3:uid="{0683B8A1-E40A-43C8-A5EE-6E29A17D8C32}" name="Columna15855" dataDxfId="557"/>
    <tableColumn id="15862" xr3:uid="{79CFFEFE-AE04-4145-9EAC-5E8603830675}" name="Columna15856" dataDxfId="556"/>
    <tableColumn id="15863" xr3:uid="{00BA24BF-ED50-46AB-B055-4B0A7EAA36E2}" name="Columna15857" dataDxfId="555"/>
    <tableColumn id="15864" xr3:uid="{C6CE425D-C720-43B1-B1DE-6467B2E9384E}" name="Columna15858" dataDxfId="554"/>
    <tableColumn id="15865" xr3:uid="{E4F1B09F-7F22-4256-B764-AA3816E9F168}" name="Columna15859" dataDxfId="553"/>
    <tableColumn id="15866" xr3:uid="{D4785A26-992F-4B31-B32A-92D23DA44D66}" name="Columna15860" dataDxfId="552"/>
    <tableColumn id="15867" xr3:uid="{5F926531-DEBD-4895-B458-222EA3CE0753}" name="Columna15861" dataDxfId="551"/>
    <tableColumn id="15868" xr3:uid="{2378E732-246B-4974-BC63-6352266F1B9C}" name="Columna15862" dataDxfId="550"/>
    <tableColumn id="15869" xr3:uid="{30829382-289B-4A3E-BB4D-4C39EC03A4E3}" name="Columna15863" dataDxfId="549"/>
    <tableColumn id="15870" xr3:uid="{7EC663C4-EFDF-4E40-AEE4-A1315285A255}" name="Columna15864" dataDxfId="548"/>
    <tableColumn id="15871" xr3:uid="{E82E797F-21E0-4983-B368-FFB4DEFBBC55}" name="Columna15865" dataDxfId="547"/>
    <tableColumn id="15872" xr3:uid="{AA195668-7CAF-4893-B772-79872697B0AF}" name="Columna15866" dataDxfId="546"/>
    <tableColumn id="15873" xr3:uid="{5780623E-8ED5-48A5-9534-36E45EB46157}" name="Columna15867" dataDxfId="545"/>
    <tableColumn id="15874" xr3:uid="{56968104-37A7-454B-8A8F-90194CBA2CE1}" name="Columna15868" dataDxfId="544"/>
    <tableColumn id="15875" xr3:uid="{27895C1C-6511-41EF-89CD-F74C0F269C4C}" name="Columna15869" dataDxfId="543"/>
    <tableColumn id="15876" xr3:uid="{72769207-6F93-469F-9150-C643E0AF5562}" name="Columna15870" dataDxfId="542"/>
    <tableColumn id="15877" xr3:uid="{95406ECB-E61B-41D8-8818-1E0630E73AC7}" name="Columna15871" dataDxfId="541"/>
    <tableColumn id="15878" xr3:uid="{FD72B116-82BE-463F-AD9A-4C1E1E22568A}" name="Columna15872" dataDxfId="540"/>
    <tableColumn id="15879" xr3:uid="{1BE4DA5E-D1B7-40AA-8C7B-E073A0C3BC96}" name="Columna15873" dataDxfId="539"/>
    <tableColumn id="15880" xr3:uid="{B2404257-C136-440C-997B-06D22F1E3B18}" name="Columna15874" dataDxfId="538"/>
    <tableColumn id="15881" xr3:uid="{0C29DB75-5262-439F-964E-6B80C1A23CB7}" name="Columna15875" dataDxfId="537"/>
    <tableColumn id="15882" xr3:uid="{4606228D-930E-4BD9-B0B5-AD4F1270D40E}" name="Columna15876" dataDxfId="536"/>
    <tableColumn id="15883" xr3:uid="{9E22D6C9-E520-405B-AAA9-1FD0906974A8}" name="Columna15877" dataDxfId="535"/>
    <tableColumn id="15884" xr3:uid="{E390D29B-CFFC-4787-B410-9D586362AC18}" name="Columna15878" dataDxfId="534"/>
    <tableColumn id="15885" xr3:uid="{CFB6EE8B-8C3A-4EF9-88A9-86B04E3CD917}" name="Columna15879" dataDxfId="533"/>
    <tableColumn id="15886" xr3:uid="{1E7E3D68-A63A-4E94-93D7-CDC157059387}" name="Columna15880" dataDxfId="532"/>
    <tableColumn id="15887" xr3:uid="{790B66C7-FDFD-404D-BBC0-326E329422FE}" name="Columna15881" dataDxfId="531"/>
    <tableColumn id="15888" xr3:uid="{8EEBDF35-17F6-47E5-9731-BD34B4DB56E0}" name="Columna15882" dataDxfId="530"/>
    <tableColumn id="15889" xr3:uid="{ACACCB3C-1162-4068-BE2D-2E4D497DCEFE}" name="Columna15883" dataDxfId="529"/>
    <tableColumn id="15890" xr3:uid="{0F08090A-79C6-495C-B06C-D2181E6FD5DA}" name="Columna15884" dataDxfId="528"/>
    <tableColumn id="15891" xr3:uid="{474E7C94-80C1-4735-ADD8-5F3E006AC114}" name="Columna15885" dataDxfId="527"/>
    <tableColumn id="15892" xr3:uid="{9228475C-10E2-4BA0-84A6-28AD1768C737}" name="Columna15886" dataDxfId="526"/>
    <tableColumn id="15893" xr3:uid="{65453093-18EF-4677-B6AC-8B69F95D9C2D}" name="Columna15887" dataDxfId="525"/>
    <tableColumn id="15894" xr3:uid="{3DF3BDF7-9E7C-49A7-B308-4F6F74E84A64}" name="Columna15888" dataDxfId="524"/>
    <tableColumn id="15895" xr3:uid="{E405DBCC-C1B9-4281-AD33-918D4B601CFE}" name="Columna15889" dataDxfId="523"/>
    <tableColumn id="15896" xr3:uid="{8D34AD11-7CAA-4B73-8126-ED68210B1ABA}" name="Columna15890" dataDxfId="522"/>
    <tableColumn id="15897" xr3:uid="{0C23B87D-7B76-4781-BF85-68B706EFF88B}" name="Columna15891" dataDxfId="521"/>
    <tableColumn id="15898" xr3:uid="{D12ADE98-B456-4F13-B2F5-DB83593BB301}" name="Columna15892" dataDxfId="520"/>
    <tableColumn id="15899" xr3:uid="{8428B693-C110-4F3C-9EC4-E77FCD4EEB8E}" name="Columna15893" dataDxfId="519"/>
    <tableColumn id="15900" xr3:uid="{C46B8345-E767-45A7-AD7E-14FFCC3012F5}" name="Columna15894" dataDxfId="518"/>
    <tableColumn id="15901" xr3:uid="{0657AE95-EED0-4A44-8818-5598FA5D52BD}" name="Columna15895" dataDxfId="517"/>
    <tableColumn id="15902" xr3:uid="{638C30CA-185C-4F2B-84B6-737797038E2B}" name="Columna15896" dataDxfId="516"/>
    <tableColumn id="15903" xr3:uid="{647E39C4-9640-4E95-AA82-93C03F770EA8}" name="Columna15897" dataDxfId="515"/>
    <tableColumn id="15904" xr3:uid="{9FD10694-440D-4A51-A6C2-3CCC9F234076}" name="Columna15898" dataDxfId="514"/>
    <tableColumn id="15905" xr3:uid="{0D403DD4-66F9-4E6F-92C1-A985C4EA190A}" name="Columna15899" dataDxfId="513"/>
    <tableColumn id="15906" xr3:uid="{D90825D2-4363-4FFA-8FE6-7EB46C67E508}" name="Columna15900" dataDxfId="512"/>
    <tableColumn id="15907" xr3:uid="{1AA26FD1-8FD0-4532-A9E2-15F24EABD1E7}" name="Columna15901" dataDxfId="511"/>
    <tableColumn id="15908" xr3:uid="{0B6C9FC4-B056-40A9-B2B1-AC3D9FB2A1F2}" name="Columna15902" dataDxfId="510"/>
    <tableColumn id="15909" xr3:uid="{C746970F-1E6C-4EB9-AA4B-6C363855830E}" name="Columna15903" dataDxfId="509"/>
    <tableColumn id="15910" xr3:uid="{2528021E-FAF3-42B3-9547-BE6CCD1C260C}" name="Columna15904" dataDxfId="508"/>
    <tableColumn id="15911" xr3:uid="{45B8985D-267A-4E20-BFCF-DB220F8B8FFE}" name="Columna15905" dataDxfId="507"/>
    <tableColumn id="15912" xr3:uid="{D88BDA7E-747D-479E-9CA2-9C1DC1BB3992}" name="Columna15906" dataDxfId="506"/>
    <tableColumn id="15913" xr3:uid="{6CE8EE4E-5430-44B3-A68D-131064F7A6DB}" name="Columna15907" dataDxfId="505"/>
    <tableColumn id="15914" xr3:uid="{628BA0FB-6044-4BD9-99EF-2B8C121B965E}" name="Columna15908" dataDxfId="504"/>
    <tableColumn id="15915" xr3:uid="{CE86D8C4-9843-4932-AB6B-07344AB805C3}" name="Columna15909" dataDxfId="503"/>
    <tableColumn id="15916" xr3:uid="{A31D14D5-19A0-4081-8614-B7E3412BC5F8}" name="Columna15910" dataDxfId="502"/>
    <tableColumn id="15917" xr3:uid="{399F398C-CC03-4AE4-BC99-E0CE362D462A}" name="Columna15911" dataDxfId="501"/>
    <tableColumn id="15918" xr3:uid="{60F3940A-8C59-4E4F-B184-36876F197C64}" name="Columna15912" dataDxfId="500"/>
    <tableColumn id="15919" xr3:uid="{3B4C7E96-F774-4D9A-98C1-800BED3F7F21}" name="Columna15913" dataDxfId="499"/>
    <tableColumn id="15920" xr3:uid="{F4B9F482-C90D-4E79-9F9D-8A93330C98CC}" name="Columna15914" dataDxfId="498"/>
    <tableColumn id="15921" xr3:uid="{E978EB8B-818B-4430-8264-9130A9E153E4}" name="Columna15915" dataDxfId="497"/>
    <tableColumn id="15922" xr3:uid="{7F95E860-A4A1-42C6-910C-6819CB34E275}" name="Columna15916" dataDxfId="496"/>
    <tableColumn id="15923" xr3:uid="{96F17513-FBBF-4320-8F35-D7018D522313}" name="Columna15917" dataDxfId="495"/>
    <tableColumn id="15924" xr3:uid="{12EA587D-B068-4624-9AFC-C6C5C0E4B81C}" name="Columna15918" dataDxfId="494"/>
    <tableColumn id="15925" xr3:uid="{B4D30D98-FC5C-4A99-8B4A-2D6B9B54B5F6}" name="Columna15919" dataDxfId="493"/>
    <tableColumn id="15926" xr3:uid="{E7415BBA-8600-4136-8E8F-28095694CB83}" name="Columna15920" dataDxfId="492"/>
    <tableColumn id="15927" xr3:uid="{A97442FC-9613-4034-A650-6E61B10C1E3D}" name="Columna15921" dataDxfId="491"/>
    <tableColumn id="15928" xr3:uid="{1D341AF2-B6F2-426D-8545-44167F56B8B2}" name="Columna15922" dataDxfId="490"/>
    <tableColumn id="15929" xr3:uid="{C6239506-89CF-4F0E-9E68-2E1617B01A63}" name="Columna15923" dataDxfId="489"/>
    <tableColumn id="15930" xr3:uid="{36F4C307-B1EA-4A2F-AAC1-3C49CF22AC19}" name="Columna15924" dataDxfId="488"/>
    <tableColumn id="15931" xr3:uid="{28999464-BDA7-4C75-B238-BCF756CE58F8}" name="Columna15925" dataDxfId="487"/>
    <tableColumn id="15932" xr3:uid="{BAE3C380-F70F-4CF1-8D8C-DD47F521AC97}" name="Columna15926" dataDxfId="486"/>
    <tableColumn id="15933" xr3:uid="{52758F3F-17EB-431A-8B17-CFBB809453C3}" name="Columna15927" dataDxfId="485"/>
    <tableColumn id="15934" xr3:uid="{B6F48A22-9DCB-4245-B022-2603BE772204}" name="Columna15928" dataDxfId="484"/>
    <tableColumn id="15935" xr3:uid="{48E347EE-1F04-4CC1-97BD-859E7547EBA4}" name="Columna15929" dataDxfId="483"/>
    <tableColumn id="15936" xr3:uid="{CA4EE7B5-AD85-41BE-9CBE-20498A0E589D}" name="Columna15930" dataDxfId="482"/>
    <tableColumn id="15937" xr3:uid="{D689869E-C2FE-4903-AA79-C2C80BCACA34}" name="Columna15931" dataDxfId="481"/>
    <tableColumn id="15938" xr3:uid="{17DB2398-1946-4AC1-A5A8-3DF2EA1C1F04}" name="Columna15932" dataDxfId="480"/>
    <tableColumn id="15939" xr3:uid="{12D9D4AB-3B69-4958-A6B8-75AF0317B5FE}" name="Columna15933" dataDxfId="479"/>
    <tableColumn id="15940" xr3:uid="{BFA1BA8C-8AAA-4EE0-89FE-9EA3881C682C}" name="Columna15934" dataDxfId="478"/>
    <tableColumn id="15941" xr3:uid="{EC5D8466-36C8-4F4A-9241-BAB873F1F46F}" name="Columna15935" dataDxfId="477"/>
    <tableColumn id="15942" xr3:uid="{1EEF090E-133B-48CD-9E99-BE9AC307A784}" name="Columna15936" dataDxfId="476"/>
    <tableColumn id="15943" xr3:uid="{0100FBD1-D211-4BDF-AA4E-AB897345FC24}" name="Columna15937" dataDxfId="475"/>
    <tableColumn id="15944" xr3:uid="{B4A9605C-0840-426D-91BF-4B0D0E6B09A2}" name="Columna15938" dataDxfId="474"/>
    <tableColumn id="15945" xr3:uid="{85BAE03B-319D-4291-8ABA-89D6CF063DF7}" name="Columna15939" dataDxfId="473"/>
    <tableColumn id="15946" xr3:uid="{C2F32332-9D9D-4D07-9B8A-0DC993C8F47A}" name="Columna15940" dataDxfId="472"/>
    <tableColumn id="15947" xr3:uid="{C4350F75-9598-432A-881A-3E6B5F1995EF}" name="Columna15941" dataDxfId="471"/>
    <tableColumn id="15948" xr3:uid="{57B01359-9C32-478C-BEC7-5362DC501720}" name="Columna15942" dataDxfId="470"/>
    <tableColumn id="15949" xr3:uid="{44087196-ADD2-42CB-844F-6E4DE38E946E}" name="Columna15943" dataDxfId="469"/>
    <tableColumn id="15950" xr3:uid="{43357E01-A961-40AA-AFA2-B0978BDF85CA}" name="Columna15944" dataDxfId="468"/>
    <tableColumn id="15951" xr3:uid="{DC41179D-2528-4664-AA56-22EB4E72674C}" name="Columna15945" dataDxfId="467"/>
    <tableColumn id="15952" xr3:uid="{7AC3D13B-2531-408B-92BB-E4BABE7E2F68}" name="Columna15946" dataDxfId="466"/>
    <tableColumn id="15953" xr3:uid="{4BD43D3C-2752-42B5-904C-C0D79560D85C}" name="Columna15947" dataDxfId="465"/>
    <tableColumn id="15954" xr3:uid="{59D5F4B0-3A7F-4054-9FD9-B787DB464E12}" name="Columna15948" dataDxfId="464"/>
    <tableColumn id="15955" xr3:uid="{31A27AEC-1D65-4819-B43F-A8A33354A9AF}" name="Columna15949" dataDxfId="463"/>
    <tableColumn id="15956" xr3:uid="{1A4CBE10-5A42-46CB-A715-DE6F2BDD5BBE}" name="Columna15950" dataDxfId="462"/>
    <tableColumn id="15957" xr3:uid="{6AE931FF-3D7D-413F-A57B-D0340FE94D2B}" name="Columna15951" dataDxfId="461"/>
    <tableColumn id="15958" xr3:uid="{0097BCC5-F219-43F3-B450-36E900EA0A18}" name="Columna15952" dataDxfId="460"/>
    <tableColumn id="15959" xr3:uid="{391F82E2-915F-4098-98A8-CFAE641C8FFF}" name="Columna15953" dataDxfId="459"/>
    <tableColumn id="15960" xr3:uid="{483AD8AA-BE37-4038-B856-6BD9000A72AE}" name="Columna15954" dataDxfId="458"/>
    <tableColumn id="15961" xr3:uid="{807B1E69-12A1-404B-B26F-14AF4FC25897}" name="Columna15955" dataDxfId="457"/>
    <tableColumn id="15962" xr3:uid="{766CCB97-DBCD-45C7-B46B-54B6C9FAEB66}" name="Columna15956" dataDxfId="456"/>
    <tableColumn id="15963" xr3:uid="{096405DB-A549-4E5B-8A41-5510ADBEABCC}" name="Columna15957" dataDxfId="455"/>
    <tableColumn id="15964" xr3:uid="{97CF1AE2-C4D3-457E-815B-76F8614091F8}" name="Columna15958" dataDxfId="454"/>
    <tableColumn id="15965" xr3:uid="{D045BBCC-AC56-4E17-8745-F8CD8FFD97EC}" name="Columna15959" dataDxfId="453"/>
    <tableColumn id="15966" xr3:uid="{77C1F4D1-B399-4FFA-9BDA-342AE79DF575}" name="Columna15960" dataDxfId="452"/>
    <tableColumn id="15967" xr3:uid="{E31A2B59-90EA-447D-A269-ED446664DEDB}" name="Columna15961" dataDxfId="451"/>
    <tableColumn id="15968" xr3:uid="{41F30534-013F-4B90-B79A-12A9115EE68F}" name="Columna15962" dataDxfId="450"/>
    <tableColumn id="15969" xr3:uid="{657F4080-FEBA-47B8-BDA9-F3F27272F857}" name="Columna15963" dataDxfId="449"/>
    <tableColumn id="15970" xr3:uid="{0A7857CC-E134-41BC-A13B-53F81E2D1C88}" name="Columna15964" dataDxfId="448"/>
    <tableColumn id="15971" xr3:uid="{DF7B9C3F-90B9-43C6-9FAA-89FEC3A0CE31}" name="Columna15965" dataDxfId="447"/>
    <tableColumn id="15972" xr3:uid="{6AA377D7-804F-4FDA-961E-326A3C8C3286}" name="Columna15966" dataDxfId="446"/>
    <tableColumn id="15973" xr3:uid="{5D3209FC-5BB0-491E-BF40-9DAFA9123BE5}" name="Columna15967" dataDxfId="445"/>
    <tableColumn id="15974" xr3:uid="{7BA8D483-FB67-4C1B-B0D1-B70C34851579}" name="Columna15968" dataDxfId="444"/>
    <tableColumn id="15975" xr3:uid="{1C8F1E84-DEA7-4E77-88FF-A1D0EB199CF2}" name="Columna15969" dataDxfId="443"/>
    <tableColumn id="15976" xr3:uid="{1B8809B3-030F-4E32-B37D-B67C431583FE}" name="Columna15970" dataDxfId="442"/>
    <tableColumn id="15977" xr3:uid="{CDE84DF8-D3F8-4A00-83B0-CFB5C2AE16C6}" name="Columna15971" dataDxfId="441"/>
    <tableColumn id="15978" xr3:uid="{DFE97F2B-BA5C-47A4-A6F0-5059493D3BC0}" name="Columna15972" dataDxfId="440"/>
    <tableColumn id="15979" xr3:uid="{685C43C1-EF1E-49E1-BE8E-5E7AF8901646}" name="Columna15973" dataDxfId="439"/>
    <tableColumn id="15980" xr3:uid="{DA0BA32A-97A5-4273-AAD0-D389CF86DB44}" name="Columna15974" dataDxfId="438"/>
    <tableColumn id="15981" xr3:uid="{6E8B2DA8-6A10-4CE7-B0BC-B9861E8686EB}" name="Columna15975" dataDxfId="437"/>
    <tableColumn id="15982" xr3:uid="{09875801-ED99-4FF5-8738-4A09680E017B}" name="Columna15976" dataDxfId="436"/>
    <tableColumn id="15983" xr3:uid="{CEC7F332-D815-4994-A9EF-2914F70D76B9}" name="Columna15977" dataDxfId="435"/>
    <tableColumn id="15984" xr3:uid="{7ECE2FE9-D008-4E12-9607-AA6F46690F29}" name="Columna15978" dataDxfId="434"/>
    <tableColumn id="15985" xr3:uid="{FB282FEA-B32C-4E14-893E-5E52B47A8AE1}" name="Columna15979" dataDxfId="433"/>
    <tableColumn id="15986" xr3:uid="{84605722-6E8A-464F-ACA3-B9EF63D34C3D}" name="Columna15980" dataDxfId="432"/>
    <tableColumn id="15987" xr3:uid="{5E36ED73-EECF-45D0-92CD-2980306DEC80}" name="Columna15981" dataDxfId="431"/>
    <tableColumn id="15988" xr3:uid="{9C830F38-48B5-483B-9A02-4711C033702D}" name="Columna15982" dataDxfId="430"/>
    <tableColumn id="15989" xr3:uid="{326FA808-1A65-461C-9319-758686B753F2}" name="Columna15983" dataDxfId="429"/>
    <tableColumn id="15990" xr3:uid="{59236E5B-D2EA-490F-823B-AACE70D20AF9}" name="Columna15984" dataDxfId="428"/>
    <tableColumn id="15991" xr3:uid="{E9945C6D-5D70-4447-AAD4-2D6B7232FC8C}" name="Columna15985" dataDxfId="427"/>
    <tableColumn id="15992" xr3:uid="{1B713DF3-8A1E-4387-962A-BC8394EE1F3C}" name="Columna15986" dataDxfId="426"/>
    <tableColumn id="15993" xr3:uid="{AD073753-77CB-4CFA-9612-CA88E24D0E6D}" name="Columna15987" dataDxfId="425"/>
    <tableColumn id="15994" xr3:uid="{9DB9DB9F-7FAC-45FE-8BBD-52187E100A21}" name="Columna15988" dataDxfId="424"/>
    <tableColumn id="15995" xr3:uid="{9DC4079D-07E6-4487-99B3-02398A151E5B}" name="Columna15989" dataDxfId="423"/>
    <tableColumn id="15996" xr3:uid="{E7B2289F-9DF0-4581-B916-71B55ADEB6F8}" name="Columna15990" dataDxfId="422"/>
    <tableColumn id="15997" xr3:uid="{8EC02695-B2BC-4A5D-8AFE-4C86805C8626}" name="Columna15991" dataDxfId="421"/>
    <tableColumn id="15998" xr3:uid="{064000A6-35CD-46E4-9856-80327B6128A9}" name="Columna15992" dataDxfId="420"/>
    <tableColumn id="15999" xr3:uid="{5F34A055-337A-4EE9-8E76-3D5C10D9B3C2}" name="Columna15993" dataDxfId="419"/>
    <tableColumn id="16000" xr3:uid="{5DCA6FBB-43D6-4C74-8677-53826C6D5EBE}" name="Columna15994" dataDxfId="418"/>
    <tableColumn id="16001" xr3:uid="{854F3DE0-950C-4F5C-8677-528E3BDE94BA}" name="Columna15995" dataDxfId="417"/>
    <tableColumn id="16002" xr3:uid="{B0B2370B-1CBE-4BEC-9921-0C8B53B32590}" name="Columna15996" dataDxfId="416"/>
    <tableColumn id="16003" xr3:uid="{B1211BD2-EAB0-4F14-83F4-7586C8D748B6}" name="Columna15997" dataDxfId="415"/>
    <tableColumn id="16004" xr3:uid="{BA3EAE32-1EF7-444B-AF2B-5608FEBBA612}" name="Columna15998" dataDxfId="414"/>
    <tableColumn id="16005" xr3:uid="{51F663E1-0118-41EF-B871-9B5BE5B98B97}" name="Columna15999" dataDxfId="413"/>
    <tableColumn id="16006" xr3:uid="{6888B07A-8C04-4890-94AC-4B3452F22744}" name="Columna16000" dataDxfId="412"/>
    <tableColumn id="16007" xr3:uid="{BFB8791A-95F3-4E02-8FB7-D077A8642FEF}" name="Columna16001" dataDxfId="411"/>
    <tableColumn id="16008" xr3:uid="{FCBE48FB-1B0F-48E1-9DE5-75E1CD591760}" name="Columna16002" dataDxfId="410"/>
    <tableColumn id="16009" xr3:uid="{1F5EEB9D-93D8-4DAF-BF8F-885F2EBF9876}" name="Columna16003" dataDxfId="409"/>
    <tableColumn id="16010" xr3:uid="{7130B6D3-C379-4327-B0CE-314A4B1F830F}" name="Columna16004" dataDxfId="408"/>
    <tableColumn id="16011" xr3:uid="{F966B6AC-5811-4506-85CC-B3457A58B5A0}" name="Columna16005" dataDxfId="407"/>
    <tableColumn id="16012" xr3:uid="{07DA5567-9A5D-484C-AD82-565C208A9514}" name="Columna16006" dataDxfId="406"/>
    <tableColumn id="16013" xr3:uid="{55C67BF4-F27D-40A2-8B3D-F4267106209E}" name="Columna16007" dataDxfId="405"/>
    <tableColumn id="16014" xr3:uid="{02BA979D-D190-4776-8409-99D71CE31359}" name="Columna16008" dataDxfId="404"/>
    <tableColumn id="16015" xr3:uid="{B3CF757E-122A-4E86-8431-00844974D8FB}" name="Columna16009" dataDxfId="403"/>
    <tableColumn id="16016" xr3:uid="{67D4648F-A046-492B-962E-6F8C97EE74F4}" name="Columna16010" dataDxfId="402"/>
    <tableColumn id="16017" xr3:uid="{27ABD5F4-62DE-470B-8778-7946894C125E}" name="Columna16011" dataDxfId="401"/>
    <tableColumn id="16018" xr3:uid="{81FCBD70-D37C-4F20-B0C4-0CD191D98884}" name="Columna16012" dataDxfId="400"/>
    <tableColumn id="16019" xr3:uid="{7623A009-EAD1-4F71-B6C5-46A811C62F4C}" name="Columna16013" dataDxfId="399"/>
    <tableColumn id="16020" xr3:uid="{D997A12F-1CEE-4701-91C1-9C4845C7FDC7}" name="Columna16014" dataDxfId="398"/>
    <tableColumn id="16021" xr3:uid="{567E3F87-65E2-4215-8BA1-C5E73B6954D0}" name="Columna16015" dataDxfId="397"/>
    <tableColumn id="16022" xr3:uid="{D70635C1-DE70-4166-851D-04C6AE2703C8}" name="Columna16016" dataDxfId="396"/>
    <tableColumn id="16023" xr3:uid="{483FFAE1-36DB-4B81-B780-C6CBE007165F}" name="Columna16017" dataDxfId="395"/>
    <tableColumn id="16024" xr3:uid="{C53E8645-1B60-47FA-BE53-A442500C52D5}" name="Columna16018" dataDxfId="394"/>
    <tableColumn id="16025" xr3:uid="{302D11C8-E6A9-4905-ACAE-8819395641E7}" name="Columna16019" dataDxfId="393"/>
    <tableColumn id="16026" xr3:uid="{85FCFF2E-B06A-40F2-A6E0-AEB91FF572DF}" name="Columna16020" dataDxfId="392"/>
    <tableColumn id="16027" xr3:uid="{4B1D54CC-F9A8-49CD-9076-633150059C7B}" name="Columna16021" dataDxfId="391"/>
    <tableColumn id="16028" xr3:uid="{D52B7A2E-E602-465E-B217-C94901BEBB79}" name="Columna16022" dataDxfId="390"/>
    <tableColumn id="16029" xr3:uid="{B34AFE22-23CA-453E-B4D9-7B535B7DD6D7}" name="Columna16023" dataDxfId="389"/>
    <tableColumn id="16030" xr3:uid="{9EC4AB7D-E433-4F29-8E92-8D1538271CF1}" name="Columna16024" dataDxfId="388"/>
    <tableColumn id="16031" xr3:uid="{EE75EB52-99A4-4DFB-9B26-0CE718AA2BE5}" name="Columna16025" dataDxfId="387"/>
    <tableColumn id="16032" xr3:uid="{B9BA564A-DA00-4B0A-A244-2A4BDD461EAC}" name="Columna16026" dataDxfId="386"/>
    <tableColumn id="16033" xr3:uid="{19623A2D-8A5B-4A86-B3E2-16E56FB380EC}" name="Columna16027" dataDxfId="385"/>
    <tableColumn id="16034" xr3:uid="{FBDEBFED-58BB-467A-B3E3-26D3B767B07F}" name="Columna16028" dataDxfId="384"/>
    <tableColumn id="16035" xr3:uid="{90BB3054-26B7-471C-8BAE-E7BB96617A17}" name="Columna16029" dataDxfId="383"/>
    <tableColumn id="16036" xr3:uid="{3BF46BDD-0E6D-4524-94EA-EAE550809F28}" name="Columna16030" dataDxfId="382"/>
    <tableColumn id="16037" xr3:uid="{9965D76E-0416-4792-B523-F7D4D531465A}" name="Columna16031" dataDxfId="381"/>
    <tableColumn id="16038" xr3:uid="{DAEB6CD5-B5B5-4C16-8CE2-E679F292029D}" name="Columna16032" dataDxfId="380"/>
    <tableColumn id="16039" xr3:uid="{1F0B2142-E9F3-4308-A93B-F15105D6EED8}" name="Columna16033" dataDxfId="379"/>
    <tableColumn id="16040" xr3:uid="{85FE166B-0555-4C0A-AD18-DD6B0CA604E1}" name="Columna16034" dataDxfId="378"/>
    <tableColumn id="16041" xr3:uid="{63E6235A-FA75-4AD3-B328-0518DB21E799}" name="Columna16035" dataDxfId="377"/>
    <tableColumn id="16042" xr3:uid="{FD8F6E64-DA64-4A71-B57C-4D58F04FAA22}" name="Columna16036" dataDxfId="376"/>
    <tableColumn id="16043" xr3:uid="{491E9326-FF96-4129-85B5-90471CA45021}" name="Columna16037" dataDxfId="375"/>
    <tableColumn id="16044" xr3:uid="{0789FD97-D02D-4986-AC7E-24E71C269660}" name="Columna16038" dataDxfId="374"/>
    <tableColumn id="16045" xr3:uid="{A1C25AF9-08CE-4F01-ADC0-08F6264C59E4}" name="Columna16039" dataDxfId="373"/>
    <tableColumn id="16046" xr3:uid="{A02EAE3A-41DB-421A-B2E4-7F86D5A1F34E}" name="Columna16040" dataDxfId="372"/>
    <tableColumn id="16047" xr3:uid="{CE122D5C-3587-41EE-8C04-9494FF174C02}" name="Columna16041" dataDxfId="371"/>
    <tableColumn id="16048" xr3:uid="{B334780E-63B9-41BE-9102-6D9AE173F29B}" name="Columna16042" dataDxfId="370"/>
    <tableColumn id="16049" xr3:uid="{C0ABEE31-CE3A-4197-8F75-210F6F8CB121}" name="Columna16043" dataDxfId="369"/>
    <tableColumn id="16050" xr3:uid="{F62BFABC-0FC8-4F82-A9F4-5D524B44C5A2}" name="Columna16044" dataDxfId="368"/>
    <tableColumn id="16051" xr3:uid="{A690CC58-03B0-429E-A4A2-65B858EDC15D}" name="Columna16045" dataDxfId="367"/>
    <tableColumn id="16052" xr3:uid="{81CCA21E-115C-4004-8F62-A50F06CE2DE9}" name="Columna16046" dataDxfId="366"/>
    <tableColumn id="16053" xr3:uid="{056C4D76-6EE4-49FF-A613-7B12E135FA32}" name="Columna16047" dataDxfId="365"/>
    <tableColumn id="16054" xr3:uid="{E7E4D6F1-D04F-4103-9BC9-BC50AFD8B559}" name="Columna16048" dataDxfId="364"/>
    <tableColumn id="16055" xr3:uid="{384363DD-11FB-4FAF-A2AD-517CA420334E}" name="Columna16049" dataDxfId="363"/>
    <tableColumn id="16056" xr3:uid="{53563DDA-944B-48BB-BD17-76A819823571}" name="Columna16050" dataDxfId="362"/>
    <tableColumn id="16057" xr3:uid="{1118FAB5-E17F-49A7-B2BB-57BA65E97DA7}" name="Columna16051" dataDxfId="361"/>
    <tableColumn id="16058" xr3:uid="{9D32DA02-CAA7-461B-B56D-25A8C1F80090}" name="Columna16052" dataDxfId="360"/>
    <tableColumn id="16059" xr3:uid="{F6D1BE93-3B1A-425C-B324-B986CCDDA6AA}" name="Columna16053" dataDxfId="359"/>
    <tableColumn id="16060" xr3:uid="{D8460DDE-2A8C-48DD-8B95-C44724A6113A}" name="Columna16054" dataDxfId="358"/>
    <tableColumn id="16061" xr3:uid="{ED2F0A18-3CAA-450C-A59C-E3F9680FDD6C}" name="Columna16055" dataDxfId="357"/>
    <tableColumn id="16062" xr3:uid="{78B7A23D-61D0-4FCF-A0D8-A1F484F9B843}" name="Columna16056" dataDxfId="356"/>
    <tableColumn id="16063" xr3:uid="{A32DF82E-06D3-418A-8F2F-60EFD45A9385}" name="Columna16057" dataDxfId="355"/>
    <tableColumn id="16064" xr3:uid="{C3D5F4F8-0063-4FC2-BF4B-C1010F8BEA57}" name="Columna16058" dataDxfId="354"/>
    <tableColumn id="16065" xr3:uid="{80BC17BF-4E3A-4992-B542-788C78E941D0}" name="Columna16059" dataDxfId="353"/>
    <tableColumn id="16066" xr3:uid="{153209D3-8452-47F7-80B8-EE19E41045A1}" name="Columna16060" dataDxfId="352"/>
    <tableColumn id="16067" xr3:uid="{F6C94EF9-EED0-4A30-882C-E0ED30B11BF9}" name="Columna16061" dataDxfId="351"/>
    <tableColumn id="16068" xr3:uid="{B4AAE056-C05B-42F6-A151-5559FC8C2742}" name="Columna16062" dataDxfId="350"/>
    <tableColumn id="16069" xr3:uid="{0EFB6E74-C05F-437C-98EF-B97DF568480D}" name="Columna16063" dataDxfId="349"/>
    <tableColumn id="16070" xr3:uid="{D64BBDD2-F428-46E0-B9FC-B4DFF377113F}" name="Columna16064" dataDxfId="348"/>
    <tableColumn id="16071" xr3:uid="{3012FC2A-2770-44C3-996C-F2D8D4AD1FB5}" name="Columna16065" dataDxfId="347"/>
    <tableColumn id="16072" xr3:uid="{A3EF7442-B045-4808-B348-2D2C4912A16E}" name="Columna16066" dataDxfId="346"/>
    <tableColumn id="16073" xr3:uid="{FA983EAD-38AD-4F62-9B76-50CCD7379801}" name="Columna16067" dataDxfId="345"/>
    <tableColumn id="16074" xr3:uid="{98725F7C-D12F-4AE7-BEA7-DD81FC4B27B2}" name="Columna16068" dataDxfId="344"/>
    <tableColumn id="16075" xr3:uid="{FD5550D5-9255-4F8D-8DB9-49BADA23FB50}" name="Columna16069" dataDxfId="343"/>
    <tableColumn id="16076" xr3:uid="{0F4A6BCE-0CC2-40E3-B273-5DE22B40B7E3}" name="Columna16070" dataDxfId="342"/>
    <tableColumn id="16077" xr3:uid="{1DF49DBE-848A-48DE-B1D4-9F3AFD7D472E}" name="Columna16071" dataDxfId="341"/>
    <tableColumn id="16078" xr3:uid="{647F5DA7-4891-4217-BD53-B1283A4C1C4B}" name="Columna16072" dataDxfId="340"/>
    <tableColumn id="16079" xr3:uid="{5C9099A9-1F21-4088-93EB-3BFEE06C1696}" name="Columna16073" dataDxfId="339"/>
    <tableColumn id="16080" xr3:uid="{2DCF8D5D-71C3-45F7-B1F7-E53C7E70B858}" name="Columna16074" dataDxfId="338"/>
    <tableColumn id="16081" xr3:uid="{0231EFC3-1A8A-47DD-A51B-F266629EA58D}" name="Columna16075" dataDxfId="337"/>
    <tableColumn id="16082" xr3:uid="{88668F33-B088-4E51-B8E2-BD749845A68C}" name="Columna16076" dataDxfId="336"/>
    <tableColumn id="16083" xr3:uid="{35D4C78F-F536-4CAB-B4C1-777F74B02CDD}" name="Columna16077" dataDxfId="335"/>
    <tableColumn id="16084" xr3:uid="{904BDFDF-9A85-4A91-B16D-51AABD33F9F0}" name="Columna16078" dataDxfId="334"/>
    <tableColumn id="16085" xr3:uid="{93FE9B98-1885-410E-89F9-014BA7D496F1}" name="Columna16079" dataDxfId="333"/>
    <tableColumn id="16086" xr3:uid="{7CE7865E-6028-42AD-A6B5-3AA13DFE5EF1}" name="Columna16080" dataDxfId="332"/>
    <tableColumn id="16087" xr3:uid="{B707402A-11DE-4704-9C65-052902198D20}" name="Columna16081" dataDxfId="331"/>
    <tableColumn id="16088" xr3:uid="{0359C384-0865-4154-9BC1-4C3AC4AB83D9}" name="Columna16082" dataDxfId="330"/>
    <tableColumn id="16089" xr3:uid="{4328C8E1-7931-41AB-9B84-E8751F7AFB9C}" name="Columna16083" dataDxfId="329"/>
    <tableColumn id="16090" xr3:uid="{29DC5D5C-9053-4C11-BF65-76E41244F7B1}" name="Columna16084" dataDxfId="328"/>
    <tableColumn id="16091" xr3:uid="{44D73E8D-BC47-4E2E-AC18-148627CE8839}" name="Columna16085" dataDxfId="327"/>
    <tableColumn id="16092" xr3:uid="{68259217-9DF5-48D6-BA07-51A324FFE207}" name="Columna16086" dataDxfId="326"/>
    <tableColumn id="16093" xr3:uid="{18BEEB6C-F242-4679-B8FF-1D7BB6D71FC6}" name="Columna16087" dataDxfId="325"/>
    <tableColumn id="16094" xr3:uid="{CC4D7F37-8050-4DEF-BAEF-65CD799DD9B7}" name="Columna16088" dataDxfId="324"/>
    <tableColumn id="16095" xr3:uid="{040F1D88-CF92-4C60-BAC0-7051D9889B73}" name="Columna16089" dataDxfId="323"/>
    <tableColumn id="16096" xr3:uid="{17D72DA5-857B-48D7-A2CA-BB12D2819EB5}" name="Columna16090" dataDxfId="322"/>
    <tableColumn id="16097" xr3:uid="{89671B61-6ED6-4A08-9F12-345734975083}" name="Columna16091" dataDxfId="321"/>
    <tableColumn id="16098" xr3:uid="{2957857F-84F1-44DE-821E-423A0A0C5C30}" name="Columna16092" dataDxfId="320"/>
    <tableColumn id="16099" xr3:uid="{C315E941-74E4-4219-ABF3-63D9C1429F69}" name="Columna16093" dataDxfId="319"/>
    <tableColumn id="16100" xr3:uid="{8DBDC931-D336-4112-A360-CC0116DCA86B}" name="Columna16094" dataDxfId="318"/>
    <tableColumn id="16101" xr3:uid="{AB4B4D10-E21D-4B3B-B542-562DF4E8E31A}" name="Columna16095" dataDxfId="317"/>
    <tableColumn id="16102" xr3:uid="{97CFDA02-06CA-4E18-8C9D-300ABB222EB1}" name="Columna16096" dataDxfId="316"/>
    <tableColumn id="16103" xr3:uid="{9C340BC8-2ADF-4A8C-96BC-ABE3E5A92187}" name="Columna16097" dataDxfId="315"/>
    <tableColumn id="16104" xr3:uid="{AA6FE76E-2058-4EA2-A5EA-AED99E943F56}" name="Columna16098" dataDxfId="314"/>
    <tableColumn id="16105" xr3:uid="{1FE538FF-89F2-4C14-8FC7-6ED2A969FEC0}" name="Columna16099" dataDxfId="313"/>
    <tableColumn id="16106" xr3:uid="{08F38C3E-880C-4573-BCED-1BF4A4F7DE96}" name="Columna16100" dataDxfId="312"/>
    <tableColumn id="16107" xr3:uid="{637C27A7-7FAB-47BC-9BD5-3BF7D2ED031C}" name="Columna16101" dataDxfId="311"/>
    <tableColumn id="16108" xr3:uid="{B0762AE9-FABB-4B9D-9063-DF63D3C617AB}" name="Columna16102" dataDxfId="310"/>
    <tableColumn id="16109" xr3:uid="{60B92D49-3D85-4E69-A099-15B41587C3AB}" name="Columna16103" dataDxfId="309"/>
    <tableColumn id="16110" xr3:uid="{175F41F2-8075-4CAB-9720-0858B8226008}" name="Columna16104" dataDxfId="308"/>
    <tableColumn id="16111" xr3:uid="{E22CD59E-3403-4E33-B6BE-B875E85C8F6E}" name="Columna16105" dataDxfId="307"/>
    <tableColumn id="16112" xr3:uid="{AE053829-AEAF-4BB7-8A88-C6AC20BD1B59}" name="Columna16106" dataDxfId="306"/>
    <tableColumn id="16113" xr3:uid="{6BD3C91E-EBD8-46C9-93E6-7BCCF8774ECC}" name="Columna16107" dataDxfId="305"/>
    <tableColumn id="16114" xr3:uid="{69487F70-B97A-4375-82C4-BEAF95B8C903}" name="Columna16108" dataDxfId="304"/>
    <tableColumn id="16115" xr3:uid="{6EF4AEAB-5FBE-4537-AEE7-F3622D57A505}" name="Columna16109" dataDxfId="303"/>
    <tableColumn id="16116" xr3:uid="{B359496C-035C-460B-BEB0-4D07FF1B4D56}" name="Columna16110" dataDxfId="302"/>
    <tableColumn id="16117" xr3:uid="{8A6041F4-7184-405B-B504-4B42C27D2EDB}" name="Columna16111" dataDxfId="301"/>
    <tableColumn id="16118" xr3:uid="{86307ECA-B82D-492F-A572-3D5E51CDEFAC}" name="Columna16112" dataDxfId="300"/>
    <tableColumn id="16119" xr3:uid="{46C4EAA4-C58F-4F8A-AEB4-A4E6B5C5710B}" name="Columna16113" dataDxfId="299"/>
    <tableColumn id="16120" xr3:uid="{2436FF11-3C8D-4785-A3A2-B9B99B167451}" name="Columna16114" dataDxfId="298"/>
    <tableColumn id="16121" xr3:uid="{FEF0C9D6-DC4C-4C9D-90C5-1BCC9F2877AB}" name="Columna16115" dataDxfId="297"/>
    <tableColumn id="16122" xr3:uid="{64C6FBA5-9F28-475B-99EA-62785DD06DE4}" name="Columna16116" dataDxfId="296"/>
    <tableColumn id="16123" xr3:uid="{37FD2A69-6761-4525-BA5C-C3ECA460C238}" name="Columna16117" dataDxfId="295"/>
    <tableColumn id="16124" xr3:uid="{A3045C5C-FFD3-46D5-8240-05AC8731154C}" name="Columna16118" dataDxfId="294"/>
    <tableColumn id="16125" xr3:uid="{6159981E-07C3-4C88-9A58-6DC4580C6CB4}" name="Columna16119" dataDxfId="293"/>
    <tableColumn id="16126" xr3:uid="{DE495ADA-BF95-4DAA-BF2F-C2669036347C}" name="Columna16120" dataDxfId="292"/>
    <tableColumn id="16127" xr3:uid="{856EAA3C-C048-4ED0-A8DE-9E134E98AE1E}" name="Columna16121" dataDxfId="291"/>
    <tableColumn id="16128" xr3:uid="{66C16F7F-FF82-4C49-B12F-F30ADD420FFF}" name="Columna16122" dataDxfId="290"/>
    <tableColumn id="16129" xr3:uid="{09360995-5963-42EB-ABCD-C9534A39EBA4}" name="Columna16123" dataDxfId="289"/>
    <tableColumn id="16130" xr3:uid="{61A4951D-82B5-4657-9B50-A91D78F8D46A}" name="Columna16124" dataDxfId="288"/>
    <tableColumn id="16131" xr3:uid="{9687C774-0FE0-4C4B-B141-017D75BD676C}" name="Columna16125" dataDxfId="287"/>
    <tableColumn id="16132" xr3:uid="{B67B38F6-2F64-4352-9518-6D8A365B8BBF}" name="Columna16126" dataDxfId="286"/>
    <tableColumn id="16133" xr3:uid="{B65CE61C-C0F5-4EE6-A69E-FB554CF7819A}" name="Columna16127" dataDxfId="285"/>
    <tableColumn id="16134" xr3:uid="{83AF137E-B2BD-4874-BD0D-BEFF063454ED}" name="Columna16128" dataDxfId="284"/>
    <tableColumn id="16135" xr3:uid="{29B83762-95F5-485C-863E-7575CA8248EF}" name="Columna16129" dataDxfId="283"/>
    <tableColumn id="16136" xr3:uid="{788794CF-061B-469E-8347-66095F3DC9DE}" name="Columna16130" dataDxfId="282"/>
    <tableColumn id="16137" xr3:uid="{1ABC83C7-195B-47A9-97DB-12F451F9D916}" name="Columna16131" dataDxfId="281"/>
    <tableColumn id="16138" xr3:uid="{A0659316-0E54-4F7F-BDE5-107CDDCB8294}" name="Columna16132" dataDxfId="280"/>
    <tableColumn id="16139" xr3:uid="{3B6D7169-B7BF-4576-895B-45464F96D1D0}" name="Columna16133" dataDxfId="279"/>
    <tableColumn id="16140" xr3:uid="{012B6077-4D05-4072-8AE2-50CD92A29562}" name="Columna16134" dataDxfId="278"/>
    <tableColumn id="16141" xr3:uid="{1415D3E1-E52F-4214-A18A-73C5C1A50CEB}" name="Columna16135" dataDxfId="277"/>
    <tableColumn id="16142" xr3:uid="{73905E4E-F039-4CA7-8082-645DB00701C3}" name="Columna16136" dataDxfId="276"/>
    <tableColumn id="16143" xr3:uid="{65CC9D79-9223-4531-B86B-BAB7868276B6}" name="Columna16137" dataDxfId="275"/>
    <tableColumn id="16144" xr3:uid="{F7697C4D-2FF6-4CA9-B39C-1BDF2041FE59}" name="Columna16138" dataDxfId="274"/>
    <tableColumn id="16145" xr3:uid="{A6E01D5E-9DA1-48C4-943E-2AD651348BA8}" name="Columna16139" dataDxfId="273"/>
    <tableColumn id="16146" xr3:uid="{E9DCB998-7510-4E6E-941F-04026FF0BE42}" name="Columna16140" dataDxfId="272"/>
    <tableColumn id="16147" xr3:uid="{D0B89814-30A4-4518-8EFC-8D1B6C2B3A21}" name="Columna16141" dataDxfId="271"/>
    <tableColumn id="16148" xr3:uid="{6C893E5E-D4A0-4FFE-8B7C-19E96E9D2F80}" name="Columna16142" dataDxfId="270"/>
    <tableColumn id="16149" xr3:uid="{CDE43B8C-1E5E-4564-8310-1376D48161FE}" name="Columna16143" dataDxfId="269"/>
    <tableColumn id="16150" xr3:uid="{55B42FEA-FD85-4637-A5E2-87A68702BCD8}" name="Columna16144" dataDxfId="268"/>
    <tableColumn id="16151" xr3:uid="{DA3ED32F-D038-4D9B-B70F-6422D50A6E0A}" name="Columna16145" dataDxfId="267"/>
    <tableColumn id="16152" xr3:uid="{9698B269-ECB5-48FC-8DF7-3B5388B3EA06}" name="Columna16146" dataDxfId="266"/>
    <tableColumn id="16153" xr3:uid="{546E0B3B-4A1F-4B42-9CFD-C33CCF75E83B}" name="Columna16147" dataDxfId="265"/>
    <tableColumn id="16154" xr3:uid="{78240FD1-215E-41E4-89AE-C490325E9281}" name="Columna16148" dataDxfId="264"/>
    <tableColumn id="16155" xr3:uid="{841FA260-1D50-4816-9574-38098DB6EA01}" name="Columna16149" dataDxfId="263"/>
    <tableColumn id="16156" xr3:uid="{601EECAE-287C-4879-9A38-BE1AFEDB3A47}" name="Columna16150" dataDxfId="262"/>
    <tableColumn id="16157" xr3:uid="{C3807420-C2D5-4995-8E43-B334D47805DB}" name="Columna16151" dataDxfId="261"/>
    <tableColumn id="16158" xr3:uid="{AC806014-2399-4773-B1C8-BB9854246694}" name="Columna16152" dataDxfId="260"/>
    <tableColumn id="16159" xr3:uid="{FF6B552C-0CDE-4C17-A1BF-2777925FDC61}" name="Columna16153" dataDxfId="259"/>
    <tableColumn id="16160" xr3:uid="{A2883FEF-2A3A-499B-ACCF-356827083222}" name="Columna16154" dataDxfId="258"/>
    <tableColumn id="16161" xr3:uid="{7A35B1B8-3E7E-4504-A34C-A5872C6DDA46}" name="Columna16155" dataDxfId="257"/>
    <tableColumn id="16162" xr3:uid="{E1B7F471-29F1-42CE-9D74-9F953697BEBE}" name="Columna16156" dataDxfId="256"/>
    <tableColumn id="16163" xr3:uid="{17D0E066-9C0D-4923-8879-5189E3FBF1B3}" name="Columna16157" dataDxfId="255"/>
    <tableColumn id="16164" xr3:uid="{8FB4B2BE-EDF4-453C-B626-B4C8A660B822}" name="Columna16158" dataDxfId="254"/>
    <tableColumn id="16165" xr3:uid="{050B15FC-0E43-4EE3-81E9-1E4BB06DEE25}" name="Columna16159" dataDxfId="253"/>
    <tableColumn id="16166" xr3:uid="{1FF3B578-9AAA-4026-80D5-EEEF67376356}" name="Columna16160" dataDxfId="252"/>
    <tableColumn id="16167" xr3:uid="{ED21DB11-D6F2-4EDE-B8E8-A85A75A61CE4}" name="Columna16161" dataDxfId="251"/>
    <tableColumn id="16168" xr3:uid="{2C3215E9-FF31-419E-8D2D-4FCF2372FEE7}" name="Columna16162" dataDxfId="250"/>
    <tableColumn id="16169" xr3:uid="{5D721FC9-1FD5-48A1-A17B-1855B0252688}" name="Columna16163" dataDxfId="249"/>
    <tableColumn id="16170" xr3:uid="{6D029DF4-8FA6-4AEC-AD70-924301032C4F}" name="Columna16164" dataDxfId="248"/>
    <tableColumn id="16171" xr3:uid="{F6BF8480-2B1E-4A24-B2AA-84AA208CDCC2}" name="Columna16165" dataDxfId="247"/>
    <tableColumn id="16172" xr3:uid="{DBE5A521-6778-4C82-8D09-95DFFE131C43}" name="Columna16166" dataDxfId="246"/>
    <tableColumn id="16173" xr3:uid="{35014334-EBBA-4051-AA8D-AD2EF0F3280B}" name="Columna16167" dataDxfId="245"/>
    <tableColumn id="16174" xr3:uid="{7A722CD0-5FB8-44C7-A4FE-CAFEDBF05EEF}" name="Columna16168" dataDxfId="244"/>
    <tableColumn id="16175" xr3:uid="{8E41857B-4E9E-41D4-BB3E-AD52CFE88D7C}" name="Columna16169" dataDxfId="243"/>
    <tableColumn id="16176" xr3:uid="{DD8C2821-97D5-4BD5-AB26-0EBBD5FCD3E5}" name="Columna16170" dataDxfId="242"/>
    <tableColumn id="16177" xr3:uid="{D6E87CE0-3925-46F2-A4DA-C23807AC96DC}" name="Columna16171" dataDxfId="241"/>
    <tableColumn id="16178" xr3:uid="{63C9BB10-DCD5-4CC6-A8A7-41E1E6164E9C}" name="Columna16172" dataDxfId="240"/>
    <tableColumn id="16179" xr3:uid="{59138884-00D9-401D-B7EB-0C80AD7B3614}" name="Columna16173" dataDxfId="239"/>
    <tableColumn id="16180" xr3:uid="{F17F267C-8211-4171-91DE-4F48BD8F0D51}" name="Columna16174" dataDxfId="238"/>
    <tableColumn id="16181" xr3:uid="{7DC5F65F-BB66-423C-AB2F-ACD073E25BB5}" name="Columna16175" dataDxfId="237"/>
    <tableColumn id="16182" xr3:uid="{8B49B7D7-94F6-4739-BC79-01A44B294C1E}" name="Columna16176" dataDxfId="236"/>
    <tableColumn id="16183" xr3:uid="{DDC59493-C36A-4C96-9C37-A1BBECB1D745}" name="Columna16177" dataDxfId="235"/>
    <tableColumn id="16184" xr3:uid="{0F8C177B-C235-468C-A87F-532E5F58F80A}" name="Columna16178" dataDxfId="234"/>
    <tableColumn id="16185" xr3:uid="{4CD71713-D84A-473D-9126-CBDA7805A8C4}" name="Columna16179" dataDxfId="233"/>
    <tableColumn id="16186" xr3:uid="{71F037C4-FE15-4786-BECC-BA4549B9B6E2}" name="Columna16180" dataDxfId="232"/>
    <tableColumn id="16187" xr3:uid="{549B503D-AFCE-46F4-A967-F46A53FD5913}" name="Columna16181" dataDxfId="231"/>
    <tableColumn id="16188" xr3:uid="{99B23CB6-4C39-4139-AC32-CC6B270F2186}" name="Columna16182" dataDxfId="230"/>
    <tableColumn id="16189" xr3:uid="{C20F1849-9C75-4AFD-BAA2-C6AE23CD6C10}" name="Columna16183" dataDxfId="229"/>
    <tableColumn id="16190" xr3:uid="{C7AC4D77-7CCE-4DEE-BE07-09139D72ABE6}" name="Columna16184" dataDxfId="228"/>
    <tableColumn id="16191" xr3:uid="{052B409E-186A-4BA6-848F-9C60481F0F64}" name="Columna16185" dataDxfId="227"/>
    <tableColumn id="16192" xr3:uid="{14739476-BD2E-4F13-AAE5-9BDE6193BF2A}" name="Columna16186" dataDxfId="226"/>
    <tableColumn id="16193" xr3:uid="{1E1DF63E-6F27-4DB7-A97E-F444BF71051A}" name="Columna16187" dataDxfId="225"/>
    <tableColumn id="16194" xr3:uid="{2EF935FF-A15A-438B-9722-042D90EF2351}" name="Columna16188" dataDxfId="224"/>
    <tableColumn id="16195" xr3:uid="{EFD38147-3D88-4085-8474-7B0B1B9C1E22}" name="Columna16189" dataDxfId="223"/>
    <tableColumn id="16196" xr3:uid="{D3DFFC06-35FA-4F60-A7EA-AF078885528C}" name="Columna16190" dataDxfId="222"/>
    <tableColumn id="16197" xr3:uid="{A7210492-DCE7-4B57-A996-06D31C5E2D7E}" name="Columna16191" dataDxfId="221"/>
    <tableColumn id="16198" xr3:uid="{526DD689-3F52-4140-8E18-50B75F0DDA88}" name="Columna16192" dataDxfId="220"/>
    <tableColumn id="16199" xr3:uid="{582655E2-55A4-4105-9D54-CA261F5713ED}" name="Columna16193" dataDxfId="219"/>
    <tableColumn id="16200" xr3:uid="{7431E01C-5F93-40D5-B867-03B448EDE9B3}" name="Columna16194" dataDxfId="218"/>
    <tableColumn id="16201" xr3:uid="{D91B9E9C-AC1D-4F3D-AD7F-BD0FC8C9A8A7}" name="Columna16195" dataDxfId="217"/>
    <tableColumn id="16202" xr3:uid="{28E2DEC1-9F63-4CC3-B653-885CB8295EFF}" name="Columna16196" dataDxfId="216"/>
    <tableColumn id="16203" xr3:uid="{FDC3DCD5-1BFF-4493-A8A5-C78D9930D1DB}" name="Columna16197" dataDxfId="215"/>
    <tableColumn id="16204" xr3:uid="{4358713C-276C-4C74-ACB9-69541AFEF9C8}" name="Columna16198" dataDxfId="214"/>
    <tableColumn id="16205" xr3:uid="{E289BE57-886F-4FEF-9A9F-64EDCA9889E1}" name="Columna16199" dataDxfId="213"/>
    <tableColumn id="16206" xr3:uid="{B1C2253C-6570-44BF-8656-EE412A39CC4D}" name="Columna16200" dataDxfId="212"/>
    <tableColumn id="16207" xr3:uid="{B4EC3524-334F-4707-B078-D2A0B83DD282}" name="Columna16201" dataDxfId="211"/>
    <tableColumn id="16208" xr3:uid="{566B7744-E853-4F5C-9ACD-825EA19439D7}" name="Columna16202" dataDxfId="210"/>
    <tableColumn id="16209" xr3:uid="{EDE1FEED-1590-4129-8E29-C18C938D2C90}" name="Columna16203" dataDxfId="209"/>
    <tableColumn id="16210" xr3:uid="{FAF05A29-B661-4952-ADAF-F5E998CB02C8}" name="Columna16204" dataDxfId="208"/>
    <tableColumn id="16211" xr3:uid="{DF82B772-B6EC-485E-9AB8-4B498EDBB4BD}" name="Columna16205" dataDxfId="207"/>
    <tableColumn id="16212" xr3:uid="{E665FB3C-BCF7-4593-ACD3-CABC73B45AFE}" name="Columna16206" dataDxfId="206"/>
    <tableColumn id="16213" xr3:uid="{3E6B083B-3ED0-493D-ADDF-5750E2748B05}" name="Columna16207" dataDxfId="205"/>
    <tableColumn id="16214" xr3:uid="{36F665C6-0113-45FF-989F-F0960EC5B3E8}" name="Columna16208" dataDxfId="204"/>
    <tableColumn id="16215" xr3:uid="{FD01F7A9-B2A3-4BC4-81EA-F9B66111E875}" name="Columna16209" dataDxfId="203"/>
    <tableColumn id="16216" xr3:uid="{7889A15F-71B7-4E21-8171-573C9B63BCED}" name="Columna16210" dataDxfId="202"/>
    <tableColumn id="16217" xr3:uid="{F49585DF-DB70-459B-B17D-2238BEDB52FF}" name="Columna16211" dataDxfId="201"/>
    <tableColumn id="16218" xr3:uid="{9FD2206A-634D-40D7-ADD3-F97660E4F57B}" name="Columna16212" dataDxfId="200"/>
    <tableColumn id="16219" xr3:uid="{BBA2271C-0021-451A-95F9-6D25095C0A71}" name="Columna16213" dataDxfId="199"/>
    <tableColumn id="16220" xr3:uid="{BA96EBB7-25EF-4618-9CA4-A70D2FAB6107}" name="Columna16214" dataDxfId="198"/>
    <tableColumn id="16221" xr3:uid="{67369A27-FF5A-44B7-B301-770F5D6DE29B}" name="Columna16215" dataDxfId="197"/>
    <tableColumn id="16222" xr3:uid="{A634CC33-18FB-4E64-AA80-0E3747D9F97A}" name="Columna16216" dataDxfId="196"/>
    <tableColumn id="16223" xr3:uid="{49702CC8-EBCE-4938-8249-121A4140EFED}" name="Columna16217" dataDxfId="195"/>
    <tableColumn id="16224" xr3:uid="{3339ED74-D464-4EFB-AB53-8B6C2C0E0F8F}" name="Columna16218" dataDxfId="194"/>
    <tableColumn id="16225" xr3:uid="{EC8891EA-39BC-4B67-890D-25E4279F028D}" name="Columna16219" dataDxfId="193"/>
    <tableColumn id="16226" xr3:uid="{37C1CBED-B3FD-47C5-B6A3-F827FC8F9D72}" name="Columna16220" dataDxfId="192"/>
    <tableColumn id="16227" xr3:uid="{524EA4D4-9394-42F4-801B-ABD3AAA6A7EB}" name="Columna16221" dataDxfId="191"/>
    <tableColumn id="16228" xr3:uid="{96A0F71D-F00C-438A-B3AD-7F50B9EC70C2}" name="Columna16222" dataDxfId="190"/>
    <tableColumn id="16229" xr3:uid="{03E1F66C-BCB3-4269-A7DD-841874FB6CCA}" name="Columna16223" dataDxfId="189"/>
    <tableColumn id="16230" xr3:uid="{7E37236A-97D3-4FFB-949B-14AAC57F73AF}" name="Columna16224" dataDxfId="188"/>
    <tableColumn id="16231" xr3:uid="{11DC4D7F-F91F-45AC-9F1F-F9B3FB3E831F}" name="Columna16225" dataDxfId="187"/>
    <tableColumn id="16232" xr3:uid="{208DF07C-E14B-49B1-AF9A-1710418644EC}" name="Columna16226" dataDxfId="186"/>
    <tableColumn id="16233" xr3:uid="{5211685E-388B-4395-9946-849D7B228450}" name="Columna16227" dataDxfId="185"/>
    <tableColumn id="16234" xr3:uid="{08C339C5-E540-4199-BED1-19FB01BE6155}" name="Columna16228" dataDxfId="184"/>
    <tableColumn id="16235" xr3:uid="{AE9045D8-FD12-4E82-979E-1D4C2D166F02}" name="Columna16229" dataDxfId="183"/>
    <tableColumn id="16236" xr3:uid="{9C97AD24-8E97-49CB-BBF1-95A529C59F31}" name="Columna16230" dataDxfId="182"/>
    <tableColumn id="16237" xr3:uid="{73E09C2B-99C2-44EA-96BE-CEF371B562EA}" name="Columna16231" dataDxfId="181"/>
    <tableColumn id="16238" xr3:uid="{98571094-64E9-4A03-8839-DADFC07A025E}" name="Columna16232" dataDxfId="180"/>
    <tableColumn id="16239" xr3:uid="{1838A17E-EC4E-4D5E-9FB4-CD092173A2A4}" name="Columna16233" dataDxfId="179"/>
    <tableColumn id="16240" xr3:uid="{AB3B9A3E-EFCE-4214-AF75-FC2924C8EB6F}" name="Columna16234" dataDxfId="178"/>
    <tableColumn id="16241" xr3:uid="{39D2FE3A-AAEB-49F3-9524-2933DD19A57B}" name="Columna16235" dataDxfId="177"/>
    <tableColumn id="16242" xr3:uid="{01D4AF34-C851-455D-9EA6-874D5EA56085}" name="Columna16236" dataDxfId="176"/>
    <tableColumn id="16243" xr3:uid="{88B410D0-3E75-4645-9549-FB8191AB982A}" name="Columna16237" dataDxfId="175"/>
    <tableColumn id="16244" xr3:uid="{2F7CDEDB-503A-4862-8D65-F9E1DE21BEBD}" name="Columna16238" dataDxfId="174"/>
    <tableColumn id="16245" xr3:uid="{838CC599-2F11-4C9A-BD6A-0B30BE43FEF1}" name="Columna16239" dataDxfId="173"/>
    <tableColumn id="16246" xr3:uid="{27693622-D1CF-4C4D-BF1D-1C2CD17AE331}" name="Columna16240" dataDxfId="172"/>
    <tableColumn id="16247" xr3:uid="{A4DD602F-58A9-4B96-9DAB-5B1D0C3EB985}" name="Columna16241" dataDxfId="171"/>
    <tableColumn id="16248" xr3:uid="{A30FEC48-FF29-4B54-8960-6FCAACA68F78}" name="Columna16242" dataDxfId="170"/>
    <tableColumn id="16249" xr3:uid="{E51EA224-5ABA-457B-9AEA-0EFA3AE3E1D7}" name="Columna16243" dataDxfId="169"/>
    <tableColumn id="16250" xr3:uid="{E03B6C1E-02AB-468A-8297-7C94407CC488}" name="Columna16244" dataDxfId="168"/>
    <tableColumn id="16251" xr3:uid="{36E4B715-6CD9-45AF-A6F2-8F0B35433AD5}" name="Columna16245" dataDxfId="167"/>
    <tableColumn id="16252" xr3:uid="{280E7A91-FF78-4B32-A212-46743E3F6C20}" name="Columna16246" dataDxfId="166"/>
    <tableColumn id="16253" xr3:uid="{07570A04-4A7B-4674-81B1-7A5432723A1F}" name="Columna16247" dataDxfId="165"/>
    <tableColumn id="16254" xr3:uid="{427EE21D-F91C-4537-825F-E5DA97D52BF5}" name="Columna16248" dataDxfId="164"/>
    <tableColumn id="16255" xr3:uid="{3B98E340-83D2-4F9C-80B0-74CA0EFBCE79}" name="Columna16249" dataDxfId="163"/>
    <tableColumn id="16256" xr3:uid="{3E757016-65F2-4172-BB61-E515BC168DA1}" name="Columna16250" dataDxfId="162"/>
    <tableColumn id="16257" xr3:uid="{0DBBFD93-BD30-4571-A816-EEBC083816A9}" name="Columna16251" dataDxfId="161"/>
    <tableColumn id="16258" xr3:uid="{E43BBB9C-E000-4563-9CE3-B8C09FD2723F}" name="Columna16252" dataDxfId="160"/>
    <tableColumn id="16259" xr3:uid="{EEC4C997-3D6E-4D43-A405-4206C370C629}" name="Columna16253" dataDxfId="159"/>
    <tableColumn id="16260" xr3:uid="{D0DBBF58-7ABC-4C49-89A5-16907C7959C9}" name="Columna16254" dataDxfId="158"/>
    <tableColumn id="16261" xr3:uid="{9C3B4CA4-0471-4A69-B79A-2085362CB887}" name="Columna16255" dataDxfId="157"/>
    <tableColumn id="16262" xr3:uid="{A60CD320-19EF-40F3-8CD2-D86FC881EA74}" name="Columna16256" dataDxfId="156"/>
    <tableColumn id="16263" xr3:uid="{67111683-1D28-4107-99BB-E17A3D4046FE}" name="Columna16257" dataDxfId="155"/>
    <tableColumn id="16264" xr3:uid="{1A0FA408-C5A8-4BCD-835B-4F628A8BE928}" name="Columna16258" dataDxfId="154"/>
    <tableColumn id="16265" xr3:uid="{E23BEEA1-5E56-4B71-BF15-2C2044984406}" name="Columna16259" dataDxfId="153"/>
    <tableColumn id="16266" xr3:uid="{9DA0B83C-1BC6-41E7-AEEE-D7A271053909}" name="Columna16260" dataDxfId="152"/>
    <tableColumn id="16267" xr3:uid="{4203BF79-DBFF-45DF-AC8A-7BC8526F9B6A}" name="Columna16261" dataDxfId="151"/>
    <tableColumn id="16268" xr3:uid="{60A36BD3-F2C8-4091-9606-BCF155DA2B8B}" name="Columna16262" dataDxfId="150"/>
    <tableColumn id="16269" xr3:uid="{09FFED19-A375-4C61-AD05-A2E1FAF48E71}" name="Columna16263" dataDxfId="149"/>
    <tableColumn id="16270" xr3:uid="{54DCF4BA-D9F9-45A2-9A1E-35F1958F7F83}" name="Columna16264" dataDxfId="148"/>
    <tableColumn id="16271" xr3:uid="{D1E3355F-881E-4824-8F17-A6671E71CA5A}" name="Columna16265" dataDxfId="147"/>
    <tableColumn id="16272" xr3:uid="{FF3D4EA7-5D82-4DB4-935F-ECFB6D03859B}" name="Columna16266" dataDxfId="146"/>
    <tableColumn id="16273" xr3:uid="{E8D33F6D-5B46-403F-9D3A-05A4B50F964C}" name="Columna16267" dataDxfId="145"/>
    <tableColumn id="16274" xr3:uid="{49264F2E-802F-432C-BB1C-3D0853E2B46C}" name="Columna16268" dataDxfId="144"/>
    <tableColumn id="16275" xr3:uid="{85800573-5D02-45F4-8157-2AC6DF2D05E6}" name="Columna16269" dataDxfId="143"/>
    <tableColumn id="16276" xr3:uid="{792F62F0-144A-4147-BCE5-A7AE12BA6D97}" name="Columna16270" dataDxfId="142"/>
    <tableColumn id="16277" xr3:uid="{D4B63524-B0D7-4B0E-8DAE-B8701CB8BA25}" name="Columna16271" dataDxfId="141"/>
    <tableColumn id="16278" xr3:uid="{A39E0B7D-6B3C-4CF6-8E22-0953EB28002F}" name="Columna16272" dataDxfId="140"/>
    <tableColumn id="16279" xr3:uid="{2FE3A21E-5B90-48DD-977A-6E3DAD34768F}" name="Columna16273" dataDxfId="139"/>
    <tableColumn id="16280" xr3:uid="{4B96D037-9F32-44FC-A216-B995DCA75A29}" name="Columna16274" dataDxfId="138"/>
    <tableColumn id="16281" xr3:uid="{3F18470B-AC4E-4157-884D-23A2A2A065B1}" name="Columna16275" dataDxfId="137"/>
    <tableColumn id="16282" xr3:uid="{D1340C7F-C39E-4B8E-BE72-0FD9D859A428}" name="Columna16276" dataDxfId="136"/>
    <tableColumn id="16283" xr3:uid="{3EDC2D5B-1928-4B64-A8F9-0B3E2CF70F2C}" name="Columna16277" dataDxfId="135"/>
    <tableColumn id="16284" xr3:uid="{E45B61AF-4951-46A6-81AA-12187DACF98D}" name="Columna16278" dataDxfId="134"/>
    <tableColumn id="16285" xr3:uid="{31AAD698-03E4-4468-B87B-D53B98F4D279}" name="Columna16279" dataDxfId="133"/>
    <tableColumn id="16286" xr3:uid="{A20E3D2B-6F8A-4F3E-AB44-C762A0873FAA}" name="Columna16280" dataDxfId="132"/>
    <tableColumn id="16287" xr3:uid="{21DED2F2-5709-4FED-B7AB-78C4D9857909}" name="Columna16281" dataDxfId="131"/>
    <tableColumn id="16288" xr3:uid="{F465EE3F-C207-487E-A18F-92000AB903BC}" name="Columna16282" dataDxfId="130"/>
    <tableColumn id="16289" xr3:uid="{A6FD2D52-A9F2-4EE0-BB23-6CE242944E64}" name="Columna16283" dataDxfId="129"/>
    <tableColumn id="16290" xr3:uid="{90C93BCD-3EC2-4E6E-981C-DC26225222D9}" name="Columna16284" dataDxfId="128"/>
    <tableColumn id="16291" xr3:uid="{7D7A8C44-087D-4F1D-8905-4F65716FC583}" name="Columna16285" dataDxfId="127"/>
    <tableColumn id="16292" xr3:uid="{72D99924-5658-4AF0-BDCB-B7D5340B8500}" name="Columna16286" dataDxfId="126"/>
    <tableColumn id="16293" xr3:uid="{7CB979A8-72D9-4477-A994-394B3A1BD9C0}" name="Columna16287" dataDxfId="125"/>
    <tableColumn id="16294" xr3:uid="{7BD763E1-9627-4562-8787-8E5AEB43118B}" name="Columna16288" dataDxfId="124"/>
    <tableColumn id="16295" xr3:uid="{1B9F53E1-EA45-4157-A607-0E1C1AF3BE6A}" name="Columna16289" dataDxfId="123"/>
    <tableColumn id="16296" xr3:uid="{213249C6-FA37-4965-A5B0-48AC6B6B518A}" name="Columna16290" dataDxfId="122"/>
    <tableColumn id="16297" xr3:uid="{0ADB7D10-62A2-4A08-9D33-6ADD9EAB46D1}" name="Columna16291" dataDxfId="121"/>
    <tableColumn id="16298" xr3:uid="{FB37E992-2C5B-4F3B-B32A-B136F5C0DAD6}" name="Columna16292" dataDxfId="120"/>
    <tableColumn id="16299" xr3:uid="{847166AF-100E-45D0-8E77-7947B89AE13E}" name="Columna16293" dataDxfId="119"/>
    <tableColumn id="16300" xr3:uid="{7F73FD3E-C0F3-4F62-90FB-DEF0F19EFECE}" name="Columna16294" dataDxfId="118"/>
    <tableColumn id="16301" xr3:uid="{F1CF9F69-6861-48CE-8E44-C7A17F5F0832}" name="Columna16295" dataDxfId="117"/>
    <tableColumn id="16302" xr3:uid="{90264B62-BF3D-4D6D-BB44-3CF0FD9C4CF4}" name="Columna16296" dataDxfId="116"/>
    <tableColumn id="16303" xr3:uid="{524AFA4E-E675-45C4-B22A-FF956593708B}" name="Columna16297" dataDxfId="115"/>
    <tableColumn id="16304" xr3:uid="{2594FE28-9A1F-4DCE-97AB-6F17D4059562}" name="Columna16298" dataDxfId="114"/>
    <tableColumn id="16305" xr3:uid="{3A6441CE-77D7-4938-82C1-C48FC99E0F12}" name="Columna16299" dataDxfId="113"/>
    <tableColumn id="16306" xr3:uid="{A1B6E397-AEF0-42C7-B012-DBCDD73A9362}" name="Columna16300" dataDxfId="112"/>
    <tableColumn id="16307" xr3:uid="{46A6DF18-AD12-43D5-8FFD-9372E50E80E9}" name="Columna16301" dataDxfId="111"/>
    <tableColumn id="16308" xr3:uid="{41B6933E-9E70-4686-B195-060C0A592529}" name="Columna16302" dataDxfId="110"/>
    <tableColumn id="16309" xr3:uid="{655C24BE-F4BB-43BE-AC9F-6359426452C6}" name="Columna16303" dataDxfId="109"/>
    <tableColumn id="16310" xr3:uid="{20E525C6-CC90-4C76-B4F4-3EB3DD8908CA}" name="Columna16304" dataDxfId="108"/>
    <tableColumn id="16311" xr3:uid="{207C90D6-2573-477B-869E-99C0ABC0598F}" name="Columna16305" dataDxfId="107"/>
    <tableColumn id="16312" xr3:uid="{E30AD17D-0709-453C-B39A-FFFEF05354AB}" name="Columna16306" dataDxfId="106"/>
    <tableColumn id="16313" xr3:uid="{38122A05-9288-413A-99AD-0B2D51D41257}" name="Columna16307" dataDxfId="105"/>
    <tableColumn id="16314" xr3:uid="{92BEA70F-7AAA-4D53-A1F1-3A0EEC4D4D1F}" name="Columna16308" dataDxfId="104"/>
    <tableColumn id="16315" xr3:uid="{9C76C941-4295-4519-86AD-FD3CAAB11511}" name="Columna16309" dataDxfId="103"/>
    <tableColumn id="16316" xr3:uid="{478739C6-8574-42FE-B6CF-4C4F09EC22FF}" name="Columna16310" dataDxfId="102"/>
    <tableColumn id="16317" xr3:uid="{29DBAE45-293A-4934-9AFA-4877E233FD44}" name="Columna16311" dataDxfId="101"/>
    <tableColumn id="16318" xr3:uid="{0CD47453-BED9-4511-854C-0BFE3754C0EE}" name="Columna16312" dataDxfId="100"/>
    <tableColumn id="16319" xr3:uid="{3DF7FBA9-D618-4CEE-A426-A19560AC5FC6}" name="Columna16313" dataDxfId="99"/>
    <tableColumn id="16320" xr3:uid="{1418B10D-E830-436D-82AF-BB6C3EBB70C2}" name="Columna16314" dataDxfId="98"/>
    <tableColumn id="16321" xr3:uid="{55A3CA25-F99F-4D31-A7E7-E4775C32F291}" name="Columna16315" dataDxfId="97"/>
    <tableColumn id="16322" xr3:uid="{DA580DF0-7B37-4665-B17C-785ABBEC898A}" name="Columna16316" dataDxfId="96"/>
    <tableColumn id="16323" xr3:uid="{5AB92075-45BD-453D-A167-08B4FD2E5DCF}" name="Columna16317" dataDxfId="95"/>
    <tableColumn id="16324" xr3:uid="{1EE39C53-86D1-4966-BD50-D51594FBF218}" name="Columna16318" dataDxfId="94"/>
    <tableColumn id="16325" xr3:uid="{420F25E8-A53A-4C02-A832-852421824281}" name="Columna16319" dataDxfId="93"/>
    <tableColumn id="16326" xr3:uid="{12B58AEA-984A-43E2-BADD-310F1B10EB9C}" name="Columna16320" dataDxfId="92"/>
    <tableColumn id="16327" xr3:uid="{27936FFB-2928-467F-8BEB-125600FDAF9A}" name="Columna16321" dataDxfId="91"/>
    <tableColumn id="16328" xr3:uid="{F197F64C-BD2A-4D1E-A076-D474A4CFDB17}" name="Columna16322" dataDxfId="90"/>
    <tableColumn id="16329" xr3:uid="{2759DD6E-7261-4D73-97C8-C322D01A78F7}" name="Columna16323" dataDxfId="89"/>
    <tableColumn id="16330" xr3:uid="{445FF8D2-C03F-4C31-9C58-4FDEA102D250}" name="Columna16324" dataDxfId="88"/>
    <tableColumn id="16331" xr3:uid="{8184C488-86C4-43D9-8EEB-E4150FE45E39}" name="Columna16325" dataDxfId="87"/>
    <tableColumn id="16332" xr3:uid="{57D4C36D-9E54-4323-B884-A912AC1AFD30}" name="Columna16326" dataDxfId="86"/>
    <tableColumn id="16333" xr3:uid="{EEE93E59-182E-4AD1-A18D-9F40CEC63D8C}" name="Columna16327" dataDxfId="85"/>
    <tableColumn id="16334" xr3:uid="{A1E6D57D-8FBA-4B44-80B3-D08D875E14E3}" name="Columna16328" dataDxfId="84"/>
    <tableColumn id="16335" xr3:uid="{3A704A6F-F8D5-4372-90A4-200495D6E358}" name="Columna16329" dataDxfId="83"/>
    <tableColumn id="16336" xr3:uid="{26E6C386-81DB-4D1D-A8DB-05860B79AAE1}" name="Columna16330" dataDxfId="82"/>
    <tableColumn id="16337" xr3:uid="{5EDFB6E3-D8DB-4ADD-AC46-1CD9342F3E95}" name="Columna16331" dataDxfId="81"/>
    <tableColumn id="16338" xr3:uid="{F3A44F25-9146-46BD-B581-46D5C94A1CCD}" name="Columna16332" dataDxfId="80"/>
    <tableColumn id="16339" xr3:uid="{B6F5BBAD-495F-43B3-894D-35750C378F4C}" name="Columna16333" dataDxfId="79"/>
    <tableColumn id="16340" xr3:uid="{ECA8A474-FC73-4866-8106-43B97A8D36D3}" name="Columna16334" dataDxfId="78"/>
    <tableColumn id="16341" xr3:uid="{2E202D3E-2D0B-4AD0-BAF4-06F8BAF9CA41}" name="Columna16335" dataDxfId="77"/>
    <tableColumn id="16342" xr3:uid="{D7A9ED55-E86A-469C-85B2-FAE6613071B1}" name="Columna16336" dataDxfId="76"/>
    <tableColumn id="16343" xr3:uid="{9F841C94-BBA5-4483-995B-52A1AEFA63FD}" name="Columna16337" dataDxfId="75"/>
    <tableColumn id="16344" xr3:uid="{F876019D-7016-462B-88F1-8B531D08B363}" name="Columna16338" dataDxfId="74"/>
    <tableColumn id="16345" xr3:uid="{A2286113-5D36-4487-9573-11209783496D}" name="Columna16339" dataDxfId="73"/>
    <tableColumn id="16346" xr3:uid="{6FF5188C-7BCB-4134-A87C-532A1ACE8773}" name="Columna16340" dataDxfId="72"/>
    <tableColumn id="16347" xr3:uid="{251DDA5D-EEF7-45CA-91E8-B572AE25D22B}" name="Columna16341" dataDxfId="71"/>
    <tableColumn id="16348" xr3:uid="{473AB36E-9160-4F7F-ACF6-6F559764240E}" name="Columna16342" dataDxfId="70"/>
    <tableColumn id="16349" xr3:uid="{F7A47750-9A6D-41C9-8603-CC9E30DA23B1}" name="Columna16343" dataDxfId="69"/>
    <tableColumn id="16350" xr3:uid="{9DAD8BA7-7F0F-4745-B642-07C78CAA1EE5}" name="Columna16344" dataDxfId="68"/>
    <tableColumn id="16351" xr3:uid="{A5C5EF6C-3450-4FBB-A71C-62D16DE861FF}" name="Columna16345" dataDxfId="67"/>
    <tableColumn id="16352" xr3:uid="{75CF2F0B-17B9-45DD-81A8-D80E1D39A319}" name="Columna16346" dataDxfId="66"/>
    <tableColumn id="16353" xr3:uid="{DD7091B4-D7EE-4632-9201-49800A04FA02}" name="Columna16347" dataDxfId="65"/>
    <tableColumn id="16354" xr3:uid="{F049FF85-B7D4-4083-8BF2-F51925588881}" name="Columna16348" dataDxfId="64"/>
    <tableColumn id="16355" xr3:uid="{CCEB5ADA-A3C0-4358-9156-13D39655A704}" name="Columna16349" dataDxfId="63"/>
    <tableColumn id="16356" xr3:uid="{A151016A-F992-4F1A-9BAA-7058F0126BF9}" name="Columna16350" dataDxfId="62"/>
    <tableColumn id="16357" xr3:uid="{C9BB4109-3900-4561-9DBC-1B10014C2009}" name="Columna16351" dataDxfId="61"/>
    <tableColumn id="16358" xr3:uid="{32BD9942-C0BE-4AC6-89C5-9308C7D2DE92}" name="Columna16352" dataDxfId="60"/>
    <tableColumn id="16359" xr3:uid="{7E74E3AD-4F9F-4CAC-9591-0B34F3C4C341}" name="Columna16353" dataDxfId="59"/>
    <tableColumn id="16360" xr3:uid="{A091CE66-3DBC-4C1D-B989-1710D744C3AA}" name="Columna16354" dataDxfId="58"/>
    <tableColumn id="16361" xr3:uid="{463EB021-BDD8-4D2A-A52B-64973B9827E9}" name="Columna16355" dataDxfId="57"/>
    <tableColumn id="16362" xr3:uid="{EC43358F-6E6E-41BC-A392-B47F501A5D65}" name="Columna16356" dataDxfId="56"/>
    <tableColumn id="16363" xr3:uid="{89530729-BE15-4E1C-AACE-FDB8025AA7C9}" name="Columna16357" dataDxfId="55"/>
    <tableColumn id="16364" xr3:uid="{35592C97-0505-43BE-8F96-1FC36006228A}" name="Columna16358" dataDxfId="54"/>
    <tableColumn id="16365" xr3:uid="{FE872F7D-259E-40E4-B8F0-38855EAF116B}" name="Columna16359" dataDxfId="53"/>
    <tableColumn id="16366" xr3:uid="{E7E13521-81BB-4E9F-9B77-2BD21329C210}" name="Columna16360" dataDxfId="52"/>
    <tableColumn id="16367" xr3:uid="{1A705F3A-8566-479C-B9A3-E0C2C1EFEB23}" name="Columna16361" dataDxfId="51"/>
    <tableColumn id="16368" xr3:uid="{5E6406E7-AFF5-49A5-BF37-E66580930B0D}" name="Columna16362" dataDxfId="50"/>
    <tableColumn id="16369" xr3:uid="{F8EA1F83-CBDF-4DB9-9187-D577FB567927}" name="Columna16363" dataDxfId="49"/>
    <tableColumn id="16370" xr3:uid="{B57D6104-65FC-42EC-A4E3-99D9C9A2E137}" name="Columna16364" dataDxfId="48"/>
    <tableColumn id="16371" xr3:uid="{AAD5A7F6-28E3-4F62-9C8D-4A6E6A9191CC}" name="Columna16365" dataDxfId="47"/>
    <tableColumn id="16372" xr3:uid="{EA11D849-DFFA-4D53-A279-24ED87FA1D78}" name="Columna16366" dataDxfId="46"/>
    <tableColumn id="16373" xr3:uid="{72CBB566-0776-4B96-8D7D-3D80A28A8626}" name="Columna16367" dataDxfId="45"/>
    <tableColumn id="16374" xr3:uid="{F546AE2D-6002-4135-8A06-F33D7567618A}" name="Columna16368" dataDxfId="44"/>
    <tableColumn id="16375" xr3:uid="{AA200B0F-6DCB-473B-8A20-D76E76226C21}" name="Columna16369" dataDxfId="43"/>
    <tableColumn id="16376" xr3:uid="{98D5EC7F-99F2-4BE9-A7A7-5368F2E622F2}" name="Columna16370" dataDxfId="42"/>
    <tableColumn id="16377" xr3:uid="{231E92BB-A677-40D5-938F-E85482C0B5BC}" name="Columna16371" dataDxfId="41"/>
    <tableColumn id="16378" xr3:uid="{389BDAFA-E188-444F-AA4A-3B05E8C11B14}" name="Columna16372" dataDxfId="40"/>
    <tableColumn id="16379" xr3:uid="{373D70E7-74BE-40D1-A185-B631F22EED18}" name="Columna16373" dataDxfId="39"/>
    <tableColumn id="16380" xr3:uid="{692E255B-39F8-4064-88A6-1D8F655F2D95}" name="Columna16374" dataDxfId="38"/>
    <tableColumn id="16381" xr3:uid="{BACFD857-895A-46D0-B0B2-F11037B3E43B}" name="Columna16375" dataDxfId="37"/>
    <tableColumn id="16382" xr3:uid="{3D65EDA3-EE43-4EA0-9F60-0DF4A39A52E8}" name="Columna16376" dataDxfId="36"/>
    <tableColumn id="16383" xr3:uid="{00E1EA3C-E0D8-40BF-938C-E35B63B64F88}" name="Columna16377" dataDxfId="35"/>
    <tableColumn id="16384" xr3:uid="{EE9E957A-645C-42C2-A084-1EE37175AB57}" name="Columna16378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8BF2D0-F56D-46DB-B76F-6BC4C845BEA4}" name="Tabla4" displayName="Tabla4" ref="A1:E80" totalsRowShown="0">
  <autoFilter ref="A1:E80" xr:uid="{C98BF2D0-F56D-46DB-B76F-6BC4C845BEA4}"/>
  <tableColumns count="5">
    <tableColumn id="1" xr3:uid="{6821CECA-E7DE-4C0F-B0DC-232D8F850AEF}" name="CARPETA"/>
    <tableColumn id="2" xr3:uid="{0FFB9A83-5987-41B3-B762-527F23463D7E}" name="NUMERO DE RADICACION" dataDxfId="33"/>
    <tableColumn id="3" xr3:uid="{FE0595B9-7110-4D7E-BECF-1903C728E2CB}" name="JUZGADO"/>
    <tableColumn id="4" xr3:uid="{2537BC2F-853F-411A-8924-EA462DE40604}" name="FECHA ULTIMA ACTUACION"/>
    <tableColumn id="5" xr3:uid="{D15E8065-6BDB-4641-B44B-981FE9A9E30B}" name="OBSERVACION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C96CE-6325-4940-B389-A3AF87A001B9}" name="Tabla2" displayName="Tabla2" ref="A1:N199" totalsRowShown="0" headerRowDxfId="18" dataDxfId="16" headerRowBorderDxfId="17" tableBorderDxfId="15" totalsRowBorderDxfId="14">
  <autoFilter ref="A1:N199" xr:uid="{FA8C96CE-6325-4940-B389-A3AF87A001B9}"/>
  <tableColumns count="14">
    <tableColumn id="1" xr3:uid="{B13C4825-77B0-41C6-931F-DFFEC240B1A6}" name="CARPETA" dataDxfId="13"/>
    <tableColumn id="2" xr3:uid="{0F51436E-44F1-47CC-8EBE-107F6316B13B}" name="FECHA " dataDxfId="12" dataCellStyle="Normal_Hoja2"/>
    <tableColumn id="3" xr3:uid="{0BB27977-7386-41B5-A11D-3862A0FCE958}" name="ESTADO" dataDxfId="11"/>
    <tableColumn id="4" xr3:uid="{918DCABC-D978-4350-97DF-1FAD8E697D61}" name="TERMINADO JUDICIAL " dataDxfId="10"/>
    <tableColumn id="5" xr3:uid="{CF82EE27-5C36-4E46-A87B-4FC8D5B02CCB}" name="TIPO DE TERMINACIÓN " dataDxfId="9"/>
    <tableColumn id="6" xr3:uid="{BF7728A9-4CF7-4599-ABA1-5696A8CEC740}" name="OBSERVACIONES " dataDxfId="8"/>
    <tableColumn id="7" xr3:uid="{05214BF3-1343-4582-A37E-73C089948BBE}" name="TEMIS " dataDxfId="7"/>
    <tableColumn id="14" xr3:uid="{8EBA5627-D6CC-4305-82C7-6FB6C8BA488D}" name="BAJA " dataDxfId="6"/>
    <tableColumn id="8" xr3:uid="{348EC478-42A3-4EAA-BF57-2D5281B12F92}" name="HONORARIOS" dataDxfId="5"/>
    <tableColumn id="9" xr3:uid="{07B35A63-62C6-4954-9C17-FF73D37EAC83}" name="NUMERO DEL PROCESO" dataDxfId="4"/>
    <tableColumn id="10" xr3:uid="{A299E76E-64E1-49BD-96DE-58AC1091909C}" name="RADICACION" dataDxfId="3"/>
    <tableColumn id="11" xr3:uid="{064A2757-BB24-46E4-90D2-E82426B91953}" name="DESPACHO" dataDxfId="2"/>
    <tableColumn id="12" xr3:uid="{8B7071D4-033A-417B-8CA7-88521F2F5970}" name="JUZGADO ACTUAL" dataDxfId="1"/>
    <tableColumn id="13" xr3:uid="{473B7146-607C-40ED-A580-46ABA1D1AB2D}" name="APODERADO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8671875" defaultRowHeight="17.399999999999999"/>
  <cols>
    <col min="1" max="1" width="58" style="167" bestFit="1" customWidth="1"/>
    <col min="2" max="2" width="19" style="166" bestFit="1" customWidth="1"/>
    <col min="3" max="3" width="38.109375" style="167" bestFit="1" customWidth="1"/>
    <col min="4" max="4" width="39.5546875" style="167" bestFit="1" customWidth="1"/>
    <col min="5" max="5" width="29.109375" style="167" bestFit="1" customWidth="1"/>
    <col min="6" max="6" width="16.33203125" style="167" bestFit="1" customWidth="1"/>
    <col min="7" max="7" width="25.88671875" style="167" bestFit="1" customWidth="1"/>
    <col min="8" max="8" width="31" style="166" bestFit="1" customWidth="1"/>
    <col min="9" max="9" width="14" style="168" bestFit="1" customWidth="1"/>
    <col min="10" max="10" width="255.6640625" style="169" bestFit="1" customWidth="1"/>
    <col min="11" max="11" width="16.44140625" style="167" bestFit="1" customWidth="1"/>
    <col min="12" max="12" width="37" style="167" bestFit="1" customWidth="1"/>
    <col min="13" max="16384" width="30.88671875" style="167"/>
  </cols>
  <sheetData>
    <row r="1" spans="1:12" ht="18" thickBot="1">
      <c r="A1" s="165" t="s">
        <v>0</v>
      </c>
    </row>
    <row r="2" spans="1:12">
      <c r="A2" s="170">
        <f ca="1">TODAY()</f>
        <v>45332</v>
      </c>
    </row>
    <row r="3" spans="1:12">
      <c r="A3" s="171" t="s">
        <v>1</v>
      </c>
      <c r="B3" s="172" t="s">
        <v>2</v>
      </c>
      <c r="C3" s="172" t="s">
        <v>3</v>
      </c>
      <c r="D3" s="172" t="s">
        <v>4</v>
      </c>
      <c r="E3" s="172" t="s">
        <v>5</v>
      </c>
      <c r="F3" s="172" t="s">
        <v>6</v>
      </c>
      <c r="G3" s="172" t="s">
        <v>7</v>
      </c>
      <c r="H3" s="172" t="s">
        <v>8</v>
      </c>
      <c r="I3" s="173" t="s">
        <v>9</v>
      </c>
      <c r="J3" s="174" t="s">
        <v>10</v>
      </c>
      <c r="K3" s="175" t="s">
        <v>11</v>
      </c>
      <c r="L3" s="176" t="s">
        <v>12</v>
      </c>
    </row>
    <row r="4" spans="1:12">
      <c r="A4" s="177" t="s">
        <v>96</v>
      </c>
      <c r="B4" s="187" t="s">
        <v>105</v>
      </c>
      <c r="C4" s="187" t="s">
        <v>2424</v>
      </c>
      <c r="D4" s="179"/>
      <c r="E4" s="180">
        <v>45000</v>
      </c>
      <c r="F4" s="181">
        <v>730</v>
      </c>
      <c r="G4" s="182">
        <f>IF(Tabla32[[#This Row],[VENCE ]]="","",E4+F4)</f>
        <v>45730</v>
      </c>
      <c r="H4" s="183" t="str">
        <f t="shared" ref="H4:H35" ca="1" si="0">IF(G4="","VACIO",IF(I4&lt;0,"Vencido hace "&amp;I4*-1&amp;" dias",IF(I4=0,"Vencido Hoy",IF(I4&lt;8,"Tiene "&amp; I4 &amp;" dias","Faltan "&amp;I4&amp;G4))))</f>
        <v>Faltan 39845730</v>
      </c>
      <c r="I4" s="184">
        <f t="shared" ref="I4:I35" ca="1" si="1">G4-$A$2</f>
        <v>398</v>
      </c>
      <c r="J4" s="188" t="s">
        <v>106</v>
      </c>
      <c r="K4" s="183"/>
      <c r="L4" s="185"/>
    </row>
    <row r="5" spans="1:12">
      <c r="A5" s="177" t="s">
        <v>305</v>
      </c>
      <c r="B5" s="178" t="s">
        <v>312</v>
      </c>
      <c r="C5" s="178" t="s">
        <v>313</v>
      </c>
      <c r="D5" s="179"/>
      <c r="E5" s="180">
        <v>45099</v>
      </c>
      <c r="F5" s="181">
        <v>730</v>
      </c>
      <c r="G5" s="182">
        <f>IF(Tabla32[[#This Row],[VENCE ]]="","",E5+F5)</f>
        <v>45829</v>
      </c>
      <c r="H5" s="183" t="str">
        <f t="shared" ca="1" si="0"/>
        <v>Faltan 49745829</v>
      </c>
      <c r="I5" s="184">
        <f ca="1">G5-$A$2</f>
        <v>497</v>
      </c>
      <c r="J5" s="188" t="s">
        <v>179</v>
      </c>
      <c r="K5" s="183"/>
      <c r="L5" s="185"/>
    </row>
    <row r="6" spans="1:12">
      <c r="A6" s="177" t="s">
        <v>96</v>
      </c>
      <c r="B6" s="178" t="s">
        <v>136</v>
      </c>
      <c r="C6" s="178" t="s">
        <v>137</v>
      </c>
      <c r="D6" s="179" t="s">
        <v>2400</v>
      </c>
      <c r="E6" s="180">
        <v>43069</v>
      </c>
      <c r="F6" s="181">
        <v>730</v>
      </c>
      <c r="G6" s="182">
        <f>IF(Tabla32[[#This Row],[VENCE ]]="","",E6+F6)</f>
        <v>43799</v>
      </c>
      <c r="H6" s="183" t="str">
        <f t="shared" ca="1" si="0"/>
        <v>Vencido hace 1533 dias</v>
      </c>
      <c r="I6" s="184">
        <f t="shared" ca="1" si="1"/>
        <v>-1533</v>
      </c>
      <c r="J6" s="188" t="s">
        <v>138</v>
      </c>
      <c r="K6" s="183"/>
      <c r="L6" s="185"/>
    </row>
    <row r="7" spans="1:12">
      <c r="A7" s="177" t="s">
        <v>96</v>
      </c>
      <c r="B7" s="178" t="s">
        <v>112</v>
      </c>
      <c r="C7" s="178" t="s">
        <v>113</v>
      </c>
      <c r="D7" s="179" t="s">
        <v>114</v>
      </c>
      <c r="E7" s="180">
        <v>43125</v>
      </c>
      <c r="F7" s="181">
        <v>730</v>
      </c>
      <c r="G7" s="182">
        <f>IF(Tabla32[[#This Row],[VENCE ]]="","",E7+F7)</f>
        <v>43855</v>
      </c>
      <c r="H7" s="183" t="str">
        <f t="shared" ca="1" si="0"/>
        <v>Vencido hace 1477 dias</v>
      </c>
      <c r="I7" s="184">
        <f t="shared" ca="1" si="1"/>
        <v>-1477</v>
      </c>
      <c r="J7" s="188" t="s">
        <v>115</v>
      </c>
      <c r="K7" s="183"/>
      <c r="L7" s="185"/>
    </row>
    <row r="8" spans="1:12">
      <c r="A8" s="177" t="s">
        <v>305</v>
      </c>
      <c r="B8" s="187" t="s">
        <v>331</v>
      </c>
      <c r="C8" s="187" t="s">
        <v>332</v>
      </c>
      <c r="D8" s="179"/>
      <c r="E8" s="180">
        <v>45035</v>
      </c>
      <c r="F8" s="181">
        <v>730</v>
      </c>
      <c r="G8" s="182">
        <f>IF(Tabla32[[#This Row],[VENCE ]]="","",E8+F8)</f>
        <v>45765</v>
      </c>
      <c r="H8" s="183" t="str">
        <f t="shared" ca="1" si="0"/>
        <v>Faltan 43345765</v>
      </c>
      <c r="I8" s="184">
        <f t="shared" ca="1" si="1"/>
        <v>433</v>
      </c>
      <c r="J8" s="188" t="s">
        <v>2425</v>
      </c>
      <c r="K8" s="183"/>
      <c r="L8" s="185"/>
    </row>
    <row r="9" spans="1:12">
      <c r="A9" s="177" t="s">
        <v>305</v>
      </c>
      <c r="B9" s="178" t="s">
        <v>346</v>
      </c>
      <c r="C9" s="178" t="s">
        <v>347</v>
      </c>
      <c r="D9" s="179" t="s">
        <v>2400</v>
      </c>
      <c r="E9" s="180">
        <v>43413</v>
      </c>
      <c r="F9" s="181">
        <v>730</v>
      </c>
      <c r="G9" s="182">
        <f>IF(Tabla32[[#This Row],[VENCE ]]="","",E9+F9)</f>
        <v>44143</v>
      </c>
      <c r="H9" s="183" t="str">
        <f t="shared" ca="1" si="0"/>
        <v>Vencido hace 1189 dias</v>
      </c>
      <c r="I9" s="184">
        <f t="shared" ca="1" si="1"/>
        <v>-1189</v>
      </c>
      <c r="J9" s="188" t="s">
        <v>348</v>
      </c>
      <c r="K9" s="183"/>
      <c r="L9" s="185"/>
    </row>
    <row r="10" spans="1:12">
      <c r="A10" s="177" t="s">
        <v>172</v>
      </c>
      <c r="B10" s="186" t="s">
        <v>180</v>
      </c>
      <c r="C10" s="186" t="s">
        <v>181</v>
      </c>
      <c r="D10" s="179" t="s">
        <v>2375</v>
      </c>
      <c r="E10" s="180">
        <v>43488</v>
      </c>
      <c r="F10" s="181">
        <v>730</v>
      </c>
      <c r="G10" s="182">
        <f>IF(Tabla32[[#This Row],[VENCE ]]="","",E10+F10)</f>
        <v>44218</v>
      </c>
      <c r="H10" s="183" t="str">
        <f t="shared" ca="1" si="0"/>
        <v>Vencido hace 1114 dias</v>
      </c>
      <c r="I10" s="184">
        <f t="shared" ca="1" si="1"/>
        <v>-1114</v>
      </c>
      <c r="J10" s="188" t="s">
        <v>23</v>
      </c>
      <c r="K10" s="183"/>
      <c r="L10" s="192"/>
    </row>
    <row r="11" spans="1:12">
      <c r="A11" s="177" t="s">
        <v>172</v>
      </c>
      <c r="B11" s="187" t="s">
        <v>188</v>
      </c>
      <c r="C11" s="187" t="s">
        <v>189</v>
      </c>
      <c r="D11" s="179"/>
      <c r="E11" s="182">
        <v>44999</v>
      </c>
      <c r="F11" s="181">
        <v>730</v>
      </c>
      <c r="G11" s="182">
        <f>IF(Tabla32[[#This Row],[VENCE ]]="","",E11+F11)</f>
        <v>45729</v>
      </c>
      <c r="H11" s="183" t="str">
        <f t="shared" ca="1" si="0"/>
        <v>Faltan 39745729</v>
      </c>
      <c r="I11" s="184">
        <f t="shared" ca="1" si="1"/>
        <v>397</v>
      </c>
      <c r="J11" s="188" t="s">
        <v>296</v>
      </c>
      <c r="K11" s="183"/>
      <c r="L11" s="185" t="s">
        <v>2376</v>
      </c>
    </row>
    <row r="12" spans="1:12">
      <c r="A12" s="177" t="s">
        <v>172</v>
      </c>
      <c r="B12" s="187" t="s">
        <v>206</v>
      </c>
      <c r="C12" s="187" t="s">
        <v>207</v>
      </c>
      <c r="D12" s="179" t="s">
        <v>2401</v>
      </c>
      <c r="E12" s="180">
        <v>43609</v>
      </c>
      <c r="F12" s="181">
        <v>730</v>
      </c>
      <c r="G12" s="182">
        <f>IF(Tabla32[[#This Row],[VENCE ]]="","",E12+F12)</f>
        <v>44339</v>
      </c>
      <c r="H12" s="183" t="str">
        <f t="shared" ca="1" si="0"/>
        <v>Vencido hace 993 dias</v>
      </c>
      <c r="I12" s="184">
        <f t="shared" ca="1" si="1"/>
        <v>-993</v>
      </c>
      <c r="J12" s="188" t="s">
        <v>208</v>
      </c>
      <c r="K12" s="183"/>
      <c r="L12" s="185"/>
    </row>
    <row r="13" spans="1:12">
      <c r="A13" s="177" t="s">
        <v>305</v>
      </c>
      <c r="B13" s="187" t="s">
        <v>366</v>
      </c>
      <c r="C13" s="187" t="s">
        <v>367</v>
      </c>
      <c r="D13" s="181" t="s">
        <v>2402</v>
      </c>
      <c r="E13" s="182">
        <v>43626</v>
      </c>
      <c r="F13" s="181">
        <v>730</v>
      </c>
      <c r="G13" s="196">
        <f>IF(Tabla32[[#This Row],[VENCE ]]="","",E13+F13)</f>
        <v>44356</v>
      </c>
      <c r="H13" s="183" t="str">
        <f t="shared" ca="1" si="0"/>
        <v>Vencido hace 976 dias</v>
      </c>
      <c r="I13" s="184">
        <f t="shared" ca="1" si="1"/>
        <v>-976</v>
      </c>
      <c r="J13" s="188" t="s">
        <v>147</v>
      </c>
      <c r="K13" s="183"/>
      <c r="L13" s="185"/>
    </row>
    <row r="14" spans="1:12">
      <c r="A14" s="177" t="s">
        <v>235</v>
      </c>
      <c r="B14" s="187" t="s">
        <v>284</v>
      </c>
      <c r="C14" s="187" t="s">
        <v>285</v>
      </c>
      <c r="D14" s="179" t="s">
        <v>2404</v>
      </c>
      <c r="E14" s="180">
        <v>43872</v>
      </c>
      <c r="F14" s="181">
        <v>730</v>
      </c>
      <c r="G14" s="182">
        <f>IF(Tabla32[[#This Row],[VENCE ]]="","",E14+F14)</f>
        <v>44602</v>
      </c>
      <c r="H14" s="183" t="str">
        <f t="shared" ca="1" si="0"/>
        <v>Vencido hace 730 dias</v>
      </c>
      <c r="I14" s="184">
        <f t="shared" ca="1" si="1"/>
        <v>-730</v>
      </c>
      <c r="J14" s="188" t="s">
        <v>159</v>
      </c>
      <c r="K14" s="183"/>
      <c r="L14" s="185"/>
    </row>
    <row r="15" spans="1:12">
      <c r="A15" s="177" t="s">
        <v>96</v>
      </c>
      <c r="B15" s="178" t="s">
        <v>150</v>
      </c>
      <c r="C15" s="187" t="s">
        <v>151</v>
      </c>
      <c r="D15" s="179" t="s">
        <v>2400</v>
      </c>
      <c r="E15" s="180">
        <v>44097</v>
      </c>
      <c r="F15" s="181">
        <v>730</v>
      </c>
      <c r="G15" s="182">
        <f>IF(Tabla32[[#This Row],[VENCE ]]="","",E15+F15)</f>
        <v>44827</v>
      </c>
      <c r="H15" s="183" t="str">
        <f t="shared" ca="1" si="0"/>
        <v>Vencido hace 505 dias</v>
      </c>
      <c r="I15" s="184">
        <f t="shared" ca="1" si="1"/>
        <v>-505</v>
      </c>
      <c r="J15" s="188" t="s">
        <v>2374</v>
      </c>
      <c r="K15" s="183"/>
      <c r="L15" s="185"/>
    </row>
    <row r="16" spans="1:12">
      <c r="A16" s="177" t="s">
        <v>172</v>
      </c>
      <c r="B16" s="187" t="s">
        <v>214</v>
      </c>
      <c r="C16" s="187" t="s">
        <v>215</v>
      </c>
      <c r="D16" s="179"/>
      <c r="E16" s="180">
        <v>44124</v>
      </c>
      <c r="F16" s="181">
        <v>730</v>
      </c>
      <c r="G16" s="182">
        <f>IF(Tabla32[[#This Row],[VENCE ]]="","",E16+F16)</f>
        <v>44854</v>
      </c>
      <c r="H16" s="183" t="str">
        <f t="shared" ca="1" si="0"/>
        <v>Vencido hace 478 dias</v>
      </c>
      <c r="I16" s="184">
        <f t="shared" ca="1" si="1"/>
        <v>-478</v>
      </c>
      <c r="J16" s="188" t="s">
        <v>23</v>
      </c>
      <c r="K16" s="183"/>
      <c r="L16" s="185"/>
    </row>
    <row r="17" spans="1:12">
      <c r="A17" s="177" t="s">
        <v>96</v>
      </c>
      <c r="B17" s="178" t="s">
        <v>121</v>
      </c>
      <c r="C17" s="178" t="s">
        <v>122</v>
      </c>
      <c r="D17" s="179" t="s">
        <v>2372</v>
      </c>
      <c r="E17" s="180">
        <v>44224</v>
      </c>
      <c r="F17" s="181">
        <v>730</v>
      </c>
      <c r="G17" s="182">
        <f>IF(Tabla32[[#This Row],[VENCE ]]="","",E17+F17)</f>
        <v>44954</v>
      </c>
      <c r="H17" s="183" t="str">
        <f t="shared" ca="1" si="0"/>
        <v>Vencido hace 378 dias</v>
      </c>
      <c r="I17" s="184">
        <f t="shared" ca="1" si="1"/>
        <v>-378</v>
      </c>
      <c r="J17" s="188" t="s">
        <v>18</v>
      </c>
      <c r="K17" s="183"/>
      <c r="L17" s="185"/>
    </row>
    <row r="18" spans="1:12">
      <c r="A18" s="177" t="s">
        <v>305</v>
      </c>
      <c r="B18" s="187" t="s">
        <v>333</v>
      </c>
      <c r="C18" s="187" t="s">
        <v>334</v>
      </c>
      <c r="D18" s="179"/>
      <c r="E18" s="180">
        <v>44229</v>
      </c>
      <c r="F18" s="181">
        <v>730</v>
      </c>
      <c r="G18" s="182">
        <f>IF(Tabla32[[#This Row],[VENCE ]]="","",E18+F18)</f>
        <v>44959</v>
      </c>
      <c r="H18" s="183" t="str">
        <f t="shared" ca="1" si="0"/>
        <v>Vencido hace 373 dias</v>
      </c>
      <c r="I18" s="184">
        <f t="shared" ca="1" si="1"/>
        <v>-373</v>
      </c>
      <c r="J18" s="188" t="s">
        <v>89</v>
      </c>
      <c r="K18" s="180"/>
      <c r="L18" s="192"/>
    </row>
    <row r="19" spans="1:12">
      <c r="A19" s="177" t="s">
        <v>172</v>
      </c>
      <c r="B19" s="193" t="s">
        <v>201</v>
      </c>
      <c r="C19" s="193" t="s">
        <v>202</v>
      </c>
      <c r="D19" s="179"/>
      <c r="E19" s="180">
        <v>44232</v>
      </c>
      <c r="F19" s="181">
        <v>730</v>
      </c>
      <c r="G19" s="182">
        <f>IF(Tabla32[[#This Row],[VENCE ]]="","",E19+F19)</f>
        <v>44962</v>
      </c>
      <c r="H19" s="183" t="str">
        <f t="shared" ca="1" si="0"/>
        <v>Vencido hace 370 dias</v>
      </c>
      <c r="I19" s="184">
        <f t="shared" ca="1" si="1"/>
        <v>-370</v>
      </c>
      <c r="J19" s="188" t="s">
        <v>203</v>
      </c>
      <c r="K19" s="183"/>
      <c r="L19" s="185"/>
    </row>
    <row r="20" spans="1:12">
      <c r="A20" s="177" t="s">
        <v>96</v>
      </c>
      <c r="B20" s="190" t="s">
        <v>116</v>
      </c>
      <c r="C20" s="178" t="s">
        <v>117</v>
      </c>
      <c r="D20" s="179"/>
      <c r="E20" s="180">
        <v>44266</v>
      </c>
      <c r="F20" s="181">
        <v>730</v>
      </c>
      <c r="G20" s="182">
        <f>IF(Tabla32[[#This Row],[VENCE ]]="","",E20+F20)</f>
        <v>44996</v>
      </c>
      <c r="H20" s="183" t="str">
        <f t="shared" ca="1" si="0"/>
        <v>Vencido hace 336 dias</v>
      </c>
      <c r="I20" s="184">
        <f t="shared" ca="1" si="1"/>
        <v>-336</v>
      </c>
      <c r="J20" s="188" t="s">
        <v>111</v>
      </c>
      <c r="K20" s="183"/>
      <c r="L20" s="185"/>
    </row>
    <row r="21" spans="1:12">
      <c r="A21" s="177" t="s">
        <v>235</v>
      </c>
      <c r="B21" s="187" t="s">
        <v>247</v>
      </c>
      <c r="C21" s="187" t="s">
        <v>248</v>
      </c>
      <c r="D21" s="181"/>
      <c r="E21" s="182">
        <v>44271</v>
      </c>
      <c r="F21" s="181">
        <v>730</v>
      </c>
      <c r="G21" s="182">
        <f>IF(Tabla32[[#This Row],[VENCE ]]="","",E21+F21)</f>
        <v>45001</v>
      </c>
      <c r="H21" s="183" t="str">
        <f t="shared" ca="1" si="0"/>
        <v>Vencido hace 331 dias</v>
      </c>
      <c r="I21" s="184">
        <f t="shared" ca="1" si="1"/>
        <v>-331</v>
      </c>
      <c r="J21" s="188" t="s">
        <v>249</v>
      </c>
      <c r="K21" s="183"/>
      <c r="L21" s="185"/>
    </row>
    <row r="22" spans="1:12">
      <c r="A22" s="177" t="s">
        <v>305</v>
      </c>
      <c r="B22" s="178" t="s">
        <v>358</v>
      </c>
      <c r="C22" s="178" t="s">
        <v>359</v>
      </c>
      <c r="D22" s="181"/>
      <c r="E22" s="182">
        <v>44291</v>
      </c>
      <c r="F22" s="181">
        <v>730</v>
      </c>
      <c r="G22" s="182">
        <f>IF(Tabla32[[#This Row],[VENCE ]]="","",E22+F22)</f>
        <v>45021</v>
      </c>
      <c r="H22" s="183" t="str">
        <f t="shared" ca="1" si="0"/>
        <v>Vencido hace 311 dias</v>
      </c>
      <c r="I22" s="184">
        <f t="shared" ca="1" si="1"/>
        <v>-311</v>
      </c>
      <c r="J22" s="188" t="s">
        <v>360</v>
      </c>
      <c r="K22" s="183"/>
      <c r="L22" s="185"/>
    </row>
    <row r="23" spans="1:12">
      <c r="A23" s="177" t="s">
        <v>96</v>
      </c>
      <c r="B23" s="178" t="s">
        <v>118</v>
      </c>
      <c r="C23" s="178" t="s">
        <v>119</v>
      </c>
      <c r="D23" s="179"/>
      <c r="E23" s="180">
        <v>44314</v>
      </c>
      <c r="F23" s="181">
        <v>730</v>
      </c>
      <c r="G23" s="182">
        <f>IF(Tabla32[[#This Row],[VENCE ]]="","",E23+F23)</f>
        <v>45044</v>
      </c>
      <c r="H23" s="183" t="str">
        <f t="shared" ca="1" si="0"/>
        <v>Vencido hace 288 dias</v>
      </c>
      <c r="I23" s="184">
        <f t="shared" ca="1" si="1"/>
        <v>-288</v>
      </c>
      <c r="J23" s="188" t="s">
        <v>120</v>
      </c>
      <c r="K23" s="183"/>
      <c r="L23" s="185"/>
    </row>
    <row r="24" spans="1:12">
      <c r="A24" s="177" t="s">
        <v>305</v>
      </c>
      <c r="B24" s="178" t="s">
        <v>355</v>
      </c>
      <c r="C24" s="178" t="s">
        <v>356</v>
      </c>
      <c r="D24" s="179"/>
      <c r="E24" s="180">
        <v>44321</v>
      </c>
      <c r="F24" s="181">
        <v>730</v>
      </c>
      <c r="G24" s="182">
        <f>IF(Tabla32[[#This Row],[VENCE ]]="","",E24+F24)</f>
        <v>45051</v>
      </c>
      <c r="H24" s="183" t="str">
        <f t="shared" ca="1" si="0"/>
        <v>Vencido hace 281 dias</v>
      </c>
      <c r="I24" s="184">
        <f t="shared" ca="1" si="1"/>
        <v>-281</v>
      </c>
      <c r="J24" s="188" t="s">
        <v>357</v>
      </c>
      <c r="K24" s="183"/>
      <c r="L24" s="185"/>
    </row>
    <row r="25" spans="1:12">
      <c r="A25" s="177" t="s">
        <v>96</v>
      </c>
      <c r="B25" s="178" t="s">
        <v>152</v>
      </c>
      <c r="C25" s="178" t="s">
        <v>153</v>
      </c>
      <c r="D25" s="179"/>
      <c r="E25" s="180">
        <v>44322</v>
      </c>
      <c r="F25" s="181">
        <v>730</v>
      </c>
      <c r="G25" s="182">
        <f>IF(Tabla32[[#This Row],[VENCE ]]="","",E25+F25)</f>
        <v>45052</v>
      </c>
      <c r="H25" s="183" t="str">
        <f t="shared" ca="1" si="0"/>
        <v>Vencido hace 280 dias</v>
      </c>
      <c r="I25" s="184">
        <f t="shared" ca="1" si="1"/>
        <v>-280</v>
      </c>
      <c r="J25" s="188" t="s">
        <v>154</v>
      </c>
      <c r="K25" s="183"/>
      <c r="L25" s="185"/>
    </row>
    <row r="26" spans="1:12">
      <c r="A26" s="177" t="s">
        <v>96</v>
      </c>
      <c r="B26" s="178" t="s">
        <v>158</v>
      </c>
      <c r="C26" s="178" t="s">
        <v>153</v>
      </c>
      <c r="D26" s="179"/>
      <c r="E26" s="180">
        <v>44322</v>
      </c>
      <c r="F26" s="181">
        <v>730</v>
      </c>
      <c r="G26" s="182">
        <f>IF(Tabla32[[#This Row],[VENCE ]]="","",E26+F26)</f>
        <v>45052</v>
      </c>
      <c r="H26" s="183" t="str">
        <f t="shared" ca="1" si="0"/>
        <v>Vencido hace 280 dias</v>
      </c>
      <c r="I26" s="184">
        <f t="shared" ca="1" si="1"/>
        <v>-280</v>
      </c>
      <c r="J26" s="188" t="s">
        <v>159</v>
      </c>
      <c r="K26" s="183"/>
      <c r="L26" s="185"/>
    </row>
    <row r="27" spans="1:12">
      <c r="A27" s="177" t="s">
        <v>235</v>
      </c>
      <c r="B27" s="178" t="s">
        <v>301</v>
      </c>
      <c r="C27" s="178" t="s">
        <v>302</v>
      </c>
      <c r="D27" s="179"/>
      <c r="E27" s="194">
        <v>44326</v>
      </c>
      <c r="F27" s="181">
        <v>730</v>
      </c>
      <c r="G27" s="182">
        <f>IF(Tabla32[[#This Row],[VENCE ]]="","",E27+F27)</f>
        <v>45056</v>
      </c>
      <c r="H27" s="183" t="str">
        <f t="shared" ca="1" si="0"/>
        <v>Vencido hace 276 dias</v>
      </c>
      <c r="I27" s="184">
        <f t="shared" ca="1" si="1"/>
        <v>-276</v>
      </c>
      <c r="J27" s="188" t="s">
        <v>18</v>
      </c>
      <c r="K27" s="183"/>
      <c r="L27" s="185"/>
    </row>
    <row r="28" spans="1:12">
      <c r="A28" s="177" t="s">
        <v>235</v>
      </c>
      <c r="B28" s="178" t="s">
        <v>278</v>
      </c>
      <c r="C28" s="178" t="s">
        <v>279</v>
      </c>
      <c r="D28" s="179"/>
      <c r="E28" s="194">
        <v>45240</v>
      </c>
      <c r="F28" s="181">
        <v>730</v>
      </c>
      <c r="G28" s="182">
        <f>IF(Tabla32[[#This Row],[VENCE ]]="","",E28+F28)</f>
        <v>45970</v>
      </c>
      <c r="H28" s="183" t="str">
        <f t="shared" ca="1" si="0"/>
        <v>Faltan 63845970</v>
      </c>
      <c r="I28" s="184">
        <f ca="1">G28-$A$2</f>
        <v>638</v>
      </c>
      <c r="J28" s="188" t="s">
        <v>18913</v>
      </c>
      <c r="K28" s="183"/>
      <c r="L28" s="185"/>
    </row>
    <row r="29" spans="1:12">
      <c r="A29" s="177" t="s">
        <v>172</v>
      </c>
      <c r="B29" s="187" t="s">
        <v>204</v>
      </c>
      <c r="C29" s="187" t="s">
        <v>205</v>
      </c>
      <c r="D29" s="179"/>
      <c r="E29" s="180">
        <v>44341</v>
      </c>
      <c r="F29" s="181">
        <v>730</v>
      </c>
      <c r="G29" s="182">
        <f>IF(Tabla32[[#This Row],[VENCE ]]="","",E29+F29)</f>
        <v>45071</v>
      </c>
      <c r="H29" s="183" t="str">
        <f t="shared" ca="1" si="0"/>
        <v>Vencido hace 261 dias</v>
      </c>
      <c r="I29" s="184">
        <f t="shared" ca="1" si="1"/>
        <v>-261</v>
      </c>
      <c r="J29" s="188" t="s">
        <v>32</v>
      </c>
      <c r="K29" s="183"/>
      <c r="L29" s="185"/>
    </row>
    <row r="30" spans="1:12">
      <c r="A30" s="177" t="s">
        <v>96</v>
      </c>
      <c r="B30" s="178" t="s">
        <v>123</v>
      </c>
      <c r="C30" s="178" t="s">
        <v>124</v>
      </c>
      <c r="D30" s="179"/>
      <c r="E30" s="180">
        <v>44349</v>
      </c>
      <c r="F30" s="181">
        <v>730</v>
      </c>
      <c r="G30" s="182">
        <f>IF(Tabla32[[#This Row],[VENCE ]]="","",E30+F30)</f>
        <v>45079</v>
      </c>
      <c r="H30" s="183" t="str">
        <f t="shared" ca="1" si="0"/>
        <v>Vencido hace 253 dias</v>
      </c>
      <c r="I30" s="184">
        <f t="shared" ca="1" si="1"/>
        <v>-253</v>
      </c>
      <c r="J30" s="188" t="s">
        <v>125</v>
      </c>
      <c r="K30" s="183"/>
      <c r="L30" s="185"/>
    </row>
    <row r="31" spans="1:12">
      <c r="A31" s="177" t="s">
        <v>172</v>
      </c>
      <c r="B31" s="187" t="s">
        <v>225</v>
      </c>
      <c r="C31" s="187" t="s">
        <v>226</v>
      </c>
      <c r="D31" s="179"/>
      <c r="E31" s="180">
        <v>44362</v>
      </c>
      <c r="F31" s="181">
        <v>730</v>
      </c>
      <c r="G31" s="182">
        <f>IF(Tabla32[[#This Row],[VENCE ]]="","",E31+F31)</f>
        <v>45092</v>
      </c>
      <c r="H31" s="183" t="str">
        <f t="shared" ca="1" si="0"/>
        <v>Vencido hace 240 dias</v>
      </c>
      <c r="I31" s="184">
        <f t="shared" ca="1" si="1"/>
        <v>-240</v>
      </c>
      <c r="J31" s="188" t="s">
        <v>120</v>
      </c>
      <c r="K31" s="183"/>
      <c r="L31" s="185"/>
    </row>
    <row r="32" spans="1:12">
      <c r="A32" s="177" t="s">
        <v>305</v>
      </c>
      <c r="B32" s="187" t="s">
        <v>368</v>
      </c>
      <c r="C32" s="187" t="s">
        <v>369</v>
      </c>
      <c r="D32" s="181"/>
      <c r="E32" s="182">
        <v>44364</v>
      </c>
      <c r="F32" s="181">
        <v>730</v>
      </c>
      <c r="G32" s="196">
        <f>IF(Tabla32[[#This Row],[VENCE ]]="","",E32+F32)</f>
        <v>45094</v>
      </c>
      <c r="H32" s="183" t="str">
        <f t="shared" ca="1" si="0"/>
        <v>Vencido hace 238 dias</v>
      </c>
      <c r="I32" s="184">
        <f t="shared" ca="1" si="1"/>
        <v>-238</v>
      </c>
      <c r="J32" s="188" t="s">
        <v>92</v>
      </c>
      <c r="K32" s="183"/>
      <c r="L32" s="185"/>
    </row>
    <row r="33" spans="1:12">
      <c r="A33" s="177" t="s">
        <v>13</v>
      </c>
      <c r="B33" s="178" t="s">
        <v>68</v>
      </c>
      <c r="C33" s="187" t="s">
        <v>69</v>
      </c>
      <c r="D33" s="179"/>
      <c r="E33" s="180">
        <v>44365</v>
      </c>
      <c r="F33" s="181">
        <v>730</v>
      </c>
      <c r="G33" s="182">
        <f>IF(Tabla32[[#This Row],[VENCE ]]="","",E33+F33)</f>
        <v>45095</v>
      </c>
      <c r="H33" s="183" t="str">
        <f t="shared" ca="1" si="0"/>
        <v>Vencido hace 237 dias</v>
      </c>
      <c r="I33" s="184">
        <f t="shared" ca="1" si="1"/>
        <v>-237</v>
      </c>
      <c r="J33" s="188" t="s">
        <v>2418</v>
      </c>
      <c r="K33" s="183"/>
      <c r="L33" s="185"/>
    </row>
    <row r="34" spans="1:12">
      <c r="A34" s="177" t="s">
        <v>172</v>
      </c>
      <c r="B34" s="187" t="s">
        <v>227</v>
      </c>
      <c r="C34" s="187" t="s">
        <v>228</v>
      </c>
      <c r="D34" s="179"/>
      <c r="E34" s="180">
        <v>44369</v>
      </c>
      <c r="F34" s="181">
        <v>730</v>
      </c>
      <c r="G34" s="182">
        <f>IF(Tabla32[[#This Row],[VENCE ]]="","",E34+F34)</f>
        <v>45099</v>
      </c>
      <c r="H34" s="183" t="str">
        <f t="shared" ca="1" si="0"/>
        <v>Vencido hace 233 dias</v>
      </c>
      <c r="I34" s="184">
        <f t="shared" ca="1" si="1"/>
        <v>-233</v>
      </c>
      <c r="J34" s="188" t="s">
        <v>229</v>
      </c>
      <c r="K34" s="183"/>
      <c r="L34" s="185"/>
    </row>
    <row r="35" spans="1:12">
      <c r="A35" s="177" t="s">
        <v>305</v>
      </c>
      <c r="B35" s="187" t="s">
        <v>343</v>
      </c>
      <c r="C35" s="187" t="s">
        <v>344</v>
      </c>
      <c r="D35" s="180"/>
      <c r="E35" s="180">
        <v>44372</v>
      </c>
      <c r="F35" s="181">
        <v>730</v>
      </c>
      <c r="G35" s="182">
        <f>IF(Tabla32[[#This Row],[VENCE ]]="","",E35+F35)</f>
        <v>45102</v>
      </c>
      <c r="H35" s="183" t="str">
        <f t="shared" ca="1" si="0"/>
        <v>Vencido hace 230 dias</v>
      </c>
      <c r="I35" s="184">
        <f t="shared" ca="1" si="1"/>
        <v>-230</v>
      </c>
      <c r="J35" s="188" t="s">
        <v>345</v>
      </c>
      <c r="K35" s="183"/>
      <c r="L35" s="185"/>
    </row>
    <row r="36" spans="1:12">
      <c r="A36" s="177" t="s">
        <v>96</v>
      </c>
      <c r="B36" s="178" t="s">
        <v>132</v>
      </c>
      <c r="C36" s="178" t="s">
        <v>133</v>
      </c>
      <c r="D36" s="179"/>
      <c r="E36" s="180">
        <v>44396</v>
      </c>
      <c r="F36" s="181">
        <v>730</v>
      </c>
      <c r="G36" s="182">
        <f>IF(Tabla32[[#This Row],[VENCE ]]="","",E36+F36)</f>
        <v>45126</v>
      </c>
      <c r="H36" s="183" t="str">
        <f t="shared" ref="H36:H67" ca="1" si="2">IF(G36="","VACIO",IF(I36&lt;0,"Vencido hace "&amp;I36*-1&amp;" dias",IF(I36=0,"Vencido Hoy",IF(I36&lt;8,"Tiene "&amp; I36 &amp;" dias","Faltan "&amp;I36&amp;G36))))</f>
        <v>Vencido hace 206 dias</v>
      </c>
      <c r="I36" s="184">
        <f t="shared" ref="I36:I67" ca="1" si="3">G36-$A$2</f>
        <v>-206</v>
      </c>
      <c r="J36" s="188" t="s">
        <v>111</v>
      </c>
      <c r="K36" s="183"/>
      <c r="L36" s="185"/>
    </row>
    <row r="37" spans="1:12">
      <c r="A37" s="177" t="s">
        <v>235</v>
      </c>
      <c r="B37" s="178" t="s">
        <v>275</v>
      </c>
      <c r="C37" s="178" t="s">
        <v>276</v>
      </c>
      <c r="D37" s="179"/>
      <c r="E37" s="180">
        <v>44398</v>
      </c>
      <c r="F37" s="181">
        <v>730</v>
      </c>
      <c r="G37" s="182">
        <f>IF(Tabla32[[#This Row],[VENCE ]]="","",E37+F37)</f>
        <v>45128</v>
      </c>
      <c r="H37" s="183" t="str">
        <f t="shared" ca="1" si="2"/>
        <v>Vencido hace 204 dias</v>
      </c>
      <c r="I37" s="184">
        <f t="shared" ca="1" si="3"/>
        <v>-204</v>
      </c>
      <c r="J37" s="188" t="s">
        <v>277</v>
      </c>
      <c r="K37" s="183"/>
      <c r="L37" s="185"/>
    </row>
    <row r="38" spans="1:12">
      <c r="A38" s="177" t="s">
        <v>13</v>
      </c>
      <c r="B38" s="186" t="s">
        <v>80</v>
      </c>
      <c r="C38" s="186" t="s">
        <v>81</v>
      </c>
      <c r="D38" s="179"/>
      <c r="E38" s="180">
        <v>44405</v>
      </c>
      <c r="F38" s="181">
        <v>730</v>
      </c>
      <c r="G38" s="182">
        <f>IF(Tabla32[[#This Row],[VENCE ]]="","",E38+F38)</f>
        <v>45135</v>
      </c>
      <c r="H38" s="183" t="str">
        <f t="shared" ca="1" si="2"/>
        <v>Vencido hace 197 dias</v>
      </c>
      <c r="I38" s="184">
        <f t="shared" ca="1" si="3"/>
        <v>-197</v>
      </c>
      <c r="J38" s="188" t="s">
        <v>72</v>
      </c>
      <c r="K38" s="183"/>
      <c r="L38" s="185"/>
    </row>
    <row r="39" spans="1:12">
      <c r="A39" s="177" t="s">
        <v>96</v>
      </c>
      <c r="B39" s="187" t="s">
        <v>155</v>
      </c>
      <c r="C39" s="187" t="s">
        <v>156</v>
      </c>
      <c r="D39" s="179"/>
      <c r="E39" s="180">
        <v>44413</v>
      </c>
      <c r="F39" s="181">
        <v>730</v>
      </c>
      <c r="G39" s="182">
        <f>IF(Tabla32[[#This Row],[VENCE ]]="","",E39+F39)</f>
        <v>45143</v>
      </c>
      <c r="H39" s="183" t="str">
        <f t="shared" ca="1" si="2"/>
        <v>Vencido hace 189 dias</v>
      </c>
      <c r="I39" s="184">
        <f t="shared" ca="1" si="3"/>
        <v>-189</v>
      </c>
      <c r="J39" s="188" t="s">
        <v>157</v>
      </c>
      <c r="K39" s="183"/>
      <c r="L39" s="185"/>
    </row>
    <row r="40" spans="1:12">
      <c r="A40" s="177" t="s">
        <v>13</v>
      </c>
      <c r="B40" s="178" t="s">
        <v>30</v>
      </c>
      <c r="C40" s="178" t="s">
        <v>31</v>
      </c>
      <c r="D40" s="179"/>
      <c r="E40" s="180">
        <v>44417</v>
      </c>
      <c r="F40" s="181">
        <v>730</v>
      </c>
      <c r="G40" s="182">
        <f>IF(Tabla32[[#This Row],[VENCE ]]="","",E40+F40)</f>
        <v>45147</v>
      </c>
      <c r="H40" s="183" t="str">
        <f t="shared" ca="1" si="2"/>
        <v>Vencido hace 185 dias</v>
      </c>
      <c r="I40" s="184">
        <f t="shared" ca="1" si="3"/>
        <v>-185</v>
      </c>
      <c r="J40" s="188" t="s">
        <v>32</v>
      </c>
      <c r="K40" s="183"/>
      <c r="L40" s="185"/>
    </row>
    <row r="41" spans="1:12">
      <c r="A41" s="177" t="s">
        <v>235</v>
      </c>
      <c r="B41" s="187" t="s">
        <v>240</v>
      </c>
      <c r="C41" s="187" t="s">
        <v>241</v>
      </c>
      <c r="D41" s="179"/>
      <c r="E41" s="180">
        <v>44426</v>
      </c>
      <c r="F41" s="181">
        <v>730</v>
      </c>
      <c r="G41" s="182">
        <f>IF(Tabla32[[#This Row],[VENCE ]]="","",E41+F41)</f>
        <v>45156</v>
      </c>
      <c r="H41" s="183" t="str">
        <f t="shared" ca="1" si="2"/>
        <v>Vencido hace 176 dias</v>
      </c>
      <c r="I41" s="184">
        <f t="shared" ca="1" si="3"/>
        <v>-176</v>
      </c>
      <c r="J41" s="188" t="s">
        <v>242</v>
      </c>
      <c r="K41" s="183"/>
      <c r="L41" s="185"/>
    </row>
    <row r="42" spans="1:12">
      <c r="A42" s="177" t="s">
        <v>235</v>
      </c>
      <c r="B42" s="178" t="s">
        <v>266</v>
      </c>
      <c r="C42" s="178" t="s">
        <v>267</v>
      </c>
      <c r="D42" s="179"/>
      <c r="E42" s="180">
        <v>44426</v>
      </c>
      <c r="F42" s="181">
        <v>730</v>
      </c>
      <c r="G42" s="182">
        <f>IF(Tabla32[[#This Row],[VENCE ]]="","",E42+F42)</f>
        <v>45156</v>
      </c>
      <c r="H42" s="183" t="str">
        <f t="shared" ca="1" si="2"/>
        <v>Vencido hace 176 dias</v>
      </c>
      <c r="I42" s="184">
        <f t="shared" ca="1" si="3"/>
        <v>-176</v>
      </c>
      <c r="J42" s="188" t="s">
        <v>268</v>
      </c>
      <c r="K42" s="183"/>
      <c r="L42" s="185"/>
    </row>
    <row r="43" spans="1:12">
      <c r="A43" s="177" t="s">
        <v>235</v>
      </c>
      <c r="B43" s="187" t="s">
        <v>283</v>
      </c>
      <c r="C43" s="187" t="s">
        <v>241</v>
      </c>
      <c r="D43" s="180"/>
      <c r="E43" s="180">
        <v>44426</v>
      </c>
      <c r="F43" s="181">
        <v>730</v>
      </c>
      <c r="G43" s="182">
        <f>IF(Tabla32[[#This Row],[VENCE ]]="","",E43+F43)</f>
        <v>45156</v>
      </c>
      <c r="H43" s="183" t="str">
        <f t="shared" ca="1" si="2"/>
        <v>Vencido hace 176 dias</v>
      </c>
      <c r="I43" s="184">
        <f t="shared" ca="1" si="3"/>
        <v>-176</v>
      </c>
      <c r="J43" s="188" t="s">
        <v>159</v>
      </c>
      <c r="K43" s="183"/>
      <c r="L43" s="185"/>
    </row>
    <row r="44" spans="1:12">
      <c r="A44" s="177" t="s">
        <v>305</v>
      </c>
      <c r="B44" s="178" t="s">
        <v>364</v>
      </c>
      <c r="C44" s="178" t="s">
        <v>365</v>
      </c>
      <c r="D44" s="181"/>
      <c r="E44" s="182">
        <v>44447</v>
      </c>
      <c r="F44" s="181">
        <v>730</v>
      </c>
      <c r="G44" s="182">
        <f>IF(Tabla32[[#This Row],[VENCE ]]="","",E44+F44)</f>
        <v>45177</v>
      </c>
      <c r="H44" s="183" t="str">
        <f t="shared" ca="1" si="2"/>
        <v>Vencido hace 155 dias</v>
      </c>
      <c r="I44" s="184">
        <f t="shared" ca="1" si="3"/>
        <v>-155</v>
      </c>
      <c r="J44" s="188" t="s">
        <v>32</v>
      </c>
      <c r="K44" s="183"/>
      <c r="L44" s="185"/>
    </row>
    <row r="45" spans="1:12">
      <c r="A45" s="177" t="s">
        <v>235</v>
      </c>
      <c r="B45" s="187" t="s">
        <v>250</v>
      </c>
      <c r="C45" s="187" t="s">
        <v>251</v>
      </c>
      <c r="D45" s="181"/>
      <c r="E45" s="182">
        <v>44494</v>
      </c>
      <c r="F45" s="181">
        <v>730</v>
      </c>
      <c r="G45" s="182">
        <f>IF(Tabla32[[#This Row],[VENCE ]]="","",E45+F45)</f>
        <v>45224</v>
      </c>
      <c r="H45" s="183" t="str">
        <f t="shared" ca="1" si="2"/>
        <v>Vencido hace 108 dias</v>
      </c>
      <c r="I45" s="184">
        <f t="shared" ca="1" si="3"/>
        <v>-108</v>
      </c>
      <c r="J45" s="188" t="s">
        <v>23</v>
      </c>
      <c r="K45" s="183"/>
      <c r="L45" s="185"/>
    </row>
    <row r="46" spans="1:12">
      <c r="A46" s="177" t="s">
        <v>96</v>
      </c>
      <c r="B46" s="178" t="s">
        <v>129</v>
      </c>
      <c r="C46" s="178" t="s">
        <v>130</v>
      </c>
      <c r="D46" s="179"/>
      <c r="E46" s="180">
        <v>44502</v>
      </c>
      <c r="F46" s="181">
        <v>730</v>
      </c>
      <c r="G46" s="182">
        <f>IF(Tabla32[[#This Row],[VENCE ]]="","",E46+F46)</f>
        <v>45232</v>
      </c>
      <c r="H46" s="183" t="str">
        <f t="shared" ca="1" si="2"/>
        <v>Vencido hace 100 dias</v>
      </c>
      <c r="I46" s="184">
        <f t="shared" ca="1" si="3"/>
        <v>-100</v>
      </c>
      <c r="J46" s="188" t="s">
        <v>131</v>
      </c>
      <c r="K46" s="183"/>
      <c r="L46" s="185"/>
    </row>
    <row r="47" spans="1:12">
      <c r="A47" s="177" t="s">
        <v>172</v>
      </c>
      <c r="B47" s="178" t="s">
        <v>190</v>
      </c>
      <c r="C47" s="187" t="s">
        <v>191</v>
      </c>
      <c r="D47" s="179"/>
      <c r="E47" s="180">
        <v>44512</v>
      </c>
      <c r="F47" s="181">
        <v>730</v>
      </c>
      <c r="G47" s="182">
        <f>IF(Tabla32[[#This Row],[VENCE ]]="","",E47+F47)</f>
        <v>45242</v>
      </c>
      <c r="H47" s="183" t="str">
        <f t="shared" ca="1" si="2"/>
        <v>Vencido hace 90 dias</v>
      </c>
      <c r="I47" s="184">
        <f t="shared" ca="1" si="3"/>
        <v>-90</v>
      </c>
      <c r="J47" s="188" t="s">
        <v>125</v>
      </c>
      <c r="K47" s="183"/>
      <c r="L47" s="185"/>
    </row>
    <row r="48" spans="1:12">
      <c r="A48" s="177" t="s">
        <v>172</v>
      </c>
      <c r="B48" s="187" t="s">
        <v>196</v>
      </c>
      <c r="C48" s="187" t="s">
        <v>197</v>
      </c>
      <c r="D48" s="179"/>
      <c r="E48" s="180">
        <v>44517</v>
      </c>
      <c r="F48" s="181">
        <v>730</v>
      </c>
      <c r="G48" s="182">
        <f>IF(Tabla32[[#This Row],[VENCE ]]="","",E48+F48)</f>
        <v>45247</v>
      </c>
      <c r="H48" s="183" t="str">
        <f t="shared" ca="1" si="2"/>
        <v>Vencido hace 85 dias</v>
      </c>
      <c r="I48" s="184">
        <f t="shared" ca="1" si="3"/>
        <v>-85</v>
      </c>
      <c r="J48" s="188" t="s">
        <v>23</v>
      </c>
      <c r="K48" s="183"/>
      <c r="L48" s="185"/>
    </row>
    <row r="49" spans="1:12">
      <c r="A49" s="177" t="s">
        <v>13</v>
      </c>
      <c r="B49" s="178" t="s">
        <v>84</v>
      </c>
      <c r="C49" s="178" t="s">
        <v>85</v>
      </c>
      <c r="D49" s="179"/>
      <c r="E49" s="180">
        <v>44523</v>
      </c>
      <c r="F49" s="181">
        <v>730</v>
      </c>
      <c r="G49" s="182">
        <f>IF(Tabla32[[#This Row],[VENCE ]]="","",E49+F49)</f>
        <v>45253</v>
      </c>
      <c r="H49" s="183" t="str">
        <f t="shared" ca="1" si="2"/>
        <v>Vencido hace 79 dias</v>
      </c>
      <c r="I49" s="184">
        <f t="shared" ca="1" si="3"/>
        <v>-79</v>
      </c>
      <c r="J49" s="188" t="s">
        <v>86</v>
      </c>
      <c r="K49" s="183"/>
      <c r="L49" s="185"/>
    </row>
    <row r="50" spans="1:12">
      <c r="A50" s="177" t="s">
        <v>96</v>
      </c>
      <c r="B50" s="178" t="s">
        <v>142</v>
      </c>
      <c r="C50" s="178" t="s">
        <v>143</v>
      </c>
      <c r="D50" s="179"/>
      <c r="E50" s="180">
        <v>44525</v>
      </c>
      <c r="F50" s="181">
        <v>730</v>
      </c>
      <c r="G50" s="182">
        <f>IF(Tabla32[[#This Row],[VENCE ]]="","",E50+F50)</f>
        <v>45255</v>
      </c>
      <c r="H50" s="183" t="str">
        <f t="shared" ca="1" si="2"/>
        <v>Vencido hace 77 dias</v>
      </c>
      <c r="I50" s="184">
        <f t="shared" ca="1" si="3"/>
        <v>-77</v>
      </c>
      <c r="J50" s="188" t="s">
        <v>144</v>
      </c>
      <c r="K50" s="183"/>
      <c r="L50" s="185"/>
    </row>
    <row r="51" spans="1:12">
      <c r="A51" s="177" t="s">
        <v>172</v>
      </c>
      <c r="B51" s="193" t="s">
        <v>194</v>
      </c>
      <c r="C51" s="193" t="s">
        <v>195</v>
      </c>
      <c r="D51" s="179"/>
      <c r="E51" s="180">
        <v>44529</v>
      </c>
      <c r="F51" s="181">
        <v>730</v>
      </c>
      <c r="G51" s="182">
        <f>IF(Tabla32[[#This Row],[VENCE ]]="","",E51+F51)</f>
        <v>45259</v>
      </c>
      <c r="H51" s="183" t="str">
        <f t="shared" ca="1" si="2"/>
        <v>Vencido hace 73 dias</v>
      </c>
      <c r="I51" s="184">
        <f t="shared" ca="1" si="3"/>
        <v>-73</v>
      </c>
      <c r="J51" s="188" t="s">
        <v>23</v>
      </c>
      <c r="K51" s="183"/>
      <c r="L51" s="185"/>
    </row>
    <row r="52" spans="1:12">
      <c r="A52" s="177" t="s">
        <v>235</v>
      </c>
      <c r="B52" s="178" t="s">
        <v>259</v>
      </c>
      <c r="C52" s="178" t="s">
        <v>260</v>
      </c>
      <c r="D52" s="179"/>
      <c r="E52" s="180">
        <v>44530</v>
      </c>
      <c r="F52" s="181">
        <v>730</v>
      </c>
      <c r="G52" s="182">
        <f>IF(Tabla32[[#This Row],[VENCE ]]="","",E52+F52)</f>
        <v>45260</v>
      </c>
      <c r="H52" s="183" t="str">
        <f t="shared" ca="1" si="2"/>
        <v>Vencido hace 72 dias</v>
      </c>
      <c r="I52" s="184">
        <f t="shared" ca="1" si="3"/>
        <v>-72</v>
      </c>
      <c r="J52" s="188" t="s">
        <v>32</v>
      </c>
      <c r="K52" s="183"/>
      <c r="L52" s="185"/>
    </row>
    <row r="53" spans="1:12">
      <c r="A53" s="177" t="s">
        <v>235</v>
      </c>
      <c r="B53" s="178" t="s">
        <v>272</v>
      </c>
      <c r="C53" s="178" t="s">
        <v>18905</v>
      </c>
      <c r="D53" s="179" t="s">
        <v>18906</v>
      </c>
      <c r="E53" s="180">
        <v>44572</v>
      </c>
      <c r="F53" s="181">
        <v>730</v>
      </c>
      <c r="G53" s="182">
        <f>IF(Tabla32[[#This Row],[VENCE ]]="","",E53+F53)</f>
        <v>45302</v>
      </c>
      <c r="H53" s="183" t="str">
        <f t="shared" ca="1" si="2"/>
        <v>Vencido hace 30 dias</v>
      </c>
      <c r="I53" s="184">
        <f t="shared" ca="1" si="3"/>
        <v>-30</v>
      </c>
      <c r="J53" s="188" t="s">
        <v>274</v>
      </c>
      <c r="K53" s="183"/>
      <c r="L53" s="185"/>
    </row>
    <row r="54" spans="1:12">
      <c r="A54" s="177" t="s">
        <v>235</v>
      </c>
      <c r="B54" s="187" t="s">
        <v>286</v>
      </c>
      <c r="C54" s="187" t="s">
        <v>287</v>
      </c>
      <c r="D54" s="180"/>
      <c r="E54" s="180">
        <v>44575</v>
      </c>
      <c r="F54" s="181">
        <v>730</v>
      </c>
      <c r="G54" s="182">
        <f>IF(Tabla32[[#This Row],[VENCE ]]="","",E54+F54)</f>
        <v>45305</v>
      </c>
      <c r="H54" s="183" t="str">
        <f t="shared" ca="1" si="2"/>
        <v>Vencido hace 27 dias</v>
      </c>
      <c r="I54" s="184">
        <f t="shared" ca="1" si="3"/>
        <v>-27</v>
      </c>
      <c r="J54" s="188" t="s">
        <v>288</v>
      </c>
      <c r="K54" s="183"/>
      <c r="L54" s="185"/>
    </row>
    <row r="55" spans="1:12">
      <c r="A55" s="177" t="s">
        <v>96</v>
      </c>
      <c r="B55" s="178" t="s">
        <v>139</v>
      </c>
      <c r="C55" s="178" t="s">
        <v>140</v>
      </c>
      <c r="D55" s="179"/>
      <c r="E55" s="180">
        <v>44579</v>
      </c>
      <c r="F55" s="181">
        <v>730</v>
      </c>
      <c r="G55" s="182">
        <f>IF(Tabla32[[#This Row],[VENCE ]]="","",E55+F55)</f>
        <v>45309</v>
      </c>
      <c r="H55" s="183" t="str">
        <f t="shared" ca="1" si="2"/>
        <v>Vencido hace 23 dias</v>
      </c>
      <c r="I55" s="184">
        <f t="shared" ca="1" si="3"/>
        <v>-23</v>
      </c>
      <c r="J55" s="188" t="s">
        <v>141</v>
      </c>
      <c r="K55" s="183"/>
      <c r="L55" s="185"/>
    </row>
    <row r="56" spans="1:12" ht="18">
      <c r="A56" s="177" t="s">
        <v>235</v>
      </c>
      <c r="B56" s="178" t="s">
        <v>256</v>
      </c>
      <c r="C56" s="178" t="s">
        <v>257</v>
      </c>
      <c r="D56" s="179"/>
      <c r="E56" s="180">
        <v>44588</v>
      </c>
      <c r="F56" s="181">
        <v>730</v>
      </c>
      <c r="G56" s="182">
        <f>IF(Tabla32[[#This Row],[VENCE ]]="","",E56+F56)</f>
        <v>45318</v>
      </c>
      <c r="H56" s="183" t="str">
        <f t="shared" ca="1" si="2"/>
        <v>Vencido hace 14 dias</v>
      </c>
      <c r="I56" s="184">
        <f t="shared" ca="1" si="3"/>
        <v>-14</v>
      </c>
      <c r="J56" s="188" t="s">
        <v>258</v>
      </c>
      <c r="K56" s="194"/>
      <c r="L56" s="195"/>
    </row>
    <row r="57" spans="1:12">
      <c r="A57" s="177" t="s">
        <v>235</v>
      </c>
      <c r="B57" s="178" t="s">
        <v>280</v>
      </c>
      <c r="C57" s="178" t="s">
        <v>281</v>
      </c>
      <c r="D57" s="180"/>
      <c r="E57" s="180">
        <v>44588</v>
      </c>
      <c r="F57" s="181">
        <v>730</v>
      </c>
      <c r="G57" s="182">
        <f>IF(Tabla32[[#This Row],[VENCE ]]="","",E57+F57)</f>
        <v>45318</v>
      </c>
      <c r="H57" s="183" t="str">
        <f t="shared" ca="1" si="2"/>
        <v>Vencido hace 14 dias</v>
      </c>
      <c r="I57" s="184">
        <f t="shared" ca="1" si="3"/>
        <v>-14</v>
      </c>
      <c r="J57" s="86" t="s">
        <v>282</v>
      </c>
      <c r="K57" s="183"/>
      <c r="L57" s="185"/>
    </row>
    <row r="58" spans="1:12">
      <c r="A58" s="177" t="s">
        <v>13</v>
      </c>
      <c r="B58" s="178" t="s">
        <v>90</v>
      </c>
      <c r="C58" s="187" t="s">
        <v>91</v>
      </c>
      <c r="D58" s="179"/>
      <c r="E58" s="180">
        <v>44593</v>
      </c>
      <c r="F58" s="181">
        <v>730</v>
      </c>
      <c r="G58" s="182">
        <f>IF(Tabla32[[#This Row],[VENCE ]]="","",E58+F58)</f>
        <v>45323</v>
      </c>
      <c r="H58" s="183" t="str">
        <f t="shared" ca="1" si="2"/>
        <v>Vencido hace 9 dias</v>
      </c>
      <c r="I58" s="184">
        <f t="shared" ca="1" si="3"/>
        <v>-9</v>
      </c>
      <c r="J58" s="188" t="s">
        <v>92</v>
      </c>
      <c r="K58" s="183"/>
      <c r="L58" s="185"/>
    </row>
    <row r="59" spans="1:12">
      <c r="A59" s="177" t="s">
        <v>96</v>
      </c>
      <c r="B59" s="178" t="s">
        <v>164</v>
      </c>
      <c r="C59" s="178" t="s">
        <v>165</v>
      </c>
      <c r="D59" s="179"/>
      <c r="E59" s="180">
        <v>44601</v>
      </c>
      <c r="F59" s="181">
        <v>730</v>
      </c>
      <c r="G59" s="182">
        <f>IF(Tabla32[[#This Row],[VENCE ]]="","",E59+F59)</f>
        <v>45331</v>
      </c>
      <c r="H59" s="183" t="str">
        <f t="shared" ca="1" si="2"/>
        <v>Vencido hace 1 dias</v>
      </c>
      <c r="I59" s="184">
        <f t="shared" ca="1" si="3"/>
        <v>-1</v>
      </c>
      <c r="J59" s="188" t="s">
        <v>166</v>
      </c>
      <c r="K59" s="183"/>
      <c r="L59" s="185"/>
    </row>
    <row r="60" spans="1:12">
      <c r="A60" s="177" t="s">
        <v>172</v>
      </c>
      <c r="B60" s="187" t="s">
        <v>222</v>
      </c>
      <c r="C60" s="187" t="s">
        <v>223</v>
      </c>
      <c r="D60" s="179"/>
      <c r="E60" s="180">
        <v>44601</v>
      </c>
      <c r="F60" s="181">
        <v>730</v>
      </c>
      <c r="G60" s="182">
        <f>IF(Tabla32[[#This Row],[VENCE ]]="","",E60+F60)</f>
        <v>45331</v>
      </c>
      <c r="H60" s="183" t="str">
        <f t="shared" ca="1" si="2"/>
        <v>Vencido hace 1 dias</v>
      </c>
      <c r="I60" s="184">
        <f t="shared" ca="1" si="3"/>
        <v>-1</v>
      </c>
      <c r="J60" s="188" t="s">
        <v>224</v>
      </c>
      <c r="K60" s="183"/>
      <c r="L60" s="185"/>
    </row>
    <row r="61" spans="1:12">
      <c r="A61" s="177" t="s">
        <v>305</v>
      </c>
      <c r="B61" s="193" t="s">
        <v>335</v>
      </c>
      <c r="C61" s="193" t="s">
        <v>336</v>
      </c>
      <c r="D61" s="179"/>
      <c r="E61" s="180">
        <v>44610</v>
      </c>
      <c r="F61" s="181">
        <v>730</v>
      </c>
      <c r="G61" s="182">
        <f>IF(Tabla32[[#This Row],[VENCE ]]="","",E61+F61)</f>
        <v>45340</v>
      </c>
      <c r="H61" s="183" t="str">
        <f t="shared" ca="1" si="2"/>
        <v>Faltan 845340</v>
      </c>
      <c r="I61" s="184">
        <f t="shared" ca="1" si="3"/>
        <v>8</v>
      </c>
      <c r="J61" s="188" t="s">
        <v>23</v>
      </c>
      <c r="K61" s="183"/>
      <c r="L61" s="185"/>
    </row>
    <row r="62" spans="1:12">
      <c r="A62" s="177" t="s">
        <v>13</v>
      </c>
      <c r="B62" s="178" t="s">
        <v>38</v>
      </c>
      <c r="C62" s="178" t="s">
        <v>39</v>
      </c>
      <c r="D62" s="179"/>
      <c r="E62" s="180">
        <v>44613</v>
      </c>
      <c r="F62" s="181">
        <v>730</v>
      </c>
      <c r="G62" s="182">
        <f>IF(Tabla32[[#This Row],[VENCE ]]="","",E62+F62)</f>
        <v>45343</v>
      </c>
      <c r="H62" s="183" t="str">
        <f t="shared" ca="1" si="2"/>
        <v>Faltan 1145343</v>
      </c>
      <c r="I62" s="184">
        <f t="shared" ca="1" si="3"/>
        <v>11</v>
      </c>
      <c r="J62" s="197" t="s">
        <v>40</v>
      </c>
      <c r="K62" s="183"/>
      <c r="L62" s="185"/>
    </row>
    <row r="63" spans="1:12">
      <c r="A63" s="177" t="s">
        <v>13</v>
      </c>
      <c r="B63" s="178" t="s">
        <v>27</v>
      </c>
      <c r="C63" s="178" t="s">
        <v>28</v>
      </c>
      <c r="D63" s="181"/>
      <c r="E63" s="182">
        <v>44617</v>
      </c>
      <c r="F63" s="181">
        <v>730</v>
      </c>
      <c r="G63" s="182">
        <f>IF(Tabla32[[#This Row],[VENCE ]]="","",E63+F63)</f>
        <v>45347</v>
      </c>
      <c r="H63" s="183" t="str">
        <f t="shared" ca="1" si="2"/>
        <v>Faltan 1545347</v>
      </c>
      <c r="I63" s="184">
        <f t="shared" ca="1" si="3"/>
        <v>15</v>
      </c>
      <c r="J63" s="188" t="s">
        <v>29</v>
      </c>
      <c r="K63" s="183"/>
      <c r="L63" s="185"/>
    </row>
    <row r="64" spans="1:12">
      <c r="A64" s="177" t="s">
        <v>305</v>
      </c>
      <c r="B64" s="187" t="s">
        <v>319</v>
      </c>
      <c r="C64" s="187" t="s">
        <v>320</v>
      </c>
      <c r="D64" s="179"/>
      <c r="E64" s="180">
        <v>44622</v>
      </c>
      <c r="F64" s="181">
        <v>730</v>
      </c>
      <c r="G64" s="182">
        <f>IF(Tabla32[[#This Row],[VENCE ]]="","",E64+F64)</f>
        <v>45352</v>
      </c>
      <c r="H64" s="183" t="str">
        <f t="shared" ca="1" si="2"/>
        <v>Faltan 2045352</v>
      </c>
      <c r="I64" s="184">
        <f t="shared" ca="1" si="3"/>
        <v>20</v>
      </c>
      <c r="J64" s="188" t="s">
        <v>311</v>
      </c>
      <c r="K64" s="180"/>
      <c r="L64" s="192"/>
    </row>
    <row r="65" spans="1:12">
      <c r="A65" s="177" t="s">
        <v>13</v>
      </c>
      <c r="B65" s="178" t="s">
        <v>65</v>
      </c>
      <c r="C65" s="178" t="s">
        <v>66</v>
      </c>
      <c r="D65" s="179"/>
      <c r="E65" s="180">
        <v>44623</v>
      </c>
      <c r="F65" s="181">
        <v>730</v>
      </c>
      <c r="G65" s="182">
        <f>IF(Tabla32[[#This Row],[VENCE ]]="","",E65+F65)</f>
        <v>45353</v>
      </c>
      <c r="H65" s="183" t="str">
        <f t="shared" ca="1" si="2"/>
        <v>Faltan 2145353</v>
      </c>
      <c r="I65" s="184">
        <f t="shared" ca="1" si="3"/>
        <v>21</v>
      </c>
      <c r="J65" s="188" t="s">
        <v>67</v>
      </c>
      <c r="K65" s="183"/>
      <c r="L65" s="185"/>
    </row>
    <row r="66" spans="1:12">
      <c r="A66" s="177" t="s">
        <v>235</v>
      </c>
      <c r="B66" s="187" t="s">
        <v>245</v>
      </c>
      <c r="C66" s="187" t="s">
        <v>246</v>
      </c>
      <c r="D66" s="179"/>
      <c r="E66" s="180">
        <v>44627</v>
      </c>
      <c r="F66" s="181">
        <v>730</v>
      </c>
      <c r="G66" s="182">
        <f>IF(Tabla32[[#This Row],[VENCE ]]="","",E66+F66)</f>
        <v>45357</v>
      </c>
      <c r="H66" s="183" t="str">
        <f t="shared" ca="1" si="2"/>
        <v>Faltan 2545357</v>
      </c>
      <c r="I66" s="184">
        <f t="shared" ca="1" si="3"/>
        <v>25</v>
      </c>
      <c r="J66" s="188" t="s">
        <v>23</v>
      </c>
      <c r="K66" s="183"/>
      <c r="L66" s="185"/>
    </row>
    <row r="67" spans="1:12" ht="20.399999999999999">
      <c r="A67" s="177" t="s">
        <v>96</v>
      </c>
      <c r="B67" s="178" t="s">
        <v>103</v>
      </c>
      <c r="C67" s="178" t="s">
        <v>104</v>
      </c>
      <c r="D67" s="179"/>
      <c r="E67" s="180">
        <v>44631</v>
      </c>
      <c r="F67" s="181">
        <v>730</v>
      </c>
      <c r="G67" s="182">
        <f>IF(Tabla32[[#This Row],[VENCE ]]="","",E67+F67)</f>
        <v>45361</v>
      </c>
      <c r="H67" s="183" t="str">
        <f t="shared" ca="1" si="2"/>
        <v>Faltan 2945361</v>
      </c>
      <c r="I67" s="184">
        <f t="shared" ca="1" si="3"/>
        <v>29</v>
      </c>
      <c r="J67" s="188" t="s">
        <v>32</v>
      </c>
      <c r="K67" s="183"/>
      <c r="L67" s="189"/>
    </row>
    <row r="68" spans="1:12">
      <c r="A68" s="177" t="s">
        <v>96</v>
      </c>
      <c r="B68" s="178" t="s">
        <v>167</v>
      </c>
      <c r="C68" s="187" t="s">
        <v>168</v>
      </c>
      <c r="D68" s="179"/>
      <c r="E68" s="180">
        <v>44631</v>
      </c>
      <c r="F68" s="181">
        <v>730</v>
      </c>
      <c r="G68" s="182">
        <f>IF(Tabla32[[#This Row],[VENCE ]]="","",E68+F68)</f>
        <v>45361</v>
      </c>
      <c r="H68" s="183" t="str">
        <f t="shared" ref="H68:H99" ca="1" si="4">IF(G68="","VACIO",IF(I68&lt;0,"Vencido hace "&amp;I68*-1&amp;" dias",IF(I68=0,"Vencido Hoy",IF(I68&lt;8,"Tiene "&amp; I68 &amp;" dias","Faltan "&amp;I68&amp;G68))))</f>
        <v>Faltan 2945361</v>
      </c>
      <c r="I68" s="184">
        <f t="shared" ref="I68:I99" ca="1" si="5">G68-$A$2</f>
        <v>29</v>
      </c>
      <c r="J68" s="188" t="s">
        <v>169</v>
      </c>
      <c r="K68" s="183"/>
      <c r="L68" s="185"/>
    </row>
    <row r="69" spans="1:12">
      <c r="A69" s="177" t="s">
        <v>305</v>
      </c>
      <c r="B69" s="187" t="s">
        <v>317</v>
      </c>
      <c r="C69" s="187" t="s">
        <v>318</v>
      </c>
      <c r="D69" s="179"/>
      <c r="E69" s="180">
        <v>44638</v>
      </c>
      <c r="F69" s="181">
        <v>730</v>
      </c>
      <c r="G69" s="182">
        <f>IF(Tabla32[[#This Row],[VENCE ]]="","",E69+F69)</f>
        <v>45368</v>
      </c>
      <c r="H69" s="183" t="str">
        <f t="shared" ca="1" si="4"/>
        <v>Faltan 3645368</v>
      </c>
      <c r="I69" s="184">
        <f t="shared" ca="1" si="5"/>
        <v>36</v>
      </c>
      <c r="J69" s="188" t="s">
        <v>311</v>
      </c>
      <c r="K69" s="180"/>
      <c r="L69" s="192"/>
    </row>
    <row r="70" spans="1:12">
      <c r="A70" s="177" t="s">
        <v>305</v>
      </c>
      <c r="B70" s="178" t="s">
        <v>309</v>
      </c>
      <c r="C70" s="186" t="s">
        <v>310</v>
      </c>
      <c r="D70" s="179"/>
      <c r="E70" s="180">
        <v>44651</v>
      </c>
      <c r="F70" s="181">
        <v>730</v>
      </c>
      <c r="G70" s="182">
        <f>IF(Tabla32[[#This Row],[VENCE ]]="","",E70+F70)</f>
        <v>45381</v>
      </c>
      <c r="H70" s="183" t="str">
        <f t="shared" ca="1" si="4"/>
        <v>Faltan 4945381</v>
      </c>
      <c r="I70" s="184">
        <f t="shared" ca="1" si="5"/>
        <v>49</v>
      </c>
      <c r="J70" s="188" t="s">
        <v>311</v>
      </c>
      <c r="K70" s="183"/>
      <c r="L70" s="185"/>
    </row>
    <row r="71" spans="1:12">
      <c r="A71" s="177" t="s">
        <v>13</v>
      </c>
      <c r="B71" s="186" t="s">
        <v>77</v>
      </c>
      <c r="C71" s="186" t="s">
        <v>78</v>
      </c>
      <c r="D71" s="179"/>
      <c r="E71" s="180">
        <v>44656</v>
      </c>
      <c r="F71" s="181">
        <v>730</v>
      </c>
      <c r="G71" s="182">
        <f>IF(Tabla32[[#This Row],[VENCE ]]="","",E71+F71)</f>
        <v>45386</v>
      </c>
      <c r="H71" s="183" t="str">
        <f t="shared" ca="1" si="4"/>
        <v>Faltan 5445386</v>
      </c>
      <c r="I71" s="184">
        <f t="shared" ca="1" si="5"/>
        <v>54</v>
      </c>
      <c r="J71" s="188" t="s">
        <v>79</v>
      </c>
      <c r="K71" s="183"/>
      <c r="L71" s="185"/>
    </row>
    <row r="72" spans="1:12">
      <c r="A72" s="177" t="s">
        <v>96</v>
      </c>
      <c r="B72" s="178" t="s">
        <v>160</v>
      </c>
      <c r="C72" s="187" t="s">
        <v>161</v>
      </c>
      <c r="D72" s="179"/>
      <c r="E72" s="180">
        <v>44656</v>
      </c>
      <c r="F72" s="181">
        <v>730</v>
      </c>
      <c r="G72" s="182">
        <f>IF(Tabla32[[#This Row],[VENCE ]]="","",E72+F72)</f>
        <v>45386</v>
      </c>
      <c r="H72" s="183" t="str">
        <f t="shared" ca="1" si="4"/>
        <v>Faltan 5445386</v>
      </c>
      <c r="I72" s="184">
        <f t="shared" ca="1" si="5"/>
        <v>54</v>
      </c>
      <c r="J72" s="188" t="s">
        <v>23</v>
      </c>
      <c r="K72" s="183"/>
      <c r="L72" s="185"/>
    </row>
    <row r="73" spans="1:12">
      <c r="A73" s="177" t="s">
        <v>13</v>
      </c>
      <c r="B73" s="178" t="s">
        <v>44</v>
      </c>
      <c r="C73" s="178" t="s">
        <v>45</v>
      </c>
      <c r="D73" s="179"/>
      <c r="E73" s="180">
        <v>44677</v>
      </c>
      <c r="F73" s="181">
        <v>730</v>
      </c>
      <c r="G73" s="182">
        <f>IF(Tabla32[[#This Row],[VENCE ]]="","",E73+F73)</f>
        <v>45407</v>
      </c>
      <c r="H73" s="183" t="str">
        <f t="shared" ca="1" si="4"/>
        <v>Faltan 7545407</v>
      </c>
      <c r="I73" s="184">
        <f t="shared" ca="1" si="5"/>
        <v>75</v>
      </c>
      <c r="J73" s="188" t="s">
        <v>46</v>
      </c>
      <c r="K73" s="183"/>
      <c r="L73" s="185"/>
    </row>
    <row r="74" spans="1:12">
      <c r="A74" s="177" t="s">
        <v>305</v>
      </c>
      <c r="B74" s="178" t="s">
        <v>352</v>
      </c>
      <c r="C74" s="178" t="s">
        <v>353</v>
      </c>
      <c r="D74" s="179"/>
      <c r="E74" s="180">
        <v>44680</v>
      </c>
      <c r="F74" s="181">
        <v>730</v>
      </c>
      <c r="G74" s="182">
        <f>IF(Tabla32[[#This Row],[VENCE ]]="","",E74+F74)</f>
        <v>45410</v>
      </c>
      <c r="H74" s="183" t="str">
        <f t="shared" ca="1" si="4"/>
        <v>Faltan 7845410</v>
      </c>
      <c r="I74" s="184">
        <f t="shared" ca="1" si="5"/>
        <v>78</v>
      </c>
      <c r="J74" s="188" t="s">
        <v>354</v>
      </c>
      <c r="K74" s="183"/>
      <c r="L74" s="185"/>
    </row>
    <row r="75" spans="1:12">
      <c r="A75" s="177" t="s">
        <v>172</v>
      </c>
      <c r="B75" s="178" t="s">
        <v>209</v>
      </c>
      <c r="C75" s="187" t="s">
        <v>210</v>
      </c>
      <c r="D75" s="179"/>
      <c r="E75" s="180">
        <v>44687</v>
      </c>
      <c r="F75" s="181">
        <v>730</v>
      </c>
      <c r="G75" s="182">
        <f>IF(Tabla32[[#This Row],[VENCE ]]="","",E75+F75)</f>
        <v>45417</v>
      </c>
      <c r="H75" s="183" t="str">
        <f t="shared" ca="1" si="4"/>
        <v>Faltan 8545417</v>
      </c>
      <c r="I75" s="184">
        <f t="shared" ca="1" si="5"/>
        <v>85</v>
      </c>
      <c r="J75" s="188" t="s">
        <v>32</v>
      </c>
      <c r="K75" s="183"/>
      <c r="L75" s="185"/>
    </row>
    <row r="76" spans="1:12">
      <c r="A76" s="177" t="s">
        <v>235</v>
      </c>
      <c r="B76" s="178" t="s">
        <v>291</v>
      </c>
      <c r="C76" s="187" t="s">
        <v>292</v>
      </c>
      <c r="D76" s="179"/>
      <c r="E76" s="180">
        <v>44687</v>
      </c>
      <c r="F76" s="181">
        <v>730</v>
      </c>
      <c r="G76" s="182">
        <f>IF(Tabla32[[#This Row],[VENCE ]]="","",E76+F76)</f>
        <v>45417</v>
      </c>
      <c r="H76" s="183" t="str">
        <f t="shared" ca="1" si="4"/>
        <v>Faltan 8545417</v>
      </c>
      <c r="I76" s="184">
        <f t="shared" ca="1" si="5"/>
        <v>85</v>
      </c>
      <c r="J76" s="188" t="s">
        <v>293</v>
      </c>
      <c r="K76" s="183"/>
      <c r="L76" s="185"/>
    </row>
    <row r="77" spans="1:12">
      <c r="A77" s="177" t="s">
        <v>235</v>
      </c>
      <c r="B77" s="178" t="s">
        <v>294</v>
      </c>
      <c r="C77" s="178" t="s">
        <v>295</v>
      </c>
      <c r="D77" s="179"/>
      <c r="E77" s="194">
        <v>44687</v>
      </c>
      <c r="F77" s="181">
        <v>730</v>
      </c>
      <c r="G77" s="182">
        <f>IF(Tabla32[[#This Row],[VENCE ]]="","",E77+F77)</f>
        <v>45417</v>
      </c>
      <c r="H77" s="183" t="str">
        <f t="shared" ca="1" si="4"/>
        <v>Faltan 8545417</v>
      </c>
      <c r="I77" s="184">
        <f t="shared" ca="1" si="5"/>
        <v>85</v>
      </c>
      <c r="J77" s="188" t="s">
        <v>296</v>
      </c>
      <c r="K77" s="183"/>
      <c r="L77" s="185"/>
    </row>
    <row r="78" spans="1:12">
      <c r="A78" s="177" t="s">
        <v>305</v>
      </c>
      <c r="B78" s="186" t="s">
        <v>306</v>
      </c>
      <c r="C78" s="186" t="s">
        <v>307</v>
      </c>
      <c r="D78" s="179" t="s">
        <v>2470</v>
      </c>
      <c r="E78" s="180">
        <v>44690</v>
      </c>
      <c r="F78" s="181">
        <v>730</v>
      </c>
      <c r="G78" s="182">
        <f>IF(Tabla32[[#This Row],[VENCE ]]="","",E78+F78)</f>
        <v>45420</v>
      </c>
      <c r="H78" s="183" t="str">
        <f t="shared" ca="1" si="4"/>
        <v>Faltan 8845420</v>
      </c>
      <c r="I78" s="184">
        <f t="shared" ca="1" si="5"/>
        <v>88</v>
      </c>
      <c r="J78" s="188" t="s">
        <v>308</v>
      </c>
      <c r="K78" s="180"/>
      <c r="L78" s="192"/>
    </row>
    <row r="79" spans="1:12">
      <c r="A79" s="177" t="s">
        <v>235</v>
      </c>
      <c r="B79" s="178" t="s">
        <v>289</v>
      </c>
      <c r="C79" s="178" t="s">
        <v>290</v>
      </c>
      <c r="D79" s="179"/>
      <c r="E79" s="180">
        <v>44693</v>
      </c>
      <c r="F79" s="181">
        <v>730</v>
      </c>
      <c r="G79" s="182">
        <f>IF(Tabla32[[#This Row],[VENCE ]]="","",E79+F79)</f>
        <v>45423</v>
      </c>
      <c r="H79" s="183" t="str">
        <f t="shared" ca="1" si="4"/>
        <v>Faltan 9145423</v>
      </c>
      <c r="I79" s="184">
        <f t="shared" ca="1" si="5"/>
        <v>91</v>
      </c>
      <c r="J79" s="188" t="s">
        <v>208</v>
      </c>
      <c r="K79" s="183"/>
      <c r="L79" s="185"/>
    </row>
    <row r="80" spans="1:12">
      <c r="A80" s="177" t="s">
        <v>172</v>
      </c>
      <c r="B80" s="178" t="s">
        <v>192</v>
      </c>
      <c r="C80" s="187" t="s">
        <v>193</v>
      </c>
      <c r="D80" s="179"/>
      <c r="E80" s="180">
        <v>44701</v>
      </c>
      <c r="F80" s="181">
        <v>730</v>
      </c>
      <c r="G80" s="182">
        <f>IF(Tabla32[[#This Row],[VENCE ]]="","",E80+F80)</f>
        <v>45431</v>
      </c>
      <c r="H80" s="183" t="str">
        <f t="shared" ca="1" si="4"/>
        <v>Faltan 9945431</v>
      </c>
      <c r="I80" s="184">
        <f t="shared" ca="1" si="5"/>
        <v>99</v>
      </c>
      <c r="J80" s="188" t="s">
        <v>23</v>
      </c>
      <c r="K80" s="180"/>
      <c r="L80" s="192"/>
    </row>
    <row r="81" spans="1:12">
      <c r="A81" s="177" t="s">
        <v>96</v>
      </c>
      <c r="B81" s="178" t="s">
        <v>109</v>
      </c>
      <c r="C81" s="178" t="s">
        <v>110</v>
      </c>
      <c r="D81" s="179"/>
      <c r="E81" s="180">
        <v>44707</v>
      </c>
      <c r="F81" s="181">
        <v>730</v>
      </c>
      <c r="G81" s="182">
        <f>IF(Tabla32[[#This Row],[VENCE ]]="","",E81+F81)</f>
        <v>45437</v>
      </c>
      <c r="H81" s="183" t="str">
        <f t="shared" ca="1" si="4"/>
        <v>Faltan 10545437</v>
      </c>
      <c r="I81" s="184">
        <f t="shared" ca="1" si="5"/>
        <v>105</v>
      </c>
      <c r="J81" s="188" t="s">
        <v>111</v>
      </c>
      <c r="K81" s="183"/>
      <c r="L81" s="185"/>
    </row>
    <row r="82" spans="1:12">
      <c r="A82" s="177" t="s">
        <v>13</v>
      </c>
      <c r="B82" s="178" t="s">
        <v>16</v>
      </c>
      <c r="C82" s="178" t="s">
        <v>17</v>
      </c>
      <c r="D82" s="179"/>
      <c r="E82" s="180">
        <v>44712</v>
      </c>
      <c r="F82" s="181">
        <v>730</v>
      </c>
      <c r="G82" s="182">
        <f>IF(Tabla32[[#This Row],[VENCE ]]="","",E82+F82)</f>
        <v>45442</v>
      </c>
      <c r="H82" s="183" t="str">
        <f t="shared" ca="1" si="4"/>
        <v>Faltan 11045442</v>
      </c>
      <c r="I82" s="184">
        <f t="shared" ca="1" si="5"/>
        <v>110</v>
      </c>
      <c r="J82" s="258" t="s">
        <v>18</v>
      </c>
      <c r="K82" s="183"/>
      <c r="L82" s="185"/>
    </row>
    <row r="83" spans="1:12">
      <c r="A83" s="177" t="s">
        <v>305</v>
      </c>
      <c r="B83" s="178" t="s">
        <v>361</v>
      </c>
      <c r="C83" s="178" t="s">
        <v>362</v>
      </c>
      <c r="D83" s="181"/>
      <c r="E83" s="182">
        <v>44715</v>
      </c>
      <c r="F83" s="181">
        <v>730</v>
      </c>
      <c r="G83" s="182">
        <f>IF(Tabla32[[#This Row],[VENCE ]]="","",E83+F83)</f>
        <v>45445</v>
      </c>
      <c r="H83" s="183" t="str">
        <f t="shared" ca="1" si="4"/>
        <v>Faltan 11345445</v>
      </c>
      <c r="I83" s="184">
        <f t="shared" ca="1" si="5"/>
        <v>113</v>
      </c>
      <c r="J83" s="188" t="s">
        <v>363</v>
      </c>
      <c r="K83" s="183"/>
      <c r="L83" s="185"/>
    </row>
    <row r="84" spans="1:12">
      <c r="A84" s="177" t="s">
        <v>96</v>
      </c>
      <c r="B84" s="178" t="s">
        <v>101</v>
      </c>
      <c r="C84" s="178" t="s">
        <v>102</v>
      </c>
      <c r="D84" s="180">
        <v>44727</v>
      </c>
      <c r="E84" s="180">
        <v>44726</v>
      </c>
      <c r="F84" s="181">
        <v>730</v>
      </c>
      <c r="G84" s="182">
        <f>IF(Tabla32[[#This Row],[VENCE ]]="","",E84+F84)</f>
        <v>45456</v>
      </c>
      <c r="H84" s="183" t="str">
        <f t="shared" ca="1" si="4"/>
        <v>Faltan 12445456</v>
      </c>
      <c r="I84" s="184">
        <f t="shared" ca="1" si="5"/>
        <v>124</v>
      </c>
      <c r="J84" s="188" t="s">
        <v>32</v>
      </c>
      <c r="K84" s="183"/>
      <c r="L84" s="185"/>
    </row>
    <row r="85" spans="1:12">
      <c r="A85" s="177" t="s">
        <v>13</v>
      </c>
      <c r="B85" s="178" t="s">
        <v>41</v>
      </c>
      <c r="C85" s="178" t="s">
        <v>42</v>
      </c>
      <c r="D85" s="180">
        <v>44727</v>
      </c>
      <c r="E85" s="180">
        <v>44728</v>
      </c>
      <c r="F85" s="181">
        <v>730</v>
      </c>
      <c r="G85" s="182">
        <f>IF(Tabla32[[#This Row],[VENCE ]]="","",E85+F85)</f>
        <v>45458</v>
      </c>
      <c r="H85" s="183" t="str">
        <f t="shared" ca="1" si="4"/>
        <v>Faltan 12645458</v>
      </c>
      <c r="I85" s="184">
        <f t="shared" ca="1" si="5"/>
        <v>126</v>
      </c>
      <c r="J85" s="188" t="s">
        <v>43</v>
      </c>
      <c r="K85" s="183"/>
      <c r="L85" s="185"/>
    </row>
    <row r="86" spans="1:12">
      <c r="A86" s="177" t="s">
        <v>172</v>
      </c>
      <c r="B86" s="187" t="s">
        <v>233</v>
      </c>
      <c r="C86" s="187" t="s">
        <v>234</v>
      </c>
      <c r="D86" s="179"/>
      <c r="E86" s="180">
        <v>44728</v>
      </c>
      <c r="F86" s="181">
        <v>730</v>
      </c>
      <c r="G86" s="182">
        <f>IF(Tabla32[[#This Row],[VENCE ]]="","",E86+F86)</f>
        <v>45458</v>
      </c>
      <c r="H86" s="183" t="str">
        <f t="shared" ca="1" si="4"/>
        <v>Faltan 12645458</v>
      </c>
      <c r="I86" s="184">
        <f t="shared" ca="1" si="5"/>
        <v>126</v>
      </c>
      <c r="J86" s="188" t="s">
        <v>144</v>
      </c>
      <c r="K86" s="183"/>
      <c r="L86" s="185"/>
    </row>
    <row r="87" spans="1:12">
      <c r="A87" s="177" t="s">
        <v>305</v>
      </c>
      <c r="B87" s="187" t="s">
        <v>328</v>
      </c>
      <c r="C87" s="187" t="s">
        <v>329</v>
      </c>
      <c r="D87" s="179"/>
      <c r="E87" s="180">
        <v>44729</v>
      </c>
      <c r="F87" s="181">
        <v>730</v>
      </c>
      <c r="G87" s="182">
        <f>IF(Tabla32[[#This Row],[VENCE ]]="","",E87+F87)</f>
        <v>45459</v>
      </c>
      <c r="H87" s="183" t="str">
        <f t="shared" ca="1" si="4"/>
        <v>Faltan 12745459</v>
      </c>
      <c r="I87" s="184">
        <f t="shared" ca="1" si="5"/>
        <v>127</v>
      </c>
      <c r="J87" s="188" t="s">
        <v>330</v>
      </c>
      <c r="K87" s="183"/>
      <c r="L87" s="185"/>
    </row>
    <row r="88" spans="1:12">
      <c r="A88" s="177" t="s">
        <v>13</v>
      </c>
      <c r="B88" s="178" t="s">
        <v>62</v>
      </c>
      <c r="C88" s="178" t="s">
        <v>63</v>
      </c>
      <c r="D88" s="179"/>
      <c r="E88" s="180">
        <v>44735</v>
      </c>
      <c r="F88" s="181">
        <v>730</v>
      </c>
      <c r="G88" s="182">
        <f>IF(Tabla32[[#This Row],[VENCE ]]="","",E88+F88)</f>
        <v>45465</v>
      </c>
      <c r="H88" s="183" t="str">
        <f t="shared" ca="1" si="4"/>
        <v>Faltan 13345465</v>
      </c>
      <c r="I88" s="184">
        <f t="shared" ca="1" si="5"/>
        <v>133</v>
      </c>
      <c r="J88" s="188" t="s">
        <v>64</v>
      </c>
      <c r="K88" s="183"/>
      <c r="L88" s="185"/>
    </row>
    <row r="89" spans="1:12">
      <c r="A89" s="177" t="s">
        <v>96</v>
      </c>
      <c r="B89" s="178" t="s">
        <v>134</v>
      </c>
      <c r="C89" s="178" t="s">
        <v>135</v>
      </c>
      <c r="D89" s="180">
        <v>44735</v>
      </c>
      <c r="E89" s="180">
        <v>44735</v>
      </c>
      <c r="F89" s="181">
        <v>730</v>
      </c>
      <c r="G89" s="182">
        <f>IF(Tabla32[[#This Row],[VENCE ]]="","",E89+F89)</f>
        <v>45465</v>
      </c>
      <c r="H89" s="183" t="str">
        <f t="shared" ca="1" si="4"/>
        <v>Faltan 13345465</v>
      </c>
      <c r="I89" s="184">
        <f t="shared" ca="1" si="5"/>
        <v>133</v>
      </c>
      <c r="J89" s="197" t="s">
        <v>40</v>
      </c>
      <c r="K89" s="183"/>
      <c r="L89" s="185"/>
    </row>
    <row r="90" spans="1:12">
      <c r="A90" s="177" t="s">
        <v>172</v>
      </c>
      <c r="B90" s="187" t="s">
        <v>218</v>
      </c>
      <c r="C90" s="187" t="s">
        <v>219</v>
      </c>
      <c r="D90" s="180">
        <v>44740</v>
      </c>
      <c r="E90" s="180">
        <v>44740</v>
      </c>
      <c r="F90" s="181">
        <v>730</v>
      </c>
      <c r="G90" s="182">
        <f>IF(Tabla32[[#This Row],[VENCE ]]="","",E90+F90)</f>
        <v>45470</v>
      </c>
      <c r="H90" s="183" t="str">
        <f t="shared" ca="1" si="4"/>
        <v>Faltan 13845470</v>
      </c>
      <c r="I90" s="184">
        <f t="shared" ca="1" si="5"/>
        <v>138</v>
      </c>
      <c r="J90" s="188" t="s">
        <v>18</v>
      </c>
      <c r="K90" s="183"/>
      <c r="L90" s="185"/>
    </row>
    <row r="91" spans="1:12">
      <c r="A91" s="177" t="s">
        <v>172</v>
      </c>
      <c r="B91" s="187" t="s">
        <v>220</v>
      </c>
      <c r="C91" s="187" t="s">
        <v>221</v>
      </c>
      <c r="D91" s="180">
        <v>44754</v>
      </c>
      <c r="E91" s="180">
        <v>44753</v>
      </c>
      <c r="F91" s="181">
        <v>730</v>
      </c>
      <c r="G91" s="182">
        <f>IF(Tabla32[[#This Row],[VENCE ]]="","",E91+F91)</f>
        <v>45483</v>
      </c>
      <c r="H91" s="183" t="str">
        <f t="shared" ca="1" si="4"/>
        <v>Faltan 15145483</v>
      </c>
      <c r="I91" s="184">
        <f t="shared" ca="1" si="5"/>
        <v>151</v>
      </c>
      <c r="J91" s="188" t="s">
        <v>18</v>
      </c>
      <c r="K91" s="183"/>
      <c r="L91" s="185"/>
    </row>
    <row r="92" spans="1:12">
      <c r="A92" s="177" t="s">
        <v>172</v>
      </c>
      <c r="B92" s="187" t="s">
        <v>173</v>
      </c>
      <c r="C92" s="187" t="s">
        <v>174</v>
      </c>
      <c r="D92" s="180" t="s">
        <v>175</v>
      </c>
      <c r="E92" s="180">
        <v>44754</v>
      </c>
      <c r="F92" s="181">
        <v>730</v>
      </c>
      <c r="G92" s="182">
        <f>IF(Tabla32[[#This Row],[VENCE ]]="","",E92+F92)</f>
        <v>45484</v>
      </c>
      <c r="H92" s="183" t="str">
        <f t="shared" ca="1" si="4"/>
        <v>Faltan 15245484</v>
      </c>
      <c r="I92" s="184">
        <f t="shared" ca="1" si="5"/>
        <v>152</v>
      </c>
      <c r="J92" s="188" t="s">
        <v>176</v>
      </c>
      <c r="K92" s="183"/>
      <c r="L92" s="185"/>
    </row>
    <row r="93" spans="1:12">
      <c r="A93" s="177" t="s">
        <v>172</v>
      </c>
      <c r="B93" s="193" t="s">
        <v>211</v>
      </c>
      <c r="C93" s="193" t="s">
        <v>212</v>
      </c>
      <c r="D93" s="179"/>
      <c r="E93" s="180">
        <v>44761</v>
      </c>
      <c r="F93" s="181">
        <v>730</v>
      </c>
      <c r="G93" s="182">
        <f>IF(Tabla32[[#This Row],[VENCE ]]="","",E93+F93)</f>
        <v>45491</v>
      </c>
      <c r="H93" s="183" t="str">
        <f t="shared" ca="1" si="4"/>
        <v>Faltan 15945491</v>
      </c>
      <c r="I93" s="184">
        <f t="shared" ca="1" si="5"/>
        <v>159</v>
      </c>
      <c r="J93" s="188" t="s">
        <v>213</v>
      </c>
      <c r="K93" s="183"/>
      <c r="L93" s="185"/>
    </row>
    <row r="94" spans="1:12">
      <c r="A94" s="177" t="s">
        <v>305</v>
      </c>
      <c r="B94" s="178" t="s">
        <v>372</v>
      </c>
      <c r="C94" s="178" t="s">
        <v>373</v>
      </c>
      <c r="D94" s="181" t="s">
        <v>374</v>
      </c>
      <c r="E94" s="182">
        <v>44767</v>
      </c>
      <c r="F94" s="181">
        <v>730</v>
      </c>
      <c r="G94" s="182">
        <f>IF(Tabla32[[#This Row],[VENCE ]]="","",E94+F94)</f>
        <v>45497</v>
      </c>
      <c r="H94" s="183" t="str">
        <f t="shared" ca="1" si="4"/>
        <v>Faltan 16545497</v>
      </c>
      <c r="I94" s="184">
        <f t="shared" ca="1" si="5"/>
        <v>165</v>
      </c>
      <c r="J94" s="188" t="s">
        <v>159</v>
      </c>
      <c r="K94" s="183"/>
      <c r="L94" s="185"/>
    </row>
    <row r="95" spans="1:12">
      <c r="A95" s="177" t="s">
        <v>305</v>
      </c>
      <c r="B95" s="193" t="s">
        <v>337</v>
      </c>
      <c r="C95" s="193" t="s">
        <v>338</v>
      </c>
      <c r="D95" s="180">
        <v>44769</v>
      </c>
      <c r="E95" s="180">
        <v>44769</v>
      </c>
      <c r="F95" s="181">
        <v>730</v>
      </c>
      <c r="G95" s="182">
        <f>IF(Tabla32[[#This Row],[VENCE ]]="","",E95+F95)</f>
        <v>45499</v>
      </c>
      <c r="H95" s="183" t="str">
        <f t="shared" ca="1" si="4"/>
        <v>Faltan 16745499</v>
      </c>
      <c r="I95" s="184">
        <f t="shared" ca="1" si="5"/>
        <v>167</v>
      </c>
      <c r="J95" s="188" t="s">
        <v>339</v>
      </c>
      <c r="K95" s="183"/>
      <c r="L95" s="185"/>
    </row>
    <row r="96" spans="1:12">
      <c r="A96" s="177" t="s">
        <v>235</v>
      </c>
      <c r="B96" s="178" t="s">
        <v>269</v>
      </c>
      <c r="C96" s="187" t="s">
        <v>270</v>
      </c>
      <c r="D96" s="179"/>
      <c r="E96" s="180">
        <v>44774</v>
      </c>
      <c r="F96" s="181">
        <v>730</v>
      </c>
      <c r="G96" s="182">
        <f>IF(Tabla32[[#This Row],[VENCE ]]="","",E96+F96)</f>
        <v>45504</v>
      </c>
      <c r="H96" s="183" t="str">
        <f t="shared" ca="1" si="4"/>
        <v>Faltan 17245504</v>
      </c>
      <c r="I96" s="184">
        <f t="shared" ca="1" si="5"/>
        <v>172</v>
      </c>
      <c r="J96" s="188" t="s">
        <v>271</v>
      </c>
      <c r="K96" s="183"/>
      <c r="L96" s="185"/>
    </row>
    <row r="97" spans="1:12">
      <c r="A97" s="177" t="s">
        <v>305</v>
      </c>
      <c r="B97" s="193" t="s">
        <v>340</v>
      </c>
      <c r="C97" s="193" t="s">
        <v>341</v>
      </c>
      <c r="D97" s="179"/>
      <c r="E97" s="180">
        <v>44792</v>
      </c>
      <c r="F97" s="181">
        <v>730</v>
      </c>
      <c r="G97" s="182">
        <f>IF(Tabla32[[#This Row],[VENCE ]]="","",E97+F97)</f>
        <v>45522</v>
      </c>
      <c r="H97" s="183" t="str">
        <f t="shared" ca="1" si="4"/>
        <v>Faltan 19045522</v>
      </c>
      <c r="I97" s="184">
        <f t="shared" ca="1" si="5"/>
        <v>190</v>
      </c>
      <c r="J97" s="188" t="s">
        <v>342</v>
      </c>
      <c r="K97" s="183"/>
      <c r="L97" s="185"/>
    </row>
    <row r="98" spans="1:12">
      <c r="A98" s="177" t="s">
        <v>96</v>
      </c>
      <c r="B98" s="178" t="s">
        <v>145</v>
      </c>
      <c r="C98" s="187" t="s">
        <v>146</v>
      </c>
      <c r="D98" s="179"/>
      <c r="E98" s="180">
        <v>44796</v>
      </c>
      <c r="F98" s="181">
        <v>730</v>
      </c>
      <c r="G98" s="182">
        <f>IF(Tabla32[[#This Row],[VENCE ]]="","",E98+F98)</f>
        <v>45526</v>
      </c>
      <c r="H98" s="183" t="str">
        <f t="shared" ca="1" si="4"/>
        <v>Faltan 19445526</v>
      </c>
      <c r="I98" s="191">
        <f t="shared" ca="1" si="5"/>
        <v>194</v>
      </c>
      <c r="J98" s="188" t="s">
        <v>147</v>
      </c>
      <c r="K98" s="183"/>
      <c r="L98" s="185"/>
    </row>
    <row r="99" spans="1:12">
      <c r="A99" s="177" t="s">
        <v>305</v>
      </c>
      <c r="B99" s="178" t="s">
        <v>349</v>
      </c>
      <c r="C99" s="178" t="s">
        <v>350</v>
      </c>
      <c r="D99" s="179"/>
      <c r="E99" s="180">
        <v>44810</v>
      </c>
      <c r="F99" s="181">
        <v>730</v>
      </c>
      <c r="G99" s="182">
        <f>IF(Tabla32[[#This Row],[VENCE ]]="","",E99+F99)</f>
        <v>45540</v>
      </c>
      <c r="H99" s="183" t="str">
        <f t="shared" ca="1" si="4"/>
        <v>Faltan 20845540</v>
      </c>
      <c r="I99" s="184">
        <f t="shared" ca="1" si="5"/>
        <v>208</v>
      </c>
      <c r="J99" s="188" t="s">
        <v>351</v>
      </c>
      <c r="K99" s="183"/>
      <c r="L99" s="185"/>
    </row>
    <row r="100" spans="1:12">
      <c r="A100" s="177" t="s">
        <v>235</v>
      </c>
      <c r="B100" s="187" t="s">
        <v>243</v>
      </c>
      <c r="C100" s="187" t="s">
        <v>244</v>
      </c>
      <c r="D100" s="179"/>
      <c r="E100" s="180">
        <v>44813</v>
      </c>
      <c r="F100" s="181">
        <v>730</v>
      </c>
      <c r="G100" s="182">
        <f>IF(Tabla32[[#This Row],[VENCE ]]="","",E100+F100)</f>
        <v>45543</v>
      </c>
      <c r="H100" s="183" t="str">
        <f t="shared" ref="H100:H131" ca="1" si="6">IF(G100="","VACIO",IF(I100&lt;0,"Vencido hace "&amp;I100*-1&amp;" dias",IF(I100=0,"Vencido Hoy",IF(I100&lt;8,"Tiene "&amp; I100 &amp;" dias","Faltan "&amp;I100&amp;G100))))</f>
        <v>Faltan 21145543</v>
      </c>
      <c r="I100" s="184">
        <f t="shared" ref="I100:I131" ca="1" si="7">G100-$A$2</f>
        <v>211</v>
      </c>
      <c r="J100" s="188" t="s">
        <v>23</v>
      </c>
      <c r="K100" s="183"/>
      <c r="L100" s="185"/>
    </row>
    <row r="101" spans="1:12">
      <c r="A101" s="177" t="s">
        <v>305</v>
      </c>
      <c r="B101" s="178" t="s">
        <v>377</v>
      </c>
      <c r="C101" s="178" t="s">
        <v>378</v>
      </c>
      <c r="D101" s="181"/>
      <c r="E101" s="180">
        <v>44816</v>
      </c>
      <c r="F101" s="181">
        <v>730</v>
      </c>
      <c r="G101" s="182">
        <f>IF(Tabla32[[#This Row],[VENCE ]]="","",E101+F101)</f>
        <v>45546</v>
      </c>
      <c r="H101" s="183" t="str">
        <f t="shared" ca="1" si="6"/>
        <v>Faltan 21445546</v>
      </c>
      <c r="I101" s="184">
        <f t="shared" ca="1" si="7"/>
        <v>214</v>
      </c>
      <c r="J101" s="188" t="s">
        <v>111</v>
      </c>
      <c r="K101" s="183"/>
      <c r="L101" s="185"/>
    </row>
    <row r="102" spans="1:12">
      <c r="A102" s="177" t="s">
        <v>172</v>
      </c>
      <c r="B102" s="187" t="s">
        <v>230</v>
      </c>
      <c r="C102" s="187" t="s">
        <v>231</v>
      </c>
      <c r="D102" s="179"/>
      <c r="E102" s="180">
        <v>44841</v>
      </c>
      <c r="F102" s="181">
        <v>730</v>
      </c>
      <c r="G102" s="182">
        <f>IF(Tabla32[[#This Row],[VENCE ]]="","",E102+F102)</f>
        <v>45571</v>
      </c>
      <c r="H102" s="183" t="str">
        <f t="shared" ca="1" si="6"/>
        <v>Faltan 23945571</v>
      </c>
      <c r="I102" s="184">
        <f t="shared" ca="1" si="7"/>
        <v>239</v>
      </c>
      <c r="J102" s="188" t="s">
        <v>232</v>
      </c>
      <c r="K102" s="183"/>
      <c r="L102" s="185"/>
    </row>
    <row r="103" spans="1:12">
      <c r="A103" s="177" t="s">
        <v>96</v>
      </c>
      <c r="B103" s="178" t="s">
        <v>162</v>
      </c>
      <c r="C103" s="178" t="s">
        <v>163</v>
      </c>
      <c r="D103" s="179"/>
      <c r="E103" s="180">
        <v>44855</v>
      </c>
      <c r="F103" s="181">
        <v>730</v>
      </c>
      <c r="G103" s="182">
        <f>IF(Tabla32[[#This Row],[VENCE ]]="","",E103+F103)</f>
        <v>45585</v>
      </c>
      <c r="H103" s="183" t="str">
        <f t="shared" ca="1" si="6"/>
        <v>Faltan 25345585</v>
      </c>
      <c r="I103" s="184">
        <f t="shared" ca="1" si="7"/>
        <v>253</v>
      </c>
      <c r="J103" s="188" t="s">
        <v>67</v>
      </c>
      <c r="K103" s="183"/>
      <c r="L103" s="185"/>
    </row>
    <row r="104" spans="1:12">
      <c r="A104" s="177" t="s">
        <v>13</v>
      </c>
      <c r="B104" s="178" t="s">
        <v>24</v>
      </c>
      <c r="C104" s="178" t="s">
        <v>25</v>
      </c>
      <c r="D104" s="182">
        <v>44859</v>
      </c>
      <c r="E104" s="182">
        <v>44859</v>
      </c>
      <c r="F104" s="181">
        <v>730</v>
      </c>
      <c r="G104" s="182">
        <f>IF(Tabla32[[#This Row],[VENCE ]]="","",E104+F104)</f>
        <v>45589</v>
      </c>
      <c r="H104" s="183" t="str">
        <f t="shared" ca="1" si="6"/>
        <v>Faltan 25745589</v>
      </c>
      <c r="I104" s="184">
        <f t="shared" ca="1" si="7"/>
        <v>257</v>
      </c>
      <c r="J104" s="188" t="s">
        <v>26</v>
      </c>
      <c r="K104" s="183"/>
      <c r="L104" s="185"/>
    </row>
    <row r="105" spans="1:12">
      <c r="A105" s="177" t="s">
        <v>305</v>
      </c>
      <c r="B105" s="178" t="s">
        <v>375</v>
      </c>
      <c r="C105" s="178" t="s">
        <v>376</v>
      </c>
      <c r="D105" s="179"/>
      <c r="E105" s="180">
        <v>44859</v>
      </c>
      <c r="F105" s="181">
        <v>730</v>
      </c>
      <c r="G105" s="182">
        <f>IF(Tabla32[[#This Row],[VENCE ]]="","",E105+F105)</f>
        <v>45589</v>
      </c>
      <c r="H105" s="183" t="str">
        <f t="shared" ca="1" si="6"/>
        <v>Faltan 25745589</v>
      </c>
      <c r="I105" s="184">
        <f t="shared" ca="1" si="7"/>
        <v>257</v>
      </c>
      <c r="J105" s="188" t="s">
        <v>32</v>
      </c>
      <c r="K105" s="183"/>
      <c r="L105" s="185"/>
    </row>
    <row r="106" spans="1:12">
      <c r="A106" s="177" t="s">
        <v>172</v>
      </c>
      <c r="B106" s="187" t="s">
        <v>198</v>
      </c>
      <c r="C106" s="187" t="s">
        <v>199</v>
      </c>
      <c r="D106" s="179"/>
      <c r="E106" s="180">
        <v>44860</v>
      </c>
      <c r="F106" s="181">
        <v>730</v>
      </c>
      <c r="G106" s="182">
        <f>IF(Tabla32[[#This Row],[VENCE ]]="","",E106+F106)</f>
        <v>45590</v>
      </c>
      <c r="H106" s="183" t="str">
        <f t="shared" ca="1" si="6"/>
        <v>Faltan 25845590</v>
      </c>
      <c r="I106" s="184">
        <f t="shared" ca="1" si="7"/>
        <v>258</v>
      </c>
      <c r="J106" s="188" t="s">
        <v>200</v>
      </c>
      <c r="K106" s="183"/>
      <c r="L106" s="185"/>
    </row>
    <row r="107" spans="1:12">
      <c r="A107" s="177" t="s">
        <v>235</v>
      </c>
      <c r="B107" s="178" t="s">
        <v>261</v>
      </c>
      <c r="C107" s="187" t="s">
        <v>262</v>
      </c>
      <c r="D107" s="179"/>
      <c r="E107" s="180">
        <v>44860</v>
      </c>
      <c r="F107" s="181">
        <v>730</v>
      </c>
      <c r="G107" s="182">
        <f>IF(Tabla32[[#This Row],[VENCE ]]="","",E107+F107)</f>
        <v>45590</v>
      </c>
      <c r="H107" s="183" t="str">
        <f t="shared" ca="1" si="6"/>
        <v>Faltan 25845590</v>
      </c>
      <c r="I107" s="184">
        <f t="shared" ca="1" si="7"/>
        <v>258</v>
      </c>
      <c r="J107" s="188" t="s">
        <v>23</v>
      </c>
      <c r="K107" s="183"/>
      <c r="L107" s="185"/>
    </row>
    <row r="108" spans="1:12">
      <c r="A108" s="177" t="s">
        <v>235</v>
      </c>
      <c r="B108" s="178" t="s">
        <v>263</v>
      </c>
      <c r="C108" s="178" t="s">
        <v>264</v>
      </c>
      <c r="D108" s="180">
        <v>44860</v>
      </c>
      <c r="E108" s="194">
        <v>44860</v>
      </c>
      <c r="F108" s="181">
        <v>730</v>
      </c>
      <c r="G108" s="182">
        <f>IF(Tabla32[[#This Row],[VENCE ]]="","",E108+F108)</f>
        <v>45590</v>
      </c>
      <c r="H108" s="183" t="str">
        <f t="shared" ca="1" si="6"/>
        <v>Faltan 25845590</v>
      </c>
      <c r="I108" s="184">
        <f t="shared" ca="1" si="7"/>
        <v>258</v>
      </c>
      <c r="J108" s="188" t="s">
        <v>265</v>
      </c>
      <c r="K108" s="183"/>
      <c r="L108" s="185"/>
    </row>
    <row r="109" spans="1:12">
      <c r="A109" s="177" t="s">
        <v>172</v>
      </c>
      <c r="B109" s="187" t="s">
        <v>177</v>
      </c>
      <c r="C109" s="187" t="s">
        <v>178</v>
      </c>
      <c r="D109" s="180">
        <v>44866</v>
      </c>
      <c r="E109" s="180">
        <v>44862</v>
      </c>
      <c r="F109" s="181">
        <v>730</v>
      </c>
      <c r="G109" s="182">
        <f>IF(Tabla32[[#This Row],[VENCE ]]="","",E109+F109)</f>
        <v>45592</v>
      </c>
      <c r="H109" s="183" t="str">
        <f t="shared" ca="1" si="6"/>
        <v>Faltan 26045592</v>
      </c>
      <c r="I109" s="184">
        <f t="shared" ca="1" si="7"/>
        <v>260</v>
      </c>
      <c r="J109" s="188" t="s">
        <v>179</v>
      </c>
      <c r="K109" s="183"/>
      <c r="L109" s="185"/>
    </row>
    <row r="110" spans="1:12">
      <c r="A110" s="177" t="s">
        <v>13</v>
      </c>
      <c r="B110" s="178" t="s">
        <v>33</v>
      </c>
      <c r="C110" s="178" t="s">
        <v>34</v>
      </c>
      <c r="D110" s="180">
        <v>44866</v>
      </c>
      <c r="E110" s="180">
        <v>44865</v>
      </c>
      <c r="F110" s="181">
        <v>730</v>
      </c>
      <c r="G110" s="182">
        <f>IF(Tabla32[[#This Row],[VENCE ]]="","",E110+F110)</f>
        <v>45595</v>
      </c>
      <c r="H110" s="183" t="str">
        <f t="shared" ca="1" si="6"/>
        <v>Faltan 26345595</v>
      </c>
      <c r="I110" s="184">
        <f t="shared" ca="1" si="7"/>
        <v>263</v>
      </c>
      <c r="J110" s="188" t="s">
        <v>35</v>
      </c>
      <c r="K110" s="183" t="s">
        <v>36</v>
      </c>
      <c r="L110" s="185" t="s">
        <v>37</v>
      </c>
    </row>
    <row r="111" spans="1:12">
      <c r="A111" s="177" t="s">
        <v>96</v>
      </c>
      <c r="B111" s="178" t="s">
        <v>126</v>
      </c>
      <c r="C111" s="178" t="s">
        <v>127</v>
      </c>
      <c r="D111" s="180">
        <v>44866</v>
      </c>
      <c r="E111" s="180">
        <v>44865</v>
      </c>
      <c r="F111" s="181">
        <v>730</v>
      </c>
      <c r="G111" s="182">
        <f>IF(Tabla32[[#This Row],[VENCE ]]="","",E111+F111)</f>
        <v>45595</v>
      </c>
      <c r="H111" s="183" t="str">
        <f t="shared" ca="1" si="6"/>
        <v>Faltan 26345595</v>
      </c>
      <c r="I111" s="184">
        <f t="shared" ca="1" si="7"/>
        <v>263</v>
      </c>
      <c r="J111" s="188" t="s">
        <v>128</v>
      </c>
      <c r="K111" s="183"/>
      <c r="L111" s="185"/>
    </row>
    <row r="112" spans="1:12">
      <c r="A112" s="177" t="s">
        <v>172</v>
      </c>
      <c r="B112" s="187" t="s">
        <v>182</v>
      </c>
      <c r="C112" s="187" t="s">
        <v>183</v>
      </c>
      <c r="D112" s="180">
        <v>44866</v>
      </c>
      <c r="E112" s="180">
        <v>44866</v>
      </c>
      <c r="F112" s="181">
        <v>730</v>
      </c>
      <c r="G112" s="182">
        <f>IF(Tabla32[[#This Row],[VENCE ]]="","",E112+F112)</f>
        <v>45596</v>
      </c>
      <c r="H112" s="183" t="str">
        <f t="shared" ca="1" si="6"/>
        <v>Faltan 26445596</v>
      </c>
      <c r="I112" s="184">
        <f t="shared" ca="1" si="7"/>
        <v>264</v>
      </c>
      <c r="J112" s="188" t="s">
        <v>184</v>
      </c>
      <c r="K112" s="183"/>
      <c r="L112" s="185"/>
    </row>
    <row r="113" spans="1:12">
      <c r="A113" s="177" t="s">
        <v>13</v>
      </c>
      <c r="B113" s="186" t="s">
        <v>47</v>
      </c>
      <c r="C113" s="186" t="s">
        <v>48</v>
      </c>
      <c r="D113" s="180">
        <v>44868</v>
      </c>
      <c r="E113" s="180">
        <v>44867</v>
      </c>
      <c r="F113" s="181">
        <v>730</v>
      </c>
      <c r="G113" s="182">
        <f>IF(Tabla32[[#This Row],[VENCE ]]="","",E113+F113)</f>
        <v>45597</v>
      </c>
      <c r="H113" s="183" t="str">
        <f t="shared" ca="1" si="6"/>
        <v>Faltan 26545597</v>
      </c>
      <c r="I113" s="184">
        <f t="shared" ca="1" si="7"/>
        <v>265</v>
      </c>
      <c r="J113" s="188" t="s">
        <v>49</v>
      </c>
      <c r="K113" s="183"/>
      <c r="L113" s="185"/>
    </row>
    <row r="114" spans="1:12">
      <c r="A114" s="177" t="s">
        <v>13</v>
      </c>
      <c r="B114" s="178" t="s">
        <v>59</v>
      </c>
      <c r="C114" s="178" t="s">
        <v>60</v>
      </c>
      <c r="D114" s="179"/>
      <c r="E114" s="180">
        <v>44867</v>
      </c>
      <c r="F114" s="181">
        <v>730</v>
      </c>
      <c r="G114" s="182">
        <f>IF(Tabla32[[#This Row],[VENCE ]]="","",E114+F114)</f>
        <v>45597</v>
      </c>
      <c r="H114" s="183" t="str">
        <f t="shared" ca="1" si="6"/>
        <v>Faltan 26545597</v>
      </c>
      <c r="I114" s="184">
        <f t="shared" ca="1" si="7"/>
        <v>265</v>
      </c>
      <c r="J114" s="188" t="s">
        <v>61</v>
      </c>
      <c r="K114" s="183"/>
      <c r="L114" s="185"/>
    </row>
    <row r="115" spans="1:12">
      <c r="A115" s="177" t="s">
        <v>172</v>
      </c>
      <c r="B115" s="187" t="s">
        <v>185</v>
      </c>
      <c r="C115" s="187" t="s">
        <v>186</v>
      </c>
      <c r="D115" s="180">
        <v>44868</v>
      </c>
      <c r="E115" s="182">
        <v>44868</v>
      </c>
      <c r="F115" s="181">
        <v>730</v>
      </c>
      <c r="G115" s="182">
        <f>IF(Tabla32[[#This Row],[VENCE ]]="","",E115+F115)</f>
        <v>45598</v>
      </c>
      <c r="H115" s="183" t="str">
        <f t="shared" ca="1" si="6"/>
        <v>Faltan 26645598</v>
      </c>
      <c r="I115" s="184">
        <f t="shared" ca="1" si="7"/>
        <v>266</v>
      </c>
      <c r="J115" s="188" t="s">
        <v>187</v>
      </c>
      <c r="K115" s="183"/>
      <c r="L115" s="185"/>
    </row>
    <row r="116" spans="1:12">
      <c r="A116" s="177" t="s">
        <v>13</v>
      </c>
      <c r="B116" s="178" t="s">
        <v>56</v>
      </c>
      <c r="C116" s="178" t="s">
        <v>57</v>
      </c>
      <c r="D116" s="180">
        <v>44869</v>
      </c>
      <c r="E116" s="180">
        <v>44869</v>
      </c>
      <c r="F116" s="181">
        <v>730</v>
      </c>
      <c r="G116" s="182">
        <f>IF(Tabla32[[#This Row],[VENCE ]]="","",E116+F116)</f>
        <v>45599</v>
      </c>
      <c r="H116" s="183" t="str">
        <f t="shared" ca="1" si="6"/>
        <v>Faltan 26745599</v>
      </c>
      <c r="I116" s="184">
        <f t="shared" ca="1" si="7"/>
        <v>267</v>
      </c>
      <c r="J116" s="188" t="s">
        <v>58</v>
      </c>
      <c r="K116" s="183"/>
      <c r="L116" s="185"/>
    </row>
    <row r="117" spans="1:12">
      <c r="A117" s="177" t="s">
        <v>96</v>
      </c>
      <c r="B117" s="178" t="s">
        <v>148</v>
      </c>
      <c r="C117" s="187" t="s">
        <v>149</v>
      </c>
      <c r="D117" s="179"/>
      <c r="E117" s="180">
        <v>44873</v>
      </c>
      <c r="F117" s="181">
        <v>730</v>
      </c>
      <c r="G117" s="182">
        <f>IF(Tabla32[[#This Row],[VENCE ]]="","",E117+F117)</f>
        <v>45603</v>
      </c>
      <c r="H117" s="183" t="str">
        <f t="shared" ca="1" si="6"/>
        <v>Faltan 27145603</v>
      </c>
      <c r="I117" s="184">
        <f t="shared" ca="1" si="7"/>
        <v>271</v>
      </c>
      <c r="J117" s="188" t="s">
        <v>23</v>
      </c>
      <c r="K117" s="183"/>
      <c r="L117" s="185"/>
    </row>
    <row r="118" spans="1:12">
      <c r="A118" s="177" t="s">
        <v>13</v>
      </c>
      <c r="B118" s="186" t="s">
        <v>50</v>
      </c>
      <c r="C118" s="186" t="s">
        <v>51</v>
      </c>
      <c r="D118" s="179"/>
      <c r="E118" s="180">
        <v>44874</v>
      </c>
      <c r="F118" s="181">
        <v>730</v>
      </c>
      <c r="G118" s="182">
        <f>IF(Tabla32[[#This Row],[VENCE ]]="","",E118+F118)</f>
        <v>45604</v>
      </c>
      <c r="H118" s="183" t="str">
        <f t="shared" ca="1" si="6"/>
        <v>Faltan 27245604</v>
      </c>
      <c r="I118" s="184">
        <f t="shared" ca="1" si="7"/>
        <v>272</v>
      </c>
      <c r="J118" s="188" t="s">
        <v>52</v>
      </c>
      <c r="K118" s="183"/>
      <c r="L118" s="185"/>
    </row>
    <row r="119" spans="1:12">
      <c r="A119" s="177" t="s">
        <v>13</v>
      </c>
      <c r="B119" s="186" t="s">
        <v>53</v>
      </c>
      <c r="C119" s="187"/>
      <c r="D119" s="179"/>
      <c r="E119" s="180">
        <v>44876</v>
      </c>
      <c r="F119" s="181">
        <v>730</v>
      </c>
      <c r="G119" s="182">
        <f>IF(Tabla32[[#This Row],[VENCE ]]="","",E119+F119)</f>
        <v>45606</v>
      </c>
      <c r="H119" s="183" t="str">
        <f t="shared" ca="1" si="6"/>
        <v>Faltan 27445606</v>
      </c>
      <c r="I119" s="184">
        <f t="shared" ca="1" si="7"/>
        <v>274</v>
      </c>
      <c r="J119" s="188" t="s">
        <v>55</v>
      </c>
      <c r="K119" s="183"/>
      <c r="L119" s="185"/>
    </row>
    <row r="120" spans="1:12">
      <c r="A120" s="177" t="s">
        <v>305</v>
      </c>
      <c r="B120" s="178" t="s">
        <v>314</v>
      </c>
      <c r="C120" s="178" t="s">
        <v>315</v>
      </c>
      <c r="D120" s="179"/>
      <c r="E120" s="180">
        <v>44876</v>
      </c>
      <c r="F120" s="181">
        <v>730</v>
      </c>
      <c r="G120" s="182">
        <f>IF(Tabla32[[#This Row],[VENCE ]]="","",E120+F120)</f>
        <v>45606</v>
      </c>
      <c r="H120" s="183" t="str">
        <f t="shared" ca="1" si="6"/>
        <v>Faltan 27445606</v>
      </c>
      <c r="I120" s="184">
        <f t="shared" ca="1" si="7"/>
        <v>274</v>
      </c>
      <c r="J120" s="188" t="s">
        <v>316</v>
      </c>
      <c r="K120" s="180"/>
      <c r="L120" s="192"/>
    </row>
    <row r="121" spans="1:12">
      <c r="A121" s="177" t="s">
        <v>235</v>
      </c>
      <c r="B121" s="178" t="s">
        <v>303</v>
      </c>
      <c r="C121" s="178" t="s">
        <v>304</v>
      </c>
      <c r="D121" s="179"/>
      <c r="E121" s="194">
        <v>44880</v>
      </c>
      <c r="F121" s="181">
        <v>730</v>
      </c>
      <c r="G121" s="182">
        <f>IF(Tabla32[[#This Row],[VENCE ]]="","",E121+F121)</f>
        <v>45610</v>
      </c>
      <c r="H121" s="183" t="str">
        <f t="shared" ca="1" si="6"/>
        <v>Faltan 27845610</v>
      </c>
      <c r="I121" s="184">
        <f t="shared" ca="1" si="7"/>
        <v>278</v>
      </c>
      <c r="J121" s="188" t="s">
        <v>296</v>
      </c>
      <c r="K121" s="183"/>
      <c r="L121" s="185"/>
    </row>
    <row r="122" spans="1:12">
      <c r="A122" s="177" t="s">
        <v>305</v>
      </c>
      <c r="B122" s="187" t="s">
        <v>324</v>
      </c>
      <c r="C122" s="187" t="s">
        <v>325</v>
      </c>
      <c r="D122" s="179"/>
      <c r="E122" s="182">
        <v>44881</v>
      </c>
      <c r="F122" s="181">
        <v>730</v>
      </c>
      <c r="G122" s="182">
        <f>IF(Tabla32[[#This Row],[VENCE ]]="","",E122+F122)</f>
        <v>45611</v>
      </c>
      <c r="H122" s="183" t="str">
        <f t="shared" ca="1" si="6"/>
        <v>Faltan 27945611</v>
      </c>
      <c r="I122" s="184">
        <f t="shared" ca="1" si="7"/>
        <v>279</v>
      </c>
      <c r="J122" s="188" t="s">
        <v>23</v>
      </c>
      <c r="K122" s="183"/>
      <c r="L122" s="185"/>
    </row>
    <row r="123" spans="1:12">
      <c r="A123" s="177" t="s">
        <v>235</v>
      </c>
      <c r="B123" s="178" t="s">
        <v>297</v>
      </c>
      <c r="C123" s="178" t="s">
        <v>298</v>
      </c>
      <c r="D123" s="179"/>
      <c r="E123" s="194">
        <v>44882</v>
      </c>
      <c r="F123" s="181">
        <v>730</v>
      </c>
      <c r="G123" s="182">
        <f>IF(Tabla32[[#This Row],[VENCE ]]="","",E123+F123)</f>
        <v>45612</v>
      </c>
      <c r="H123" s="183" t="str">
        <f t="shared" ca="1" si="6"/>
        <v>Faltan 28045612</v>
      </c>
      <c r="I123" s="184">
        <f t="shared" ca="1" si="7"/>
        <v>280</v>
      </c>
      <c r="J123" s="188" t="s">
        <v>111</v>
      </c>
      <c r="K123" s="183"/>
      <c r="L123" s="185"/>
    </row>
    <row r="124" spans="1:12">
      <c r="A124" s="177" t="s">
        <v>305</v>
      </c>
      <c r="B124" s="178" t="s">
        <v>370</v>
      </c>
      <c r="C124" s="178" t="s">
        <v>371</v>
      </c>
      <c r="D124" s="181"/>
      <c r="E124" s="182">
        <v>44883</v>
      </c>
      <c r="F124" s="181">
        <v>730</v>
      </c>
      <c r="G124" s="182">
        <f>IF(Tabla32[[#This Row],[VENCE ]]="","",E124+F124)</f>
        <v>45613</v>
      </c>
      <c r="H124" s="183" t="str">
        <f t="shared" ca="1" si="6"/>
        <v>Faltan 28145613</v>
      </c>
      <c r="I124" s="184">
        <f t="shared" ca="1" si="7"/>
        <v>281</v>
      </c>
      <c r="J124" s="188" t="s">
        <v>23</v>
      </c>
      <c r="K124" s="183"/>
      <c r="L124" s="185"/>
    </row>
    <row r="125" spans="1:12">
      <c r="A125" s="177" t="s">
        <v>235</v>
      </c>
      <c r="B125" s="187" t="s">
        <v>236</v>
      </c>
      <c r="C125" s="187" t="s">
        <v>237</v>
      </c>
      <c r="D125" s="180"/>
      <c r="E125" s="180">
        <v>44886</v>
      </c>
      <c r="F125" s="181">
        <v>730</v>
      </c>
      <c r="G125" s="182">
        <f>IF(Tabla32[[#This Row],[VENCE ]]="","",E125+F125)</f>
        <v>45616</v>
      </c>
      <c r="H125" s="183" t="str">
        <f t="shared" ca="1" si="6"/>
        <v>Faltan 28445616</v>
      </c>
      <c r="I125" s="184">
        <f t="shared" ca="1" si="7"/>
        <v>284</v>
      </c>
      <c r="J125" s="188" t="s">
        <v>232</v>
      </c>
      <c r="K125" s="183"/>
      <c r="L125" s="185"/>
    </row>
    <row r="126" spans="1:12">
      <c r="A126" s="177" t="s">
        <v>235</v>
      </c>
      <c r="B126" s="178" t="s">
        <v>254</v>
      </c>
      <c r="C126" s="178" t="s">
        <v>255</v>
      </c>
      <c r="D126" s="179"/>
      <c r="E126" s="180">
        <v>44890</v>
      </c>
      <c r="F126" s="181">
        <v>730</v>
      </c>
      <c r="G126" s="182">
        <f>IF(Tabla32[[#This Row],[VENCE ]]="","",E126+F126)</f>
        <v>45620</v>
      </c>
      <c r="H126" s="183" t="str">
        <f t="shared" ca="1" si="6"/>
        <v>Faltan 28845620</v>
      </c>
      <c r="I126" s="184">
        <f t="shared" ca="1" si="7"/>
        <v>288</v>
      </c>
      <c r="J126" s="188" t="s">
        <v>23</v>
      </c>
      <c r="K126" s="180"/>
      <c r="L126" s="185"/>
    </row>
    <row r="127" spans="1:12">
      <c r="A127" s="177" t="s">
        <v>235</v>
      </c>
      <c r="B127" s="178" t="s">
        <v>299</v>
      </c>
      <c r="C127" s="178" t="s">
        <v>300</v>
      </c>
      <c r="D127" s="179"/>
      <c r="E127" s="194">
        <v>44890</v>
      </c>
      <c r="F127" s="181">
        <v>730</v>
      </c>
      <c r="G127" s="182">
        <f>IF(Tabla32[[#This Row],[VENCE ]]="","",E127+F127)</f>
        <v>45620</v>
      </c>
      <c r="H127" s="183" t="str">
        <f t="shared" ca="1" si="6"/>
        <v>Faltan 28845620</v>
      </c>
      <c r="I127" s="184">
        <f t="shared" ca="1" si="7"/>
        <v>288</v>
      </c>
      <c r="J127" s="188" t="s">
        <v>296</v>
      </c>
      <c r="K127" s="183"/>
      <c r="L127" s="185"/>
    </row>
    <row r="128" spans="1:12">
      <c r="A128" s="177" t="s">
        <v>96</v>
      </c>
      <c r="B128" s="187" t="s">
        <v>107</v>
      </c>
      <c r="C128" s="187" t="s">
        <v>108</v>
      </c>
      <c r="D128" s="179"/>
      <c r="E128" s="180">
        <v>44895</v>
      </c>
      <c r="F128" s="181">
        <v>730</v>
      </c>
      <c r="G128" s="182">
        <f>IF(Tabla32[[#This Row],[VENCE ]]="","",E128+F128)</f>
        <v>45625</v>
      </c>
      <c r="H128" s="183" t="str">
        <f t="shared" ca="1" si="6"/>
        <v>Faltan 29345625</v>
      </c>
      <c r="I128" s="184">
        <f t="shared" ca="1" si="7"/>
        <v>293</v>
      </c>
      <c r="J128" s="188" t="s">
        <v>95</v>
      </c>
      <c r="K128" s="183"/>
      <c r="L128" s="185"/>
    </row>
    <row r="129" spans="1:12">
      <c r="A129" s="177" t="s">
        <v>172</v>
      </c>
      <c r="B129" s="187" t="s">
        <v>216</v>
      </c>
      <c r="C129" s="187" t="s">
        <v>217</v>
      </c>
      <c r="D129" s="179"/>
      <c r="E129" s="180">
        <v>44902</v>
      </c>
      <c r="F129" s="181">
        <v>730</v>
      </c>
      <c r="G129" s="182">
        <f>IF(Tabla32[[#This Row],[VENCE ]]="","",E129+F129)</f>
        <v>45632</v>
      </c>
      <c r="H129" s="183" t="str">
        <f t="shared" ca="1" si="6"/>
        <v>Faltan 30045632</v>
      </c>
      <c r="I129" s="184">
        <f t="shared" ca="1" si="7"/>
        <v>300</v>
      </c>
      <c r="J129" s="188" t="s">
        <v>64</v>
      </c>
      <c r="K129" s="183"/>
      <c r="L129" s="185"/>
    </row>
    <row r="130" spans="1:12">
      <c r="A130" s="177" t="s">
        <v>13</v>
      </c>
      <c r="B130" s="178" t="s">
        <v>21</v>
      </c>
      <c r="C130" s="178" t="s">
        <v>22</v>
      </c>
      <c r="D130" s="179"/>
      <c r="E130" s="180">
        <v>44904</v>
      </c>
      <c r="F130" s="181">
        <v>730</v>
      </c>
      <c r="G130" s="182">
        <f>IF(Tabla32[[#This Row],[VENCE ]]="","",E130+F130)</f>
        <v>45634</v>
      </c>
      <c r="H130" s="183" t="str">
        <f t="shared" ca="1" si="6"/>
        <v>Faltan 30245634</v>
      </c>
      <c r="I130" s="184">
        <f t="shared" ca="1" si="7"/>
        <v>302</v>
      </c>
      <c r="J130" s="188" t="s">
        <v>23</v>
      </c>
      <c r="K130" s="183"/>
      <c r="L130" s="185"/>
    </row>
    <row r="131" spans="1:12">
      <c r="A131" s="177" t="s">
        <v>235</v>
      </c>
      <c r="B131" s="187" t="s">
        <v>238</v>
      </c>
      <c r="C131" s="187" t="s">
        <v>239</v>
      </c>
      <c r="D131" s="179"/>
      <c r="E131" s="180">
        <v>44907</v>
      </c>
      <c r="F131" s="181">
        <v>730</v>
      </c>
      <c r="G131" s="182">
        <f>IF(Tabla32[[#This Row],[VENCE ]]="","",E131+F131)</f>
        <v>45637</v>
      </c>
      <c r="H131" s="183" t="str">
        <f t="shared" ca="1" si="6"/>
        <v>Faltan 30545637</v>
      </c>
      <c r="I131" s="184">
        <f t="shared" ca="1" si="7"/>
        <v>305</v>
      </c>
      <c r="J131" s="188" t="s">
        <v>111</v>
      </c>
      <c r="K131" s="183"/>
      <c r="L131" s="185"/>
    </row>
    <row r="132" spans="1:12">
      <c r="A132" s="177" t="s">
        <v>13</v>
      </c>
      <c r="B132" s="178" t="s">
        <v>87</v>
      </c>
      <c r="C132" s="178" t="s">
        <v>88</v>
      </c>
      <c r="D132" s="179"/>
      <c r="E132" s="180">
        <v>44910</v>
      </c>
      <c r="F132" s="181">
        <v>730</v>
      </c>
      <c r="G132" s="182">
        <f>IF(Tabla32[[#This Row],[VENCE ]]="","",E132+F132)</f>
        <v>45640</v>
      </c>
      <c r="H132" s="183" t="str">
        <f t="shared" ref="H132:H145" ca="1" si="8">IF(G132="","VACIO",IF(I132&lt;0,"Vencido hace "&amp;I132*-1&amp;" dias",IF(I132=0,"Vencido Hoy",IF(I132&lt;8,"Tiene "&amp; I132 &amp;" dias","Faltan "&amp;I132&amp;G132))))</f>
        <v>Faltan 30845640</v>
      </c>
      <c r="I132" s="184">
        <f t="shared" ref="I132:I145" ca="1" si="9">G132-$A$2</f>
        <v>308</v>
      </c>
      <c r="J132" s="188" t="s">
        <v>89</v>
      </c>
      <c r="K132" s="183"/>
      <c r="L132" s="185"/>
    </row>
    <row r="133" spans="1:12">
      <c r="A133" s="177" t="s">
        <v>305</v>
      </c>
      <c r="B133" s="187" t="s">
        <v>321</v>
      </c>
      <c r="C133" s="187" t="s">
        <v>322</v>
      </c>
      <c r="D133" s="179"/>
      <c r="E133" s="182">
        <v>44914</v>
      </c>
      <c r="F133" s="181">
        <v>730</v>
      </c>
      <c r="G133" s="182">
        <f>IF(Tabla32[[#This Row],[VENCE ]]="","",E133+F133)</f>
        <v>45644</v>
      </c>
      <c r="H133" s="183" t="str">
        <f t="shared" ca="1" si="8"/>
        <v>Faltan 31245644</v>
      </c>
      <c r="I133" s="184">
        <f t="shared" ca="1" si="9"/>
        <v>312</v>
      </c>
      <c r="J133" s="188" t="s">
        <v>323</v>
      </c>
      <c r="K133" s="183"/>
      <c r="L133" s="185"/>
    </row>
    <row r="134" spans="1:12">
      <c r="A134" s="177" t="s">
        <v>305</v>
      </c>
      <c r="B134" s="187" t="s">
        <v>326</v>
      </c>
      <c r="C134" s="187" t="s">
        <v>327</v>
      </c>
      <c r="D134" s="179"/>
      <c r="E134" s="180">
        <v>44942</v>
      </c>
      <c r="F134" s="181">
        <v>730</v>
      </c>
      <c r="G134" s="182">
        <f>IF(Tabla32[[#This Row],[VENCE ]]="","",E134+F134)</f>
        <v>45672</v>
      </c>
      <c r="H134" s="183" t="str">
        <f t="shared" ca="1" si="8"/>
        <v>Faltan 34045672</v>
      </c>
      <c r="I134" s="184">
        <f t="shared" ca="1" si="9"/>
        <v>340</v>
      </c>
      <c r="J134" s="188" t="s">
        <v>296</v>
      </c>
      <c r="K134" s="180"/>
      <c r="L134" s="185"/>
    </row>
    <row r="135" spans="1:12">
      <c r="A135" s="177" t="s">
        <v>235</v>
      </c>
      <c r="B135" s="187" t="s">
        <v>252</v>
      </c>
      <c r="C135" s="187" t="s">
        <v>253</v>
      </c>
      <c r="D135" s="181"/>
      <c r="E135" s="182">
        <v>44943</v>
      </c>
      <c r="F135" s="181">
        <v>730</v>
      </c>
      <c r="G135" s="182">
        <f>IF(Tabla32[[#This Row],[VENCE ]]="","",E135+F135)</f>
        <v>45673</v>
      </c>
      <c r="H135" s="183" t="str">
        <f t="shared" ca="1" si="8"/>
        <v>Faltan 34145673</v>
      </c>
      <c r="I135" s="184">
        <f t="shared" ca="1" si="9"/>
        <v>341</v>
      </c>
      <c r="J135" s="188" t="s">
        <v>2377</v>
      </c>
      <c r="K135" s="183"/>
      <c r="L135" s="185"/>
    </row>
    <row r="136" spans="1:12">
      <c r="A136" s="177" t="s">
        <v>13</v>
      </c>
      <c r="B136" s="178" t="s">
        <v>73</v>
      </c>
      <c r="C136" s="178" t="s">
        <v>74</v>
      </c>
      <c r="D136" s="179"/>
      <c r="E136" s="180">
        <v>44957</v>
      </c>
      <c r="F136" s="181">
        <v>730</v>
      </c>
      <c r="G136" s="182">
        <f>IF(Tabla32[[#This Row],[VENCE ]]="","",E136+F136)</f>
        <v>45687</v>
      </c>
      <c r="H136" s="183" t="str">
        <f t="shared" ca="1" si="8"/>
        <v>Faltan 35545687</v>
      </c>
      <c r="I136" s="184">
        <f t="shared" ca="1" si="9"/>
        <v>355</v>
      </c>
      <c r="J136" s="188" t="s">
        <v>2419</v>
      </c>
      <c r="K136" s="183"/>
      <c r="L136" s="185"/>
    </row>
    <row r="137" spans="1:12">
      <c r="A137" s="177" t="s">
        <v>13</v>
      </c>
      <c r="B137" s="178" t="s">
        <v>70</v>
      </c>
      <c r="C137" s="187" t="s">
        <v>71</v>
      </c>
      <c r="D137" s="179"/>
      <c r="E137" s="180">
        <v>44957</v>
      </c>
      <c r="F137" s="181">
        <v>730</v>
      </c>
      <c r="G137" s="182">
        <f>IF(Tabla32[[#This Row],[VENCE ]]="","",E137+F137)</f>
        <v>45687</v>
      </c>
      <c r="H137" s="183" t="str">
        <f t="shared" ca="1" si="8"/>
        <v>Faltan 35545687</v>
      </c>
      <c r="I137" s="184">
        <f t="shared" ca="1" si="9"/>
        <v>355</v>
      </c>
      <c r="J137" s="188" t="s">
        <v>2370</v>
      </c>
      <c r="K137" s="183"/>
      <c r="L137" s="185"/>
    </row>
    <row r="138" spans="1:12">
      <c r="A138" s="177" t="s">
        <v>13</v>
      </c>
      <c r="B138" s="186" t="s">
        <v>82</v>
      </c>
      <c r="C138" s="186" t="s">
        <v>83</v>
      </c>
      <c r="D138" s="179"/>
      <c r="E138" s="180">
        <v>44959</v>
      </c>
      <c r="F138" s="181">
        <v>730</v>
      </c>
      <c r="G138" s="182">
        <f>IF(Tabla32[[#This Row],[VENCE ]]="","",E138+F138)</f>
        <v>45689</v>
      </c>
      <c r="H138" s="183" t="str">
        <f t="shared" ca="1" si="8"/>
        <v>Faltan 35745689</v>
      </c>
      <c r="I138" s="184">
        <f t="shared" ca="1" si="9"/>
        <v>357</v>
      </c>
      <c r="J138" s="188" t="s">
        <v>426</v>
      </c>
      <c r="K138" s="183"/>
      <c r="L138" s="185"/>
    </row>
    <row r="139" spans="1:12">
      <c r="A139" s="177" t="s">
        <v>96</v>
      </c>
      <c r="B139" s="178" t="s">
        <v>97</v>
      </c>
      <c r="C139" s="178" t="s">
        <v>98</v>
      </c>
      <c r="D139" s="179"/>
      <c r="E139" s="180">
        <v>44963</v>
      </c>
      <c r="F139" s="181">
        <v>730</v>
      </c>
      <c r="G139" s="182">
        <f>IF(Tabla32[[#This Row],[VENCE ]]="","",E139+F139)</f>
        <v>45693</v>
      </c>
      <c r="H139" s="183" t="str">
        <f t="shared" ca="1" si="8"/>
        <v>Faltan 36145693</v>
      </c>
      <c r="I139" s="184">
        <f t="shared" ca="1" si="9"/>
        <v>361</v>
      </c>
      <c r="J139" s="188" t="s">
        <v>2371</v>
      </c>
      <c r="K139" s="183"/>
      <c r="L139" s="185"/>
    </row>
    <row r="140" spans="1:12">
      <c r="A140" s="177" t="s">
        <v>13</v>
      </c>
      <c r="B140" s="186" t="s">
        <v>75</v>
      </c>
      <c r="C140" s="186" t="s">
        <v>76</v>
      </c>
      <c r="D140" s="179"/>
      <c r="E140" s="180">
        <v>44967</v>
      </c>
      <c r="F140" s="181">
        <v>730</v>
      </c>
      <c r="G140" s="182">
        <f>IF(Tabla32[[#This Row],[VENCE ]]="","",E140+F140)</f>
        <v>45697</v>
      </c>
      <c r="H140" s="183" t="str">
        <f t="shared" ca="1" si="8"/>
        <v>Faltan 36545697</v>
      </c>
      <c r="I140" s="184">
        <f t="shared" ca="1" si="9"/>
        <v>365</v>
      </c>
      <c r="J140" s="188" t="s">
        <v>224</v>
      </c>
      <c r="K140" s="183"/>
      <c r="L140" s="185"/>
    </row>
    <row r="141" spans="1:12">
      <c r="A141" s="177" t="s">
        <v>96</v>
      </c>
      <c r="B141" s="178" t="s">
        <v>170</v>
      </c>
      <c r="C141" s="187" t="s">
        <v>171</v>
      </c>
      <c r="D141" s="179"/>
      <c r="E141" s="180">
        <v>44980</v>
      </c>
      <c r="F141" s="181">
        <v>730</v>
      </c>
      <c r="G141" s="182">
        <f>IF(Tabla32[[#This Row],[VENCE ]]="","",E141+F141)</f>
        <v>45710</v>
      </c>
      <c r="H141" s="183" t="str">
        <f t="shared" ca="1" si="8"/>
        <v>Faltan 37845710</v>
      </c>
      <c r="I141" s="184">
        <f t="shared" ca="1" si="9"/>
        <v>378</v>
      </c>
      <c r="J141" s="188" t="s">
        <v>2405</v>
      </c>
      <c r="K141" s="183"/>
      <c r="L141" s="185"/>
    </row>
    <row r="142" spans="1:12">
      <c r="A142" s="177" t="s">
        <v>96</v>
      </c>
      <c r="B142" s="178" t="s">
        <v>99</v>
      </c>
      <c r="C142" s="178" t="s">
        <v>100</v>
      </c>
      <c r="D142" s="179"/>
      <c r="E142" s="180">
        <v>44995</v>
      </c>
      <c r="F142" s="181">
        <v>730</v>
      </c>
      <c r="G142" s="182">
        <f>IF(Tabla32[[#This Row],[VENCE ]]="","",E142+F142)</f>
        <v>45725</v>
      </c>
      <c r="H142" s="183" t="str">
        <f t="shared" ca="1" si="8"/>
        <v>Faltan 39345725</v>
      </c>
      <c r="I142" s="184">
        <f t="shared" ca="1" si="9"/>
        <v>393</v>
      </c>
      <c r="J142" s="188" t="s">
        <v>2403</v>
      </c>
      <c r="K142" s="183"/>
      <c r="L142" s="185"/>
    </row>
    <row r="143" spans="1:12">
      <c r="A143" s="177" t="s">
        <v>13</v>
      </c>
      <c r="B143" s="178" t="s">
        <v>14</v>
      </c>
      <c r="C143" s="178" t="s">
        <v>15</v>
      </c>
      <c r="D143" s="179"/>
      <c r="E143" s="180">
        <v>45008</v>
      </c>
      <c r="F143" s="181">
        <v>730</v>
      </c>
      <c r="G143" s="182">
        <f>IF(Tabla32[[#This Row],[VENCE ]]="","",E143+F143)</f>
        <v>45738</v>
      </c>
      <c r="H143" s="183" t="str">
        <f t="shared" ca="1" si="8"/>
        <v>Faltan 40645738</v>
      </c>
      <c r="I143" s="184">
        <f t="shared" ca="1" si="9"/>
        <v>406</v>
      </c>
      <c r="J143" s="188" t="s">
        <v>316</v>
      </c>
      <c r="K143" s="183"/>
      <c r="L143" s="185"/>
    </row>
    <row r="144" spans="1:12">
      <c r="A144" s="177" t="s">
        <v>13</v>
      </c>
      <c r="B144" s="178" t="s">
        <v>93</v>
      </c>
      <c r="C144" s="187" t="s">
        <v>94</v>
      </c>
      <c r="D144" s="179"/>
      <c r="E144" s="180">
        <v>45027</v>
      </c>
      <c r="F144" s="181">
        <v>730</v>
      </c>
      <c r="G144" s="182">
        <f>IF(Tabla32[[#This Row],[VENCE ]]="","",E144+F144)</f>
        <v>45757</v>
      </c>
      <c r="H144" s="183" t="str">
        <f t="shared" ca="1" si="8"/>
        <v>Faltan 42545757</v>
      </c>
      <c r="I144" s="184">
        <f t="shared" ca="1" si="9"/>
        <v>425</v>
      </c>
      <c r="J144" s="188" t="s">
        <v>2417</v>
      </c>
      <c r="K144" s="183"/>
      <c r="L144" s="185"/>
    </row>
    <row r="145" spans="1:12">
      <c r="A145" s="198" t="s">
        <v>13</v>
      </c>
      <c r="B145" s="271" t="s">
        <v>19</v>
      </c>
      <c r="C145" s="271" t="s">
        <v>20</v>
      </c>
      <c r="D145" s="264"/>
      <c r="E145" s="259">
        <v>45035</v>
      </c>
      <c r="F145" s="199">
        <v>730</v>
      </c>
      <c r="G145" s="200">
        <f>IF(Tabla32[[#This Row],[VENCE ]]="","",E145+F145)</f>
        <v>45765</v>
      </c>
      <c r="H145" s="201" t="str">
        <f t="shared" ca="1" si="8"/>
        <v>Faltan 43345765</v>
      </c>
      <c r="I145" s="260">
        <f t="shared" ca="1" si="9"/>
        <v>433</v>
      </c>
      <c r="J145" s="202" t="s">
        <v>2422</v>
      </c>
      <c r="K145" s="201"/>
      <c r="L145" s="203"/>
    </row>
  </sheetData>
  <conditionalFormatting sqref="I4:I145">
    <cfRule type="containsText" dxfId="16484" priority="11" operator="containsText" text="VENCIDO">
      <formula>NOT(ISERROR(SEARCH("VENCIDO",I4)))</formula>
    </cfRule>
  </conditionalFormatting>
  <conditionalFormatting sqref="F4:F145">
    <cfRule type="containsText" dxfId="16483" priority="10" stopIfTrue="1" operator="containsText" text="VENCIDO">
      <formula>NOT(ISERROR(SEARCH("VENCIDO",F4)))</formula>
    </cfRule>
  </conditionalFormatting>
  <conditionalFormatting sqref="H4:H145">
    <cfRule type="expression" dxfId="16482" priority="9" stopIfTrue="1">
      <formula>H4&lt;0</formula>
    </cfRule>
  </conditionalFormatting>
  <conditionalFormatting sqref="I141">
    <cfRule type="containsText" dxfId="16481" priority="7" operator="containsText" text="VENCIDO">
      <formula>NOT(ISERROR(SEARCH("VENCIDO",I141)))</formula>
    </cfRule>
  </conditionalFormatting>
  <conditionalFormatting sqref="H140">
    <cfRule type="expression" dxfId="16480" priority="6" stopIfTrue="1">
      <formula>H140&lt;0</formula>
    </cfRule>
  </conditionalFormatting>
  <conditionalFormatting sqref="I140">
    <cfRule type="containsText" dxfId="16479" priority="5" operator="containsText" text="VENCIDO">
      <formula>NOT(ISERROR(SEARCH("VENCIDO",I140)))</formula>
    </cfRule>
  </conditionalFormatting>
  <conditionalFormatting sqref="H4:H145">
    <cfRule type="expression" dxfId="16478" priority="39">
      <formula>$I4&gt;=8</formula>
    </cfRule>
    <cfRule type="expression" dxfId="16477" priority="40" stopIfTrue="1">
      <formula>AND($I4&gt;0,$I4&lt;90)</formula>
    </cfRule>
    <cfRule type="expression" dxfId="16476" priority="41">
      <formula>$I4=0</formula>
    </cfRule>
    <cfRule type="expression" dxfId="16475" priority="42">
      <formula>$I4&lt;0</formula>
    </cfRule>
    <cfRule type="expression" dxfId="16474" priority="43" stopIfTrue="1">
      <formula>$H4=0</formula>
    </cfRule>
    <cfRule type="expression" dxfId="16473" priority="44" stopIfTrue="1">
      <formula>$H4&lt;0</formula>
    </cfRule>
    <cfRule type="expression" dxfId="16472" priority="45" stopIfTrue="1">
      <formula>#REF!&lt;0</formula>
    </cfRule>
  </conditionalFormatting>
  <conditionalFormatting sqref="A1:XFD1048576">
    <cfRule type="expression" dxfId="16471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33203125" defaultRowHeight="17.399999999999999"/>
  <cols>
    <col min="1" max="1" width="19.33203125" style="206"/>
    <col min="2" max="2" width="37.109375" style="206" bestFit="1" customWidth="1"/>
    <col min="3" max="3" width="19.109375" style="205" bestFit="1" customWidth="1"/>
    <col min="4" max="4" width="38.88671875" style="207" bestFit="1" customWidth="1"/>
    <col min="5" max="5" width="36.6640625" style="206" customWidth="1"/>
    <col min="6" max="6" width="29.109375" style="206" bestFit="1" customWidth="1"/>
    <col min="7" max="7" width="16.5546875" style="206" bestFit="1" customWidth="1"/>
    <col min="8" max="8" width="25.88671875" style="206" bestFit="1" customWidth="1"/>
    <col min="9" max="9" width="31" style="205" bestFit="1" customWidth="1"/>
    <col min="10" max="10" width="12.6640625" style="207" bestFit="1" customWidth="1"/>
    <col min="11" max="11" width="255.6640625" style="208" bestFit="1" customWidth="1"/>
    <col min="12" max="12" width="19.33203125" style="216"/>
    <col min="13" max="16384" width="19.33203125" style="206"/>
  </cols>
  <sheetData>
    <row r="1" spans="2:12" ht="18" thickBot="1">
      <c r="B1" s="204" t="s">
        <v>0</v>
      </c>
      <c r="L1" s="206"/>
    </row>
    <row r="2" spans="2:12">
      <c r="B2" s="209">
        <f ca="1">TODAY()</f>
        <v>45332</v>
      </c>
      <c r="L2" s="206"/>
    </row>
    <row r="3" spans="2:12">
      <c r="B3" s="171" t="s">
        <v>1</v>
      </c>
      <c r="C3" s="172" t="s">
        <v>2</v>
      </c>
      <c r="D3" s="173" t="s">
        <v>3</v>
      </c>
      <c r="E3" s="172" t="s">
        <v>4</v>
      </c>
      <c r="F3" s="172" t="s">
        <v>5</v>
      </c>
      <c r="G3" s="172" t="s">
        <v>6</v>
      </c>
      <c r="H3" s="172" t="s">
        <v>7</v>
      </c>
      <c r="I3" s="172" t="s">
        <v>8</v>
      </c>
      <c r="J3" s="173" t="s">
        <v>9</v>
      </c>
      <c r="K3" s="210" t="s">
        <v>10</v>
      </c>
      <c r="L3" s="211" t="s">
        <v>379</v>
      </c>
    </row>
    <row r="4" spans="2:12">
      <c r="B4" s="212" t="s">
        <v>380</v>
      </c>
      <c r="C4" s="213" t="s">
        <v>381</v>
      </c>
      <c r="D4" s="265" t="s">
        <v>382</v>
      </c>
      <c r="E4" s="214"/>
      <c r="F4" s="215">
        <v>44753</v>
      </c>
      <c r="G4" s="216">
        <v>730</v>
      </c>
      <c r="H4" s="217">
        <f t="shared" ref="H4:H67" si="0">F4+G4</f>
        <v>45483</v>
      </c>
      <c r="I4" s="218" t="str">
        <f t="shared" ref="I4:I17" ca="1" si="1">IF(H4="","VACIO",IF(J4&lt;0,"Vencido hace "&amp;J4*-1&amp;" dias",IF(J4=0,"Vencido Hoy",IF(J4&lt;8,"Tiene "&amp; J4 &amp;" dias","Faltan "&amp;J4&amp;H4))))</f>
        <v>Faltan 15145483</v>
      </c>
      <c r="J4" s="219">
        <f t="shared" ref="J4:J67" ca="1" si="2">H4-$B$2</f>
        <v>151</v>
      </c>
      <c r="K4" s="220" t="s">
        <v>383</v>
      </c>
      <c r="L4" s="221"/>
    </row>
    <row r="5" spans="2:12">
      <c r="B5" s="212" t="s">
        <v>380</v>
      </c>
      <c r="C5" s="213" t="s">
        <v>384</v>
      </c>
      <c r="D5" s="265" t="s">
        <v>385</v>
      </c>
      <c r="E5" s="214"/>
      <c r="F5" s="215">
        <v>44697</v>
      </c>
      <c r="G5" s="216">
        <v>730</v>
      </c>
      <c r="H5" s="217">
        <f t="shared" si="0"/>
        <v>45427</v>
      </c>
      <c r="I5" s="218" t="str">
        <f t="shared" ca="1" si="1"/>
        <v>Faltan 9545427</v>
      </c>
      <c r="J5" s="219">
        <f t="shared" ca="1" si="2"/>
        <v>95</v>
      </c>
      <c r="K5" s="220" t="s">
        <v>386</v>
      </c>
      <c r="L5" s="218"/>
    </row>
    <row r="6" spans="2:12">
      <c r="B6" s="212" t="s">
        <v>380</v>
      </c>
      <c r="C6" s="213" t="s">
        <v>387</v>
      </c>
      <c r="D6" s="265" t="s">
        <v>388</v>
      </c>
      <c r="E6" s="214" t="s">
        <v>2378</v>
      </c>
      <c r="F6" s="215">
        <v>44125</v>
      </c>
      <c r="G6" s="216">
        <v>730</v>
      </c>
      <c r="H6" s="217">
        <f t="shared" si="0"/>
        <v>44855</v>
      </c>
      <c r="I6" s="218" t="str">
        <f t="shared" ca="1" si="1"/>
        <v>Vencido hace 477 dias</v>
      </c>
      <c r="J6" s="219">
        <f t="shared" ca="1" si="2"/>
        <v>-477</v>
      </c>
      <c r="K6" s="220" t="s">
        <v>389</v>
      </c>
      <c r="L6" s="218"/>
    </row>
    <row r="7" spans="2:12">
      <c r="B7" s="212" t="s">
        <v>380</v>
      </c>
      <c r="C7" s="213" t="s">
        <v>390</v>
      </c>
      <c r="D7" s="265" t="s">
        <v>391</v>
      </c>
      <c r="E7" s="214"/>
      <c r="F7" s="215">
        <v>44319</v>
      </c>
      <c r="G7" s="216">
        <v>730</v>
      </c>
      <c r="H7" s="217">
        <f t="shared" si="0"/>
        <v>45049</v>
      </c>
      <c r="I7" s="218" t="str">
        <f t="shared" ca="1" si="1"/>
        <v>Vencido hace 283 dias</v>
      </c>
      <c r="J7" s="219">
        <f t="shared" ca="1" si="2"/>
        <v>-283</v>
      </c>
      <c r="K7" s="220" t="s">
        <v>392</v>
      </c>
      <c r="L7" s="218"/>
    </row>
    <row r="8" spans="2:12">
      <c r="B8" s="212" t="s">
        <v>380</v>
      </c>
      <c r="C8" s="213" t="s">
        <v>393</v>
      </c>
      <c r="D8" s="265" t="s">
        <v>394</v>
      </c>
      <c r="E8" s="214"/>
      <c r="F8" s="215">
        <v>44754</v>
      </c>
      <c r="G8" s="216">
        <v>730</v>
      </c>
      <c r="H8" s="217">
        <f t="shared" si="0"/>
        <v>45484</v>
      </c>
      <c r="I8" s="218" t="str">
        <f t="shared" ca="1" si="1"/>
        <v>Faltan 15245484</v>
      </c>
      <c r="J8" s="219">
        <f t="shared" ca="1" si="2"/>
        <v>152</v>
      </c>
      <c r="K8" s="275" t="s">
        <v>395</v>
      </c>
      <c r="L8" s="221"/>
    </row>
    <row r="9" spans="2:12">
      <c r="B9" s="212" t="s">
        <v>380</v>
      </c>
      <c r="C9" s="213" t="s">
        <v>396</v>
      </c>
      <c r="D9" s="265" t="s">
        <v>397</v>
      </c>
      <c r="E9" s="214"/>
      <c r="F9" s="215">
        <v>44963</v>
      </c>
      <c r="G9" s="216">
        <v>730</v>
      </c>
      <c r="H9" s="217">
        <f t="shared" si="0"/>
        <v>45693</v>
      </c>
      <c r="I9" s="218" t="str">
        <f t="shared" ca="1" si="1"/>
        <v>Faltan 36145693</v>
      </c>
      <c r="J9" s="219">
        <f t="shared" ca="1" si="2"/>
        <v>361</v>
      </c>
      <c r="K9" s="220" t="s">
        <v>2398</v>
      </c>
      <c r="L9" s="218"/>
    </row>
    <row r="10" spans="2:12">
      <c r="B10" s="212" t="s">
        <v>380</v>
      </c>
      <c r="C10" s="213" t="s">
        <v>398</v>
      </c>
      <c r="D10" s="265" t="s">
        <v>399</v>
      </c>
      <c r="E10" s="214"/>
      <c r="F10" s="215">
        <v>44742</v>
      </c>
      <c r="G10" s="216">
        <v>730</v>
      </c>
      <c r="H10" s="217">
        <f t="shared" si="0"/>
        <v>45472</v>
      </c>
      <c r="I10" s="218" t="str">
        <f t="shared" ca="1" si="1"/>
        <v>Faltan 14045472</v>
      </c>
      <c r="J10" s="219">
        <f t="shared" ca="1" si="2"/>
        <v>140</v>
      </c>
      <c r="K10" s="220" t="s">
        <v>400</v>
      </c>
      <c r="L10" s="218"/>
    </row>
    <row r="11" spans="2:12">
      <c r="B11" s="212" t="s">
        <v>380</v>
      </c>
      <c r="C11" s="213" t="s">
        <v>401</v>
      </c>
      <c r="D11" s="265" t="s">
        <v>402</v>
      </c>
      <c r="E11" s="214"/>
      <c r="F11" s="215">
        <v>44729</v>
      </c>
      <c r="G11" s="216">
        <v>730</v>
      </c>
      <c r="H11" s="217">
        <f t="shared" si="0"/>
        <v>45459</v>
      </c>
      <c r="I11" s="218" t="str">
        <f t="shared" ca="1" si="1"/>
        <v>Faltan 12745459</v>
      </c>
      <c r="J11" s="219">
        <f t="shared" ca="1" si="2"/>
        <v>127</v>
      </c>
      <c r="K11" s="220" t="s">
        <v>403</v>
      </c>
      <c r="L11" s="218"/>
    </row>
    <row r="12" spans="2:12">
      <c r="B12" s="212" t="s">
        <v>380</v>
      </c>
      <c r="C12" s="213" t="s">
        <v>404</v>
      </c>
      <c r="D12" s="270" t="s">
        <v>405</v>
      </c>
      <c r="E12" s="214" t="s">
        <v>2385</v>
      </c>
      <c r="F12" s="215">
        <v>40696</v>
      </c>
      <c r="G12" s="216">
        <v>730</v>
      </c>
      <c r="H12" s="217">
        <f t="shared" si="0"/>
        <v>41426</v>
      </c>
      <c r="I12" s="218" t="str">
        <f t="shared" ca="1" si="1"/>
        <v>Vencido hace 3906 dias</v>
      </c>
      <c r="J12" s="219">
        <f t="shared" ca="1" si="2"/>
        <v>-3906</v>
      </c>
      <c r="K12" s="220" t="s">
        <v>406</v>
      </c>
      <c r="L12" s="218"/>
    </row>
    <row r="13" spans="2:12">
      <c r="B13" s="212" t="s">
        <v>380</v>
      </c>
      <c r="C13" s="213" t="s">
        <v>407</v>
      </c>
      <c r="D13" s="265" t="s">
        <v>408</v>
      </c>
      <c r="E13" s="214"/>
      <c r="F13" s="215">
        <v>44298</v>
      </c>
      <c r="G13" s="216">
        <v>730</v>
      </c>
      <c r="H13" s="217">
        <f t="shared" si="0"/>
        <v>45028</v>
      </c>
      <c r="I13" s="218" t="str">
        <f t="shared" ca="1" si="1"/>
        <v>Vencido hace 304 dias</v>
      </c>
      <c r="J13" s="219">
        <f t="shared" ca="1" si="2"/>
        <v>-304</v>
      </c>
      <c r="K13" s="220" t="s">
        <v>409</v>
      </c>
      <c r="L13" s="218"/>
    </row>
    <row r="14" spans="2:12">
      <c r="B14" s="212" t="s">
        <v>380</v>
      </c>
      <c r="C14" s="213" t="s">
        <v>410</v>
      </c>
      <c r="D14" s="265" t="s">
        <v>411</v>
      </c>
      <c r="E14" s="214"/>
      <c r="F14" s="215">
        <v>44639</v>
      </c>
      <c r="G14" s="216">
        <v>730</v>
      </c>
      <c r="H14" s="217">
        <f t="shared" si="0"/>
        <v>45369</v>
      </c>
      <c r="I14" s="218" t="str">
        <f t="shared" ca="1" si="1"/>
        <v>Faltan 3745369</v>
      </c>
      <c r="J14" s="219">
        <f t="shared" ca="1" si="2"/>
        <v>37</v>
      </c>
      <c r="K14" s="220" t="s">
        <v>412</v>
      </c>
      <c r="L14" s="218"/>
    </row>
    <row r="15" spans="2:12">
      <c r="B15" s="212" t="s">
        <v>380</v>
      </c>
      <c r="C15" s="213" t="s">
        <v>413</v>
      </c>
      <c r="D15" s="265" t="s">
        <v>414</v>
      </c>
      <c r="E15" s="214"/>
      <c r="F15" s="215">
        <v>44697</v>
      </c>
      <c r="G15" s="216">
        <v>730</v>
      </c>
      <c r="H15" s="217">
        <f t="shared" si="0"/>
        <v>45427</v>
      </c>
      <c r="I15" s="218" t="str">
        <f t="shared" ca="1" si="1"/>
        <v>Faltan 9545427</v>
      </c>
      <c r="J15" s="219">
        <f t="shared" ca="1" si="2"/>
        <v>95</v>
      </c>
      <c r="K15" s="220" t="s">
        <v>386</v>
      </c>
      <c r="L15" s="218"/>
    </row>
    <row r="16" spans="2:12">
      <c r="B16" s="212" t="s">
        <v>380</v>
      </c>
      <c r="C16" s="213" t="s">
        <v>415</v>
      </c>
      <c r="D16" s="265" t="s">
        <v>416</v>
      </c>
      <c r="E16" s="214" t="s">
        <v>417</v>
      </c>
      <c r="F16" s="215">
        <v>44733</v>
      </c>
      <c r="G16" s="216">
        <v>730</v>
      </c>
      <c r="H16" s="217">
        <f t="shared" si="0"/>
        <v>45463</v>
      </c>
      <c r="I16" s="218" t="str">
        <f t="shared" ca="1" si="1"/>
        <v>Faltan 13145463</v>
      </c>
      <c r="J16" s="219">
        <f t="shared" ca="1" si="2"/>
        <v>131</v>
      </c>
      <c r="K16" s="220" t="s">
        <v>418</v>
      </c>
      <c r="L16" s="218"/>
    </row>
    <row r="17" spans="2:12">
      <c r="B17" s="212" t="s">
        <v>380</v>
      </c>
      <c r="C17" s="213" t="s">
        <v>419</v>
      </c>
      <c r="D17" s="265" t="s">
        <v>420</v>
      </c>
      <c r="E17" s="214"/>
      <c r="F17" s="215">
        <v>44410</v>
      </c>
      <c r="G17" s="216">
        <v>730</v>
      </c>
      <c r="H17" s="217">
        <f t="shared" si="0"/>
        <v>45140</v>
      </c>
      <c r="I17" s="218" t="str">
        <f t="shared" ca="1" si="1"/>
        <v>Vencido hace 192 dias</v>
      </c>
      <c r="J17" s="219">
        <f t="shared" ca="1" si="2"/>
        <v>-192</v>
      </c>
      <c r="K17" s="220" t="s">
        <v>421</v>
      </c>
      <c r="L17" s="218"/>
    </row>
    <row r="18" spans="2:12">
      <c r="B18" s="212" t="s">
        <v>380</v>
      </c>
      <c r="C18" s="213" t="s">
        <v>422</v>
      </c>
      <c r="D18" s="265" t="s">
        <v>423</v>
      </c>
      <c r="E18" s="214"/>
      <c r="F18" s="215">
        <v>45002</v>
      </c>
      <c r="G18" s="216">
        <v>730</v>
      </c>
      <c r="H18" s="217">
        <f t="shared" si="0"/>
        <v>45732</v>
      </c>
      <c r="I18" s="218" t="str">
        <f ca="1">IF(H18="","VACIO",IF(J18&lt;0,"Vencido hace "&amp;J18*-1&amp;" dias",IF(J18=0,"Vencido Hoy",IF(J18&lt;8,"Tiene "&amp; J18 &amp;" dias","Faltan "&amp;J18*1&amp;H18))))</f>
        <v>Faltan 40045732</v>
      </c>
      <c r="J18" s="219">
        <f t="shared" ca="1" si="2"/>
        <v>400</v>
      </c>
      <c r="K18" s="220" t="s">
        <v>582</v>
      </c>
      <c r="L18" s="218"/>
    </row>
    <row r="19" spans="2:12">
      <c r="B19" s="212" t="s">
        <v>380</v>
      </c>
      <c r="C19" s="213" t="s">
        <v>424</v>
      </c>
      <c r="D19" s="265" t="s">
        <v>425</v>
      </c>
      <c r="E19" s="214"/>
      <c r="F19" s="215">
        <v>44859</v>
      </c>
      <c r="G19" s="216">
        <v>730</v>
      </c>
      <c r="H19" s="217">
        <f t="shared" si="0"/>
        <v>45589</v>
      </c>
      <c r="I19" s="218" t="str">
        <f ca="1">IF(H19="","VACIO",IF(J19&lt;0,"Vencido hace "&amp;J19*-1&amp;" dias",IF(J19=0,"Vencido Hoy",IF(J19&lt;8,"Tiene "&amp; J19 &amp;" dias","Faltan "&amp;J19*1&amp;H19))))</f>
        <v>Faltan 25745589</v>
      </c>
      <c r="J19" s="219">
        <f t="shared" ca="1" si="2"/>
        <v>257</v>
      </c>
      <c r="K19" s="220" t="s">
        <v>426</v>
      </c>
      <c r="L19" s="218"/>
    </row>
    <row r="20" spans="2:12">
      <c r="B20" s="212" t="s">
        <v>427</v>
      </c>
      <c r="C20" s="213" t="s">
        <v>428</v>
      </c>
      <c r="D20" s="265" t="s">
        <v>429</v>
      </c>
      <c r="E20" s="216" t="s">
        <v>430</v>
      </c>
      <c r="F20" s="217">
        <v>43756</v>
      </c>
      <c r="G20" s="216">
        <v>730</v>
      </c>
      <c r="H20" s="217">
        <f t="shared" si="0"/>
        <v>44486</v>
      </c>
      <c r="I20" s="218" t="str">
        <f t="shared" ref="I20:I40" ca="1" si="3">IF(H20="","VACIO",IF(J20&lt;0,"Vencido hace "&amp;J20*-1&amp;" dias",IF(J20=0,"Vencido Hoy",IF(J20&lt;8,"Tiene "&amp; J20 &amp;" dias","Faltan "&amp;J20&amp;H20))))</f>
        <v>Vencido hace 846 dias</v>
      </c>
      <c r="J20" s="219">
        <f t="shared" ca="1" si="2"/>
        <v>-846</v>
      </c>
      <c r="K20" s="220" t="s">
        <v>431</v>
      </c>
      <c r="L20" s="218"/>
    </row>
    <row r="21" spans="2:12">
      <c r="B21" s="212" t="s">
        <v>427</v>
      </c>
      <c r="C21" s="213" t="s">
        <v>432</v>
      </c>
      <c r="D21" s="265" t="s">
        <v>433</v>
      </c>
      <c r="E21" s="215"/>
      <c r="F21" s="215">
        <v>44680</v>
      </c>
      <c r="G21" s="216">
        <v>730</v>
      </c>
      <c r="H21" s="217">
        <f t="shared" si="0"/>
        <v>45410</v>
      </c>
      <c r="I21" s="218" t="str">
        <f t="shared" ca="1" si="3"/>
        <v>Faltan 7845410</v>
      </c>
      <c r="J21" s="219">
        <f t="shared" ca="1" si="2"/>
        <v>78</v>
      </c>
      <c r="K21" s="220" t="s">
        <v>434</v>
      </c>
      <c r="L21" s="218"/>
    </row>
    <row r="22" spans="2:12">
      <c r="B22" s="212" t="s">
        <v>427</v>
      </c>
      <c r="C22" s="213" t="s">
        <v>435</v>
      </c>
      <c r="D22" s="265" t="s">
        <v>436</v>
      </c>
      <c r="E22" s="214" t="s">
        <v>2456</v>
      </c>
      <c r="F22" s="215">
        <v>44347</v>
      </c>
      <c r="G22" s="216">
        <v>730</v>
      </c>
      <c r="H22" s="217">
        <f t="shared" si="0"/>
        <v>45077</v>
      </c>
      <c r="I22" s="218" t="str">
        <f t="shared" ca="1" si="3"/>
        <v>Vencido hace 255 dias</v>
      </c>
      <c r="J22" s="219">
        <f t="shared" ca="1" si="2"/>
        <v>-255</v>
      </c>
      <c r="K22" s="220"/>
      <c r="L22" s="218"/>
    </row>
    <row r="23" spans="2:12">
      <c r="B23" s="212" t="s">
        <v>427</v>
      </c>
      <c r="C23" s="213" t="s">
        <v>437</v>
      </c>
      <c r="D23" s="265" t="s">
        <v>438</v>
      </c>
      <c r="E23" s="214" t="s">
        <v>2386</v>
      </c>
      <c r="F23" s="215">
        <v>43160</v>
      </c>
      <c r="G23" s="216">
        <v>730</v>
      </c>
      <c r="H23" s="217">
        <f t="shared" si="0"/>
        <v>43890</v>
      </c>
      <c r="I23" s="218" t="str">
        <f t="shared" ca="1" si="3"/>
        <v>Vencido hace 1442 dias</v>
      </c>
      <c r="J23" s="219">
        <f t="shared" ca="1" si="2"/>
        <v>-1442</v>
      </c>
      <c r="K23" s="220" t="s">
        <v>439</v>
      </c>
      <c r="L23" s="218"/>
    </row>
    <row r="24" spans="2:12">
      <c r="B24" s="212" t="s">
        <v>427</v>
      </c>
      <c r="C24" s="213" t="s">
        <v>440</v>
      </c>
      <c r="D24" s="265" t="s">
        <v>441</v>
      </c>
      <c r="E24" s="216"/>
      <c r="F24" s="217">
        <v>44706</v>
      </c>
      <c r="G24" s="216">
        <v>730</v>
      </c>
      <c r="H24" s="217">
        <f t="shared" si="0"/>
        <v>45436</v>
      </c>
      <c r="I24" s="218" t="str">
        <f t="shared" ca="1" si="3"/>
        <v>Faltan 10445436</v>
      </c>
      <c r="J24" s="219">
        <f t="shared" ca="1" si="2"/>
        <v>104</v>
      </c>
      <c r="K24" s="220" t="s">
        <v>442</v>
      </c>
      <c r="L24" s="218"/>
    </row>
    <row r="25" spans="2:12">
      <c r="B25" s="212" t="s">
        <v>427</v>
      </c>
      <c r="C25" s="213" t="s">
        <v>443</v>
      </c>
      <c r="D25" s="265" t="s">
        <v>444</v>
      </c>
      <c r="E25" s="216"/>
      <c r="F25" s="217">
        <v>44727</v>
      </c>
      <c r="G25" s="216">
        <v>730</v>
      </c>
      <c r="H25" s="217">
        <f t="shared" si="0"/>
        <v>45457</v>
      </c>
      <c r="I25" s="218" t="str">
        <f t="shared" ca="1" si="3"/>
        <v>Faltan 12545457</v>
      </c>
      <c r="J25" s="219">
        <f t="shared" ca="1" si="2"/>
        <v>125</v>
      </c>
      <c r="K25" s="208" t="s">
        <v>445</v>
      </c>
      <c r="L25" s="218"/>
    </row>
    <row r="26" spans="2:12">
      <c r="B26" s="212" t="s">
        <v>427</v>
      </c>
      <c r="C26" s="213" t="s">
        <v>446</v>
      </c>
      <c r="D26" s="265" t="s">
        <v>447</v>
      </c>
      <c r="E26" s="216"/>
      <c r="F26" s="217">
        <v>44684</v>
      </c>
      <c r="G26" s="216">
        <v>730</v>
      </c>
      <c r="H26" s="217">
        <f t="shared" si="0"/>
        <v>45414</v>
      </c>
      <c r="I26" s="218" t="str">
        <f t="shared" ca="1" si="3"/>
        <v>Faltan 8245414</v>
      </c>
      <c r="J26" s="219">
        <f t="shared" ca="1" si="2"/>
        <v>82</v>
      </c>
      <c r="K26" s="220" t="s">
        <v>448</v>
      </c>
      <c r="L26" s="218"/>
    </row>
    <row r="27" spans="2:12">
      <c r="B27" s="212" t="s">
        <v>427</v>
      </c>
      <c r="C27" s="213" t="s">
        <v>449</v>
      </c>
      <c r="D27" s="265" t="s">
        <v>450</v>
      </c>
      <c r="E27" s="217"/>
      <c r="F27" s="217">
        <v>44676</v>
      </c>
      <c r="G27" s="216">
        <v>730</v>
      </c>
      <c r="H27" s="217">
        <f t="shared" si="0"/>
        <v>45406</v>
      </c>
      <c r="I27" s="218" t="str">
        <f t="shared" ca="1" si="3"/>
        <v>Faltan 7445406</v>
      </c>
      <c r="J27" s="219">
        <f t="shared" ca="1" si="2"/>
        <v>74</v>
      </c>
      <c r="K27" s="222" t="s">
        <v>451</v>
      </c>
      <c r="L27" s="218"/>
    </row>
    <row r="28" spans="2:12">
      <c r="B28" s="212" t="s">
        <v>427</v>
      </c>
      <c r="C28" s="213" t="s">
        <v>452</v>
      </c>
      <c r="D28" s="265" t="s">
        <v>453</v>
      </c>
      <c r="E28" s="216"/>
      <c r="F28" s="217">
        <v>44684</v>
      </c>
      <c r="G28" s="216">
        <v>730</v>
      </c>
      <c r="H28" s="217">
        <f t="shared" si="0"/>
        <v>45414</v>
      </c>
      <c r="I28" s="218" t="str">
        <f t="shared" ca="1" si="3"/>
        <v>Faltan 8245414</v>
      </c>
      <c r="J28" s="219">
        <f t="shared" ca="1" si="2"/>
        <v>82</v>
      </c>
      <c r="K28" s="220" t="s">
        <v>448</v>
      </c>
      <c r="L28" s="218"/>
    </row>
    <row r="29" spans="2:12">
      <c r="B29" s="212" t="s">
        <v>427</v>
      </c>
      <c r="C29" s="213" t="s">
        <v>454</v>
      </c>
      <c r="D29" s="265" t="s">
        <v>455</v>
      </c>
      <c r="E29" s="216"/>
      <c r="F29" s="217">
        <v>44704</v>
      </c>
      <c r="G29" s="216">
        <v>730</v>
      </c>
      <c r="H29" s="217">
        <f t="shared" si="0"/>
        <v>45434</v>
      </c>
      <c r="I29" s="218" t="str">
        <f t="shared" ca="1" si="3"/>
        <v>Faltan 10245434</v>
      </c>
      <c r="J29" s="219">
        <f t="shared" ca="1" si="2"/>
        <v>102</v>
      </c>
      <c r="K29" s="220" t="s">
        <v>456</v>
      </c>
      <c r="L29" s="218"/>
    </row>
    <row r="30" spans="2:12">
      <c r="B30" s="212" t="s">
        <v>427</v>
      </c>
      <c r="C30" s="213" t="s">
        <v>457</v>
      </c>
      <c r="D30" s="265" t="s">
        <v>458</v>
      </c>
      <c r="E30" s="216"/>
      <c r="F30" s="217">
        <v>44678</v>
      </c>
      <c r="G30" s="216">
        <v>730</v>
      </c>
      <c r="H30" s="217">
        <f t="shared" si="0"/>
        <v>45408</v>
      </c>
      <c r="I30" s="218" t="str">
        <f t="shared" ca="1" si="3"/>
        <v>Faltan 7645408</v>
      </c>
      <c r="J30" s="219">
        <f t="shared" ca="1" si="2"/>
        <v>76</v>
      </c>
      <c r="K30" s="220" t="s">
        <v>459</v>
      </c>
      <c r="L30" s="218"/>
    </row>
    <row r="31" spans="2:12">
      <c r="B31" s="212" t="s">
        <v>427</v>
      </c>
      <c r="C31" s="213" t="s">
        <v>460</v>
      </c>
      <c r="D31" s="265" t="s">
        <v>461</v>
      </c>
      <c r="E31" s="217"/>
      <c r="F31" s="217">
        <v>44680</v>
      </c>
      <c r="G31" s="216">
        <v>730</v>
      </c>
      <c r="H31" s="217">
        <f t="shared" si="0"/>
        <v>45410</v>
      </c>
      <c r="I31" s="218" t="str">
        <f t="shared" ca="1" si="3"/>
        <v>Faltan 7845410</v>
      </c>
      <c r="J31" s="219">
        <f t="shared" ca="1" si="2"/>
        <v>78</v>
      </c>
      <c r="K31" s="220" t="s">
        <v>462</v>
      </c>
      <c r="L31" s="218"/>
    </row>
    <row r="32" spans="2:12">
      <c r="B32" s="212" t="s">
        <v>427</v>
      </c>
      <c r="C32" s="213" t="s">
        <v>463</v>
      </c>
      <c r="D32" s="265" t="s">
        <v>464</v>
      </c>
      <c r="E32" s="216"/>
      <c r="F32" s="217">
        <v>44686</v>
      </c>
      <c r="G32" s="216">
        <v>730</v>
      </c>
      <c r="H32" s="217">
        <f t="shared" si="0"/>
        <v>45416</v>
      </c>
      <c r="I32" s="218" t="str">
        <f t="shared" ca="1" si="3"/>
        <v>Faltan 8445416</v>
      </c>
      <c r="J32" s="219">
        <f t="shared" ca="1" si="2"/>
        <v>84</v>
      </c>
      <c r="K32" s="220" t="s">
        <v>465</v>
      </c>
      <c r="L32" s="218"/>
    </row>
    <row r="33" spans="2:12">
      <c r="B33" s="212" t="s">
        <v>427</v>
      </c>
      <c r="C33" s="213" t="s">
        <v>466</v>
      </c>
      <c r="D33" s="265" t="s">
        <v>467</v>
      </c>
      <c r="E33" s="216"/>
      <c r="F33" s="217">
        <v>44368</v>
      </c>
      <c r="G33" s="216">
        <v>730</v>
      </c>
      <c r="H33" s="217">
        <f t="shared" si="0"/>
        <v>45098</v>
      </c>
      <c r="I33" s="218" t="str">
        <f t="shared" ca="1" si="3"/>
        <v>Vencido hace 234 dias</v>
      </c>
      <c r="J33" s="219">
        <f t="shared" ca="1" si="2"/>
        <v>-234</v>
      </c>
      <c r="K33" s="220" t="s">
        <v>468</v>
      </c>
      <c r="L33" s="218"/>
    </row>
    <row r="34" spans="2:12" ht="18" customHeight="1">
      <c r="B34" s="212" t="s">
        <v>427</v>
      </c>
      <c r="C34" s="213" t="s">
        <v>469</v>
      </c>
      <c r="D34" s="265" t="s">
        <v>470</v>
      </c>
      <c r="E34" s="217"/>
      <c r="F34" s="217">
        <v>44694</v>
      </c>
      <c r="G34" s="216">
        <v>730</v>
      </c>
      <c r="H34" s="217">
        <f t="shared" si="0"/>
        <v>45424</v>
      </c>
      <c r="I34" s="218" t="str">
        <f t="shared" ca="1" si="3"/>
        <v>Faltan 9245424</v>
      </c>
      <c r="J34" s="219">
        <f t="shared" ca="1" si="2"/>
        <v>92</v>
      </c>
      <c r="K34" s="220" t="s">
        <v>471</v>
      </c>
      <c r="L34" s="218"/>
    </row>
    <row r="35" spans="2:12">
      <c r="B35" s="212" t="s">
        <v>427</v>
      </c>
      <c r="C35" s="213" t="s">
        <v>472</v>
      </c>
      <c r="D35" s="265" t="s">
        <v>473</v>
      </c>
      <c r="E35" s="216"/>
      <c r="F35" s="217">
        <v>44795</v>
      </c>
      <c r="G35" s="216">
        <v>730</v>
      </c>
      <c r="H35" s="217">
        <f t="shared" si="0"/>
        <v>45525</v>
      </c>
      <c r="I35" s="218" t="str">
        <f t="shared" ca="1" si="3"/>
        <v>Faltan 19345525</v>
      </c>
      <c r="J35" s="219">
        <f t="shared" ca="1" si="2"/>
        <v>193</v>
      </c>
      <c r="K35" s="220" t="s">
        <v>474</v>
      </c>
      <c r="L35" s="218"/>
    </row>
    <row r="36" spans="2:12">
      <c r="B36" s="212" t="s">
        <v>427</v>
      </c>
      <c r="C36" s="213" t="s">
        <v>475</v>
      </c>
      <c r="D36" s="265" t="s">
        <v>476</v>
      </c>
      <c r="E36" s="216"/>
      <c r="F36" s="217">
        <v>44678</v>
      </c>
      <c r="G36" s="216">
        <v>730</v>
      </c>
      <c r="H36" s="217">
        <f t="shared" si="0"/>
        <v>45408</v>
      </c>
      <c r="I36" s="218" t="str">
        <f t="shared" ca="1" si="3"/>
        <v>Faltan 7645408</v>
      </c>
      <c r="J36" s="219">
        <f t="shared" ca="1" si="2"/>
        <v>76</v>
      </c>
      <c r="K36" s="220" t="s">
        <v>477</v>
      </c>
      <c r="L36" s="218"/>
    </row>
    <row r="37" spans="2:12">
      <c r="B37" s="212" t="s">
        <v>427</v>
      </c>
      <c r="C37" s="213" t="s">
        <v>478</v>
      </c>
      <c r="D37" s="265" t="s">
        <v>479</v>
      </c>
      <c r="E37" s="217"/>
      <c r="F37" s="217">
        <v>44680</v>
      </c>
      <c r="G37" s="216">
        <v>730</v>
      </c>
      <c r="H37" s="217">
        <f t="shared" si="0"/>
        <v>45410</v>
      </c>
      <c r="I37" s="218" t="str">
        <f t="shared" ca="1" si="3"/>
        <v>Faltan 7845410</v>
      </c>
      <c r="J37" s="219">
        <f t="shared" ca="1" si="2"/>
        <v>78</v>
      </c>
      <c r="K37" s="220" t="s">
        <v>345</v>
      </c>
      <c r="L37" s="218"/>
    </row>
    <row r="38" spans="2:12">
      <c r="B38" s="212" t="s">
        <v>427</v>
      </c>
      <c r="C38" s="213" t="s">
        <v>480</v>
      </c>
      <c r="D38" s="265" t="s">
        <v>481</v>
      </c>
      <c r="E38" s="216"/>
      <c r="F38" s="217">
        <v>44421</v>
      </c>
      <c r="G38" s="216">
        <v>730</v>
      </c>
      <c r="H38" s="217">
        <f t="shared" si="0"/>
        <v>45151</v>
      </c>
      <c r="I38" s="218" t="str">
        <f t="shared" ca="1" si="3"/>
        <v>Vencido hace 181 dias</v>
      </c>
      <c r="J38" s="219">
        <f t="shared" ca="1" si="2"/>
        <v>-181</v>
      </c>
      <c r="K38" s="220" t="s">
        <v>482</v>
      </c>
      <c r="L38" s="218"/>
    </row>
    <row r="39" spans="2:12">
      <c r="B39" s="212" t="s">
        <v>427</v>
      </c>
      <c r="C39" s="213" t="s">
        <v>483</v>
      </c>
      <c r="D39" s="265" t="s">
        <v>484</v>
      </c>
      <c r="E39" s="216"/>
      <c r="F39" s="217">
        <v>44690</v>
      </c>
      <c r="G39" s="216">
        <v>730</v>
      </c>
      <c r="H39" s="217">
        <f t="shared" si="0"/>
        <v>45420</v>
      </c>
      <c r="I39" s="218" t="str">
        <f t="shared" ca="1" si="3"/>
        <v>Faltan 8845420</v>
      </c>
      <c r="J39" s="219">
        <f t="shared" ca="1" si="2"/>
        <v>88</v>
      </c>
      <c r="K39" s="220" t="s">
        <v>485</v>
      </c>
      <c r="L39" s="218"/>
    </row>
    <row r="40" spans="2:12">
      <c r="B40" s="212" t="s">
        <v>427</v>
      </c>
      <c r="C40" s="213" t="s">
        <v>486</v>
      </c>
      <c r="D40" s="265" t="s">
        <v>487</v>
      </c>
      <c r="E40" s="216"/>
      <c r="F40" s="217">
        <v>44678</v>
      </c>
      <c r="G40" s="216">
        <v>730</v>
      </c>
      <c r="H40" s="217">
        <f t="shared" si="0"/>
        <v>45408</v>
      </c>
      <c r="I40" s="218" t="str">
        <f t="shared" ca="1" si="3"/>
        <v>Faltan 7645408</v>
      </c>
      <c r="J40" s="219">
        <f t="shared" ca="1" si="2"/>
        <v>76</v>
      </c>
      <c r="K40" s="220" t="s">
        <v>488</v>
      </c>
      <c r="L40" s="218"/>
    </row>
    <row r="41" spans="2:12">
      <c r="B41" s="212" t="s">
        <v>427</v>
      </c>
      <c r="C41" s="223" t="s">
        <v>489</v>
      </c>
      <c r="D41" s="266" t="s">
        <v>490</v>
      </c>
      <c r="E41" s="216"/>
      <c r="F41" s="217">
        <v>44319</v>
      </c>
      <c r="G41" s="216">
        <v>730</v>
      </c>
      <c r="H41" s="217">
        <f t="shared" si="0"/>
        <v>45049</v>
      </c>
      <c r="I41" s="218" t="str">
        <f ca="1">IF(H41="","VACIO",IF(J41&lt;0,"Vencido hace "&amp;J41*-1&amp;" dias",IF(J41=0,"Vencido Hoy",IF(J41&lt;8,"Tiene "&amp; J41 &amp;" dias","Faltan "&amp;J41*1&amp;H41))))</f>
        <v>Vencido hace 283 dias</v>
      </c>
      <c r="J41" s="219">
        <f t="shared" ca="1" si="2"/>
        <v>-283</v>
      </c>
      <c r="K41" s="220" t="s">
        <v>491</v>
      </c>
      <c r="L41" s="218"/>
    </row>
    <row r="42" spans="2:12">
      <c r="B42" s="212" t="s">
        <v>427</v>
      </c>
      <c r="C42" s="223" t="s">
        <v>1139</v>
      </c>
      <c r="D42" s="266" t="s">
        <v>1140</v>
      </c>
      <c r="E42" s="214"/>
      <c r="F42" s="215">
        <v>45007</v>
      </c>
      <c r="G42" s="216">
        <v>730</v>
      </c>
      <c r="H42" s="230">
        <f t="shared" si="0"/>
        <v>45737</v>
      </c>
      <c r="I42" s="218" t="str">
        <f ca="1">IF(H42="","VACIO",IF(J42&lt;0,"Vencido hace "&amp;J42*-1&amp;" dias",IF(J42=0,"Vencido Hoy",IF(J42&lt;8,"Tiene "&amp; J42 &amp;" dias","Faltan "&amp;J42*1&amp;H42))))</f>
        <v>Faltan 40545737</v>
      </c>
      <c r="J42" s="219">
        <f t="shared" ca="1" si="2"/>
        <v>405</v>
      </c>
      <c r="K42" s="220" t="s">
        <v>2411</v>
      </c>
      <c r="L42" s="218"/>
    </row>
    <row r="43" spans="2:12">
      <c r="B43" s="212" t="s">
        <v>427</v>
      </c>
      <c r="C43" s="213" t="s">
        <v>492</v>
      </c>
      <c r="D43" s="265" t="s">
        <v>493</v>
      </c>
      <c r="E43" s="216"/>
      <c r="F43" s="217">
        <v>44533</v>
      </c>
      <c r="G43" s="216">
        <v>730</v>
      </c>
      <c r="H43" s="217">
        <f t="shared" si="0"/>
        <v>45263</v>
      </c>
      <c r="I43" s="218" t="str">
        <f t="shared" ref="I43:I67" ca="1" si="4">IF(H43="","VACIO",IF(J43&lt;0,"Vencido hace "&amp;J43*-1&amp;" dias",IF(J43=0,"Vencido Hoy",IF(J43&lt;8,"Tiene "&amp; J43 &amp;" dias","Faltan "&amp;J43&amp;H43))))</f>
        <v>Vencido hace 69 dias</v>
      </c>
      <c r="J43" s="219">
        <f t="shared" ca="1" si="2"/>
        <v>-69</v>
      </c>
      <c r="K43" s="220" t="s">
        <v>494</v>
      </c>
      <c r="L43" s="218"/>
    </row>
    <row r="44" spans="2:12">
      <c r="B44" s="212" t="s">
        <v>427</v>
      </c>
      <c r="C44" s="213" t="s">
        <v>495</v>
      </c>
      <c r="D44" s="265" t="s">
        <v>496</v>
      </c>
      <c r="E44" s="217"/>
      <c r="F44" s="217">
        <v>44694</v>
      </c>
      <c r="G44" s="216">
        <v>730</v>
      </c>
      <c r="H44" s="217">
        <f t="shared" si="0"/>
        <v>45424</v>
      </c>
      <c r="I44" s="218" t="str">
        <f t="shared" ca="1" si="4"/>
        <v>Faltan 9245424</v>
      </c>
      <c r="J44" s="219">
        <f t="shared" ca="1" si="2"/>
        <v>92</v>
      </c>
      <c r="K44" s="220" t="s">
        <v>497</v>
      </c>
      <c r="L44" s="218"/>
    </row>
    <row r="45" spans="2:12">
      <c r="B45" s="212" t="s">
        <v>498</v>
      </c>
      <c r="C45" s="224" t="s">
        <v>499</v>
      </c>
      <c r="D45" s="266" t="s">
        <v>500</v>
      </c>
      <c r="E45" s="214"/>
      <c r="F45" s="215">
        <v>44728</v>
      </c>
      <c r="G45" s="216">
        <v>730</v>
      </c>
      <c r="H45" s="217">
        <f t="shared" si="0"/>
        <v>45458</v>
      </c>
      <c r="I45" s="218" t="str">
        <f t="shared" ca="1" si="4"/>
        <v>Faltan 12645458</v>
      </c>
      <c r="J45" s="219">
        <f t="shared" ca="1" si="2"/>
        <v>126</v>
      </c>
      <c r="K45" s="220" t="s">
        <v>501</v>
      </c>
      <c r="L45" s="218"/>
    </row>
    <row r="46" spans="2:12">
      <c r="B46" s="212" t="s">
        <v>498</v>
      </c>
      <c r="C46" s="225" t="s">
        <v>502</v>
      </c>
      <c r="D46" s="265" t="s">
        <v>503</v>
      </c>
      <c r="E46" s="214" t="s">
        <v>2455</v>
      </c>
      <c r="F46" s="215">
        <v>44650</v>
      </c>
      <c r="G46" s="216">
        <v>730</v>
      </c>
      <c r="H46" s="217">
        <f t="shared" si="0"/>
        <v>45380</v>
      </c>
      <c r="I46" s="218" t="str">
        <f t="shared" ca="1" si="4"/>
        <v>Faltan 4845380</v>
      </c>
      <c r="J46" s="219">
        <f t="shared" ca="1" si="2"/>
        <v>48</v>
      </c>
      <c r="K46" s="220" t="s">
        <v>504</v>
      </c>
      <c r="L46" s="218"/>
    </row>
    <row r="47" spans="2:12">
      <c r="B47" s="212" t="s">
        <v>498</v>
      </c>
      <c r="C47" s="213" t="s">
        <v>505</v>
      </c>
      <c r="D47" s="265" t="s">
        <v>506</v>
      </c>
      <c r="E47" s="214"/>
      <c r="F47" s="215">
        <v>44757</v>
      </c>
      <c r="G47" s="216">
        <v>730</v>
      </c>
      <c r="H47" s="217">
        <f t="shared" si="0"/>
        <v>45487</v>
      </c>
      <c r="I47" s="218" t="str">
        <f t="shared" ca="1" si="4"/>
        <v>Faltan 15545487</v>
      </c>
      <c r="J47" s="219">
        <f t="shared" ca="1" si="2"/>
        <v>155</v>
      </c>
      <c r="K47" s="220" t="s">
        <v>507</v>
      </c>
      <c r="L47" s="218"/>
    </row>
    <row r="48" spans="2:12">
      <c r="B48" s="212" t="s">
        <v>498</v>
      </c>
      <c r="C48" s="213" t="s">
        <v>508</v>
      </c>
      <c r="D48" s="265" t="s">
        <v>509</v>
      </c>
      <c r="E48" s="214"/>
      <c r="F48" s="215">
        <v>44740</v>
      </c>
      <c r="G48" s="216">
        <v>730</v>
      </c>
      <c r="H48" s="217">
        <f t="shared" si="0"/>
        <v>45470</v>
      </c>
      <c r="I48" s="218" t="str">
        <f t="shared" ca="1" si="4"/>
        <v>Faltan 13845470</v>
      </c>
      <c r="J48" s="219">
        <f t="shared" ca="1" si="2"/>
        <v>138</v>
      </c>
      <c r="K48" s="208" t="s">
        <v>510</v>
      </c>
      <c r="L48" s="218"/>
    </row>
    <row r="49" spans="2:12">
      <c r="B49" s="212" t="s">
        <v>498</v>
      </c>
      <c r="C49" s="213" t="s">
        <v>511</v>
      </c>
      <c r="D49" s="265" t="s">
        <v>512</v>
      </c>
      <c r="E49" s="214"/>
      <c r="F49" s="215">
        <v>44685</v>
      </c>
      <c r="G49" s="216">
        <v>730</v>
      </c>
      <c r="H49" s="217">
        <f t="shared" si="0"/>
        <v>45415</v>
      </c>
      <c r="I49" s="218" t="str">
        <f t="shared" ca="1" si="4"/>
        <v>Faltan 8345415</v>
      </c>
      <c r="J49" s="219">
        <f t="shared" ca="1" si="2"/>
        <v>83</v>
      </c>
      <c r="K49" s="220" t="s">
        <v>513</v>
      </c>
      <c r="L49" s="218"/>
    </row>
    <row r="50" spans="2:12">
      <c r="B50" s="212" t="s">
        <v>498</v>
      </c>
      <c r="C50" s="213" t="s">
        <v>514</v>
      </c>
      <c r="D50" s="265" t="s">
        <v>515</v>
      </c>
      <c r="E50" s="214"/>
      <c r="F50" s="215">
        <v>44714</v>
      </c>
      <c r="G50" s="216">
        <v>730</v>
      </c>
      <c r="H50" s="217">
        <f t="shared" si="0"/>
        <v>45444</v>
      </c>
      <c r="I50" s="218" t="str">
        <f t="shared" ca="1" si="4"/>
        <v>Faltan 11245444</v>
      </c>
      <c r="J50" s="219">
        <f t="shared" ca="1" si="2"/>
        <v>112</v>
      </c>
      <c r="K50" s="220" t="s">
        <v>516</v>
      </c>
      <c r="L50" s="218"/>
    </row>
    <row r="51" spans="2:12">
      <c r="B51" s="212" t="s">
        <v>498</v>
      </c>
      <c r="C51" s="213" t="s">
        <v>517</v>
      </c>
      <c r="D51" s="265" t="s">
        <v>518</v>
      </c>
      <c r="E51" s="215">
        <v>44819</v>
      </c>
      <c r="F51" s="215">
        <v>44819</v>
      </c>
      <c r="G51" s="216">
        <v>730</v>
      </c>
      <c r="H51" s="217">
        <f t="shared" si="0"/>
        <v>45549</v>
      </c>
      <c r="I51" s="218" t="str">
        <f t="shared" ca="1" si="4"/>
        <v>Faltan 21745549</v>
      </c>
      <c r="J51" s="219">
        <f t="shared" ca="1" si="2"/>
        <v>217</v>
      </c>
      <c r="K51" s="222" t="s">
        <v>519</v>
      </c>
      <c r="L51" s="218"/>
    </row>
    <row r="52" spans="2:12">
      <c r="B52" s="212" t="s">
        <v>498</v>
      </c>
      <c r="C52" s="213" t="s">
        <v>520</v>
      </c>
      <c r="D52" s="265" t="s">
        <v>521</v>
      </c>
      <c r="E52" s="214"/>
      <c r="F52" s="215">
        <v>44417</v>
      </c>
      <c r="G52" s="216">
        <v>730</v>
      </c>
      <c r="H52" s="217">
        <f t="shared" si="0"/>
        <v>45147</v>
      </c>
      <c r="I52" s="218" t="str">
        <f t="shared" ca="1" si="4"/>
        <v>Vencido hace 185 dias</v>
      </c>
      <c r="J52" s="219">
        <f t="shared" ca="1" si="2"/>
        <v>-185</v>
      </c>
      <c r="K52" s="220" t="s">
        <v>522</v>
      </c>
      <c r="L52" s="218"/>
    </row>
    <row r="53" spans="2:12">
      <c r="B53" s="212" t="s">
        <v>498</v>
      </c>
      <c r="C53" s="213" t="s">
        <v>523</v>
      </c>
      <c r="D53" s="265" t="s">
        <v>524</v>
      </c>
      <c r="E53" s="214"/>
      <c r="F53" s="215">
        <v>44742</v>
      </c>
      <c r="G53" s="216">
        <v>730</v>
      </c>
      <c r="H53" s="217">
        <f t="shared" si="0"/>
        <v>45472</v>
      </c>
      <c r="I53" s="218" t="str">
        <f t="shared" ca="1" si="4"/>
        <v>Faltan 14045472</v>
      </c>
      <c r="J53" s="219">
        <f t="shared" ca="1" si="2"/>
        <v>140</v>
      </c>
      <c r="K53" s="220" t="s">
        <v>525</v>
      </c>
      <c r="L53" s="218"/>
    </row>
    <row r="54" spans="2:12">
      <c r="B54" s="212" t="s">
        <v>498</v>
      </c>
      <c r="C54" s="213" t="s">
        <v>526</v>
      </c>
      <c r="D54" s="265" t="s">
        <v>527</v>
      </c>
      <c r="E54" s="214"/>
      <c r="F54" s="215">
        <v>44650</v>
      </c>
      <c r="G54" s="216">
        <v>730</v>
      </c>
      <c r="H54" s="217">
        <f t="shared" si="0"/>
        <v>45380</v>
      </c>
      <c r="I54" s="218" t="str">
        <f t="shared" ca="1" si="4"/>
        <v>Faltan 4845380</v>
      </c>
      <c r="J54" s="219">
        <f t="shared" ca="1" si="2"/>
        <v>48</v>
      </c>
      <c r="K54" s="220" t="s">
        <v>528</v>
      </c>
      <c r="L54" s="218"/>
    </row>
    <row r="55" spans="2:12">
      <c r="B55" s="212" t="s">
        <v>498</v>
      </c>
      <c r="C55" s="213" t="s">
        <v>529</v>
      </c>
      <c r="D55" s="265" t="s">
        <v>530</v>
      </c>
      <c r="E55" s="214"/>
      <c r="F55" s="215">
        <v>45012</v>
      </c>
      <c r="G55" s="216">
        <v>730</v>
      </c>
      <c r="H55" s="217">
        <f t="shared" si="0"/>
        <v>45742</v>
      </c>
      <c r="I55" s="218" t="str">
        <f t="shared" ca="1" si="4"/>
        <v>Faltan 41045742</v>
      </c>
      <c r="J55" s="219">
        <f t="shared" ca="1" si="2"/>
        <v>410</v>
      </c>
      <c r="K55" s="220" t="s">
        <v>2408</v>
      </c>
      <c r="L55" s="218"/>
    </row>
    <row r="56" spans="2:12">
      <c r="B56" s="212" t="s">
        <v>498</v>
      </c>
      <c r="C56" s="213" t="s">
        <v>531</v>
      </c>
      <c r="D56" s="265" t="s">
        <v>532</v>
      </c>
      <c r="E56" s="214"/>
      <c r="F56" s="215">
        <v>44532</v>
      </c>
      <c r="G56" s="216">
        <v>730</v>
      </c>
      <c r="H56" s="217">
        <f t="shared" si="0"/>
        <v>45262</v>
      </c>
      <c r="I56" s="218" t="str">
        <f t="shared" ca="1" si="4"/>
        <v>Vencido hace 70 dias</v>
      </c>
      <c r="J56" s="219">
        <f t="shared" ca="1" si="2"/>
        <v>-70</v>
      </c>
      <c r="K56" s="220" t="s">
        <v>533</v>
      </c>
      <c r="L56" s="218"/>
    </row>
    <row r="57" spans="2:12">
      <c r="B57" s="212" t="s">
        <v>498</v>
      </c>
      <c r="C57" s="213" t="s">
        <v>534</v>
      </c>
      <c r="D57" s="265" t="s">
        <v>535</v>
      </c>
      <c r="E57" s="214"/>
      <c r="F57" s="215">
        <v>44603</v>
      </c>
      <c r="G57" s="216">
        <v>730</v>
      </c>
      <c r="H57" s="217">
        <f t="shared" si="0"/>
        <v>45333</v>
      </c>
      <c r="I57" s="218" t="str">
        <f t="shared" ca="1" si="4"/>
        <v>Tiene 1 dias</v>
      </c>
      <c r="J57" s="219">
        <f t="shared" ca="1" si="2"/>
        <v>1</v>
      </c>
      <c r="K57" s="220" t="s">
        <v>157</v>
      </c>
      <c r="L57" s="218"/>
    </row>
    <row r="58" spans="2:12">
      <c r="B58" s="212" t="s">
        <v>498</v>
      </c>
      <c r="C58" s="213" t="s">
        <v>536</v>
      </c>
      <c r="D58" s="265" t="s">
        <v>537</v>
      </c>
      <c r="E58" s="214"/>
      <c r="F58" s="215">
        <v>44676</v>
      </c>
      <c r="G58" s="216">
        <v>730</v>
      </c>
      <c r="H58" s="217">
        <f t="shared" si="0"/>
        <v>45406</v>
      </c>
      <c r="I58" s="218" t="str">
        <f t="shared" ca="1" si="4"/>
        <v>Faltan 7445406</v>
      </c>
      <c r="J58" s="219">
        <f t="shared" ca="1" si="2"/>
        <v>74</v>
      </c>
      <c r="K58" s="208" t="s">
        <v>538</v>
      </c>
      <c r="L58" s="218"/>
    </row>
    <row r="59" spans="2:12">
      <c r="B59" s="212" t="s">
        <v>498</v>
      </c>
      <c r="C59" s="213" t="s">
        <v>539</v>
      </c>
      <c r="D59" s="265" t="s">
        <v>540</v>
      </c>
      <c r="E59" s="214"/>
      <c r="F59" s="215">
        <v>44593</v>
      </c>
      <c r="G59" s="216">
        <v>730</v>
      </c>
      <c r="H59" s="217">
        <f t="shared" si="0"/>
        <v>45323</v>
      </c>
      <c r="I59" s="218" t="str">
        <f t="shared" ca="1" si="4"/>
        <v>Vencido hace 9 dias</v>
      </c>
      <c r="J59" s="219">
        <f t="shared" ca="1" si="2"/>
        <v>-9</v>
      </c>
      <c r="K59" s="220" t="s">
        <v>541</v>
      </c>
      <c r="L59" s="218"/>
    </row>
    <row r="60" spans="2:12">
      <c r="B60" s="212" t="s">
        <v>498</v>
      </c>
      <c r="C60" s="213" t="s">
        <v>542</v>
      </c>
      <c r="D60" s="265" t="s">
        <v>543</v>
      </c>
      <c r="E60" s="214"/>
      <c r="F60" s="215">
        <v>44483</v>
      </c>
      <c r="G60" s="216">
        <v>730</v>
      </c>
      <c r="H60" s="217">
        <f t="shared" si="0"/>
        <v>45213</v>
      </c>
      <c r="I60" s="218" t="str">
        <f t="shared" ca="1" si="4"/>
        <v>Vencido hace 119 dias</v>
      </c>
      <c r="J60" s="219">
        <f t="shared" ca="1" si="2"/>
        <v>-119</v>
      </c>
      <c r="K60" s="220" t="s">
        <v>157</v>
      </c>
      <c r="L60" s="218"/>
    </row>
    <row r="61" spans="2:12">
      <c r="B61" s="212" t="s">
        <v>498</v>
      </c>
      <c r="C61" s="213" t="s">
        <v>544</v>
      </c>
      <c r="D61" s="265" t="s">
        <v>545</v>
      </c>
      <c r="E61" s="214"/>
      <c r="F61" s="215">
        <v>44740</v>
      </c>
      <c r="G61" s="216">
        <v>730</v>
      </c>
      <c r="H61" s="217">
        <f t="shared" si="0"/>
        <v>45470</v>
      </c>
      <c r="I61" s="218" t="str">
        <f t="shared" ca="1" si="4"/>
        <v>Faltan 13845470</v>
      </c>
      <c r="J61" s="219">
        <f t="shared" ca="1" si="2"/>
        <v>138</v>
      </c>
      <c r="K61" s="226" t="s">
        <v>546</v>
      </c>
      <c r="L61" s="218"/>
    </row>
    <row r="62" spans="2:12">
      <c r="B62" s="212" t="s">
        <v>498</v>
      </c>
      <c r="C62" s="213" t="s">
        <v>547</v>
      </c>
      <c r="D62" s="265" t="s">
        <v>548</v>
      </c>
      <c r="E62" s="214"/>
      <c r="F62" s="215">
        <v>44810</v>
      </c>
      <c r="G62" s="216">
        <v>730</v>
      </c>
      <c r="H62" s="217">
        <f t="shared" si="0"/>
        <v>45540</v>
      </c>
      <c r="I62" s="218" t="str">
        <f t="shared" ca="1" si="4"/>
        <v>Faltan 20845540</v>
      </c>
      <c r="J62" s="219">
        <f t="shared" ca="1" si="2"/>
        <v>208</v>
      </c>
      <c r="K62" s="220" t="s">
        <v>549</v>
      </c>
      <c r="L62" s="218"/>
    </row>
    <row r="63" spans="2:12">
      <c r="B63" s="212" t="s">
        <v>498</v>
      </c>
      <c r="C63" s="213" t="s">
        <v>550</v>
      </c>
      <c r="D63" s="265" t="s">
        <v>551</v>
      </c>
      <c r="E63" s="214"/>
      <c r="F63" s="215">
        <v>44742</v>
      </c>
      <c r="G63" s="216">
        <v>730</v>
      </c>
      <c r="H63" s="217">
        <f t="shared" si="0"/>
        <v>45472</v>
      </c>
      <c r="I63" s="218" t="str">
        <f t="shared" ca="1" si="4"/>
        <v>Faltan 14045472</v>
      </c>
      <c r="J63" s="219">
        <f t="shared" ca="1" si="2"/>
        <v>140</v>
      </c>
      <c r="K63" s="220" t="s">
        <v>552</v>
      </c>
      <c r="L63" s="218"/>
    </row>
    <row r="64" spans="2:12">
      <c r="B64" s="212" t="s">
        <v>498</v>
      </c>
      <c r="C64" s="224" t="s">
        <v>553</v>
      </c>
      <c r="D64" s="267" t="s">
        <v>554</v>
      </c>
      <c r="E64" s="215">
        <v>44782</v>
      </c>
      <c r="F64" s="215">
        <v>44782</v>
      </c>
      <c r="G64" s="216">
        <v>730</v>
      </c>
      <c r="H64" s="217">
        <f t="shared" si="0"/>
        <v>45512</v>
      </c>
      <c r="I64" s="218" t="str">
        <f t="shared" ca="1" si="4"/>
        <v>Faltan 18045512</v>
      </c>
      <c r="J64" s="219">
        <f t="shared" ca="1" si="2"/>
        <v>180</v>
      </c>
      <c r="K64" s="220" t="s">
        <v>519</v>
      </c>
      <c r="L64" s="218"/>
    </row>
    <row r="65" spans="2:12">
      <c r="B65" s="212" t="s">
        <v>498</v>
      </c>
      <c r="C65" s="224" t="s">
        <v>555</v>
      </c>
      <c r="D65" s="267" t="s">
        <v>556</v>
      </c>
      <c r="E65" s="215"/>
      <c r="F65" s="215">
        <v>44669</v>
      </c>
      <c r="G65" s="216">
        <v>730</v>
      </c>
      <c r="H65" s="217">
        <f t="shared" si="0"/>
        <v>45399</v>
      </c>
      <c r="I65" s="218" t="str">
        <f t="shared" ca="1" si="4"/>
        <v>Faltan 6745399</v>
      </c>
      <c r="J65" s="219">
        <f t="shared" ca="1" si="2"/>
        <v>67</v>
      </c>
      <c r="K65" s="220" t="s">
        <v>557</v>
      </c>
      <c r="L65" s="218"/>
    </row>
    <row r="66" spans="2:12">
      <c r="B66" s="212" t="s">
        <v>498</v>
      </c>
      <c r="C66" s="224" t="s">
        <v>558</v>
      </c>
      <c r="D66" s="267" t="s">
        <v>559</v>
      </c>
      <c r="E66" s="215"/>
      <c r="F66" s="215">
        <v>44827</v>
      </c>
      <c r="G66" s="216">
        <v>730</v>
      </c>
      <c r="H66" s="217">
        <f t="shared" si="0"/>
        <v>45557</v>
      </c>
      <c r="I66" s="218" t="str">
        <f t="shared" ca="1" si="4"/>
        <v>Faltan 22545557</v>
      </c>
      <c r="J66" s="219">
        <f t="shared" ca="1" si="2"/>
        <v>225</v>
      </c>
      <c r="K66" s="220" t="s">
        <v>519</v>
      </c>
      <c r="L66" s="218"/>
    </row>
    <row r="67" spans="2:12">
      <c r="B67" s="212" t="s">
        <v>498</v>
      </c>
      <c r="C67" s="224" t="s">
        <v>560</v>
      </c>
      <c r="D67" s="267" t="s">
        <v>561</v>
      </c>
      <c r="E67" s="215"/>
      <c r="F67" s="215">
        <v>44735</v>
      </c>
      <c r="G67" s="216">
        <v>730</v>
      </c>
      <c r="H67" s="217">
        <f t="shared" si="0"/>
        <v>45465</v>
      </c>
      <c r="I67" s="218" t="str">
        <f t="shared" ca="1" si="4"/>
        <v>Faltan 13345465</v>
      </c>
      <c r="J67" s="219">
        <f t="shared" ca="1" si="2"/>
        <v>133</v>
      </c>
      <c r="K67" s="220" t="s">
        <v>562</v>
      </c>
      <c r="L67" s="218"/>
    </row>
    <row r="68" spans="2:12">
      <c r="B68" s="212" t="s">
        <v>498</v>
      </c>
      <c r="C68" s="224" t="s">
        <v>563</v>
      </c>
      <c r="D68" s="266" t="s">
        <v>564</v>
      </c>
      <c r="E68" s="215" t="s">
        <v>2379</v>
      </c>
      <c r="F68" s="215">
        <v>44166</v>
      </c>
      <c r="G68" s="216">
        <v>730</v>
      </c>
      <c r="H68" s="217">
        <f t="shared" ref="H68:H131" si="5">F68+G68</f>
        <v>44896</v>
      </c>
      <c r="I68" s="218" t="str">
        <f ca="1">IF(H68="","VACIO",IF(J68&lt;0,"Vencido hace "&amp;J68*-1&amp;" dias",IF(J68=0,"Vencido Hoy",IF(J68&lt;8,"Tiene "&amp; J68 &amp;" dias","Faltan "&amp;J68*1&amp;H68))))</f>
        <v>Vencido hace 436 dias</v>
      </c>
      <c r="J68" s="219">
        <f t="shared" ref="J68:J131" ca="1" si="6">H68-$B$2</f>
        <v>-436</v>
      </c>
      <c r="K68" s="220" t="s">
        <v>565</v>
      </c>
      <c r="L68" s="218"/>
    </row>
    <row r="69" spans="2:12">
      <c r="B69" s="212" t="s">
        <v>498</v>
      </c>
      <c r="C69" s="224" t="s">
        <v>566</v>
      </c>
      <c r="D69" s="267" t="s">
        <v>567</v>
      </c>
      <c r="E69" s="214" t="s">
        <v>2409</v>
      </c>
      <c r="F69" s="215">
        <v>43748</v>
      </c>
      <c r="G69" s="216">
        <v>730</v>
      </c>
      <c r="H69" s="217">
        <f t="shared" si="5"/>
        <v>44478</v>
      </c>
      <c r="I69" s="218" t="str">
        <f t="shared" ref="I69:I81" ca="1" si="7">IF(H69="","VACIO",IF(J69&lt;0,"Vencido hace "&amp;J69*-1&amp;" dias",IF(J69=0,"Vencido Hoy",IF(J69&lt;8,"Tiene "&amp; J69 &amp;" dias","Faltan "&amp;J69&amp;H69))))</f>
        <v>Vencido hace 854 dias</v>
      </c>
      <c r="J69" s="219">
        <f t="shared" ca="1" si="6"/>
        <v>-854</v>
      </c>
      <c r="K69" s="220" t="s">
        <v>568</v>
      </c>
      <c r="L69" s="218"/>
    </row>
    <row r="70" spans="2:12">
      <c r="B70" s="212" t="s">
        <v>498</v>
      </c>
      <c r="C70" s="224" t="s">
        <v>569</v>
      </c>
      <c r="D70" s="267" t="s">
        <v>570</v>
      </c>
      <c r="E70" s="215" t="s">
        <v>571</v>
      </c>
      <c r="F70" s="215">
        <v>44799</v>
      </c>
      <c r="G70" s="216">
        <v>730</v>
      </c>
      <c r="H70" s="217">
        <f t="shared" si="5"/>
        <v>45529</v>
      </c>
      <c r="I70" s="218" t="str">
        <f t="shared" ca="1" si="7"/>
        <v>Faltan 19745529</v>
      </c>
      <c r="J70" s="219">
        <f t="shared" ca="1" si="6"/>
        <v>197</v>
      </c>
      <c r="K70" s="220" t="s">
        <v>572</v>
      </c>
      <c r="L70" s="218"/>
    </row>
    <row r="71" spans="2:12">
      <c r="B71" s="212" t="s">
        <v>498</v>
      </c>
      <c r="C71" s="224" t="s">
        <v>573</v>
      </c>
      <c r="D71" s="266" t="s">
        <v>574</v>
      </c>
      <c r="E71" s="214"/>
      <c r="F71" s="215">
        <v>44753</v>
      </c>
      <c r="G71" s="216">
        <v>730</v>
      </c>
      <c r="H71" s="217">
        <f t="shared" si="5"/>
        <v>45483</v>
      </c>
      <c r="I71" s="218" t="str">
        <f t="shared" ca="1" si="7"/>
        <v>Faltan 15145483</v>
      </c>
      <c r="J71" s="219">
        <f t="shared" ca="1" si="6"/>
        <v>151</v>
      </c>
      <c r="K71" s="220" t="s">
        <v>575</v>
      </c>
      <c r="L71" s="218"/>
    </row>
    <row r="72" spans="2:12">
      <c r="B72" s="212" t="s">
        <v>498</v>
      </c>
      <c r="C72" s="224" t="s">
        <v>576</v>
      </c>
      <c r="D72" s="266" t="s">
        <v>577</v>
      </c>
      <c r="E72" s="214"/>
      <c r="F72" s="215">
        <v>44593</v>
      </c>
      <c r="G72" s="216">
        <v>730</v>
      </c>
      <c r="H72" s="217">
        <f t="shared" si="5"/>
        <v>45323</v>
      </c>
      <c r="I72" s="218" t="str">
        <f t="shared" ca="1" si="7"/>
        <v>Vencido hace 9 dias</v>
      </c>
      <c r="J72" s="219">
        <f t="shared" ca="1" si="6"/>
        <v>-9</v>
      </c>
      <c r="K72" s="220" t="s">
        <v>578</v>
      </c>
      <c r="L72" s="218"/>
    </row>
    <row r="73" spans="2:12">
      <c r="B73" s="212" t="s">
        <v>579</v>
      </c>
      <c r="C73" s="213" t="s">
        <v>580</v>
      </c>
      <c r="D73" s="265" t="s">
        <v>581</v>
      </c>
      <c r="E73" s="214"/>
      <c r="F73" s="215">
        <v>44248</v>
      </c>
      <c r="G73" s="216">
        <v>730</v>
      </c>
      <c r="H73" s="217">
        <f t="shared" si="5"/>
        <v>44978</v>
      </c>
      <c r="I73" s="218" t="str">
        <f t="shared" ca="1" si="7"/>
        <v>Vencido hace 354 dias</v>
      </c>
      <c r="J73" s="219">
        <f t="shared" ca="1" si="6"/>
        <v>-354</v>
      </c>
      <c r="K73" s="220" t="s">
        <v>582</v>
      </c>
      <c r="L73" s="218"/>
    </row>
    <row r="74" spans="2:12">
      <c r="B74" s="212" t="s">
        <v>579</v>
      </c>
      <c r="C74" s="213" t="s">
        <v>583</v>
      </c>
      <c r="D74" s="265" t="s">
        <v>584</v>
      </c>
      <c r="E74" s="214"/>
      <c r="F74" s="215">
        <v>44431</v>
      </c>
      <c r="G74" s="216">
        <v>730</v>
      </c>
      <c r="H74" s="217">
        <f t="shared" si="5"/>
        <v>45161</v>
      </c>
      <c r="I74" s="218" t="str">
        <f t="shared" ca="1" si="7"/>
        <v>Vencido hace 171 dias</v>
      </c>
      <c r="J74" s="219">
        <f t="shared" ca="1" si="6"/>
        <v>-171</v>
      </c>
      <c r="K74" s="220" t="s">
        <v>585</v>
      </c>
      <c r="L74" s="218"/>
    </row>
    <row r="75" spans="2:12">
      <c r="B75" s="212" t="s">
        <v>579</v>
      </c>
      <c r="C75" s="213" t="s">
        <v>586</v>
      </c>
      <c r="D75" s="265" t="s">
        <v>587</v>
      </c>
      <c r="E75" s="215">
        <v>44781</v>
      </c>
      <c r="F75" s="215">
        <v>44781</v>
      </c>
      <c r="G75" s="216">
        <v>730</v>
      </c>
      <c r="H75" s="217">
        <f t="shared" si="5"/>
        <v>45511</v>
      </c>
      <c r="I75" s="218" t="str">
        <f t="shared" ca="1" si="7"/>
        <v>Faltan 17945511</v>
      </c>
      <c r="J75" s="219">
        <f t="shared" ca="1" si="6"/>
        <v>179</v>
      </c>
      <c r="K75" s="220" t="s">
        <v>519</v>
      </c>
      <c r="L75" s="218"/>
    </row>
    <row r="76" spans="2:12">
      <c r="B76" s="212" t="s">
        <v>579</v>
      </c>
      <c r="C76" s="213" t="s">
        <v>588</v>
      </c>
      <c r="D76" s="265" t="s">
        <v>589</v>
      </c>
      <c r="E76" s="215">
        <v>44802</v>
      </c>
      <c r="F76" s="215">
        <v>44802</v>
      </c>
      <c r="G76" s="216">
        <v>730</v>
      </c>
      <c r="H76" s="217">
        <f t="shared" si="5"/>
        <v>45532</v>
      </c>
      <c r="I76" s="218" t="str">
        <f t="shared" ca="1" si="7"/>
        <v>Faltan 20045532</v>
      </c>
      <c r="J76" s="219">
        <f t="shared" ca="1" si="6"/>
        <v>200</v>
      </c>
      <c r="K76" s="220" t="s">
        <v>519</v>
      </c>
      <c r="L76" s="218"/>
    </row>
    <row r="77" spans="2:12">
      <c r="B77" s="212" t="s">
        <v>579</v>
      </c>
      <c r="C77" s="213" t="s">
        <v>590</v>
      </c>
      <c r="D77" s="265" t="s">
        <v>591</v>
      </c>
      <c r="E77" s="215">
        <v>44785</v>
      </c>
      <c r="F77" s="215">
        <v>44785</v>
      </c>
      <c r="G77" s="216">
        <v>730</v>
      </c>
      <c r="H77" s="217">
        <f t="shared" si="5"/>
        <v>45515</v>
      </c>
      <c r="I77" s="218" t="str">
        <f t="shared" ca="1" si="7"/>
        <v>Faltan 18345515</v>
      </c>
      <c r="J77" s="219">
        <f t="shared" ca="1" si="6"/>
        <v>183</v>
      </c>
      <c r="K77" s="220" t="s">
        <v>592</v>
      </c>
      <c r="L77" s="218"/>
    </row>
    <row r="78" spans="2:12">
      <c r="B78" s="212" t="s">
        <v>579</v>
      </c>
      <c r="C78" s="213" t="s">
        <v>593</v>
      </c>
      <c r="D78" s="265" t="s">
        <v>594</v>
      </c>
      <c r="E78" s="214"/>
      <c r="F78" s="215">
        <v>44245</v>
      </c>
      <c r="G78" s="216">
        <v>730</v>
      </c>
      <c r="H78" s="217">
        <f t="shared" si="5"/>
        <v>44975</v>
      </c>
      <c r="I78" s="218" t="str">
        <f t="shared" ca="1" si="7"/>
        <v>Vencido hace 357 dias</v>
      </c>
      <c r="J78" s="219">
        <f t="shared" ca="1" si="6"/>
        <v>-357</v>
      </c>
      <c r="K78" s="220" t="s">
        <v>595</v>
      </c>
      <c r="L78" s="218"/>
    </row>
    <row r="79" spans="2:12">
      <c r="B79" s="212" t="s">
        <v>579</v>
      </c>
      <c r="C79" s="213" t="s">
        <v>596</v>
      </c>
      <c r="D79" s="265" t="s">
        <v>597</v>
      </c>
      <c r="E79" s="214" t="s">
        <v>598</v>
      </c>
      <c r="F79" s="215">
        <v>44645</v>
      </c>
      <c r="G79" s="216">
        <v>730</v>
      </c>
      <c r="H79" s="217">
        <f t="shared" si="5"/>
        <v>45375</v>
      </c>
      <c r="I79" s="218" t="str">
        <f t="shared" ca="1" si="7"/>
        <v>Faltan 4345375</v>
      </c>
      <c r="J79" s="219">
        <f t="shared" ca="1" si="6"/>
        <v>43</v>
      </c>
      <c r="K79" s="220" t="s">
        <v>599</v>
      </c>
      <c r="L79" s="218"/>
    </row>
    <row r="80" spans="2:12">
      <c r="B80" s="212" t="s">
        <v>579</v>
      </c>
      <c r="C80" s="224" t="s">
        <v>600</v>
      </c>
      <c r="D80" s="267" t="s">
        <v>601</v>
      </c>
      <c r="E80" s="215">
        <v>44802</v>
      </c>
      <c r="F80" s="215">
        <v>44802</v>
      </c>
      <c r="G80" s="216">
        <v>730</v>
      </c>
      <c r="H80" s="217">
        <f t="shared" si="5"/>
        <v>45532</v>
      </c>
      <c r="I80" s="218" t="str">
        <f t="shared" ca="1" si="7"/>
        <v>Faltan 20045532</v>
      </c>
      <c r="J80" s="219">
        <f t="shared" ca="1" si="6"/>
        <v>200</v>
      </c>
      <c r="K80" s="220" t="s">
        <v>602</v>
      </c>
      <c r="L80" s="218"/>
    </row>
    <row r="81" spans="2:12">
      <c r="B81" s="212" t="s">
        <v>579</v>
      </c>
      <c r="C81" s="224" t="s">
        <v>603</v>
      </c>
      <c r="D81" s="267" t="s">
        <v>604</v>
      </c>
      <c r="E81" s="214"/>
      <c r="F81" s="215">
        <v>44396</v>
      </c>
      <c r="G81" s="216">
        <v>730</v>
      </c>
      <c r="H81" s="217">
        <f t="shared" si="5"/>
        <v>45126</v>
      </c>
      <c r="I81" s="218" t="str">
        <f t="shared" ca="1" si="7"/>
        <v>Vencido hace 206 dias</v>
      </c>
      <c r="J81" s="219">
        <f t="shared" ca="1" si="6"/>
        <v>-206</v>
      </c>
      <c r="K81" s="220" t="s">
        <v>605</v>
      </c>
      <c r="L81" s="218"/>
    </row>
    <row r="82" spans="2:12">
      <c r="B82" s="212" t="s">
        <v>579</v>
      </c>
      <c r="C82" s="224" t="s">
        <v>606</v>
      </c>
      <c r="D82" s="267" t="s">
        <v>607</v>
      </c>
      <c r="E82" s="214" t="s">
        <v>608</v>
      </c>
      <c r="F82" s="215">
        <v>44708</v>
      </c>
      <c r="G82" s="216">
        <v>730</v>
      </c>
      <c r="H82" s="217">
        <f t="shared" si="5"/>
        <v>45438</v>
      </c>
      <c r="I82" s="218" t="str">
        <f ca="1">IF(H82="","VACIO",IF(J82&lt;0,"Vencido hace "&amp;J82*-1&amp;" dias",IF(J82=0,"Vencido Hoy",IF(J82&lt;8,"Tiene "&amp; J82 &amp;" dias","Faltan "&amp;J82*1&amp;H82))))</f>
        <v>Faltan 10645438</v>
      </c>
      <c r="J82" s="219">
        <f t="shared" ca="1" si="6"/>
        <v>106</v>
      </c>
      <c r="K82" s="220" t="s">
        <v>386</v>
      </c>
      <c r="L82" s="218"/>
    </row>
    <row r="83" spans="2:12">
      <c r="B83" s="212" t="s">
        <v>579</v>
      </c>
      <c r="C83" s="224" t="s">
        <v>609</v>
      </c>
      <c r="D83" s="267" t="s">
        <v>610</v>
      </c>
      <c r="E83" s="214"/>
      <c r="F83" s="215">
        <v>44721</v>
      </c>
      <c r="G83" s="216">
        <v>730</v>
      </c>
      <c r="H83" s="217">
        <f t="shared" si="5"/>
        <v>45451</v>
      </c>
      <c r="I83" s="218" t="str">
        <f t="shared" ref="I83:I89" ca="1" si="8">IF(H83="","VACIO",IF(J83&lt;0,"Vencido hace "&amp;J83*-1&amp;" dias",IF(J83=0,"Vencido Hoy",IF(J83&lt;8,"Tiene "&amp; J83 &amp;" dias","Faltan "&amp;J83&amp;H83))))</f>
        <v>Faltan 11945451</v>
      </c>
      <c r="J83" s="219">
        <f t="shared" ca="1" si="6"/>
        <v>119</v>
      </c>
      <c r="K83" s="220" t="s">
        <v>611</v>
      </c>
      <c r="L83" s="218"/>
    </row>
    <row r="84" spans="2:12">
      <c r="B84" s="212" t="s">
        <v>579</v>
      </c>
      <c r="C84" s="213" t="s">
        <v>612</v>
      </c>
      <c r="D84" s="265" t="s">
        <v>613</v>
      </c>
      <c r="E84" s="214" t="s">
        <v>598</v>
      </c>
      <c r="F84" s="215">
        <v>44505</v>
      </c>
      <c r="G84" s="216">
        <v>730</v>
      </c>
      <c r="H84" s="217">
        <f t="shared" si="5"/>
        <v>45235</v>
      </c>
      <c r="I84" s="218" t="str">
        <f t="shared" ca="1" si="8"/>
        <v>Vencido hace 97 dias</v>
      </c>
      <c r="J84" s="219">
        <f t="shared" ca="1" si="6"/>
        <v>-97</v>
      </c>
      <c r="K84" s="220" t="s">
        <v>614</v>
      </c>
      <c r="L84" s="218"/>
    </row>
    <row r="85" spans="2:12">
      <c r="B85" s="212" t="s">
        <v>615</v>
      </c>
      <c r="C85" s="224" t="s">
        <v>616</v>
      </c>
      <c r="D85" s="267" t="s">
        <v>617</v>
      </c>
      <c r="E85" s="214"/>
      <c r="F85" s="215">
        <v>44755</v>
      </c>
      <c r="G85" s="216">
        <v>730</v>
      </c>
      <c r="H85" s="217">
        <f t="shared" si="5"/>
        <v>45485</v>
      </c>
      <c r="I85" s="218" t="str">
        <f t="shared" ca="1" si="8"/>
        <v>Faltan 15345485</v>
      </c>
      <c r="J85" s="219">
        <f t="shared" ca="1" si="6"/>
        <v>153</v>
      </c>
      <c r="K85" s="220" t="s">
        <v>618</v>
      </c>
      <c r="L85" s="218"/>
    </row>
    <row r="86" spans="2:12">
      <c r="B86" s="212" t="s">
        <v>615</v>
      </c>
      <c r="C86" s="213" t="s">
        <v>619</v>
      </c>
      <c r="D86" s="265" t="s">
        <v>620</v>
      </c>
      <c r="E86" s="214"/>
      <c r="F86" s="215">
        <v>44880</v>
      </c>
      <c r="G86" s="216">
        <v>730</v>
      </c>
      <c r="H86" s="217">
        <f t="shared" si="5"/>
        <v>45610</v>
      </c>
      <c r="I86" s="218" t="str">
        <f t="shared" ca="1" si="8"/>
        <v>Faltan 27845610</v>
      </c>
      <c r="J86" s="219">
        <f t="shared" ca="1" si="6"/>
        <v>278</v>
      </c>
      <c r="K86" s="220" t="s">
        <v>582</v>
      </c>
      <c r="L86" s="218"/>
    </row>
    <row r="87" spans="2:12">
      <c r="B87" s="212" t="s">
        <v>615</v>
      </c>
      <c r="C87" s="213" t="s">
        <v>621</v>
      </c>
      <c r="D87" s="265" t="s">
        <v>622</v>
      </c>
      <c r="E87" s="214"/>
      <c r="F87" s="215">
        <v>44396</v>
      </c>
      <c r="G87" s="216">
        <v>730</v>
      </c>
      <c r="H87" s="217">
        <f t="shared" si="5"/>
        <v>45126</v>
      </c>
      <c r="I87" s="218" t="str">
        <f t="shared" ca="1" si="8"/>
        <v>Vencido hace 206 dias</v>
      </c>
      <c r="J87" s="219">
        <f t="shared" ca="1" si="6"/>
        <v>-206</v>
      </c>
      <c r="K87" s="220" t="s">
        <v>296</v>
      </c>
      <c r="L87" s="218"/>
    </row>
    <row r="88" spans="2:12">
      <c r="B88" s="212" t="s">
        <v>615</v>
      </c>
      <c r="C88" s="213" t="s">
        <v>623</v>
      </c>
      <c r="D88" s="265" t="s">
        <v>624</v>
      </c>
      <c r="E88" s="214"/>
      <c r="F88" s="215">
        <v>44755</v>
      </c>
      <c r="G88" s="216">
        <v>730</v>
      </c>
      <c r="H88" s="217">
        <f t="shared" si="5"/>
        <v>45485</v>
      </c>
      <c r="I88" s="218" t="str">
        <f t="shared" ca="1" si="8"/>
        <v>Faltan 15345485</v>
      </c>
      <c r="J88" s="219">
        <f t="shared" ca="1" si="6"/>
        <v>153</v>
      </c>
      <c r="K88" s="220" t="s">
        <v>575</v>
      </c>
      <c r="L88" s="218"/>
    </row>
    <row r="89" spans="2:12">
      <c r="B89" s="212" t="s">
        <v>615</v>
      </c>
      <c r="C89" s="213" t="s">
        <v>625</v>
      </c>
      <c r="D89" s="265" t="s">
        <v>626</v>
      </c>
      <c r="E89" s="214"/>
      <c r="F89" s="215">
        <v>44488</v>
      </c>
      <c r="G89" s="216">
        <v>730</v>
      </c>
      <c r="H89" s="217">
        <f t="shared" si="5"/>
        <v>45218</v>
      </c>
      <c r="I89" s="218" t="str">
        <f t="shared" ca="1" si="8"/>
        <v>Vencido hace 114 dias</v>
      </c>
      <c r="J89" s="219">
        <f t="shared" ca="1" si="6"/>
        <v>-114</v>
      </c>
      <c r="K89" s="220" t="s">
        <v>541</v>
      </c>
      <c r="L89" s="218"/>
    </row>
    <row r="90" spans="2:12">
      <c r="B90" s="212" t="s">
        <v>615</v>
      </c>
      <c r="C90" s="224" t="s">
        <v>627</v>
      </c>
      <c r="D90" s="267" t="s">
        <v>628</v>
      </c>
      <c r="E90" s="214"/>
      <c r="F90" s="215">
        <v>44658</v>
      </c>
      <c r="G90" s="216">
        <v>730</v>
      </c>
      <c r="H90" s="217">
        <f t="shared" si="5"/>
        <v>45388</v>
      </c>
      <c r="I90" s="218" t="str">
        <f ca="1">IF(H90="","VACIO",IF(J90&lt;0,"Vencido hace "&amp;J90*-1&amp;" dias",IF(J90=0,"Vencido Hoy",IF(J90&lt;8,"Tiene "&amp; J90 &amp;" dias","Faltan "&amp;J90*1&amp;H90))))</f>
        <v>Faltan 5645388</v>
      </c>
      <c r="J90" s="219">
        <f t="shared" ca="1" si="6"/>
        <v>56</v>
      </c>
      <c r="K90" s="220" t="s">
        <v>629</v>
      </c>
      <c r="L90" s="218"/>
    </row>
    <row r="91" spans="2:12">
      <c r="B91" s="212" t="s">
        <v>615</v>
      </c>
      <c r="C91" s="224" t="s">
        <v>630</v>
      </c>
      <c r="D91" s="267" t="s">
        <v>631</v>
      </c>
      <c r="E91" s="214"/>
      <c r="F91" s="215">
        <v>44686</v>
      </c>
      <c r="G91" s="216">
        <v>730</v>
      </c>
      <c r="H91" s="217">
        <f t="shared" si="5"/>
        <v>45416</v>
      </c>
      <c r="I91" s="218" t="str">
        <f t="shared" ref="I91:I102" ca="1" si="9">IF(H91="","VACIO",IF(J91&lt;0,"Vencido hace "&amp;J91*-1&amp;" dias",IF(J91=0,"Vencido Hoy",IF(J91&lt;8,"Tiene "&amp; J91 &amp;" dias","Faltan "&amp;J91&amp;H91))))</f>
        <v>Faltan 8445416</v>
      </c>
      <c r="J91" s="219">
        <f t="shared" ca="1" si="6"/>
        <v>84</v>
      </c>
      <c r="K91" s="220" t="s">
        <v>632</v>
      </c>
      <c r="L91" s="218"/>
    </row>
    <row r="92" spans="2:12">
      <c r="B92" s="212" t="s">
        <v>633</v>
      </c>
      <c r="C92" s="213" t="s">
        <v>634</v>
      </c>
      <c r="D92" s="265" t="s">
        <v>635</v>
      </c>
      <c r="E92" s="214"/>
      <c r="F92" s="215">
        <v>45002</v>
      </c>
      <c r="G92" s="216">
        <v>730</v>
      </c>
      <c r="H92" s="217">
        <f t="shared" si="5"/>
        <v>45732</v>
      </c>
      <c r="I92" s="218" t="str">
        <f t="shared" ca="1" si="9"/>
        <v>Faltan 40045732</v>
      </c>
      <c r="J92" s="219">
        <f t="shared" ca="1" si="6"/>
        <v>400</v>
      </c>
      <c r="K92" s="220" t="s">
        <v>288</v>
      </c>
      <c r="L92" s="218"/>
    </row>
    <row r="93" spans="2:12">
      <c r="B93" s="212" t="s">
        <v>633</v>
      </c>
      <c r="C93" s="213" t="s">
        <v>636</v>
      </c>
      <c r="D93" s="265" t="s">
        <v>637</v>
      </c>
      <c r="E93" s="214"/>
      <c r="F93" s="215">
        <v>44645</v>
      </c>
      <c r="G93" s="216">
        <v>730</v>
      </c>
      <c r="H93" s="217">
        <f t="shared" si="5"/>
        <v>45375</v>
      </c>
      <c r="I93" s="218" t="str">
        <f t="shared" ca="1" si="9"/>
        <v>Faltan 4345375</v>
      </c>
      <c r="J93" s="219">
        <f t="shared" ca="1" si="6"/>
        <v>43</v>
      </c>
      <c r="K93" s="220" t="s">
        <v>638</v>
      </c>
      <c r="L93" s="218"/>
    </row>
    <row r="94" spans="2:12">
      <c r="B94" s="212" t="s">
        <v>633</v>
      </c>
      <c r="C94" s="213" t="s">
        <v>639</v>
      </c>
      <c r="D94" s="265" t="s">
        <v>640</v>
      </c>
      <c r="E94" s="214"/>
      <c r="F94" s="215">
        <v>44235</v>
      </c>
      <c r="G94" s="216">
        <v>730</v>
      </c>
      <c r="H94" s="217">
        <f t="shared" si="5"/>
        <v>44965</v>
      </c>
      <c r="I94" s="218" t="str">
        <f t="shared" ca="1" si="9"/>
        <v>Vencido hace 367 dias</v>
      </c>
      <c r="J94" s="219">
        <f t="shared" ca="1" si="6"/>
        <v>-367</v>
      </c>
      <c r="K94" s="220" t="s">
        <v>641</v>
      </c>
      <c r="L94" s="218"/>
    </row>
    <row r="95" spans="2:12">
      <c r="B95" s="212" t="s">
        <v>633</v>
      </c>
      <c r="C95" s="213" t="s">
        <v>642</v>
      </c>
      <c r="D95" s="265" t="s">
        <v>643</v>
      </c>
      <c r="E95" s="214"/>
      <c r="F95" s="215">
        <v>44456</v>
      </c>
      <c r="G95" s="216">
        <v>730</v>
      </c>
      <c r="H95" s="217">
        <f t="shared" si="5"/>
        <v>45186</v>
      </c>
      <c r="I95" s="218" t="str">
        <f t="shared" ca="1" si="9"/>
        <v>Vencido hace 146 dias</v>
      </c>
      <c r="J95" s="219">
        <f t="shared" ca="1" si="6"/>
        <v>-146</v>
      </c>
      <c r="K95" s="220" t="s">
        <v>644</v>
      </c>
      <c r="L95" s="218"/>
    </row>
    <row r="96" spans="2:12">
      <c r="B96" s="212" t="s">
        <v>633</v>
      </c>
      <c r="C96" s="213" t="s">
        <v>645</v>
      </c>
      <c r="D96" s="265" t="s">
        <v>646</v>
      </c>
      <c r="E96" s="214"/>
      <c r="F96" s="215">
        <v>44978</v>
      </c>
      <c r="G96" s="216">
        <v>730</v>
      </c>
      <c r="H96" s="217">
        <f t="shared" si="5"/>
        <v>45708</v>
      </c>
      <c r="I96" s="218" t="str">
        <f t="shared" ca="1" si="9"/>
        <v>Faltan 37645708</v>
      </c>
      <c r="J96" s="219">
        <f t="shared" ca="1" si="6"/>
        <v>376</v>
      </c>
      <c r="K96" s="220" t="s">
        <v>605</v>
      </c>
      <c r="L96" s="218"/>
    </row>
    <row r="97" spans="2:12">
      <c r="B97" s="212" t="s">
        <v>633</v>
      </c>
      <c r="C97" s="213" t="s">
        <v>647</v>
      </c>
      <c r="D97" s="266" t="s">
        <v>648</v>
      </c>
      <c r="E97" s="214" t="s">
        <v>649</v>
      </c>
      <c r="F97" s="215">
        <v>44750</v>
      </c>
      <c r="G97" s="216">
        <v>730</v>
      </c>
      <c r="H97" s="217">
        <f t="shared" si="5"/>
        <v>45480</v>
      </c>
      <c r="I97" s="218" t="str">
        <f t="shared" ca="1" si="9"/>
        <v>Faltan 14845480</v>
      </c>
      <c r="J97" s="219">
        <f t="shared" ca="1" si="6"/>
        <v>148</v>
      </c>
      <c r="K97" s="220" t="s">
        <v>650</v>
      </c>
      <c r="L97" s="218"/>
    </row>
    <row r="98" spans="2:12">
      <c r="B98" s="212" t="s">
        <v>633</v>
      </c>
      <c r="C98" s="213" t="s">
        <v>651</v>
      </c>
      <c r="D98" s="265" t="s">
        <v>652</v>
      </c>
      <c r="E98" s="214"/>
      <c r="F98" s="215">
        <v>44624</v>
      </c>
      <c r="G98" s="216">
        <v>730</v>
      </c>
      <c r="H98" s="217">
        <f t="shared" si="5"/>
        <v>45354</v>
      </c>
      <c r="I98" s="218" t="str">
        <f t="shared" ca="1" si="9"/>
        <v>Faltan 2245354</v>
      </c>
      <c r="J98" s="219">
        <f t="shared" ca="1" si="6"/>
        <v>22</v>
      </c>
      <c r="K98" s="220" t="s">
        <v>653</v>
      </c>
      <c r="L98" s="218"/>
    </row>
    <row r="99" spans="2:12">
      <c r="B99" s="212" t="s">
        <v>633</v>
      </c>
      <c r="C99" s="213" t="s">
        <v>654</v>
      </c>
      <c r="D99" s="265" t="s">
        <v>655</v>
      </c>
      <c r="E99" s="214"/>
      <c r="F99" s="215">
        <v>44984</v>
      </c>
      <c r="G99" s="216">
        <v>730</v>
      </c>
      <c r="H99" s="217">
        <f t="shared" si="5"/>
        <v>45714</v>
      </c>
      <c r="I99" s="218" t="str">
        <f t="shared" ca="1" si="9"/>
        <v>Faltan 38245714</v>
      </c>
      <c r="J99" s="219">
        <f t="shared" ca="1" si="6"/>
        <v>382</v>
      </c>
      <c r="K99" s="220" t="s">
        <v>2412</v>
      </c>
      <c r="L99" s="218"/>
    </row>
    <row r="100" spans="2:12">
      <c r="B100" s="212" t="s">
        <v>633</v>
      </c>
      <c r="C100" s="224" t="s">
        <v>656</v>
      </c>
      <c r="D100" s="267" t="s">
        <v>657</v>
      </c>
      <c r="E100" s="214"/>
      <c r="F100" s="215">
        <v>44334</v>
      </c>
      <c r="G100" s="216">
        <v>730</v>
      </c>
      <c r="H100" s="217">
        <f t="shared" si="5"/>
        <v>45064</v>
      </c>
      <c r="I100" s="218" t="str">
        <f t="shared" ca="1" si="9"/>
        <v>Vencido hace 268 dias</v>
      </c>
      <c r="J100" s="219">
        <f t="shared" ca="1" si="6"/>
        <v>-268</v>
      </c>
      <c r="K100" s="220" t="s">
        <v>658</v>
      </c>
      <c r="L100" s="218"/>
    </row>
    <row r="101" spans="2:12">
      <c r="B101" s="212" t="s">
        <v>633</v>
      </c>
      <c r="C101" s="224" t="s">
        <v>659</v>
      </c>
      <c r="D101" s="267" t="s">
        <v>660</v>
      </c>
      <c r="E101" s="214"/>
      <c r="F101" s="215">
        <v>44273</v>
      </c>
      <c r="G101" s="216">
        <v>730</v>
      </c>
      <c r="H101" s="217">
        <f t="shared" si="5"/>
        <v>45003</v>
      </c>
      <c r="I101" s="218" t="str">
        <f t="shared" ca="1" si="9"/>
        <v>Vencido hace 329 dias</v>
      </c>
      <c r="J101" s="219">
        <f t="shared" ca="1" si="6"/>
        <v>-329</v>
      </c>
      <c r="K101" s="220" t="s">
        <v>661</v>
      </c>
      <c r="L101" s="218"/>
    </row>
    <row r="102" spans="2:12">
      <c r="B102" s="212" t="s">
        <v>633</v>
      </c>
      <c r="C102" s="224" t="s">
        <v>662</v>
      </c>
      <c r="D102" s="267" t="s">
        <v>663</v>
      </c>
      <c r="E102" s="214" t="s">
        <v>2380</v>
      </c>
      <c r="F102" s="215">
        <v>44068</v>
      </c>
      <c r="G102" s="216">
        <v>730</v>
      </c>
      <c r="H102" s="217">
        <f t="shared" si="5"/>
        <v>44798</v>
      </c>
      <c r="I102" s="218" t="str">
        <f t="shared" ca="1" si="9"/>
        <v>Vencido hace 534 dias</v>
      </c>
      <c r="J102" s="219">
        <f t="shared" ca="1" si="6"/>
        <v>-534</v>
      </c>
      <c r="K102" s="220" t="s">
        <v>664</v>
      </c>
      <c r="L102" s="218"/>
    </row>
    <row r="103" spans="2:12">
      <c r="B103" s="212" t="s">
        <v>633</v>
      </c>
      <c r="C103" s="224" t="s">
        <v>665</v>
      </c>
      <c r="D103" s="266" t="s">
        <v>666</v>
      </c>
      <c r="E103" s="214"/>
      <c r="F103" s="215">
        <v>44351</v>
      </c>
      <c r="G103" s="216">
        <v>730</v>
      </c>
      <c r="H103" s="217">
        <f t="shared" si="5"/>
        <v>45081</v>
      </c>
      <c r="I103" s="218" t="str">
        <f ca="1">IF(H103="","VACIO",IF(J103&lt;0,"Vencido hace "&amp;J103*-1&amp;" dias",IF(J103=0,"Vencido Hoy",IF(J103&lt;8,"Tiene "&amp; J103 &amp;" dias","Faltan "&amp;J103*1&amp;H103))))</f>
        <v>Vencido hace 251 dias</v>
      </c>
      <c r="J103" s="219">
        <f t="shared" ca="1" si="6"/>
        <v>-251</v>
      </c>
      <c r="K103" s="220" t="s">
        <v>605</v>
      </c>
      <c r="L103" s="218"/>
    </row>
    <row r="104" spans="2:12">
      <c r="B104" s="212" t="s">
        <v>633</v>
      </c>
      <c r="C104" s="224" t="s">
        <v>667</v>
      </c>
      <c r="D104" s="267" t="s">
        <v>668</v>
      </c>
      <c r="E104" s="214"/>
      <c r="F104" s="215">
        <v>44468</v>
      </c>
      <c r="G104" s="216">
        <v>730</v>
      </c>
      <c r="H104" s="217">
        <f t="shared" si="5"/>
        <v>45198</v>
      </c>
      <c r="I104" s="218" t="str">
        <f ca="1">IF(H104="","VACIO",IF(J104&lt;0,"Vencido hace "&amp;J104*-1&amp;" dias",IF(J104=0,"Vencido Hoy",IF(J104&lt;8,"Tiene "&amp; J104 &amp;" dias","Faltan "&amp;J104*1&amp;H104))))</f>
        <v>Vencido hace 134 dias</v>
      </c>
      <c r="J104" s="219">
        <f t="shared" ca="1" si="6"/>
        <v>-134</v>
      </c>
      <c r="K104" s="220"/>
      <c r="L104" s="218"/>
    </row>
    <row r="105" spans="2:12">
      <c r="B105" s="212" t="s">
        <v>633</v>
      </c>
      <c r="C105" s="224" t="s">
        <v>669</v>
      </c>
      <c r="D105" s="267" t="s">
        <v>670</v>
      </c>
      <c r="E105" s="214"/>
      <c r="F105" s="215">
        <v>44651</v>
      </c>
      <c r="G105" s="216">
        <v>730</v>
      </c>
      <c r="H105" s="217">
        <f t="shared" si="5"/>
        <v>45381</v>
      </c>
      <c r="I105" s="218" t="str">
        <f t="shared" ref="I105:I121" ca="1" si="10">IF(H105="","VACIO",IF(J105&lt;0,"Vencido hace "&amp;J105*-1&amp;" dias",IF(J105=0,"Vencido Hoy",IF(J105&lt;8,"Tiene "&amp; J105 &amp;" dias","Faltan "&amp;J105&amp;H105))))</f>
        <v>Faltan 4945381</v>
      </c>
      <c r="J105" s="219">
        <f t="shared" ca="1" si="6"/>
        <v>49</v>
      </c>
      <c r="K105" s="220" t="s">
        <v>671</v>
      </c>
      <c r="L105" s="218"/>
    </row>
    <row r="106" spans="2:12">
      <c r="B106" s="212" t="s">
        <v>633</v>
      </c>
      <c r="C106" s="213" t="s">
        <v>672</v>
      </c>
      <c r="D106" s="265" t="s">
        <v>673</v>
      </c>
      <c r="E106" s="214"/>
      <c r="F106" s="215">
        <v>44946</v>
      </c>
      <c r="G106" s="216">
        <v>730</v>
      </c>
      <c r="H106" s="217">
        <f t="shared" si="5"/>
        <v>45676</v>
      </c>
      <c r="I106" s="218" t="str">
        <f t="shared" ca="1" si="10"/>
        <v>Faltan 34445676</v>
      </c>
      <c r="J106" s="219">
        <f t="shared" ca="1" si="6"/>
        <v>344</v>
      </c>
      <c r="K106" s="220" t="s">
        <v>578</v>
      </c>
      <c r="L106" s="218"/>
    </row>
    <row r="107" spans="2:12">
      <c r="B107" s="212" t="s">
        <v>633</v>
      </c>
      <c r="C107" s="213" t="s">
        <v>674</v>
      </c>
      <c r="D107" s="265" t="s">
        <v>675</v>
      </c>
      <c r="E107" s="214"/>
      <c r="F107" s="215">
        <v>44221</v>
      </c>
      <c r="G107" s="216">
        <v>730</v>
      </c>
      <c r="H107" s="217">
        <f t="shared" si="5"/>
        <v>44951</v>
      </c>
      <c r="I107" s="218" t="str">
        <f t="shared" ca="1" si="10"/>
        <v>Vencido hace 381 dias</v>
      </c>
      <c r="J107" s="219">
        <f t="shared" ca="1" si="6"/>
        <v>-381</v>
      </c>
      <c r="K107" s="220" t="s">
        <v>676</v>
      </c>
      <c r="L107" s="218"/>
    </row>
    <row r="108" spans="2:12">
      <c r="B108" s="212" t="s">
        <v>677</v>
      </c>
      <c r="C108" s="213" t="s">
        <v>678</v>
      </c>
      <c r="D108" s="265" t="s">
        <v>679</v>
      </c>
      <c r="E108" s="214"/>
      <c r="F108" s="215">
        <v>44237</v>
      </c>
      <c r="G108" s="216">
        <v>730</v>
      </c>
      <c r="H108" s="217">
        <f t="shared" si="5"/>
        <v>44967</v>
      </c>
      <c r="I108" s="218" t="str">
        <f t="shared" ca="1" si="10"/>
        <v>Vencido hace 365 dias</v>
      </c>
      <c r="J108" s="219">
        <f t="shared" ca="1" si="6"/>
        <v>-365</v>
      </c>
      <c r="K108" s="220" t="s">
        <v>680</v>
      </c>
      <c r="L108" s="218"/>
    </row>
    <row r="109" spans="2:12">
      <c r="B109" s="212" t="s">
        <v>677</v>
      </c>
      <c r="C109" s="213" t="s">
        <v>681</v>
      </c>
      <c r="D109" s="265" t="s">
        <v>682</v>
      </c>
      <c r="E109" s="214" t="s">
        <v>2386</v>
      </c>
      <c r="F109" s="215">
        <v>43879</v>
      </c>
      <c r="G109" s="216">
        <v>730</v>
      </c>
      <c r="H109" s="217">
        <f t="shared" si="5"/>
        <v>44609</v>
      </c>
      <c r="I109" s="218" t="str">
        <f t="shared" ca="1" si="10"/>
        <v>Vencido hace 723 dias</v>
      </c>
      <c r="J109" s="219">
        <f t="shared" ca="1" si="6"/>
        <v>-723</v>
      </c>
      <c r="K109" s="220" t="s">
        <v>683</v>
      </c>
      <c r="L109" s="218"/>
    </row>
    <row r="110" spans="2:12">
      <c r="B110" s="212" t="s">
        <v>677</v>
      </c>
      <c r="C110" s="213" t="s">
        <v>684</v>
      </c>
      <c r="D110" s="265" t="s">
        <v>685</v>
      </c>
      <c r="E110" s="214"/>
      <c r="F110" s="215">
        <v>44733</v>
      </c>
      <c r="G110" s="216">
        <v>730</v>
      </c>
      <c r="H110" s="217">
        <f t="shared" si="5"/>
        <v>45463</v>
      </c>
      <c r="I110" s="218" t="str">
        <f t="shared" ca="1" si="10"/>
        <v>Faltan 13145463</v>
      </c>
      <c r="J110" s="219">
        <f t="shared" ca="1" si="6"/>
        <v>131</v>
      </c>
      <c r="K110" s="220" t="s">
        <v>686</v>
      </c>
      <c r="L110" s="218"/>
    </row>
    <row r="111" spans="2:12">
      <c r="B111" s="212" t="s">
        <v>677</v>
      </c>
      <c r="C111" s="213" t="s">
        <v>687</v>
      </c>
      <c r="D111" s="265" t="s">
        <v>688</v>
      </c>
      <c r="E111" s="215">
        <v>44866</v>
      </c>
      <c r="F111" s="215">
        <v>44866</v>
      </c>
      <c r="G111" s="216">
        <v>730</v>
      </c>
      <c r="H111" s="217">
        <f t="shared" si="5"/>
        <v>45596</v>
      </c>
      <c r="I111" s="218" t="str">
        <f t="shared" ca="1" si="10"/>
        <v>Faltan 26445596</v>
      </c>
      <c r="J111" s="219">
        <f t="shared" ca="1" si="6"/>
        <v>264</v>
      </c>
      <c r="K111" s="220" t="s">
        <v>689</v>
      </c>
      <c r="L111" s="218"/>
    </row>
    <row r="112" spans="2:12">
      <c r="B112" s="212" t="s">
        <v>677</v>
      </c>
      <c r="C112" s="213" t="s">
        <v>690</v>
      </c>
      <c r="D112" s="265" t="s">
        <v>691</v>
      </c>
      <c r="E112" s="214" t="s">
        <v>2397</v>
      </c>
      <c r="F112" s="215">
        <v>44158</v>
      </c>
      <c r="G112" s="216">
        <v>730</v>
      </c>
      <c r="H112" s="217">
        <f t="shared" si="5"/>
        <v>44888</v>
      </c>
      <c r="I112" s="218" t="str">
        <f t="shared" ca="1" si="10"/>
        <v>Vencido hace 444 dias</v>
      </c>
      <c r="J112" s="219">
        <f t="shared" ca="1" si="6"/>
        <v>-444</v>
      </c>
      <c r="K112" s="220" t="s">
        <v>692</v>
      </c>
      <c r="L112" s="218"/>
    </row>
    <row r="113" spans="2:12">
      <c r="B113" s="212" t="s">
        <v>677</v>
      </c>
      <c r="C113" s="213" t="s">
        <v>693</v>
      </c>
      <c r="D113" s="265" t="s">
        <v>694</v>
      </c>
      <c r="E113" s="214"/>
      <c r="F113" s="215">
        <v>44742</v>
      </c>
      <c r="G113" s="216">
        <v>730</v>
      </c>
      <c r="H113" s="217">
        <f t="shared" si="5"/>
        <v>45472</v>
      </c>
      <c r="I113" s="218" t="str">
        <f t="shared" ca="1" si="10"/>
        <v>Faltan 14045472</v>
      </c>
      <c r="J113" s="219">
        <f t="shared" ca="1" si="6"/>
        <v>140</v>
      </c>
      <c r="K113" s="220" t="s">
        <v>618</v>
      </c>
      <c r="L113" s="218"/>
    </row>
    <row r="114" spans="2:12">
      <c r="B114" s="212" t="s">
        <v>677</v>
      </c>
      <c r="C114" s="213" t="s">
        <v>695</v>
      </c>
      <c r="D114" s="265" t="s">
        <v>696</v>
      </c>
      <c r="E114" s="215">
        <v>44791</v>
      </c>
      <c r="F114" s="215">
        <v>44791</v>
      </c>
      <c r="G114" s="216">
        <v>730</v>
      </c>
      <c r="H114" s="217">
        <f t="shared" si="5"/>
        <v>45521</v>
      </c>
      <c r="I114" s="218" t="str">
        <f t="shared" ca="1" si="10"/>
        <v>Faltan 18945521</v>
      </c>
      <c r="J114" s="219">
        <f t="shared" ca="1" si="6"/>
        <v>189</v>
      </c>
      <c r="K114" s="220" t="s">
        <v>697</v>
      </c>
      <c r="L114" s="218"/>
    </row>
    <row r="115" spans="2:12">
      <c r="B115" s="212" t="s">
        <v>677</v>
      </c>
      <c r="C115" s="213" t="s">
        <v>698</v>
      </c>
      <c r="D115" s="265" t="s">
        <v>699</v>
      </c>
      <c r="E115" s="214"/>
      <c r="F115" s="215">
        <v>44223</v>
      </c>
      <c r="G115" s="216">
        <v>730</v>
      </c>
      <c r="H115" s="217">
        <f t="shared" si="5"/>
        <v>44953</v>
      </c>
      <c r="I115" s="218" t="str">
        <f t="shared" ca="1" si="10"/>
        <v>Vencido hace 379 dias</v>
      </c>
      <c r="J115" s="219">
        <f t="shared" ca="1" si="6"/>
        <v>-379</v>
      </c>
      <c r="K115" s="220" t="s">
        <v>700</v>
      </c>
      <c r="L115" s="218"/>
    </row>
    <row r="116" spans="2:12">
      <c r="B116" s="212" t="s">
        <v>677</v>
      </c>
      <c r="C116" s="213" t="s">
        <v>701</v>
      </c>
      <c r="D116" s="265" t="s">
        <v>702</v>
      </c>
      <c r="E116" s="214" t="s">
        <v>2386</v>
      </c>
      <c r="F116" s="215">
        <v>43375</v>
      </c>
      <c r="G116" s="216">
        <v>730</v>
      </c>
      <c r="H116" s="217">
        <f t="shared" si="5"/>
        <v>44105</v>
      </c>
      <c r="I116" s="218" t="str">
        <f t="shared" ca="1" si="10"/>
        <v>Vencido hace 1227 dias</v>
      </c>
      <c r="J116" s="219">
        <f t="shared" ca="1" si="6"/>
        <v>-1227</v>
      </c>
      <c r="K116" s="220" t="s">
        <v>703</v>
      </c>
      <c r="L116" s="218"/>
    </row>
    <row r="117" spans="2:12">
      <c r="B117" s="212" t="s">
        <v>677</v>
      </c>
      <c r="C117" s="213" t="s">
        <v>704</v>
      </c>
      <c r="D117" s="265" t="s">
        <v>705</v>
      </c>
      <c r="E117" s="214" t="s">
        <v>598</v>
      </c>
      <c r="F117" s="215">
        <v>44420</v>
      </c>
      <c r="G117" s="216">
        <v>730</v>
      </c>
      <c r="H117" s="217">
        <f t="shared" si="5"/>
        <v>45150</v>
      </c>
      <c r="I117" s="218" t="str">
        <f t="shared" ca="1" si="10"/>
        <v>Vencido hace 182 dias</v>
      </c>
      <c r="J117" s="219">
        <f t="shared" ca="1" si="6"/>
        <v>-182</v>
      </c>
      <c r="K117" s="220" t="s">
        <v>706</v>
      </c>
      <c r="L117" s="218"/>
    </row>
    <row r="118" spans="2:12">
      <c r="B118" s="212" t="s">
        <v>677</v>
      </c>
      <c r="C118" s="213" t="s">
        <v>707</v>
      </c>
      <c r="D118" s="265" t="s">
        <v>708</v>
      </c>
      <c r="E118" s="215">
        <v>44795</v>
      </c>
      <c r="F118" s="215">
        <v>44795</v>
      </c>
      <c r="G118" s="216">
        <v>730</v>
      </c>
      <c r="H118" s="217">
        <f t="shared" si="5"/>
        <v>45525</v>
      </c>
      <c r="I118" s="218" t="str">
        <f t="shared" ca="1" si="10"/>
        <v>Faltan 19345525</v>
      </c>
      <c r="J118" s="219">
        <f t="shared" ca="1" si="6"/>
        <v>193</v>
      </c>
      <c r="K118" s="220" t="s">
        <v>709</v>
      </c>
      <c r="L118" s="218"/>
    </row>
    <row r="119" spans="2:12">
      <c r="B119" s="212" t="s">
        <v>677</v>
      </c>
      <c r="C119" s="224" t="s">
        <v>710</v>
      </c>
      <c r="D119" s="267" t="s">
        <v>711</v>
      </c>
      <c r="E119" s="214"/>
      <c r="F119" s="215">
        <v>44292</v>
      </c>
      <c r="G119" s="216">
        <v>730</v>
      </c>
      <c r="H119" s="217">
        <f t="shared" si="5"/>
        <v>45022</v>
      </c>
      <c r="I119" s="218" t="str">
        <f t="shared" ca="1" si="10"/>
        <v>Vencido hace 310 dias</v>
      </c>
      <c r="J119" s="219">
        <f t="shared" ca="1" si="6"/>
        <v>-310</v>
      </c>
      <c r="K119" s="220" t="s">
        <v>585</v>
      </c>
      <c r="L119" s="218"/>
    </row>
    <row r="120" spans="2:12">
      <c r="B120" s="212" t="s">
        <v>677</v>
      </c>
      <c r="C120" s="224" t="s">
        <v>712</v>
      </c>
      <c r="D120" s="267" t="s">
        <v>713</v>
      </c>
      <c r="E120" s="215"/>
      <c r="F120" s="215">
        <v>44669</v>
      </c>
      <c r="G120" s="216">
        <v>730</v>
      </c>
      <c r="H120" s="217">
        <f t="shared" si="5"/>
        <v>45399</v>
      </c>
      <c r="I120" s="218" t="str">
        <f t="shared" ca="1" si="10"/>
        <v>Faltan 6745399</v>
      </c>
      <c r="J120" s="219">
        <f t="shared" ca="1" si="6"/>
        <v>67</v>
      </c>
      <c r="K120" s="220" t="s">
        <v>714</v>
      </c>
      <c r="L120" s="218"/>
    </row>
    <row r="121" spans="2:12">
      <c r="B121" s="212" t="s">
        <v>677</v>
      </c>
      <c r="C121" s="224" t="s">
        <v>715</v>
      </c>
      <c r="D121" s="267" t="s">
        <v>716</v>
      </c>
      <c r="E121" s="214"/>
      <c r="F121" s="215">
        <v>44536</v>
      </c>
      <c r="G121" s="216">
        <v>730</v>
      </c>
      <c r="H121" s="217">
        <f t="shared" si="5"/>
        <v>45266</v>
      </c>
      <c r="I121" s="218" t="str">
        <f t="shared" ca="1" si="10"/>
        <v>Vencido hace 66 dias</v>
      </c>
      <c r="J121" s="219">
        <f t="shared" ca="1" si="6"/>
        <v>-66</v>
      </c>
      <c r="K121" s="220" t="s">
        <v>717</v>
      </c>
      <c r="L121" s="218"/>
    </row>
    <row r="122" spans="2:12">
      <c r="B122" s="212" t="s">
        <v>677</v>
      </c>
      <c r="C122" s="223" t="s">
        <v>718</v>
      </c>
      <c r="D122" s="265" t="s">
        <v>719</v>
      </c>
      <c r="E122" s="215"/>
      <c r="F122" s="215">
        <v>44350</v>
      </c>
      <c r="G122" s="216">
        <v>730</v>
      </c>
      <c r="H122" s="217">
        <f t="shared" si="5"/>
        <v>45080</v>
      </c>
      <c r="I122" s="218" t="str">
        <f ca="1">IF(H122="","VACIO",IF(J122&lt;0,"Vencido hace "&amp;J122*-1&amp;" dias",IF(J122=0,"Vencido Hoy",IF(J122&lt;8,"Tiene "&amp; J122 &amp;" dias","Faltan "&amp;J122*1&amp;H122))))</f>
        <v>Vencido hace 252 dias</v>
      </c>
      <c r="J122" s="219">
        <f t="shared" ca="1" si="6"/>
        <v>-252</v>
      </c>
      <c r="K122" s="220" t="s">
        <v>720</v>
      </c>
      <c r="L122" s="218"/>
    </row>
    <row r="123" spans="2:12">
      <c r="B123" s="212" t="s">
        <v>677</v>
      </c>
      <c r="C123" s="224" t="s">
        <v>721</v>
      </c>
      <c r="D123" s="267" t="s">
        <v>722</v>
      </c>
      <c r="E123" s="215">
        <v>44831</v>
      </c>
      <c r="F123" s="215">
        <v>44831</v>
      </c>
      <c r="G123" s="216">
        <v>730</v>
      </c>
      <c r="H123" s="217">
        <f t="shared" si="5"/>
        <v>45561</v>
      </c>
      <c r="I123" s="218" t="str">
        <f ca="1">IF(H123="","VACIO",IF(J123&lt;0,"Vencido hace "&amp;J123*-1&amp;" dias",IF(J123=0,"Vencido Hoy",IF(J123&lt;8,"Tiene "&amp; J123 &amp;" dias","Faltan "&amp;J123&amp;H123))))</f>
        <v>Faltan 22945561</v>
      </c>
      <c r="J123" s="219">
        <f t="shared" ca="1" si="6"/>
        <v>229</v>
      </c>
      <c r="K123" s="220" t="s">
        <v>723</v>
      </c>
      <c r="L123" s="218"/>
    </row>
    <row r="124" spans="2:12">
      <c r="B124" s="212" t="s">
        <v>677</v>
      </c>
      <c r="C124" s="223" t="s">
        <v>724</v>
      </c>
      <c r="D124" s="266" t="s">
        <v>725</v>
      </c>
      <c r="E124" s="214" t="s">
        <v>726</v>
      </c>
      <c r="F124" s="215">
        <v>44937</v>
      </c>
      <c r="G124" s="216">
        <v>730</v>
      </c>
      <c r="H124" s="217">
        <f t="shared" si="5"/>
        <v>45667</v>
      </c>
      <c r="I124" s="218" t="str">
        <f ca="1">IF(H124="","VACIO",IF(J124&lt;0,"Vencido hace "&amp;J124*-1&amp;" dias",IF(J124=0,"Vencido Hoy",IF(J124&lt;8,"Tiene "&amp; J124 &amp;" dias","Faltan "&amp;J124&amp;H124))))</f>
        <v>Faltan 33545667</v>
      </c>
      <c r="J124" s="219">
        <f t="shared" ca="1" si="6"/>
        <v>335</v>
      </c>
      <c r="K124" s="220" t="s">
        <v>795</v>
      </c>
      <c r="L124" s="218"/>
    </row>
    <row r="125" spans="2:12">
      <c r="B125" s="212" t="s">
        <v>677</v>
      </c>
      <c r="C125" s="223" t="s">
        <v>727</v>
      </c>
      <c r="D125" s="265" t="s">
        <v>728</v>
      </c>
      <c r="E125" s="215"/>
      <c r="F125" s="215">
        <v>44522</v>
      </c>
      <c r="G125" s="216">
        <v>730</v>
      </c>
      <c r="H125" s="217">
        <f t="shared" si="5"/>
        <v>45252</v>
      </c>
      <c r="I125" s="218" t="str">
        <f ca="1">IF(H125="","VACIO",IF(J125&lt;0,"Vencido hace "&amp;J125*-1&amp;" dias",IF(J125=0,"Vencido Hoy",IF(J125&lt;8,"Tiene "&amp; J125 &amp;" dias","Faltan "&amp;J125*1&amp;H125))))</f>
        <v>Vencido hace 80 dias</v>
      </c>
      <c r="J125" s="219">
        <f t="shared" ca="1" si="6"/>
        <v>-80</v>
      </c>
      <c r="K125" s="220" t="s">
        <v>729</v>
      </c>
      <c r="L125" s="218"/>
    </row>
    <row r="126" spans="2:12">
      <c r="B126" s="212" t="s">
        <v>730</v>
      </c>
      <c r="C126" s="223" t="s">
        <v>731</v>
      </c>
      <c r="D126" s="266" t="s">
        <v>732</v>
      </c>
      <c r="E126" s="214"/>
      <c r="F126" s="215">
        <v>44767</v>
      </c>
      <c r="G126" s="216">
        <v>730</v>
      </c>
      <c r="H126" s="217">
        <f t="shared" si="5"/>
        <v>45497</v>
      </c>
      <c r="I126" s="218" t="str">
        <f t="shared" ref="I126:I132" ca="1" si="11">IF(H126="","VACIO",IF(J126&lt;0,"Vencido hace "&amp;J126*-1&amp;" dias",IF(J126=0,"Vencido Hoy",IF(J126&lt;8,"Tiene "&amp; J126 &amp;" dias","Faltan "&amp;J126&amp;H126))))</f>
        <v>Faltan 16545497</v>
      </c>
      <c r="J126" s="219">
        <f t="shared" ca="1" si="6"/>
        <v>165</v>
      </c>
      <c r="K126" s="220" t="s">
        <v>582</v>
      </c>
      <c r="L126" s="218"/>
    </row>
    <row r="127" spans="2:12">
      <c r="B127" s="212" t="s">
        <v>730</v>
      </c>
      <c r="C127" s="213" t="s">
        <v>733</v>
      </c>
      <c r="D127" s="265" t="s">
        <v>734</v>
      </c>
      <c r="E127" s="215">
        <v>44785</v>
      </c>
      <c r="F127" s="215">
        <v>44785</v>
      </c>
      <c r="G127" s="216">
        <v>730</v>
      </c>
      <c r="H127" s="217">
        <f t="shared" si="5"/>
        <v>45515</v>
      </c>
      <c r="I127" s="218" t="str">
        <f t="shared" ca="1" si="11"/>
        <v>Faltan 18345515</v>
      </c>
      <c r="J127" s="219">
        <f t="shared" ca="1" si="6"/>
        <v>183</v>
      </c>
      <c r="K127" s="220" t="s">
        <v>735</v>
      </c>
      <c r="L127" s="218"/>
    </row>
    <row r="128" spans="2:12">
      <c r="B128" s="212" t="s">
        <v>730</v>
      </c>
      <c r="C128" s="213" t="s">
        <v>736</v>
      </c>
      <c r="D128" s="265" t="s">
        <v>737</v>
      </c>
      <c r="E128" s="215">
        <v>44771</v>
      </c>
      <c r="F128" s="215">
        <v>44771</v>
      </c>
      <c r="G128" s="216">
        <v>730</v>
      </c>
      <c r="H128" s="217">
        <f t="shared" si="5"/>
        <v>45501</v>
      </c>
      <c r="I128" s="218" t="str">
        <f t="shared" ca="1" si="11"/>
        <v>Faltan 16945501</v>
      </c>
      <c r="J128" s="219">
        <f t="shared" ca="1" si="6"/>
        <v>169</v>
      </c>
      <c r="K128" s="220" t="s">
        <v>735</v>
      </c>
      <c r="L128" s="218"/>
    </row>
    <row r="129" spans="2:12">
      <c r="B129" s="212" t="s">
        <v>730</v>
      </c>
      <c r="C129" s="213" t="s">
        <v>738</v>
      </c>
      <c r="D129" s="265" t="s">
        <v>739</v>
      </c>
      <c r="E129" s="214"/>
      <c r="F129" s="215">
        <v>44334</v>
      </c>
      <c r="G129" s="216">
        <v>730</v>
      </c>
      <c r="H129" s="217">
        <f t="shared" si="5"/>
        <v>45064</v>
      </c>
      <c r="I129" s="218" t="str">
        <f t="shared" ca="1" si="11"/>
        <v>Vencido hace 268 dias</v>
      </c>
      <c r="J129" s="219">
        <f t="shared" ca="1" si="6"/>
        <v>-268</v>
      </c>
      <c r="K129" s="220" t="s">
        <v>582</v>
      </c>
      <c r="L129" s="218"/>
    </row>
    <row r="130" spans="2:12">
      <c r="B130" s="212" t="s">
        <v>730</v>
      </c>
      <c r="C130" s="213" t="s">
        <v>740</v>
      </c>
      <c r="D130" s="265" t="s">
        <v>741</v>
      </c>
      <c r="E130" s="215">
        <v>44728</v>
      </c>
      <c r="F130" s="215">
        <v>44728</v>
      </c>
      <c r="G130" s="216">
        <v>730</v>
      </c>
      <c r="H130" s="217">
        <f t="shared" si="5"/>
        <v>45458</v>
      </c>
      <c r="I130" s="218" t="str">
        <f t="shared" ca="1" si="11"/>
        <v>Faltan 12645458</v>
      </c>
      <c r="J130" s="219">
        <f t="shared" ca="1" si="6"/>
        <v>126</v>
      </c>
      <c r="K130" s="220" t="s">
        <v>742</v>
      </c>
      <c r="L130" s="218"/>
    </row>
    <row r="131" spans="2:12">
      <c r="B131" s="212" t="s">
        <v>730</v>
      </c>
      <c r="C131" s="213" t="s">
        <v>743</v>
      </c>
      <c r="D131" s="265" t="s">
        <v>744</v>
      </c>
      <c r="E131" s="214"/>
      <c r="F131" s="215">
        <v>44434</v>
      </c>
      <c r="G131" s="216">
        <v>730</v>
      </c>
      <c r="H131" s="217">
        <f t="shared" si="5"/>
        <v>45164</v>
      </c>
      <c r="I131" s="218" t="str">
        <f t="shared" ca="1" si="11"/>
        <v>Vencido hace 168 dias</v>
      </c>
      <c r="J131" s="219">
        <f t="shared" ca="1" si="6"/>
        <v>-168</v>
      </c>
      <c r="K131" s="220" t="s">
        <v>717</v>
      </c>
      <c r="L131" s="218"/>
    </row>
    <row r="132" spans="2:12">
      <c r="B132" s="212" t="s">
        <v>730</v>
      </c>
      <c r="C132" s="213" t="s">
        <v>745</v>
      </c>
      <c r="D132" s="265" t="s">
        <v>746</v>
      </c>
      <c r="E132" s="214"/>
      <c r="F132" s="215">
        <v>44375</v>
      </c>
      <c r="G132" s="216">
        <v>730</v>
      </c>
      <c r="H132" s="217">
        <f t="shared" ref="H132:H195" si="12">F132+G132</f>
        <v>45105</v>
      </c>
      <c r="I132" s="218" t="str">
        <f t="shared" ca="1" si="11"/>
        <v>Vencido hace 227 dias</v>
      </c>
      <c r="J132" s="219">
        <f t="shared" ref="J132:J195" ca="1" si="13">H132-$B$2</f>
        <v>-227</v>
      </c>
      <c r="K132" s="220" t="s">
        <v>585</v>
      </c>
      <c r="L132" s="218"/>
    </row>
    <row r="133" spans="2:12">
      <c r="B133" s="212" t="s">
        <v>730</v>
      </c>
      <c r="C133" s="213" t="s">
        <v>747</v>
      </c>
      <c r="D133" s="265" t="s">
        <v>748</v>
      </c>
      <c r="E133" s="214"/>
      <c r="F133" s="215">
        <v>44672</v>
      </c>
      <c r="G133" s="216">
        <v>730</v>
      </c>
      <c r="H133" s="217">
        <f t="shared" si="12"/>
        <v>45402</v>
      </c>
      <c r="I133" s="218" t="str">
        <f ca="1">IF(H133="","VACIO",IF(J133&lt;0,"Vencido hace "&amp;J133*-1&amp;" dias",IF(J133=0,"Vencido Hoy",IF(J133&lt;8,"Tiene "&amp; J133 &amp;" dias","Faltan "&amp;J133*1&amp;H133))))</f>
        <v>Faltan 7045402</v>
      </c>
      <c r="J133" s="219">
        <f t="shared" ca="1" si="13"/>
        <v>70</v>
      </c>
      <c r="K133" s="220" t="s">
        <v>749</v>
      </c>
      <c r="L133" s="218"/>
    </row>
    <row r="134" spans="2:12">
      <c r="B134" s="212" t="s">
        <v>730</v>
      </c>
      <c r="C134" s="213" t="s">
        <v>750</v>
      </c>
      <c r="D134" s="265" t="s">
        <v>751</v>
      </c>
      <c r="E134" s="214"/>
      <c r="F134" s="215">
        <v>44616</v>
      </c>
      <c r="G134" s="216">
        <v>730</v>
      </c>
      <c r="H134" s="217">
        <f t="shared" si="12"/>
        <v>45346</v>
      </c>
      <c r="I134" s="218" t="str">
        <f ca="1">IF(H134="","VACIO",IF(J134&lt;0,"Vencido hace "&amp;J134*-1&amp;" dias",IF(J134=0,"Vencido Hoy",IF(J134&lt;8,"Tiene "&amp; J134 &amp;" dias","Faltan "&amp;J134*1&amp;H134))))</f>
        <v>Faltan 1445346</v>
      </c>
      <c r="J134" s="219">
        <f t="shared" ca="1" si="13"/>
        <v>14</v>
      </c>
      <c r="K134" s="220" t="s">
        <v>752</v>
      </c>
      <c r="L134" s="218"/>
    </row>
    <row r="135" spans="2:12">
      <c r="B135" s="212" t="s">
        <v>730</v>
      </c>
      <c r="C135" s="213" t="s">
        <v>753</v>
      </c>
      <c r="D135" s="265" t="s">
        <v>754</v>
      </c>
      <c r="E135" s="214"/>
      <c r="F135" s="215">
        <v>44596</v>
      </c>
      <c r="G135" s="216">
        <v>730</v>
      </c>
      <c r="H135" s="217">
        <f t="shared" si="12"/>
        <v>45326</v>
      </c>
      <c r="I135" s="218" t="str">
        <f t="shared" ref="I135:I146" ca="1" si="14">IF(H135="","VACIO",IF(J135&lt;0,"Vencido hace "&amp;J135*-1&amp;" dias",IF(J135=0,"Vencido Hoy",IF(J135&lt;8,"Tiene "&amp; J135 &amp;" dias","Faltan "&amp;J135&amp;H135))))</f>
        <v>Vencido hace 6 dias</v>
      </c>
      <c r="J135" s="219">
        <f t="shared" ca="1" si="13"/>
        <v>-6</v>
      </c>
      <c r="K135" s="220" t="s">
        <v>546</v>
      </c>
      <c r="L135" s="218"/>
    </row>
    <row r="136" spans="2:12">
      <c r="B136" s="212" t="s">
        <v>730</v>
      </c>
      <c r="C136" s="213" t="s">
        <v>755</v>
      </c>
      <c r="D136" s="265" t="s">
        <v>756</v>
      </c>
      <c r="E136" s="214" t="s">
        <v>2388</v>
      </c>
      <c r="F136" s="215">
        <v>44902</v>
      </c>
      <c r="G136" s="216">
        <v>730</v>
      </c>
      <c r="H136" s="217">
        <f t="shared" si="12"/>
        <v>45632</v>
      </c>
      <c r="I136" s="218" t="str">
        <f t="shared" ca="1" si="14"/>
        <v>Faltan 30045632</v>
      </c>
      <c r="J136" s="219">
        <f t="shared" ca="1" si="13"/>
        <v>300</v>
      </c>
      <c r="K136" s="220" t="s">
        <v>757</v>
      </c>
      <c r="L136" s="218"/>
    </row>
    <row r="137" spans="2:12">
      <c r="B137" s="212" t="s">
        <v>730</v>
      </c>
      <c r="C137" s="224" t="s">
        <v>758</v>
      </c>
      <c r="D137" s="267" t="s">
        <v>759</v>
      </c>
      <c r="E137" s="214"/>
      <c r="F137" s="215">
        <v>44651</v>
      </c>
      <c r="G137" s="216">
        <v>730</v>
      </c>
      <c r="H137" s="217">
        <f t="shared" si="12"/>
        <v>45381</v>
      </c>
      <c r="I137" s="218" t="str">
        <f t="shared" ca="1" si="14"/>
        <v>Faltan 4945381</v>
      </c>
      <c r="J137" s="219">
        <f t="shared" ca="1" si="13"/>
        <v>49</v>
      </c>
      <c r="K137" s="220" t="s">
        <v>717</v>
      </c>
      <c r="L137" s="218"/>
    </row>
    <row r="138" spans="2:12">
      <c r="B138" s="212" t="s">
        <v>730</v>
      </c>
      <c r="C138" s="224" t="s">
        <v>760</v>
      </c>
      <c r="D138" s="267" t="s">
        <v>761</v>
      </c>
      <c r="E138" s="214"/>
      <c r="F138" s="215">
        <v>44651</v>
      </c>
      <c r="G138" s="216">
        <v>730</v>
      </c>
      <c r="H138" s="217">
        <f t="shared" si="12"/>
        <v>45381</v>
      </c>
      <c r="I138" s="218" t="str">
        <f t="shared" ca="1" si="14"/>
        <v>Faltan 4945381</v>
      </c>
      <c r="J138" s="219">
        <f t="shared" ca="1" si="13"/>
        <v>49</v>
      </c>
      <c r="K138" s="220" t="s">
        <v>762</v>
      </c>
      <c r="L138" s="218"/>
    </row>
    <row r="139" spans="2:12">
      <c r="B139" s="212" t="s">
        <v>763</v>
      </c>
      <c r="C139" s="213" t="s">
        <v>764</v>
      </c>
      <c r="D139" s="267" t="s">
        <v>765</v>
      </c>
      <c r="E139" s="214" t="s">
        <v>2462</v>
      </c>
      <c r="F139" s="215">
        <v>45131</v>
      </c>
      <c r="G139" s="216">
        <v>730</v>
      </c>
      <c r="H139" s="217">
        <f t="shared" si="12"/>
        <v>45861</v>
      </c>
      <c r="I139" s="218" t="str">
        <f t="shared" ca="1" si="14"/>
        <v>Faltan 52945861</v>
      </c>
      <c r="J139" s="219">
        <f t="shared" ca="1" si="13"/>
        <v>529</v>
      </c>
      <c r="K139" s="220" t="s">
        <v>582</v>
      </c>
      <c r="L139" s="218"/>
    </row>
    <row r="140" spans="2:12">
      <c r="B140" s="212" t="s">
        <v>763</v>
      </c>
      <c r="C140" s="213" t="s">
        <v>766</v>
      </c>
      <c r="D140" s="265" t="s">
        <v>767</v>
      </c>
      <c r="E140" s="215">
        <v>44809</v>
      </c>
      <c r="F140" s="215">
        <v>44809</v>
      </c>
      <c r="G140" s="216">
        <v>730</v>
      </c>
      <c r="H140" s="217">
        <f t="shared" si="12"/>
        <v>45539</v>
      </c>
      <c r="I140" s="218" t="str">
        <f t="shared" ca="1" si="14"/>
        <v>Faltan 20745539</v>
      </c>
      <c r="J140" s="219">
        <f t="shared" ca="1" si="13"/>
        <v>207</v>
      </c>
      <c r="K140" s="220" t="s">
        <v>768</v>
      </c>
      <c r="L140" s="218"/>
    </row>
    <row r="141" spans="2:12">
      <c r="B141" s="212" t="s">
        <v>763</v>
      </c>
      <c r="C141" s="213" t="s">
        <v>769</v>
      </c>
      <c r="D141" s="265" t="s">
        <v>770</v>
      </c>
      <c r="E141" s="214"/>
      <c r="F141" s="215">
        <v>44371</v>
      </c>
      <c r="G141" s="216">
        <v>730</v>
      </c>
      <c r="H141" s="217">
        <f t="shared" si="12"/>
        <v>45101</v>
      </c>
      <c r="I141" s="218" t="str">
        <f t="shared" ca="1" si="14"/>
        <v>Vencido hace 231 dias</v>
      </c>
      <c r="J141" s="219">
        <f t="shared" ca="1" si="13"/>
        <v>-231</v>
      </c>
      <c r="K141" s="220" t="s">
        <v>771</v>
      </c>
      <c r="L141" s="218"/>
    </row>
    <row r="142" spans="2:12">
      <c r="B142" s="212" t="s">
        <v>763</v>
      </c>
      <c r="C142" s="213" t="s">
        <v>772</v>
      </c>
      <c r="D142" s="265" t="s">
        <v>773</v>
      </c>
      <c r="E142" s="214"/>
      <c r="F142" s="215">
        <v>44490</v>
      </c>
      <c r="G142" s="216">
        <v>730</v>
      </c>
      <c r="H142" s="217">
        <f t="shared" si="12"/>
        <v>45220</v>
      </c>
      <c r="I142" s="218" t="str">
        <f t="shared" ca="1" si="14"/>
        <v>Vencido hace 112 dias</v>
      </c>
      <c r="J142" s="219">
        <f t="shared" ca="1" si="13"/>
        <v>-112</v>
      </c>
      <c r="K142" s="220" t="s">
        <v>717</v>
      </c>
      <c r="L142" s="218"/>
    </row>
    <row r="143" spans="2:12">
      <c r="B143" s="212" t="s">
        <v>763</v>
      </c>
      <c r="C143" s="213" t="s">
        <v>774</v>
      </c>
      <c r="D143" s="265" t="s">
        <v>775</v>
      </c>
      <c r="E143" s="215">
        <v>44799</v>
      </c>
      <c r="F143" s="215">
        <v>44799</v>
      </c>
      <c r="G143" s="216">
        <v>730</v>
      </c>
      <c r="H143" s="217">
        <f t="shared" si="12"/>
        <v>45529</v>
      </c>
      <c r="I143" s="218" t="str">
        <f t="shared" ca="1" si="14"/>
        <v>Faltan 19745529</v>
      </c>
      <c r="J143" s="219">
        <f t="shared" ca="1" si="13"/>
        <v>197</v>
      </c>
      <c r="K143" s="220" t="s">
        <v>296</v>
      </c>
      <c r="L143" s="218"/>
    </row>
    <row r="144" spans="2:12">
      <c r="B144" s="212" t="s">
        <v>763</v>
      </c>
      <c r="C144" s="224" t="s">
        <v>776</v>
      </c>
      <c r="D144" s="267" t="s">
        <v>777</v>
      </c>
      <c r="E144" s="214"/>
      <c r="F144" s="215">
        <v>44258</v>
      </c>
      <c r="G144" s="216">
        <v>730</v>
      </c>
      <c r="H144" s="217">
        <f t="shared" si="12"/>
        <v>44988</v>
      </c>
      <c r="I144" s="218" t="str">
        <f t="shared" ca="1" si="14"/>
        <v>Vencido hace 344 dias</v>
      </c>
      <c r="J144" s="219">
        <f t="shared" ca="1" si="13"/>
        <v>-344</v>
      </c>
      <c r="K144" s="220" t="s">
        <v>582</v>
      </c>
      <c r="L144" s="218"/>
    </row>
    <row r="145" spans="2:12">
      <c r="B145" s="212" t="s">
        <v>763</v>
      </c>
      <c r="C145" s="224" t="s">
        <v>778</v>
      </c>
      <c r="D145" s="267" t="s">
        <v>779</v>
      </c>
      <c r="E145" s="214"/>
      <c r="F145" s="215">
        <v>44488</v>
      </c>
      <c r="G145" s="216">
        <v>730</v>
      </c>
      <c r="H145" s="217">
        <f t="shared" si="12"/>
        <v>45218</v>
      </c>
      <c r="I145" s="218" t="str">
        <f t="shared" ca="1" si="14"/>
        <v>Vencido hace 114 dias</v>
      </c>
      <c r="J145" s="219">
        <f t="shared" ca="1" si="13"/>
        <v>-114</v>
      </c>
      <c r="K145" s="220" t="s">
        <v>717</v>
      </c>
      <c r="L145" s="218"/>
    </row>
    <row r="146" spans="2:12">
      <c r="B146" s="212" t="s">
        <v>763</v>
      </c>
      <c r="C146" s="224" t="s">
        <v>780</v>
      </c>
      <c r="D146" s="267" t="s">
        <v>781</v>
      </c>
      <c r="E146" s="214"/>
      <c r="F146" s="215">
        <v>44263</v>
      </c>
      <c r="G146" s="216">
        <v>730</v>
      </c>
      <c r="H146" s="217">
        <f t="shared" si="12"/>
        <v>44993</v>
      </c>
      <c r="I146" s="218" t="str">
        <f t="shared" ca="1" si="14"/>
        <v>Vencido hace 339 dias</v>
      </c>
      <c r="J146" s="219">
        <f t="shared" ca="1" si="13"/>
        <v>-339</v>
      </c>
      <c r="K146" s="220" t="s">
        <v>782</v>
      </c>
      <c r="L146" s="218"/>
    </row>
    <row r="147" spans="2:12">
      <c r="B147" s="212" t="s">
        <v>763</v>
      </c>
      <c r="C147" s="224" t="s">
        <v>783</v>
      </c>
      <c r="D147" s="266" t="s">
        <v>784</v>
      </c>
      <c r="E147" s="214"/>
      <c r="F147" s="215">
        <v>44809</v>
      </c>
      <c r="G147" s="216">
        <v>730</v>
      </c>
      <c r="H147" s="217">
        <f t="shared" si="12"/>
        <v>45539</v>
      </c>
      <c r="I147" s="218" t="str">
        <f ca="1">IF(H147="","VACIO",IF(J147&lt;0,"Vencido hace "&amp;J147*-1&amp;" dias",IF(J147=0,"Vencido Hoy",IF(J147&lt;8,"Tiene "&amp; J147 &amp;" dias","Faltan "&amp;J147*1&amp;H147))))</f>
        <v>Faltan 20745539</v>
      </c>
      <c r="J147" s="219">
        <f t="shared" ca="1" si="13"/>
        <v>207</v>
      </c>
      <c r="K147" s="220" t="s">
        <v>785</v>
      </c>
      <c r="L147" s="218"/>
    </row>
    <row r="148" spans="2:12">
      <c r="B148" s="212" t="s">
        <v>763</v>
      </c>
      <c r="C148" s="224" t="s">
        <v>786</v>
      </c>
      <c r="D148" s="267" t="s">
        <v>787</v>
      </c>
      <c r="E148" s="215"/>
      <c r="F148" s="215">
        <v>44407</v>
      </c>
      <c r="G148" s="216">
        <v>730</v>
      </c>
      <c r="H148" s="217">
        <f t="shared" si="12"/>
        <v>45137</v>
      </c>
      <c r="I148" s="218" t="str">
        <f t="shared" ref="I148:I153" ca="1" si="15">IF(H148="","VACIO",IF(J148&lt;0,"Vencido hace "&amp;J148*-1&amp;" dias",IF(J148=0,"Vencido Hoy",IF(J148&lt;8,"Tiene "&amp; J148 &amp;" dias","Faltan "&amp;J148&amp;H148))))</f>
        <v>Vencido hace 195 dias</v>
      </c>
      <c r="J148" s="219">
        <f t="shared" ca="1" si="13"/>
        <v>-195</v>
      </c>
      <c r="K148" s="220" t="s">
        <v>491</v>
      </c>
      <c r="L148" s="218"/>
    </row>
    <row r="149" spans="2:12">
      <c r="B149" s="212" t="s">
        <v>763</v>
      </c>
      <c r="C149" s="224" t="s">
        <v>788</v>
      </c>
      <c r="D149" s="267" t="s">
        <v>789</v>
      </c>
      <c r="E149" s="214"/>
      <c r="F149" s="215">
        <v>45261</v>
      </c>
      <c r="G149" s="216">
        <v>730</v>
      </c>
      <c r="H149" s="217">
        <f t="shared" si="12"/>
        <v>45991</v>
      </c>
      <c r="I149" s="218" t="str">
        <f t="shared" ca="1" si="15"/>
        <v>Faltan 65945991</v>
      </c>
      <c r="J149" s="219">
        <f t="shared" ca="1" si="13"/>
        <v>659</v>
      </c>
      <c r="K149" s="220" t="s">
        <v>2389</v>
      </c>
      <c r="L149" s="218"/>
    </row>
    <row r="150" spans="2:12">
      <c r="B150" s="212" t="s">
        <v>763</v>
      </c>
      <c r="C150" s="213" t="s">
        <v>790</v>
      </c>
      <c r="D150" s="265" t="s">
        <v>791</v>
      </c>
      <c r="E150" s="215">
        <v>44873</v>
      </c>
      <c r="F150" s="215">
        <v>44873</v>
      </c>
      <c r="G150" s="216">
        <v>730</v>
      </c>
      <c r="H150" s="217">
        <f t="shared" si="12"/>
        <v>45603</v>
      </c>
      <c r="I150" s="218" t="str">
        <f t="shared" ca="1" si="15"/>
        <v>Faltan 27145603</v>
      </c>
      <c r="J150" s="219">
        <f t="shared" ca="1" si="13"/>
        <v>271</v>
      </c>
      <c r="K150" s="220" t="s">
        <v>792</v>
      </c>
      <c r="L150" s="218"/>
    </row>
    <row r="151" spans="2:12">
      <c r="B151" s="212" t="s">
        <v>763</v>
      </c>
      <c r="C151" s="213" t="s">
        <v>793</v>
      </c>
      <c r="D151" s="265" t="s">
        <v>794</v>
      </c>
      <c r="E151" s="214"/>
      <c r="F151" s="215">
        <v>44503</v>
      </c>
      <c r="G151" s="216">
        <v>730</v>
      </c>
      <c r="H151" s="217">
        <f t="shared" si="12"/>
        <v>45233</v>
      </c>
      <c r="I151" s="218" t="str">
        <f t="shared" ca="1" si="15"/>
        <v>Vencido hace 99 dias</v>
      </c>
      <c r="J151" s="219">
        <f t="shared" ca="1" si="13"/>
        <v>-99</v>
      </c>
      <c r="K151" s="220" t="s">
        <v>795</v>
      </c>
      <c r="L151" s="218"/>
    </row>
    <row r="152" spans="2:12">
      <c r="B152" s="212" t="s">
        <v>763</v>
      </c>
      <c r="C152" s="213" t="s">
        <v>796</v>
      </c>
      <c r="D152" s="265" t="s">
        <v>797</v>
      </c>
      <c r="E152" s="214"/>
      <c r="F152" s="215">
        <v>44623</v>
      </c>
      <c r="G152" s="216">
        <v>730</v>
      </c>
      <c r="H152" s="217">
        <f t="shared" si="12"/>
        <v>45353</v>
      </c>
      <c r="I152" s="218" t="str">
        <f t="shared" ca="1" si="15"/>
        <v>Faltan 2145353</v>
      </c>
      <c r="J152" s="219">
        <f t="shared" ca="1" si="13"/>
        <v>21</v>
      </c>
      <c r="K152" s="220" t="s">
        <v>798</v>
      </c>
      <c r="L152" s="218"/>
    </row>
    <row r="153" spans="2:12">
      <c r="B153" s="212" t="s">
        <v>799</v>
      </c>
      <c r="C153" s="213" t="s">
        <v>803</v>
      </c>
      <c r="D153" s="267" t="s">
        <v>804</v>
      </c>
      <c r="E153" s="214"/>
      <c r="F153" s="215">
        <v>44692</v>
      </c>
      <c r="G153" s="216">
        <v>730</v>
      </c>
      <c r="H153" s="217">
        <f t="shared" si="12"/>
        <v>45422</v>
      </c>
      <c r="I153" s="218" t="str">
        <f t="shared" ca="1" si="15"/>
        <v>Faltan 9045422</v>
      </c>
      <c r="J153" s="219">
        <f t="shared" ca="1" si="13"/>
        <v>90</v>
      </c>
      <c r="K153" s="220" t="s">
        <v>805</v>
      </c>
      <c r="L153" s="218"/>
    </row>
    <row r="154" spans="2:12">
      <c r="B154" s="212" t="s">
        <v>799</v>
      </c>
      <c r="C154" s="213" t="s">
        <v>800</v>
      </c>
      <c r="D154" s="267" t="s">
        <v>801</v>
      </c>
      <c r="E154" s="214"/>
      <c r="F154" s="215">
        <v>44616</v>
      </c>
      <c r="G154" s="216">
        <v>730</v>
      </c>
      <c r="H154" s="217">
        <f t="shared" si="12"/>
        <v>45346</v>
      </c>
      <c r="I154" s="218" t="str">
        <f ca="1">IF(H154="","VACIO",IF(J154&lt;0,"Vencido hace "&amp;J154*-1&amp;" dias",IF(J154=0,"Vencido Hoy",IF(J154&lt;8,"Tiene "&amp; J154 &amp;" dias","Faltan "&amp;J154*1&amp;H154))))</f>
        <v>Faltan 1445346</v>
      </c>
      <c r="J154" s="219">
        <f t="shared" ca="1" si="13"/>
        <v>14</v>
      </c>
      <c r="K154" s="220" t="s">
        <v>802</v>
      </c>
      <c r="L154" s="218"/>
    </row>
    <row r="155" spans="2:12">
      <c r="B155" s="212" t="s">
        <v>799</v>
      </c>
      <c r="C155" s="213" t="s">
        <v>806</v>
      </c>
      <c r="D155" s="265" t="s">
        <v>807</v>
      </c>
      <c r="E155" s="215">
        <v>44834</v>
      </c>
      <c r="F155" s="215">
        <v>44834</v>
      </c>
      <c r="G155" s="216">
        <v>730</v>
      </c>
      <c r="H155" s="217">
        <f t="shared" si="12"/>
        <v>45564</v>
      </c>
      <c r="I155" s="218" t="str">
        <f ca="1">IF(H155="","VACIO",IF(J155&lt;0,"Vencido hace "&amp;J155*-1&amp;" dias",IF(J155=0,"Vencido Hoy",IF(J155&lt;8,"Tiene "&amp; J155 &amp;" dias","Faltan "&amp;J155&amp;H155))))</f>
        <v>Faltan 23245564</v>
      </c>
      <c r="J155" s="219">
        <f t="shared" ca="1" si="13"/>
        <v>232</v>
      </c>
      <c r="K155" s="220" t="s">
        <v>808</v>
      </c>
      <c r="L155" s="218"/>
    </row>
    <row r="156" spans="2:12">
      <c r="B156" s="212" t="s">
        <v>799</v>
      </c>
      <c r="C156" s="213" t="s">
        <v>809</v>
      </c>
      <c r="D156" s="265" t="s">
        <v>810</v>
      </c>
      <c r="E156" s="215">
        <v>44834</v>
      </c>
      <c r="F156" s="215">
        <v>44834</v>
      </c>
      <c r="G156" s="216">
        <v>730</v>
      </c>
      <c r="H156" s="217">
        <f t="shared" si="12"/>
        <v>45564</v>
      </c>
      <c r="I156" s="218" t="str">
        <f ca="1">IF(H156="","VACIO",IF(J156&lt;0,"Vencido hace "&amp;J156*-1&amp;" dias",IF(J156=0,"Vencido Hoy",IF(J156&lt;8,"Tiene "&amp; J156 &amp;" dias","Faltan "&amp;J156&amp;H156))))</f>
        <v>Faltan 23245564</v>
      </c>
      <c r="J156" s="219">
        <f t="shared" ca="1" si="13"/>
        <v>232</v>
      </c>
      <c r="K156" s="220" t="s">
        <v>58</v>
      </c>
      <c r="L156" s="218"/>
    </row>
    <row r="157" spans="2:12">
      <c r="B157" s="212" t="s">
        <v>799</v>
      </c>
      <c r="C157" s="213" t="s">
        <v>811</v>
      </c>
      <c r="D157" s="265" t="s">
        <v>812</v>
      </c>
      <c r="E157" s="214" t="s">
        <v>813</v>
      </c>
      <c r="F157" s="215">
        <v>44628</v>
      </c>
      <c r="G157" s="216">
        <v>730</v>
      </c>
      <c r="H157" s="217">
        <f t="shared" si="12"/>
        <v>45358</v>
      </c>
      <c r="I157" s="218" t="str">
        <f ca="1">IF(H157="","VACIO",IF(J157&lt;0,"Vencido hace "&amp;J157*-1&amp;" dias",IF(J157=0,"Vencido Hoy",IF(J157&lt;8,"Tiene "&amp; J157 &amp;" dias","Faltan "&amp;J157&amp;H157))))</f>
        <v>Faltan 2645358</v>
      </c>
      <c r="J157" s="219">
        <f t="shared" ca="1" si="13"/>
        <v>26</v>
      </c>
      <c r="K157" s="220"/>
      <c r="L157" s="218"/>
    </row>
    <row r="158" spans="2:12">
      <c r="B158" s="212" t="s">
        <v>799</v>
      </c>
      <c r="C158" s="213" t="s">
        <v>814</v>
      </c>
      <c r="D158" s="265" t="s">
        <v>815</v>
      </c>
      <c r="E158" s="214"/>
      <c r="F158" s="215">
        <v>44438</v>
      </c>
      <c r="G158" s="216">
        <v>730</v>
      </c>
      <c r="H158" s="217">
        <f t="shared" si="12"/>
        <v>45168</v>
      </c>
      <c r="I158" s="218" t="str">
        <f ca="1">IF(H158="","VACIO",IF(J158&lt;0,"Vencido hace "&amp;J158*-1&amp;" dias",IF(J158=0,"Vencido Hoy",IF(J158&lt;8,"Tiene "&amp; J158 &amp;" dias","Faltan "&amp;J158&amp;H158))))</f>
        <v>Vencido hace 164 dias</v>
      </c>
      <c r="J158" s="219">
        <f t="shared" ca="1" si="13"/>
        <v>-164</v>
      </c>
      <c r="K158" s="220" t="s">
        <v>717</v>
      </c>
      <c r="L158" s="218"/>
    </row>
    <row r="159" spans="2:12">
      <c r="B159" s="212" t="s">
        <v>799</v>
      </c>
      <c r="C159" s="213" t="s">
        <v>816</v>
      </c>
      <c r="D159" s="265" t="s">
        <v>817</v>
      </c>
      <c r="E159" s="215">
        <v>44868</v>
      </c>
      <c r="F159" s="215">
        <v>44868</v>
      </c>
      <c r="G159" s="216">
        <v>730</v>
      </c>
      <c r="H159" s="217">
        <f t="shared" si="12"/>
        <v>45598</v>
      </c>
      <c r="I159" s="218" t="str">
        <f ca="1">IF(H159="","VACIO",IF(J159&lt;0,"Vencido hace "&amp;J159*-1&amp;" dias",IF(J159=0,"Vencido Hoy",IF(J159&lt;8,"Tiene "&amp; J159 &amp;" dias","Faltan "&amp;J159&amp;H159))))</f>
        <v>Faltan 26645598</v>
      </c>
      <c r="J159" s="219">
        <f t="shared" ca="1" si="13"/>
        <v>266</v>
      </c>
      <c r="K159" s="220" t="s">
        <v>818</v>
      </c>
      <c r="L159" s="218"/>
    </row>
    <row r="160" spans="2:12">
      <c r="B160" s="212" t="s">
        <v>799</v>
      </c>
      <c r="C160" s="223" t="s">
        <v>819</v>
      </c>
      <c r="D160" s="266" t="s">
        <v>820</v>
      </c>
      <c r="E160" s="215"/>
      <c r="F160" s="215">
        <v>45218</v>
      </c>
      <c r="G160" s="216">
        <v>730</v>
      </c>
      <c r="H160" s="217">
        <f t="shared" si="12"/>
        <v>45948</v>
      </c>
      <c r="I160" s="218" t="str">
        <f ca="1">IF(H160="","VACIO",IF(J160&lt;0,"Vencido hace "&amp;J160*-1&amp;" dias",IF(J160=0,"Vencido Hoy",IF(J160&lt;8,"Tiene "&amp; J160 &amp;" dias","Faltan "&amp;J160*1&amp;H160))))</f>
        <v>Faltan 61645948</v>
      </c>
      <c r="J160" s="219">
        <f t="shared" ca="1" si="13"/>
        <v>616</v>
      </c>
      <c r="K160" s="220" t="s">
        <v>471</v>
      </c>
      <c r="L160" s="218"/>
    </row>
    <row r="161" spans="2:12">
      <c r="B161" s="212" t="s">
        <v>799</v>
      </c>
      <c r="C161" s="213" t="s">
        <v>821</v>
      </c>
      <c r="D161" s="265" t="s">
        <v>822</v>
      </c>
      <c r="E161" s="214"/>
      <c r="F161" s="215">
        <v>44355</v>
      </c>
      <c r="G161" s="216">
        <v>730</v>
      </c>
      <c r="H161" s="217">
        <f t="shared" si="12"/>
        <v>45085</v>
      </c>
      <c r="I161" s="218" t="str">
        <f t="shared" ref="I161:I169" ca="1" si="16">IF(H161="","VACIO",IF(J161&lt;0,"Vencido hace "&amp;J161*-1&amp;" dias",IF(J161=0,"Vencido Hoy",IF(J161&lt;8,"Tiene "&amp; J161 &amp;" dias","Faltan "&amp;J161&amp;H161))))</f>
        <v>Vencido hace 247 dias</v>
      </c>
      <c r="J161" s="219">
        <f t="shared" ca="1" si="13"/>
        <v>-247</v>
      </c>
      <c r="K161" s="220" t="s">
        <v>605</v>
      </c>
      <c r="L161" s="218"/>
    </row>
    <row r="162" spans="2:12">
      <c r="B162" s="212" t="s">
        <v>799</v>
      </c>
      <c r="C162" s="213" t="s">
        <v>823</v>
      </c>
      <c r="D162" s="265" t="s">
        <v>824</v>
      </c>
      <c r="E162" s="215">
        <v>44840</v>
      </c>
      <c r="F162" s="215">
        <v>44840</v>
      </c>
      <c r="G162" s="216">
        <v>730</v>
      </c>
      <c r="H162" s="217">
        <f t="shared" si="12"/>
        <v>45570</v>
      </c>
      <c r="I162" s="218" t="str">
        <f t="shared" ca="1" si="16"/>
        <v>Faltan 23845570</v>
      </c>
      <c r="J162" s="219">
        <f t="shared" ca="1" si="13"/>
        <v>238</v>
      </c>
      <c r="K162" s="220" t="s">
        <v>825</v>
      </c>
      <c r="L162" s="218"/>
    </row>
    <row r="163" spans="2:12">
      <c r="B163" s="212" t="s">
        <v>799</v>
      </c>
      <c r="C163" s="213" t="s">
        <v>826</v>
      </c>
      <c r="D163" s="265" t="s">
        <v>827</v>
      </c>
      <c r="E163" s="215">
        <v>44844</v>
      </c>
      <c r="F163" s="215">
        <v>44844</v>
      </c>
      <c r="G163" s="216">
        <v>730</v>
      </c>
      <c r="H163" s="217">
        <f t="shared" si="12"/>
        <v>45574</v>
      </c>
      <c r="I163" s="218" t="str">
        <f t="shared" ca="1" si="16"/>
        <v>Faltan 24245574</v>
      </c>
      <c r="J163" s="219">
        <f t="shared" ca="1" si="13"/>
        <v>242</v>
      </c>
      <c r="K163" s="220" t="s">
        <v>828</v>
      </c>
      <c r="L163" s="218"/>
    </row>
    <row r="164" spans="2:12">
      <c r="B164" s="212" t="s">
        <v>799</v>
      </c>
      <c r="C164" s="213" t="s">
        <v>829</v>
      </c>
      <c r="D164" s="265" t="s">
        <v>830</v>
      </c>
      <c r="E164" s="214"/>
      <c r="F164" s="215">
        <v>44328</v>
      </c>
      <c r="G164" s="216">
        <v>730</v>
      </c>
      <c r="H164" s="217">
        <f t="shared" si="12"/>
        <v>45058</v>
      </c>
      <c r="I164" s="218" t="str">
        <f t="shared" ca="1" si="16"/>
        <v>Vencido hace 274 dias</v>
      </c>
      <c r="J164" s="219">
        <f t="shared" ca="1" si="13"/>
        <v>-274</v>
      </c>
      <c r="K164" s="220" t="s">
        <v>831</v>
      </c>
      <c r="L164" s="218"/>
    </row>
    <row r="165" spans="2:12">
      <c r="B165" s="212" t="s">
        <v>799</v>
      </c>
      <c r="C165" s="213" t="s">
        <v>832</v>
      </c>
      <c r="D165" s="265" t="s">
        <v>833</v>
      </c>
      <c r="E165" s="214" t="s">
        <v>813</v>
      </c>
      <c r="F165" s="215">
        <v>44628</v>
      </c>
      <c r="G165" s="216">
        <v>730</v>
      </c>
      <c r="H165" s="217">
        <f t="shared" si="12"/>
        <v>45358</v>
      </c>
      <c r="I165" s="218" t="str">
        <f t="shared" ca="1" si="16"/>
        <v>Faltan 2645358</v>
      </c>
      <c r="J165" s="219">
        <f t="shared" ca="1" si="13"/>
        <v>26</v>
      </c>
      <c r="K165" s="220"/>
      <c r="L165" s="218"/>
    </row>
    <row r="166" spans="2:12">
      <c r="B166" s="212" t="s">
        <v>799</v>
      </c>
      <c r="C166" s="213" t="s">
        <v>834</v>
      </c>
      <c r="D166" s="265" t="s">
        <v>835</v>
      </c>
      <c r="E166" s="214"/>
      <c r="F166" s="215">
        <v>44431</v>
      </c>
      <c r="G166" s="216">
        <v>730</v>
      </c>
      <c r="H166" s="217">
        <f t="shared" si="12"/>
        <v>45161</v>
      </c>
      <c r="I166" s="218" t="str">
        <f t="shared" ca="1" si="16"/>
        <v>Vencido hace 171 dias</v>
      </c>
      <c r="J166" s="219">
        <f t="shared" ca="1" si="13"/>
        <v>-171</v>
      </c>
      <c r="K166" s="220" t="s">
        <v>836</v>
      </c>
      <c r="L166" s="218"/>
    </row>
    <row r="167" spans="2:12">
      <c r="B167" s="212" t="s">
        <v>799</v>
      </c>
      <c r="C167" s="213" t="s">
        <v>837</v>
      </c>
      <c r="D167" s="265" t="s">
        <v>838</v>
      </c>
      <c r="E167" s="214"/>
      <c r="F167" s="215">
        <v>44491</v>
      </c>
      <c r="G167" s="216">
        <v>730</v>
      </c>
      <c r="H167" s="217">
        <f t="shared" si="12"/>
        <v>45221</v>
      </c>
      <c r="I167" s="218" t="str">
        <f t="shared" ca="1" si="16"/>
        <v>Vencido hace 111 dias</v>
      </c>
      <c r="J167" s="219">
        <f t="shared" ca="1" si="13"/>
        <v>-111</v>
      </c>
      <c r="K167" s="220" t="s">
        <v>717</v>
      </c>
      <c r="L167" s="218"/>
    </row>
    <row r="168" spans="2:12">
      <c r="B168" s="212" t="s">
        <v>799</v>
      </c>
      <c r="C168" s="224" t="s">
        <v>839</v>
      </c>
      <c r="D168" s="267" t="s">
        <v>840</v>
      </c>
      <c r="E168" s="214" t="s">
        <v>649</v>
      </c>
      <c r="F168" s="215">
        <v>44707</v>
      </c>
      <c r="G168" s="216">
        <v>730</v>
      </c>
      <c r="H168" s="217">
        <f t="shared" si="12"/>
        <v>45437</v>
      </c>
      <c r="I168" s="218" t="str">
        <f t="shared" ca="1" si="16"/>
        <v>Faltan 10545437</v>
      </c>
      <c r="J168" s="219">
        <f t="shared" ca="1" si="13"/>
        <v>105</v>
      </c>
      <c r="K168" s="220" t="s">
        <v>841</v>
      </c>
      <c r="L168" s="218"/>
    </row>
    <row r="169" spans="2:12">
      <c r="B169" s="212" t="s">
        <v>799</v>
      </c>
      <c r="C169" s="224" t="s">
        <v>842</v>
      </c>
      <c r="D169" s="267" t="s">
        <v>843</v>
      </c>
      <c r="E169" s="214"/>
      <c r="F169" s="215">
        <v>44368</v>
      </c>
      <c r="G169" s="216">
        <v>730</v>
      </c>
      <c r="H169" s="217">
        <f t="shared" si="12"/>
        <v>45098</v>
      </c>
      <c r="I169" s="218" t="str">
        <f t="shared" ca="1" si="16"/>
        <v>Vencido hace 234 dias</v>
      </c>
      <c r="J169" s="219">
        <f t="shared" ca="1" si="13"/>
        <v>-234</v>
      </c>
      <c r="K169" s="220" t="s">
        <v>717</v>
      </c>
      <c r="L169" s="218"/>
    </row>
    <row r="170" spans="2:12">
      <c r="B170" s="212" t="s">
        <v>799</v>
      </c>
      <c r="C170" s="224" t="s">
        <v>844</v>
      </c>
      <c r="D170" s="267" t="s">
        <v>845</v>
      </c>
      <c r="E170" s="214"/>
      <c r="F170" s="215">
        <v>44484</v>
      </c>
      <c r="G170" s="216">
        <v>730</v>
      </c>
      <c r="H170" s="217">
        <f t="shared" si="12"/>
        <v>45214</v>
      </c>
      <c r="I170" s="218" t="str">
        <f ca="1">IF(H170="","VACIO",IF(J170&lt;0,"Vencido hace "&amp;J170*-1&amp;" dias",IF(J170=0,"Vencido Hoy",IF(J170&lt;8,"Tiene "&amp; J170 &amp;" dias","Faltan "&amp;J170*1&amp;H170))))</f>
        <v>Vencido hace 118 dias</v>
      </c>
      <c r="J170" s="219">
        <f t="shared" ca="1" si="13"/>
        <v>-118</v>
      </c>
      <c r="K170" s="220"/>
      <c r="L170" s="218"/>
    </row>
    <row r="171" spans="2:12">
      <c r="B171" s="212" t="s">
        <v>799</v>
      </c>
      <c r="C171" s="224" t="s">
        <v>846</v>
      </c>
      <c r="D171" s="267" t="s">
        <v>847</v>
      </c>
      <c r="E171" s="214"/>
      <c r="F171" s="215">
        <v>44502</v>
      </c>
      <c r="G171" s="216">
        <v>730</v>
      </c>
      <c r="H171" s="217">
        <f t="shared" si="12"/>
        <v>45232</v>
      </c>
      <c r="I171" s="218" t="str">
        <f ca="1">IF(H171="","VACIO",IF(J171&lt;0,"Vencido hace "&amp;J171*-1&amp;" dias",IF(J171=0,"Vencido Hoy",IF(J171&lt;8,"Tiene "&amp; J171 &amp;" dias","Faltan "&amp;J171*1&amp;H171))))</f>
        <v>Vencido hace 100 dias</v>
      </c>
      <c r="J171" s="219">
        <f t="shared" ca="1" si="13"/>
        <v>-100</v>
      </c>
      <c r="K171" s="220" t="s">
        <v>848</v>
      </c>
      <c r="L171" s="218"/>
    </row>
    <row r="172" spans="2:12">
      <c r="B172" s="212" t="s">
        <v>799</v>
      </c>
      <c r="C172" s="224" t="s">
        <v>849</v>
      </c>
      <c r="D172" s="267" t="s">
        <v>850</v>
      </c>
      <c r="E172" s="214"/>
      <c r="F172" s="215">
        <v>44756</v>
      </c>
      <c r="G172" s="216">
        <v>730</v>
      </c>
      <c r="H172" s="217">
        <f t="shared" si="12"/>
        <v>45486</v>
      </c>
      <c r="I172" s="218" t="str">
        <f ca="1">IF(H172="","VACIO",IF(J172&lt;0,"Vencido hace "&amp;J172*-1&amp;" dias",IF(J172=0,"Vencido Hoy",IF(J172&lt;8,"Tiene "&amp; J172 &amp;" dias","Faltan "&amp;J172*1&amp;H172))))</f>
        <v>Faltan 15445486</v>
      </c>
      <c r="J172" s="219">
        <f t="shared" ca="1" si="13"/>
        <v>154</v>
      </c>
      <c r="K172" s="220" t="s">
        <v>851</v>
      </c>
      <c r="L172" s="218"/>
    </row>
    <row r="173" spans="2:12">
      <c r="B173" s="212" t="s">
        <v>852</v>
      </c>
      <c r="C173" s="213" t="s">
        <v>853</v>
      </c>
      <c r="D173" s="265" t="s">
        <v>854</v>
      </c>
      <c r="E173" s="214"/>
      <c r="F173" s="215">
        <v>44274</v>
      </c>
      <c r="G173" s="216">
        <v>730</v>
      </c>
      <c r="H173" s="217">
        <f t="shared" si="12"/>
        <v>45004</v>
      </c>
      <c r="I173" s="218" t="str">
        <f t="shared" ref="I173:I183" ca="1" si="17">IF(H173="","VACIO",IF(J173&lt;0,"Vencido hace "&amp;J173*-1&amp;" dias",IF(J173=0,"Vencido Hoy",IF(J173&lt;8,"Tiene "&amp; J173 &amp;" dias","Faltan "&amp;J173&amp;H173))))</f>
        <v>Vencido hace 328 dias</v>
      </c>
      <c r="J173" s="219">
        <f t="shared" ca="1" si="13"/>
        <v>-328</v>
      </c>
      <c r="K173" s="220" t="s">
        <v>855</v>
      </c>
      <c r="L173" s="218"/>
    </row>
    <row r="174" spans="2:12">
      <c r="B174" s="212" t="s">
        <v>852</v>
      </c>
      <c r="C174" s="213" t="s">
        <v>856</v>
      </c>
      <c r="D174" s="265" t="s">
        <v>857</v>
      </c>
      <c r="E174" s="214"/>
      <c r="F174" s="215">
        <v>45054</v>
      </c>
      <c r="G174" s="216">
        <v>730</v>
      </c>
      <c r="H174" s="217">
        <f t="shared" si="12"/>
        <v>45784</v>
      </c>
      <c r="I174" s="218" t="str">
        <f t="shared" ca="1" si="17"/>
        <v>Faltan 45245784</v>
      </c>
      <c r="J174" s="219">
        <f t="shared" ca="1" si="13"/>
        <v>452</v>
      </c>
      <c r="K174" s="220" t="s">
        <v>296</v>
      </c>
      <c r="L174" s="218"/>
    </row>
    <row r="175" spans="2:12">
      <c r="B175" s="212" t="s">
        <v>852</v>
      </c>
      <c r="C175" s="213" t="s">
        <v>858</v>
      </c>
      <c r="D175" s="265" t="s">
        <v>857</v>
      </c>
      <c r="E175" s="214"/>
      <c r="F175" s="215">
        <v>44300</v>
      </c>
      <c r="G175" s="216">
        <v>730</v>
      </c>
      <c r="H175" s="217">
        <f t="shared" si="12"/>
        <v>45030</v>
      </c>
      <c r="I175" s="218" t="str">
        <f t="shared" ca="1" si="17"/>
        <v>Vencido hace 302 dias</v>
      </c>
      <c r="J175" s="219">
        <f t="shared" ca="1" si="13"/>
        <v>-302</v>
      </c>
      <c r="K175" s="220" t="s">
        <v>79</v>
      </c>
      <c r="L175" s="218"/>
    </row>
    <row r="176" spans="2:12">
      <c r="B176" s="212" t="s">
        <v>852</v>
      </c>
      <c r="C176" s="213" t="s">
        <v>859</v>
      </c>
      <c r="D176" s="265" t="s">
        <v>860</v>
      </c>
      <c r="E176" s="214"/>
      <c r="F176" s="215">
        <v>44630</v>
      </c>
      <c r="G176" s="216">
        <v>730</v>
      </c>
      <c r="H176" s="217">
        <f t="shared" si="12"/>
        <v>45360</v>
      </c>
      <c r="I176" s="218" t="str">
        <f t="shared" ca="1" si="17"/>
        <v>Faltan 2845360</v>
      </c>
      <c r="J176" s="219">
        <f t="shared" ca="1" si="13"/>
        <v>28</v>
      </c>
      <c r="K176" s="220" t="s">
        <v>861</v>
      </c>
      <c r="L176" s="218"/>
    </row>
    <row r="177" spans="2:12">
      <c r="B177" s="212" t="s">
        <v>852</v>
      </c>
      <c r="C177" s="213" t="s">
        <v>862</v>
      </c>
      <c r="D177" s="265" t="s">
        <v>863</v>
      </c>
      <c r="E177" s="214"/>
      <c r="F177" s="215">
        <v>44761</v>
      </c>
      <c r="G177" s="216">
        <v>730</v>
      </c>
      <c r="H177" s="217">
        <f t="shared" si="12"/>
        <v>45491</v>
      </c>
      <c r="I177" s="218" t="str">
        <f t="shared" ca="1" si="17"/>
        <v>Faltan 15945491</v>
      </c>
      <c r="J177" s="219">
        <f t="shared" ca="1" si="13"/>
        <v>159</v>
      </c>
      <c r="K177" s="220" t="s">
        <v>864</v>
      </c>
      <c r="L177" s="218"/>
    </row>
    <row r="178" spans="2:12">
      <c r="B178" s="212" t="s">
        <v>852</v>
      </c>
      <c r="C178" s="213" t="s">
        <v>865</v>
      </c>
      <c r="D178" s="265" t="s">
        <v>866</v>
      </c>
      <c r="E178" s="214"/>
      <c r="F178" s="215">
        <v>44755</v>
      </c>
      <c r="G178" s="216">
        <v>730</v>
      </c>
      <c r="H178" s="217">
        <f t="shared" si="12"/>
        <v>45485</v>
      </c>
      <c r="I178" s="218" t="str">
        <f t="shared" ca="1" si="17"/>
        <v>Faltan 15345485</v>
      </c>
      <c r="J178" s="219">
        <f t="shared" ca="1" si="13"/>
        <v>153</v>
      </c>
      <c r="K178" s="220" t="s">
        <v>867</v>
      </c>
      <c r="L178" s="218"/>
    </row>
    <row r="179" spans="2:12">
      <c r="B179" s="212" t="s">
        <v>852</v>
      </c>
      <c r="C179" s="213" t="s">
        <v>868</v>
      </c>
      <c r="D179" s="265" t="s">
        <v>869</v>
      </c>
      <c r="E179" s="215">
        <v>44837</v>
      </c>
      <c r="F179" s="215">
        <v>44837</v>
      </c>
      <c r="G179" s="216">
        <v>730</v>
      </c>
      <c r="H179" s="217">
        <f t="shared" si="12"/>
        <v>45567</v>
      </c>
      <c r="I179" s="218" t="str">
        <f t="shared" ca="1" si="17"/>
        <v>Faltan 23545567</v>
      </c>
      <c r="J179" s="219">
        <f t="shared" ca="1" si="13"/>
        <v>235</v>
      </c>
      <c r="K179" s="220" t="s">
        <v>742</v>
      </c>
      <c r="L179" s="218"/>
    </row>
    <row r="180" spans="2:12">
      <c r="B180" s="212" t="s">
        <v>852</v>
      </c>
      <c r="C180" s="213" t="s">
        <v>870</v>
      </c>
      <c r="D180" s="265" t="s">
        <v>871</v>
      </c>
      <c r="E180" s="214"/>
      <c r="F180" s="215">
        <v>44181</v>
      </c>
      <c r="G180" s="216">
        <v>730</v>
      </c>
      <c r="H180" s="217">
        <f t="shared" si="12"/>
        <v>44911</v>
      </c>
      <c r="I180" s="218" t="str">
        <f t="shared" ca="1" si="17"/>
        <v>Vencido hace 421 dias</v>
      </c>
      <c r="J180" s="219">
        <f t="shared" ca="1" si="13"/>
        <v>-421</v>
      </c>
      <c r="K180" s="220" t="s">
        <v>157</v>
      </c>
      <c r="L180" s="218"/>
    </row>
    <row r="181" spans="2:12">
      <c r="B181" s="212" t="s">
        <v>852</v>
      </c>
      <c r="C181" s="213" t="s">
        <v>872</v>
      </c>
      <c r="D181" s="265" t="s">
        <v>873</v>
      </c>
      <c r="E181" s="214" t="s">
        <v>649</v>
      </c>
      <c r="F181" s="215">
        <v>44722</v>
      </c>
      <c r="G181" s="216">
        <v>730</v>
      </c>
      <c r="H181" s="217">
        <f t="shared" si="12"/>
        <v>45452</v>
      </c>
      <c r="I181" s="218" t="str">
        <f t="shared" ca="1" si="17"/>
        <v>Faltan 12045452</v>
      </c>
      <c r="J181" s="219">
        <f t="shared" ca="1" si="13"/>
        <v>120</v>
      </c>
      <c r="K181" s="220" t="s">
        <v>79</v>
      </c>
      <c r="L181" s="218"/>
    </row>
    <row r="182" spans="2:12">
      <c r="B182" s="212" t="s">
        <v>852</v>
      </c>
      <c r="C182" s="213" t="s">
        <v>874</v>
      </c>
      <c r="D182" s="265" t="s">
        <v>875</v>
      </c>
      <c r="E182" s="215">
        <v>44805</v>
      </c>
      <c r="F182" s="215">
        <v>44805</v>
      </c>
      <c r="G182" s="216">
        <v>730</v>
      </c>
      <c r="H182" s="217">
        <f t="shared" si="12"/>
        <v>45535</v>
      </c>
      <c r="I182" s="218" t="str">
        <f t="shared" ca="1" si="17"/>
        <v>Faltan 20345535</v>
      </c>
      <c r="J182" s="219">
        <f t="shared" ca="1" si="13"/>
        <v>203</v>
      </c>
      <c r="K182" s="220" t="s">
        <v>876</v>
      </c>
      <c r="L182" s="218"/>
    </row>
    <row r="183" spans="2:12">
      <c r="B183" s="212" t="s">
        <v>852</v>
      </c>
      <c r="C183" s="213" t="s">
        <v>877</v>
      </c>
      <c r="D183" s="265" t="s">
        <v>878</v>
      </c>
      <c r="E183" s="214"/>
      <c r="F183" s="215">
        <v>44223</v>
      </c>
      <c r="G183" s="216">
        <v>730</v>
      </c>
      <c r="H183" s="217">
        <f t="shared" si="12"/>
        <v>44953</v>
      </c>
      <c r="I183" s="218" t="str">
        <f t="shared" ca="1" si="17"/>
        <v>Vencido hace 379 dias</v>
      </c>
      <c r="J183" s="219">
        <f t="shared" ca="1" si="13"/>
        <v>-379</v>
      </c>
      <c r="K183" s="220" t="s">
        <v>879</v>
      </c>
      <c r="L183" s="218"/>
    </row>
    <row r="184" spans="2:12">
      <c r="B184" s="212" t="s">
        <v>852</v>
      </c>
      <c r="C184" s="213" t="s">
        <v>880</v>
      </c>
      <c r="D184" s="265" t="s">
        <v>881</v>
      </c>
      <c r="E184" s="214"/>
      <c r="F184" s="215">
        <v>44691</v>
      </c>
      <c r="G184" s="216">
        <v>730</v>
      </c>
      <c r="H184" s="217">
        <f t="shared" si="12"/>
        <v>45421</v>
      </c>
      <c r="I184" s="218" t="str">
        <f ca="1">IF(H184="","VACIO",IF(J184&lt;0,"Vencido hace "&amp;J184*-1&amp;" dias",IF(J184=0,"Vencido Hoy",IF(J184&lt;8,"Tiene "&amp; J184 &amp;" dias","Faltan "&amp;J184*1&amp;H184))))</f>
        <v>Faltan 8945421</v>
      </c>
      <c r="J184" s="219">
        <f t="shared" ca="1" si="13"/>
        <v>89</v>
      </c>
      <c r="K184" s="220"/>
      <c r="L184" s="218"/>
    </row>
    <row r="185" spans="2:12">
      <c r="B185" s="212" t="s">
        <v>852</v>
      </c>
      <c r="C185" s="213" t="s">
        <v>882</v>
      </c>
      <c r="D185" s="266" t="s">
        <v>883</v>
      </c>
      <c r="E185" s="214"/>
      <c r="F185" s="215">
        <v>44889</v>
      </c>
      <c r="G185" s="216">
        <v>730</v>
      </c>
      <c r="H185" s="217">
        <f t="shared" si="12"/>
        <v>45619</v>
      </c>
      <c r="I185" s="218" t="str">
        <f ca="1">IF(H185="","VACIO",IF(J185&lt;0,"Vencido hace "&amp;J185*-1&amp;" dias",IF(J185=0,"Vencido Hoy",IF(J185&lt;8,"Tiene "&amp; J185 &amp;" dias","Faltan "&amp;J185*1&amp;H185))))</f>
        <v>Faltan 28745619</v>
      </c>
      <c r="J185" s="219">
        <f t="shared" ca="1" si="13"/>
        <v>287</v>
      </c>
      <c r="K185" s="220" t="s">
        <v>582</v>
      </c>
      <c r="L185" s="218"/>
    </row>
    <row r="186" spans="2:12">
      <c r="B186" s="212" t="s">
        <v>852</v>
      </c>
      <c r="C186" s="213" t="s">
        <v>884</v>
      </c>
      <c r="D186" s="265" t="s">
        <v>885</v>
      </c>
      <c r="E186" s="214"/>
      <c r="F186" s="215">
        <v>44455</v>
      </c>
      <c r="G186" s="216">
        <v>730</v>
      </c>
      <c r="H186" s="217">
        <f t="shared" si="12"/>
        <v>45185</v>
      </c>
      <c r="I186" s="218" t="str">
        <f ca="1">IF(H186="","VACIO",IF(J186&lt;0,"Vencido hace "&amp;J186*-1&amp;" dias",IF(J186=0,"Vencido Hoy",IF(J186&lt;8,"Tiene "&amp; J186 &amp;" dias","Faltan "&amp;J186*1&amp;H186))))</f>
        <v>Vencido hace 147 dias</v>
      </c>
      <c r="J186" s="219">
        <f t="shared" ca="1" si="13"/>
        <v>-147</v>
      </c>
      <c r="K186" s="220"/>
      <c r="L186" s="218"/>
    </row>
    <row r="187" spans="2:12">
      <c r="B187" s="212" t="s">
        <v>852</v>
      </c>
      <c r="C187" s="213" t="s">
        <v>886</v>
      </c>
      <c r="D187" s="265" t="s">
        <v>887</v>
      </c>
      <c r="E187" s="214"/>
      <c r="F187" s="215">
        <v>44484</v>
      </c>
      <c r="G187" s="216">
        <v>730</v>
      </c>
      <c r="H187" s="217">
        <f t="shared" si="12"/>
        <v>45214</v>
      </c>
      <c r="I187" s="218" t="str">
        <f ca="1">IF(H187="","VACIO",IF(J187&lt;0,"Vencido hace "&amp;J187*-1&amp;" dias",IF(J187=0,"Vencido Hoy",IF(J187&lt;8,"Tiene "&amp; J187 &amp;" dias","Faltan "&amp;J187*1&amp;H187))))</f>
        <v>Vencido hace 118 dias</v>
      </c>
      <c r="J187" s="219">
        <f t="shared" ca="1" si="13"/>
        <v>-118</v>
      </c>
      <c r="K187" s="220" t="s">
        <v>888</v>
      </c>
      <c r="L187" s="218"/>
    </row>
    <row r="188" spans="2:12">
      <c r="B188" s="212" t="s">
        <v>852</v>
      </c>
      <c r="C188" s="213" t="s">
        <v>889</v>
      </c>
      <c r="D188" s="265" t="s">
        <v>890</v>
      </c>
      <c r="E188" s="215">
        <v>44805</v>
      </c>
      <c r="F188" s="215">
        <v>44805</v>
      </c>
      <c r="G188" s="216">
        <v>730</v>
      </c>
      <c r="H188" s="217">
        <f t="shared" si="12"/>
        <v>45535</v>
      </c>
      <c r="I188" s="218" t="str">
        <f t="shared" ref="I188:I202" ca="1" si="18">IF(H188="","VACIO",IF(J188&lt;0,"Vencido hace "&amp;J188*-1&amp;" dias",IF(J188=0,"Vencido Hoy",IF(J188&lt;8,"Tiene "&amp; J188 &amp;" dias","Faltan "&amp;J188&amp;H188))))</f>
        <v>Faltan 20345535</v>
      </c>
      <c r="J188" s="219">
        <f t="shared" ca="1" si="13"/>
        <v>203</v>
      </c>
      <c r="K188" s="220" t="s">
        <v>891</v>
      </c>
      <c r="L188" s="218"/>
    </row>
    <row r="189" spans="2:12">
      <c r="B189" s="212" t="s">
        <v>892</v>
      </c>
      <c r="C189" s="224" t="s">
        <v>893</v>
      </c>
      <c r="D189" s="267" t="s">
        <v>894</v>
      </c>
      <c r="E189" s="214"/>
      <c r="F189" s="215">
        <v>44238</v>
      </c>
      <c r="G189" s="216">
        <v>730</v>
      </c>
      <c r="H189" s="217">
        <f t="shared" si="12"/>
        <v>44968</v>
      </c>
      <c r="I189" s="218" t="str">
        <f t="shared" ca="1" si="18"/>
        <v>Vencido hace 364 dias</v>
      </c>
      <c r="J189" s="219">
        <f t="shared" ca="1" si="13"/>
        <v>-364</v>
      </c>
      <c r="K189" s="220" t="s">
        <v>582</v>
      </c>
      <c r="L189" s="218"/>
    </row>
    <row r="190" spans="2:12">
      <c r="B190" s="212" t="s">
        <v>892</v>
      </c>
      <c r="C190" s="213" t="s">
        <v>895</v>
      </c>
      <c r="D190" s="267" t="s">
        <v>896</v>
      </c>
      <c r="E190" s="214"/>
      <c r="F190" s="215">
        <v>44368</v>
      </c>
      <c r="G190" s="216">
        <v>730</v>
      </c>
      <c r="H190" s="217">
        <f t="shared" si="12"/>
        <v>45098</v>
      </c>
      <c r="I190" s="218" t="str">
        <f t="shared" ca="1" si="18"/>
        <v>Vencido hace 234 dias</v>
      </c>
      <c r="J190" s="219">
        <f t="shared" ca="1" si="13"/>
        <v>-234</v>
      </c>
      <c r="K190" s="220" t="s">
        <v>605</v>
      </c>
      <c r="L190" s="218"/>
    </row>
    <row r="191" spans="2:12">
      <c r="B191" s="212" t="s">
        <v>892</v>
      </c>
      <c r="C191" s="213" t="s">
        <v>897</v>
      </c>
      <c r="D191" s="265" t="s">
        <v>898</v>
      </c>
      <c r="E191" s="214"/>
      <c r="F191" s="215">
        <v>44655</v>
      </c>
      <c r="G191" s="216">
        <v>730</v>
      </c>
      <c r="H191" s="217">
        <f t="shared" si="12"/>
        <v>45385</v>
      </c>
      <c r="I191" s="218" t="str">
        <f t="shared" ca="1" si="18"/>
        <v>Faltan 5345385</v>
      </c>
      <c r="J191" s="219">
        <f t="shared" ca="1" si="13"/>
        <v>53</v>
      </c>
      <c r="K191" s="220" t="s">
        <v>899</v>
      </c>
      <c r="L191" s="218"/>
    </row>
    <row r="192" spans="2:12">
      <c r="B192" s="212" t="s">
        <v>892</v>
      </c>
      <c r="C192" s="213" t="s">
        <v>900</v>
      </c>
      <c r="D192" s="265" t="s">
        <v>901</v>
      </c>
      <c r="E192" s="214" t="s">
        <v>902</v>
      </c>
      <c r="F192" s="215">
        <v>44721</v>
      </c>
      <c r="G192" s="216">
        <v>730</v>
      </c>
      <c r="H192" s="217">
        <f t="shared" si="12"/>
        <v>45451</v>
      </c>
      <c r="I192" s="218" t="str">
        <f t="shared" ca="1" si="18"/>
        <v>Faltan 11945451</v>
      </c>
      <c r="J192" s="219">
        <f t="shared" ca="1" si="13"/>
        <v>119</v>
      </c>
      <c r="K192" s="220" t="s">
        <v>79</v>
      </c>
      <c r="L192" s="218"/>
    </row>
    <row r="193" spans="2:12">
      <c r="B193" s="212" t="s">
        <v>892</v>
      </c>
      <c r="C193" s="213" t="s">
        <v>903</v>
      </c>
      <c r="D193" s="266" t="s">
        <v>904</v>
      </c>
      <c r="E193" s="214"/>
      <c r="F193" s="215">
        <v>44767</v>
      </c>
      <c r="G193" s="216">
        <v>730</v>
      </c>
      <c r="H193" s="217">
        <f t="shared" si="12"/>
        <v>45497</v>
      </c>
      <c r="I193" s="218" t="str">
        <f t="shared" ca="1" si="18"/>
        <v>Faltan 16545497</v>
      </c>
      <c r="J193" s="219">
        <f t="shared" ca="1" si="13"/>
        <v>165</v>
      </c>
      <c r="K193" s="220" t="s">
        <v>296</v>
      </c>
      <c r="L193" s="218"/>
    </row>
    <row r="194" spans="2:12">
      <c r="B194" s="212" t="s">
        <v>892</v>
      </c>
      <c r="C194" s="213" t="s">
        <v>905</v>
      </c>
      <c r="D194" s="265" t="s">
        <v>906</v>
      </c>
      <c r="E194" s="215">
        <v>44791</v>
      </c>
      <c r="F194" s="215">
        <v>44791</v>
      </c>
      <c r="G194" s="216">
        <v>730</v>
      </c>
      <c r="H194" s="217">
        <f t="shared" si="12"/>
        <v>45521</v>
      </c>
      <c r="I194" s="218" t="str">
        <f t="shared" ca="1" si="18"/>
        <v>Faltan 18945521</v>
      </c>
      <c r="J194" s="219">
        <f t="shared" ca="1" si="13"/>
        <v>189</v>
      </c>
      <c r="K194" s="220" t="s">
        <v>808</v>
      </c>
      <c r="L194" s="218"/>
    </row>
    <row r="195" spans="2:12">
      <c r="B195" s="212" t="s">
        <v>892</v>
      </c>
      <c r="C195" s="213" t="s">
        <v>907</v>
      </c>
      <c r="D195" s="265" t="s">
        <v>908</v>
      </c>
      <c r="E195" s="214"/>
      <c r="F195" s="215">
        <v>44334</v>
      </c>
      <c r="G195" s="216">
        <v>730</v>
      </c>
      <c r="H195" s="217">
        <f t="shared" si="12"/>
        <v>45064</v>
      </c>
      <c r="I195" s="218" t="str">
        <f t="shared" ca="1" si="18"/>
        <v>Vencido hace 268 dias</v>
      </c>
      <c r="J195" s="219">
        <f t="shared" ca="1" si="13"/>
        <v>-268</v>
      </c>
      <c r="K195" s="220" t="s">
        <v>909</v>
      </c>
      <c r="L195" s="218"/>
    </row>
    <row r="196" spans="2:12">
      <c r="B196" s="212" t="s">
        <v>892</v>
      </c>
      <c r="C196" s="213" t="s">
        <v>910</v>
      </c>
      <c r="D196" s="265" t="s">
        <v>911</v>
      </c>
      <c r="E196" s="214"/>
      <c r="F196" s="215">
        <v>44645</v>
      </c>
      <c r="G196" s="216">
        <v>730</v>
      </c>
      <c r="H196" s="217">
        <f t="shared" ref="H196:H259" si="19">F196+G196</f>
        <v>45375</v>
      </c>
      <c r="I196" s="218" t="str">
        <f t="shared" ca="1" si="18"/>
        <v>Faltan 4345375</v>
      </c>
      <c r="J196" s="219">
        <f t="shared" ref="J196:J259" ca="1" si="20">H196-$B$2</f>
        <v>43</v>
      </c>
      <c r="K196" s="220" t="s">
        <v>912</v>
      </c>
      <c r="L196" s="218"/>
    </row>
    <row r="197" spans="2:12">
      <c r="B197" s="212" t="s">
        <v>892</v>
      </c>
      <c r="C197" s="213" t="s">
        <v>913</v>
      </c>
      <c r="D197" s="265" t="s">
        <v>914</v>
      </c>
      <c r="E197" s="215">
        <v>44798</v>
      </c>
      <c r="F197" s="215">
        <v>44798</v>
      </c>
      <c r="G197" s="216">
        <v>730</v>
      </c>
      <c r="H197" s="217">
        <f t="shared" si="19"/>
        <v>45528</v>
      </c>
      <c r="I197" s="218" t="str">
        <f t="shared" ca="1" si="18"/>
        <v>Faltan 19645528</v>
      </c>
      <c r="J197" s="219">
        <f t="shared" ca="1" si="20"/>
        <v>196</v>
      </c>
      <c r="K197" s="220" t="s">
        <v>735</v>
      </c>
      <c r="L197" s="218"/>
    </row>
    <row r="198" spans="2:12">
      <c r="B198" s="212" t="s">
        <v>892</v>
      </c>
      <c r="C198" s="213" t="s">
        <v>915</v>
      </c>
      <c r="D198" s="265" t="s">
        <v>916</v>
      </c>
      <c r="E198" s="214"/>
      <c r="F198" s="215">
        <v>44512</v>
      </c>
      <c r="G198" s="216">
        <v>730</v>
      </c>
      <c r="H198" s="217">
        <f t="shared" si="19"/>
        <v>45242</v>
      </c>
      <c r="I198" s="218" t="str">
        <f t="shared" ca="1" si="18"/>
        <v>Vencido hace 90 dias</v>
      </c>
      <c r="J198" s="219">
        <f t="shared" ca="1" si="20"/>
        <v>-90</v>
      </c>
      <c r="K198" s="220" t="s">
        <v>917</v>
      </c>
      <c r="L198" s="218"/>
    </row>
    <row r="199" spans="2:12">
      <c r="B199" s="212" t="s">
        <v>892</v>
      </c>
      <c r="C199" s="213" t="s">
        <v>918</v>
      </c>
      <c r="D199" s="265" t="s">
        <v>919</v>
      </c>
      <c r="E199" s="214"/>
      <c r="F199" s="215">
        <v>44480</v>
      </c>
      <c r="G199" s="216">
        <v>730</v>
      </c>
      <c r="H199" s="217">
        <f t="shared" si="19"/>
        <v>45210</v>
      </c>
      <c r="I199" s="218" t="str">
        <f t="shared" ca="1" si="18"/>
        <v>Vencido hace 122 dias</v>
      </c>
      <c r="J199" s="219">
        <f t="shared" ca="1" si="20"/>
        <v>-122</v>
      </c>
      <c r="K199" s="220" t="s">
        <v>717</v>
      </c>
      <c r="L199" s="218"/>
    </row>
    <row r="200" spans="2:12">
      <c r="B200" s="212" t="s">
        <v>892</v>
      </c>
      <c r="C200" s="213" t="s">
        <v>920</v>
      </c>
      <c r="D200" s="265" t="s">
        <v>921</v>
      </c>
      <c r="E200" s="214"/>
      <c r="F200" s="215">
        <v>44452</v>
      </c>
      <c r="G200" s="216">
        <v>730</v>
      </c>
      <c r="H200" s="217">
        <f t="shared" si="19"/>
        <v>45182</v>
      </c>
      <c r="I200" s="218" t="str">
        <f t="shared" ca="1" si="18"/>
        <v>Vencido hace 150 dias</v>
      </c>
      <c r="J200" s="219">
        <f t="shared" ca="1" si="20"/>
        <v>-150</v>
      </c>
      <c r="K200" s="220" t="s">
        <v>922</v>
      </c>
      <c r="L200" s="218"/>
    </row>
    <row r="201" spans="2:12">
      <c r="B201" s="212" t="s">
        <v>892</v>
      </c>
      <c r="C201" s="224" t="s">
        <v>923</v>
      </c>
      <c r="D201" s="267" t="s">
        <v>924</v>
      </c>
      <c r="E201" s="214"/>
      <c r="F201" s="215">
        <v>44952</v>
      </c>
      <c r="G201" s="216">
        <v>730</v>
      </c>
      <c r="H201" s="217">
        <f t="shared" si="19"/>
        <v>45682</v>
      </c>
      <c r="I201" s="218" t="str">
        <f t="shared" ca="1" si="18"/>
        <v>Faltan 35045682</v>
      </c>
      <c r="J201" s="219">
        <f t="shared" ca="1" si="20"/>
        <v>350</v>
      </c>
      <c r="K201" s="220" t="s">
        <v>79</v>
      </c>
      <c r="L201" s="218"/>
    </row>
    <row r="202" spans="2:12">
      <c r="B202" s="212" t="s">
        <v>892</v>
      </c>
      <c r="C202" s="224" t="s">
        <v>925</v>
      </c>
      <c r="D202" s="267" t="s">
        <v>926</v>
      </c>
      <c r="E202" s="214" t="s">
        <v>813</v>
      </c>
      <c r="F202" s="215">
        <v>44721</v>
      </c>
      <c r="G202" s="216">
        <v>730</v>
      </c>
      <c r="H202" s="217">
        <f t="shared" si="19"/>
        <v>45451</v>
      </c>
      <c r="I202" s="218" t="str">
        <f t="shared" ca="1" si="18"/>
        <v>Faltan 11945451</v>
      </c>
      <c r="J202" s="219">
        <f t="shared" ca="1" si="20"/>
        <v>119</v>
      </c>
      <c r="K202" s="220" t="s">
        <v>474</v>
      </c>
      <c r="L202" s="218"/>
    </row>
    <row r="203" spans="2:12">
      <c r="B203" s="212" t="s">
        <v>892</v>
      </c>
      <c r="C203" s="224" t="s">
        <v>927</v>
      </c>
      <c r="D203" s="266" t="s">
        <v>928</v>
      </c>
      <c r="E203" s="214"/>
      <c r="F203" s="215">
        <v>44679</v>
      </c>
      <c r="G203" s="216">
        <v>730</v>
      </c>
      <c r="H203" s="217">
        <f t="shared" si="19"/>
        <v>45409</v>
      </c>
      <c r="I203" s="218" t="str">
        <f ca="1">IF(H203="","VACIO",IF(J203&lt;0,"Vencido hace "&amp;J203*-1&amp;" dias",IF(J203=0,"Vencido Hoy",IF(J203&lt;8,"Tiene "&amp; J203 &amp;" dias","Faltan "&amp;J203*1&amp;H203))))</f>
        <v>Faltan 7745409</v>
      </c>
      <c r="J203" s="219">
        <f t="shared" ca="1" si="20"/>
        <v>77</v>
      </c>
      <c r="K203" s="220" t="s">
        <v>929</v>
      </c>
      <c r="L203" s="218"/>
    </row>
    <row r="204" spans="2:12">
      <c r="B204" s="212" t="s">
        <v>892</v>
      </c>
      <c r="C204" s="224" t="s">
        <v>930</v>
      </c>
      <c r="D204" s="266" t="s">
        <v>931</v>
      </c>
      <c r="E204" s="214"/>
      <c r="F204" s="215">
        <v>44708</v>
      </c>
      <c r="G204" s="216">
        <v>730</v>
      </c>
      <c r="H204" s="217">
        <f t="shared" si="19"/>
        <v>45438</v>
      </c>
      <c r="I204" s="218" t="str">
        <f ca="1">IF(H204="","VACIO",IF(J204&lt;0,"Vencido hace "&amp;J204*-1&amp;" dias",IF(J204=0,"Vencido Hoy",IF(J204&lt;8,"Tiene "&amp; J204 &amp;" dias","Faltan "&amp;J204*1&amp;H204))))</f>
        <v>Faltan 10645438</v>
      </c>
      <c r="J204" s="219">
        <f t="shared" ca="1" si="20"/>
        <v>106</v>
      </c>
      <c r="K204" s="220" t="s">
        <v>541</v>
      </c>
      <c r="L204" s="218"/>
    </row>
    <row r="205" spans="2:12">
      <c r="B205" s="212" t="s">
        <v>892</v>
      </c>
      <c r="C205" s="224" t="s">
        <v>932</v>
      </c>
      <c r="D205" s="267" t="s">
        <v>933</v>
      </c>
      <c r="E205" s="214"/>
      <c r="F205" s="215">
        <v>44784</v>
      </c>
      <c r="G205" s="216">
        <v>730</v>
      </c>
      <c r="H205" s="217">
        <f t="shared" si="19"/>
        <v>45514</v>
      </c>
      <c r="I205" s="218" t="str">
        <f t="shared" ref="I205:I229" ca="1" si="21">IF(H205="","VACIO",IF(J205&lt;0,"Vencido hace "&amp;J205*-1&amp;" dias",IF(J205=0,"Vencido Hoy",IF(J205&lt;8,"Tiene "&amp; J205 &amp;" dias","Faltan "&amp;J205&amp;H205))))</f>
        <v>Faltan 18245514</v>
      </c>
      <c r="J205" s="219">
        <f t="shared" ca="1" si="20"/>
        <v>182</v>
      </c>
      <c r="K205" s="220" t="s">
        <v>641</v>
      </c>
      <c r="L205" s="218"/>
    </row>
    <row r="206" spans="2:12">
      <c r="B206" s="212" t="s">
        <v>892</v>
      </c>
      <c r="C206" s="224" t="s">
        <v>934</v>
      </c>
      <c r="D206" s="267" t="s">
        <v>935</v>
      </c>
      <c r="E206" s="214"/>
      <c r="F206" s="215">
        <v>44592</v>
      </c>
      <c r="G206" s="216">
        <v>730</v>
      </c>
      <c r="H206" s="217">
        <f t="shared" si="19"/>
        <v>45322</v>
      </c>
      <c r="I206" s="218" t="str">
        <f t="shared" ca="1" si="21"/>
        <v>Vencido hace 10 dias</v>
      </c>
      <c r="J206" s="219">
        <f t="shared" ca="1" si="20"/>
        <v>-10</v>
      </c>
      <c r="K206" s="220" t="s">
        <v>936</v>
      </c>
      <c r="L206" s="218"/>
    </row>
    <row r="207" spans="2:12">
      <c r="B207" s="212" t="s">
        <v>892</v>
      </c>
      <c r="C207" s="224" t="s">
        <v>937</v>
      </c>
      <c r="D207" s="267" t="s">
        <v>938</v>
      </c>
      <c r="E207" s="214"/>
      <c r="F207" s="215">
        <v>44740</v>
      </c>
      <c r="G207" s="216">
        <v>730</v>
      </c>
      <c r="H207" s="217">
        <f t="shared" si="19"/>
        <v>45470</v>
      </c>
      <c r="I207" s="218" t="str">
        <f t="shared" ca="1" si="21"/>
        <v>Faltan 13845470</v>
      </c>
      <c r="J207" s="219">
        <f t="shared" ca="1" si="20"/>
        <v>138</v>
      </c>
      <c r="K207" s="220" t="s">
        <v>519</v>
      </c>
      <c r="L207" s="218"/>
    </row>
    <row r="208" spans="2:12">
      <c r="B208" s="212" t="s">
        <v>892</v>
      </c>
      <c r="C208" s="224" t="s">
        <v>939</v>
      </c>
      <c r="D208" s="267" t="s">
        <v>940</v>
      </c>
      <c r="E208" s="214"/>
      <c r="F208" s="215">
        <v>44293</v>
      </c>
      <c r="G208" s="216">
        <v>730</v>
      </c>
      <c r="H208" s="217">
        <f t="shared" si="19"/>
        <v>45023</v>
      </c>
      <c r="I208" s="218" t="str">
        <f t="shared" ca="1" si="21"/>
        <v>Vencido hace 309 dias</v>
      </c>
      <c r="J208" s="219">
        <f t="shared" ca="1" si="20"/>
        <v>-309</v>
      </c>
      <c r="K208" s="220" t="s">
        <v>941</v>
      </c>
      <c r="L208" s="218"/>
    </row>
    <row r="209" spans="2:12">
      <c r="B209" s="212" t="s">
        <v>942</v>
      </c>
      <c r="C209" s="213" t="s">
        <v>943</v>
      </c>
      <c r="D209" s="266" t="s">
        <v>944</v>
      </c>
      <c r="E209" s="214"/>
      <c r="F209" s="215">
        <v>43398</v>
      </c>
      <c r="G209" s="216">
        <v>730</v>
      </c>
      <c r="H209" s="217">
        <f t="shared" si="19"/>
        <v>44128</v>
      </c>
      <c r="I209" s="218" t="str">
        <f t="shared" ca="1" si="21"/>
        <v>Vencido hace 1204 dias</v>
      </c>
      <c r="J209" s="219">
        <f t="shared" ca="1" si="20"/>
        <v>-1204</v>
      </c>
      <c r="K209" s="220" t="s">
        <v>945</v>
      </c>
      <c r="L209" s="218"/>
    </row>
    <row r="210" spans="2:12">
      <c r="B210" s="212" t="s">
        <v>942</v>
      </c>
      <c r="C210" s="223" t="s">
        <v>946</v>
      </c>
      <c r="D210" s="266" t="s">
        <v>947</v>
      </c>
      <c r="E210" s="214"/>
      <c r="F210" s="215">
        <v>44827</v>
      </c>
      <c r="G210" s="216">
        <v>730</v>
      </c>
      <c r="H210" s="217">
        <f t="shared" si="19"/>
        <v>45557</v>
      </c>
      <c r="I210" s="218" t="str">
        <f t="shared" ca="1" si="21"/>
        <v>Faltan 22545557</v>
      </c>
      <c r="J210" s="219">
        <f t="shared" ca="1" si="20"/>
        <v>225</v>
      </c>
      <c r="K210" s="220" t="s">
        <v>474</v>
      </c>
      <c r="L210" s="218"/>
    </row>
    <row r="211" spans="2:12">
      <c r="B211" s="212" t="s">
        <v>942</v>
      </c>
      <c r="C211" s="223" t="s">
        <v>948</v>
      </c>
      <c r="D211" s="266" t="s">
        <v>949</v>
      </c>
      <c r="E211" s="214" t="s">
        <v>2457</v>
      </c>
      <c r="F211" s="215">
        <v>44708</v>
      </c>
      <c r="G211" s="216">
        <v>730</v>
      </c>
      <c r="H211" s="217">
        <f t="shared" si="19"/>
        <v>45438</v>
      </c>
      <c r="I211" s="218" t="str">
        <f t="shared" ca="1" si="21"/>
        <v>Faltan 10645438</v>
      </c>
      <c r="J211" s="219">
        <f t="shared" ca="1" si="20"/>
        <v>106</v>
      </c>
      <c r="K211" s="220" t="s">
        <v>605</v>
      </c>
      <c r="L211" s="218"/>
    </row>
    <row r="212" spans="2:12">
      <c r="B212" s="212" t="s">
        <v>942</v>
      </c>
      <c r="C212" s="223" t="s">
        <v>950</v>
      </c>
      <c r="D212" s="266" t="s">
        <v>951</v>
      </c>
      <c r="E212" s="214"/>
      <c r="F212" s="215">
        <v>44181</v>
      </c>
      <c r="G212" s="216">
        <v>730</v>
      </c>
      <c r="H212" s="217">
        <f t="shared" si="19"/>
        <v>44911</v>
      </c>
      <c r="I212" s="218" t="str">
        <f t="shared" ca="1" si="21"/>
        <v>Vencido hace 421 dias</v>
      </c>
      <c r="J212" s="219">
        <f t="shared" ca="1" si="20"/>
        <v>-421</v>
      </c>
      <c r="K212" s="220" t="s">
        <v>952</v>
      </c>
      <c r="L212" s="218"/>
    </row>
    <row r="213" spans="2:12">
      <c r="B213" s="212" t="s">
        <v>942</v>
      </c>
      <c r="C213" s="223" t="s">
        <v>953</v>
      </c>
      <c r="D213" s="266" t="s">
        <v>954</v>
      </c>
      <c r="E213" s="214" t="s">
        <v>649</v>
      </c>
      <c r="F213" s="217">
        <v>44702</v>
      </c>
      <c r="G213" s="216">
        <v>730</v>
      </c>
      <c r="H213" s="217">
        <f t="shared" si="19"/>
        <v>45432</v>
      </c>
      <c r="I213" s="218" t="str">
        <f t="shared" ca="1" si="21"/>
        <v>Faltan 10045432</v>
      </c>
      <c r="J213" s="219">
        <f t="shared" ca="1" si="20"/>
        <v>100</v>
      </c>
      <c r="K213" s="220" t="s">
        <v>474</v>
      </c>
      <c r="L213" s="218"/>
    </row>
    <row r="214" spans="2:12">
      <c r="B214" s="212" t="s">
        <v>942</v>
      </c>
      <c r="C214" s="223" t="s">
        <v>955</v>
      </c>
      <c r="D214" s="266" t="s">
        <v>956</v>
      </c>
      <c r="E214" s="214" t="s">
        <v>649</v>
      </c>
      <c r="F214" s="217">
        <v>44833</v>
      </c>
      <c r="G214" s="216">
        <v>730</v>
      </c>
      <c r="H214" s="217">
        <f t="shared" si="19"/>
        <v>45563</v>
      </c>
      <c r="I214" s="218" t="str">
        <f t="shared" ca="1" si="21"/>
        <v>Faltan 23145563</v>
      </c>
      <c r="J214" s="219">
        <f t="shared" ca="1" si="20"/>
        <v>231</v>
      </c>
      <c r="K214" s="227" t="s">
        <v>649</v>
      </c>
      <c r="L214" s="218"/>
    </row>
    <row r="215" spans="2:12">
      <c r="B215" s="212" t="s">
        <v>942</v>
      </c>
      <c r="C215" s="223" t="s">
        <v>957</v>
      </c>
      <c r="D215" s="266" t="s">
        <v>958</v>
      </c>
      <c r="E215" s="217">
        <v>44813</v>
      </c>
      <c r="F215" s="217">
        <v>44813</v>
      </c>
      <c r="G215" s="216">
        <v>730</v>
      </c>
      <c r="H215" s="217">
        <f t="shared" si="19"/>
        <v>45543</v>
      </c>
      <c r="I215" s="218" t="str">
        <f t="shared" ca="1" si="21"/>
        <v>Faltan 21145543</v>
      </c>
      <c r="J215" s="219">
        <f t="shared" ca="1" si="20"/>
        <v>211</v>
      </c>
      <c r="K215" s="220" t="s">
        <v>58</v>
      </c>
      <c r="L215" s="218"/>
    </row>
    <row r="216" spans="2:12">
      <c r="B216" s="212" t="s">
        <v>942</v>
      </c>
      <c r="C216" s="223" t="s">
        <v>959</v>
      </c>
      <c r="D216" s="266" t="s">
        <v>960</v>
      </c>
      <c r="E216" s="216"/>
      <c r="F216" s="217">
        <v>44312</v>
      </c>
      <c r="G216" s="216">
        <v>730</v>
      </c>
      <c r="H216" s="217">
        <f t="shared" si="19"/>
        <v>45042</v>
      </c>
      <c r="I216" s="218" t="str">
        <f t="shared" ca="1" si="21"/>
        <v>Vencido hace 290 dias</v>
      </c>
      <c r="J216" s="219">
        <f t="shared" ca="1" si="20"/>
        <v>-290</v>
      </c>
      <c r="K216" s="228" t="s">
        <v>605</v>
      </c>
      <c r="L216" s="218"/>
    </row>
    <row r="217" spans="2:12">
      <c r="B217" s="212" t="s">
        <v>942</v>
      </c>
      <c r="C217" s="223" t="s">
        <v>961</v>
      </c>
      <c r="D217" s="266" t="s">
        <v>962</v>
      </c>
      <c r="E217" s="216"/>
      <c r="F217" s="217">
        <v>44425</v>
      </c>
      <c r="G217" s="216">
        <v>730</v>
      </c>
      <c r="H217" s="217">
        <f t="shared" si="19"/>
        <v>45155</v>
      </c>
      <c r="I217" s="218" t="str">
        <f t="shared" ca="1" si="21"/>
        <v>Vencido hace 177 dias</v>
      </c>
      <c r="J217" s="219">
        <f t="shared" ca="1" si="20"/>
        <v>-177</v>
      </c>
      <c r="K217" s="220" t="s">
        <v>922</v>
      </c>
      <c r="L217" s="218"/>
    </row>
    <row r="218" spans="2:12">
      <c r="B218" s="212" t="s">
        <v>942</v>
      </c>
      <c r="C218" s="229" t="s">
        <v>963</v>
      </c>
      <c r="D218" s="268" t="s">
        <v>964</v>
      </c>
      <c r="E218" s="216"/>
      <c r="F218" s="217">
        <v>44449</v>
      </c>
      <c r="G218" s="216">
        <v>730</v>
      </c>
      <c r="H218" s="217">
        <f t="shared" si="19"/>
        <v>45179</v>
      </c>
      <c r="I218" s="218" t="str">
        <f t="shared" ca="1" si="21"/>
        <v>Vencido hace 153 dias</v>
      </c>
      <c r="J218" s="219">
        <f t="shared" ca="1" si="20"/>
        <v>-153</v>
      </c>
      <c r="K218" s="220" t="s">
        <v>585</v>
      </c>
      <c r="L218" s="218"/>
    </row>
    <row r="219" spans="2:12">
      <c r="B219" s="212" t="s">
        <v>942</v>
      </c>
      <c r="C219" s="229" t="s">
        <v>965</v>
      </c>
      <c r="D219" s="268" t="s">
        <v>966</v>
      </c>
      <c r="E219" s="216"/>
      <c r="F219" s="217">
        <v>44236</v>
      </c>
      <c r="G219" s="216">
        <v>730</v>
      </c>
      <c r="H219" s="217">
        <f t="shared" si="19"/>
        <v>44966</v>
      </c>
      <c r="I219" s="218" t="str">
        <f t="shared" ca="1" si="21"/>
        <v>Vencido hace 366 dias</v>
      </c>
      <c r="J219" s="219">
        <f t="shared" ca="1" si="20"/>
        <v>-366</v>
      </c>
      <c r="K219" s="220" t="s">
        <v>474</v>
      </c>
      <c r="L219" s="218"/>
    </row>
    <row r="220" spans="2:12">
      <c r="B220" s="212" t="s">
        <v>942</v>
      </c>
      <c r="C220" s="229" t="s">
        <v>967</v>
      </c>
      <c r="D220" s="268" t="s">
        <v>968</v>
      </c>
      <c r="E220" s="216"/>
      <c r="F220" s="217">
        <v>44435</v>
      </c>
      <c r="G220" s="216">
        <v>730</v>
      </c>
      <c r="H220" s="217">
        <f t="shared" si="19"/>
        <v>45165</v>
      </c>
      <c r="I220" s="218" t="str">
        <f t="shared" ca="1" si="21"/>
        <v>Vencido hace 167 dias</v>
      </c>
      <c r="J220" s="219">
        <f t="shared" ca="1" si="20"/>
        <v>-167</v>
      </c>
      <c r="K220" s="220"/>
      <c r="L220" s="218"/>
    </row>
    <row r="221" spans="2:12">
      <c r="B221" s="212" t="s">
        <v>942</v>
      </c>
      <c r="C221" s="213" t="s">
        <v>969</v>
      </c>
      <c r="D221" s="266" t="s">
        <v>970</v>
      </c>
      <c r="E221" s="214" t="s">
        <v>649</v>
      </c>
      <c r="F221" s="215">
        <v>44776</v>
      </c>
      <c r="G221" s="216">
        <v>730</v>
      </c>
      <c r="H221" s="217">
        <f t="shared" si="19"/>
        <v>45506</v>
      </c>
      <c r="I221" s="218" t="str">
        <f t="shared" ca="1" si="21"/>
        <v>Faltan 17445506</v>
      </c>
      <c r="J221" s="219">
        <f t="shared" ca="1" si="20"/>
        <v>174</v>
      </c>
      <c r="K221" s="220" t="s">
        <v>971</v>
      </c>
      <c r="L221" s="218"/>
    </row>
    <row r="222" spans="2:12">
      <c r="B222" s="212" t="s">
        <v>942</v>
      </c>
      <c r="C222" s="223" t="s">
        <v>975</v>
      </c>
      <c r="D222" s="266" t="s">
        <v>976</v>
      </c>
      <c r="E222" s="216"/>
      <c r="F222" s="217">
        <v>44494</v>
      </c>
      <c r="G222" s="216">
        <v>730</v>
      </c>
      <c r="H222" s="217">
        <f t="shared" si="19"/>
        <v>45224</v>
      </c>
      <c r="I222" s="218" t="str">
        <f t="shared" ca="1" si="21"/>
        <v>Vencido hace 108 dias</v>
      </c>
      <c r="J222" s="219">
        <f t="shared" ca="1" si="20"/>
        <v>-108</v>
      </c>
      <c r="K222" s="220" t="s">
        <v>977</v>
      </c>
      <c r="L222" s="218"/>
    </row>
    <row r="223" spans="2:12">
      <c r="B223" s="212" t="s">
        <v>942</v>
      </c>
      <c r="C223" s="223" t="s">
        <v>972</v>
      </c>
      <c r="D223" s="266" t="s">
        <v>973</v>
      </c>
      <c r="E223" s="217">
        <v>44866</v>
      </c>
      <c r="F223" s="217">
        <v>44865</v>
      </c>
      <c r="G223" s="216">
        <v>730</v>
      </c>
      <c r="H223" s="217">
        <f t="shared" si="19"/>
        <v>45595</v>
      </c>
      <c r="I223" s="218" t="str">
        <f t="shared" ca="1" si="21"/>
        <v>Faltan 26345595</v>
      </c>
      <c r="J223" s="219">
        <f t="shared" ca="1" si="20"/>
        <v>263</v>
      </c>
      <c r="K223" s="220" t="s">
        <v>974</v>
      </c>
      <c r="L223" s="218"/>
    </row>
    <row r="224" spans="2:12">
      <c r="B224" s="212" t="s">
        <v>978</v>
      </c>
      <c r="C224" s="229" t="s">
        <v>979</v>
      </c>
      <c r="D224" s="268" t="s">
        <v>980</v>
      </c>
      <c r="E224" s="214"/>
      <c r="F224" s="215">
        <v>44452</v>
      </c>
      <c r="G224" s="216">
        <v>730</v>
      </c>
      <c r="H224" s="217">
        <f t="shared" si="19"/>
        <v>45182</v>
      </c>
      <c r="I224" s="218" t="str">
        <f t="shared" ca="1" si="21"/>
        <v>Vencido hace 150 dias</v>
      </c>
      <c r="J224" s="219">
        <f t="shared" ca="1" si="20"/>
        <v>-150</v>
      </c>
      <c r="K224" s="220" t="s">
        <v>981</v>
      </c>
      <c r="L224" s="218"/>
    </row>
    <row r="225" spans="2:12">
      <c r="B225" s="212" t="s">
        <v>978</v>
      </c>
      <c r="C225" s="229" t="s">
        <v>982</v>
      </c>
      <c r="D225" s="268" t="s">
        <v>983</v>
      </c>
      <c r="E225" s="214"/>
      <c r="F225" s="215">
        <v>43851</v>
      </c>
      <c r="G225" s="216">
        <v>730</v>
      </c>
      <c r="H225" s="217">
        <f t="shared" si="19"/>
        <v>44581</v>
      </c>
      <c r="I225" s="218" t="str">
        <f t="shared" ca="1" si="21"/>
        <v>Vencido hace 751 dias</v>
      </c>
      <c r="J225" s="219">
        <f t="shared" ca="1" si="20"/>
        <v>-751</v>
      </c>
      <c r="K225" s="220" t="s">
        <v>984</v>
      </c>
      <c r="L225" s="218"/>
    </row>
    <row r="226" spans="2:12">
      <c r="B226" s="212" t="s">
        <v>978</v>
      </c>
      <c r="C226" s="223" t="s">
        <v>989</v>
      </c>
      <c r="D226" s="266" t="s">
        <v>990</v>
      </c>
      <c r="E226" s="214"/>
      <c r="F226" s="215">
        <v>45044</v>
      </c>
      <c r="G226" s="216">
        <v>730</v>
      </c>
      <c r="H226" s="217">
        <f t="shared" si="19"/>
        <v>45774</v>
      </c>
      <c r="I226" s="218" t="str">
        <f t="shared" ca="1" si="21"/>
        <v>Faltan 44245774</v>
      </c>
      <c r="J226" s="219">
        <f t="shared" ca="1" si="20"/>
        <v>442</v>
      </c>
      <c r="K226" s="220" t="s">
        <v>2466</v>
      </c>
      <c r="L226" s="218"/>
    </row>
    <row r="227" spans="2:12">
      <c r="B227" s="212" t="s">
        <v>978</v>
      </c>
      <c r="C227" s="223" t="s">
        <v>985</v>
      </c>
      <c r="D227" s="266" t="s">
        <v>986</v>
      </c>
      <c r="E227" s="214"/>
      <c r="F227" s="215">
        <v>44734</v>
      </c>
      <c r="G227" s="216">
        <v>730</v>
      </c>
      <c r="H227" s="217">
        <f t="shared" si="19"/>
        <v>45464</v>
      </c>
      <c r="I227" s="218" t="str">
        <f t="shared" ca="1" si="21"/>
        <v>Faltan 13245464</v>
      </c>
      <c r="J227" s="219">
        <f t="shared" ca="1" si="20"/>
        <v>132</v>
      </c>
      <c r="K227" s="220" t="s">
        <v>491</v>
      </c>
      <c r="L227" s="218"/>
    </row>
    <row r="228" spans="2:12">
      <c r="B228" s="212" t="s">
        <v>978</v>
      </c>
      <c r="C228" s="223" t="s">
        <v>987</v>
      </c>
      <c r="D228" s="266" t="s">
        <v>988</v>
      </c>
      <c r="E228" s="214"/>
      <c r="F228" s="215">
        <v>44263</v>
      </c>
      <c r="G228" s="216">
        <v>730</v>
      </c>
      <c r="H228" s="217">
        <f t="shared" si="19"/>
        <v>44993</v>
      </c>
      <c r="I228" s="218" t="str">
        <f t="shared" ca="1" si="21"/>
        <v>Vencido hace 339 dias</v>
      </c>
      <c r="J228" s="219">
        <f t="shared" ca="1" si="20"/>
        <v>-339</v>
      </c>
      <c r="K228" s="220" t="s">
        <v>984</v>
      </c>
      <c r="L228" s="218"/>
    </row>
    <row r="229" spans="2:12">
      <c r="B229" s="212" t="s">
        <v>978</v>
      </c>
      <c r="C229" s="223" t="s">
        <v>991</v>
      </c>
      <c r="D229" s="266" t="s">
        <v>992</v>
      </c>
      <c r="E229" s="214"/>
      <c r="F229" s="215">
        <v>44244</v>
      </c>
      <c r="G229" s="216">
        <v>730</v>
      </c>
      <c r="H229" s="217">
        <f t="shared" si="19"/>
        <v>44974</v>
      </c>
      <c r="I229" s="218" t="str">
        <f t="shared" ca="1" si="21"/>
        <v>Vencido hace 358 dias</v>
      </c>
      <c r="J229" s="219">
        <f t="shared" ca="1" si="20"/>
        <v>-358</v>
      </c>
      <c r="K229" s="220" t="s">
        <v>474</v>
      </c>
      <c r="L229" s="218"/>
    </row>
    <row r="230" spans="2:12">
      <c r="B230" s="212" t="s">
        <v>978</v>
      </c>
      <c r="C230" s="223" t="s">
        <v>993</v>
      </c>
      <c r="D230" s="266" t="s">
        <v>994</v>
      </c>
      <c r="E230" s="214"/>
      <c r="F230" s="215">
        <v>44326</v>
      </c>
      <c r="G230" s="216">
        <v>730</v>
      </c>
      <c r="H230" s="217">
        <f t="shared" si="19"/>
        <v>45056</v>
      </c>
      <c r="I230" s="218" t="str">
        <f ca="1">IF(H230="","VACIO",IF(J230&lt;0,"Vencido hace "&amp;J230*-1&amp;" dias",IF(J230=0,"Vencido Hoy",IF(J230&lt;8,"Tiene "&amp; J230 &amp;" dias","Faltan "&amp;J230*1&amp;H230))))</f>
        <v>Vencido hace 276 dias</v>
      </c>
      <c r="J230" s="219">
        <f t="shared" ca="1" si="20"/>
        <v>-276</v>
      </c>
      <c r="K230" s="220" t="s">
        <v>717</v>
      </c>
      <c r="L230" s="218"/>
    </row>
    <row r="231" spans="2:12">
      <c r="B231" s="212" t="s">
        <v>978</v>
      </c>
      <c r="C231" s="229" t="s">
        <v>995</v>
      </c>
      <c r="D231" s="268" t="s">
        <v>996</v>
      </c>
      <c r="E231" s="214"/>
      <c r="F231" s="215">
        <v>44525</v>
      </c>
      <c r="G231" s="216">
        <v>730</v>
      </c>
      <c r="H231" s="217">
        <f t="shared" si="19"/>
        <v>45255</v>
      </c>
      <c r="I231" s="218" t="str">
        <f t="shared" ref="I231:I244" ca="1" si="22">IF(H231="","VACIO",IF(J231&lt;0,"Vencido hace "&amp;J231*-1&amp;" dias",IF(J231=0,"Vencido Hoy",IF(J231&lt;8,"Tiene "&amp; J231 &amp;" dias","Faltan "&amp;J231&amp;H231))))</f>
        <v>Vencido hace 77 dias</v>
      </c>
      <c r="J231" s="219">
        <f t="shared" ca="1" si="20"/>
        <v>-77</v>
      </c>
      <c r="K231" s="220" t="s">
        <v>717</v>
      </c>
      <c r="L231" s="218"/>
    </row>
    <row r="232" spans="2:12">
      <c r="B232" s="212" t="s">
        <v>997</v>
      </c>
      <c r="C232" s="223" t="s">
        <v>998</v>
      </c>
      <c r="D232" s="266" t="s">
        <v>999</v>
      </c>
      <c r="E232" s="214"/>
      <c r="F232" s="215">
        <v>44383</v>
      </c>
      <c r="G232" s="216">
        <v>730</v>
      </c>
      <c r="H232" s="217">
        <f t="shared" si="19"/>
        <v>45113</v>
      </c>
      <c r="I232" s="218" t="str">
        <f t="shared" ca="1" si="22"/>
        <v>Vencido hace 219 dias</v>
      </c>
      <c r="J232" s="219">
        <f t="shared" ca="1" si="20"/>
        <v>-219</v>
      </c>
      <c r="K232" s="220" t="s">
        <v>541</v>
      </c>
      <c r="L232" s="218"/>
    </row>
    <row r="233" spans="2:12">
      <c r="B233" s="212" t="s">
        <v>997</v>
      </c>
      <c r="C233" s="223" t="s">
        <v>1000</v>
      </c>
      <c r="D233" s="266" t="s">
        <v>1001</v>
      </c>
      <c r="E233" s="214" t="s">
        <v>649</v>
      </c>
      <c r="F233" s="215">
        <v>44719</v>
      </c>
      <c r="G233" s="216">
        <v>730</v>
      </c>
      <c r="H233" s="217">
        <f t="shared" si="19"/>
        <v>45449</v>
      </c>
      <c r="I233" s="218" t="str">
        <f t="shared" ca="1" si="22"/>
        <v>Faltan 11745449</v>
      </c>
      <c r="J233" s="219">
        <f t="shared" ca="1" si="20"/>
        <v>117</v>
      </c>
      <c r="K233" s="220" t="s">
        <v>1002</v>
      </c>
      <c r="L233" s="218"/>
    </row>
    <row r="234" spans="2:12">
      <c r="B234" s="212" t="s">
        <v>997</v>
      </c>
      <c r="C234" s="223" t="s">
        <v>1003</v>
      </c>
      <c r="D234" s="266" t="s">
        <v>1004</v>
      </c>
      <c r="E234" s="215">
        <v>44774</v>
      </c>
      <c r="F234" s="215">
        <v>44774</v>
      </c>
      <c r="G234" s="216">
        <v>730</v>
      </c>
      <c r="H234" s="217">
        <f t="shared" si="19"/>
        <v>45504</v>
      </c>
      <c r="I234" s="218" t="str">
        <f t="shared" ca="1" si="22"/>
        <v>Faltan 17245504</v>
      </c>
      <c r="J234" s="219">
        <f t="shared" ca="1" si="20"/>
        <v>172</v>
      </c>
      <c r="K234" s="220" t="s">
        <v>735</v>
      </c>
      <c r="L234" s="218"/>
    </row>
    <row r="235" spans="2:12">
      <c r="B235" s="212" t="s">
        <v>997</v>
      </c>
      <c r="C235" s="223" t="s">
        <v>1005</v>
      </c>
      <c r="D235" s="266" t="s">
        <v>1006</v>
      </c>
      <c r="E235" s="214"/>
      <c r="F235" s="215">
        <v>44718</v>
      </c>
      <c r="G235" s="216">
        <v>730</v>
      </c>
      <c r="H235" s="217">
        <f t="shared" si="19"/>
        <v>45448</v>
      </c>
      <c r="I235" s="218" t="str">
        <f t="shared" ca="1" si="22"/>
        <v>Faltan 11645448</v>
      </c>
      <c r="J235" s="219">
        <f t="shared" ca="1" si="20"/>
        <v>116</v>
      </c>
      <c r="K235" s="220" t="s">
        <v>1007</v>
      </c>
      <c r="L235" s="218"/>
    </row>
    <row r="236" spans="2:12">
      <c r="B236" s="212" t="s">
        <v>997</v>
      </c>
      <c r="C236" s="223" t="s">
        <v>1008</v>
      </c>
      <c r="D236" s="266" t="s">
        <v>1009</v>
      </c>
      <c r="E236" s="214" t="s">
        <v>649</v>
      </c>
      <c r="F236" s="215">
        <v>44719</v>
      </c>
      <c r="G236" s="216">
        <v>730</v>
      </c>
      <c r="H236" s="217">
        <f t="shared" si="19"/>
        <v>45449</v>
      </c>
      <c r="I236" s="218" t="str">
        <f t="shared" ca="1" si="22"/>
        <v>Faltan 11745449</v>
      </c>
      <c r="J236" s="219">
        <f t="shared" ca="1" si="20"/>
        <v>117</v>
      </c>
      <c r="K236" s="220" t="s">
        <v>1010</v>
      </c>
      <c r="L236" s="218"/>
    </row>
    <row r="237" spans="2:12">
      <c r="B237" s="212" t="s">
        <v>997</v>
      </c>
      <c r="C237" s="223" t="s">
        <v>1011</v>
      </c>
      <c r="D237" s="266" t="s">
        <v>1012</v>
      </c>
      <c r="E237" s="215">
        <v>44860</v>
      </c>
      <c r="F237" s="215">
        <v>44860</v>
      </c>
      <c r="G237" s="216">
        <v>730</v>
      </c>
      <c r="H237" s="217">
        <f t="shared" si="19"/>
        <v>45590</v>
      </c>
      <c r="I237" s="218" t="str">
        <f t="shared" ca="1" si="22"/>
        <v>Faltan 25845590</v>
      </c>
      <c r="J237" s="219">
        <f t="shared" ca="1" si="20"/>
        <v>258</v>
      </c>
      <c r="K237" s="220" t="s">
        <v>876</v>
      </c>
      <c r="L237" s="218"/>
    </row>
    <row r="238" spans="2:12">
      <c r="B238" s="212" t="s">
        <v>997</v>
      </c>
      <c r="C238" s="223" t="s">
        <v>1013</v>
      </c>
      <c r="D238" s="266" t="s">
        <v>1014</v>
      </c>
      <c r="E238" s="215">
        <v>44825</v>
      </c>
      <c r="F238" s="215">
        <v>44825</v>
      </c>
      <c r="G238" s="216">
        <v>730</v>
      </c>
      <c r="H238" s="217">
        <f t="shared" si="19"/>
        <v>45555</v>
      </c>
      <c r="I238" s="218" t="str">
        <f t="shared" ca="1" si="22"/>
        <v>Faltan 22345555</v>
      </c>
      <c r="J238" s="219">
        <f t="shared" ca="1" si="20"/>
        <v>223</v>
      </c>
      <c r="K238" s="220" t="s">
        <v>1015</v>
      </c>
      <c r="L238" s="218"/>
    </row>
    <row r="239" spans="2:12">
      <c r="B239" s="212" t="s">
        <v>997</v>
      </c>
      <c r="C239" s="223" t="s">
        <v>1016</v>
      </c>
      <c r="D239" s="266" t="s">
        <v>1017</v>
      </c>
      <c r="E239" s="214"/>
      <c r="F239" s="215">
        <v>44469</v>
      </c>
      <c r="G239" s="216">
        <v>730</v>
      </c>
      <c r="H239" s="217">
        <f t="shared" si="19"/>
        <v>45199</v>
      </c>
      <c r="I239" s="218" t="str">
        <f t="shared" ca="1" si="22"/>
        <v>Vencido hace 133 dias</v>
      </c>
      <c r="J239" s="219">
        <f t="shared" ca="1" si="20"/>
        <v>-133</v>
      </c>
      <c r="K239" s="220" t="s">
        <v>1018</v>
      </c>
      <c r="L239" s="218"/>
    </row>
    <row r="240" spans="2:12">
      <c r="B240" s="212" t="s">
        <v>997</v>
      </c>
      <c r="C240" s="229" t="s">
        <v>1019</v>
      </c>
      <c r="D240" s="268" t="s">
        <v>1020</v>
      </c>
      <c r="E240" s="214"/>
      <c r="F240" s="215">
        <v>44396</v>
      </c>
      <c r="G240" s="216">
        <v>730</v>
      </c>
      <c r="H240" s="217">
        <f t="shared" si="19"/>
        <v>45126</v>
      </c>
      <c r="I240" s="218" t="str">
        <f t="shared" ca="1" si="22"/>
        <v>Vencido hace 206 dias</v>
      </c>
      <c r="J240" s="219">
        <f t="shared" ca="1" si="20"/>
        <v>-206</v>
      </c>
      <c r="K240" s="220" t="s">
        <v>1021</v>
      </c>
      <c r="L240" s="218"/>
    </row>
    <row r="241" spans="2:12">
      <c r="B241" s="212" t="s">
        <v>997</v>
      </c>
      <c r="C241" s="229" t="s">
        <v>1022</v>
      </c>
      <c r="D241" s="268" t="s">
        <v>1023</v>
      </c>
      <c r="E241" s="214"/>
      <c r="F241" s="215">
        <v>44957</v>
      </c>
      <c r="G241" s="216">
        <v>730</v>
      </c>
      <c r="H241" s="217">
        <f t="shared" si="19"/>
        <v>45687</v>
      </c>
      <c r="I241" s="218" t="str">
        <f t="shared" ca="1" si="22"/>
        <v>Faltan 35545687</v>
      </c>
      <c r="J241" s="219">
        <f t="shared" ca="1" si="20"/>
        <v>355</v>
      </c>
      <c r="K241" s="220" t="s">
        <v>2390</v>
      </c>
      <c r="L241" s="218"/>
    </row>
    <row r="242" spans="2:12">
      <c r="B242" s="212" t="s">
        <v>997</v>
      </c>
      <c r="C242" s="229" t="s">
        <v>1024</v>
      </c>
      <c r="D242" s="268" t="s">
        <v>1025</v>
      </c>
      <c r="E242" s="214" t="s">
        <v>813</v>
      </c>
      <c r="F242" s="215">
        <v>44475</v>
      </c>
      <c r="G242" s="216">
        <v>730</v>
      </c>
      <c r="H242" s="217">
        <f t="shared" si="19"/>
        <v>45205</v>
      </c>
      <c r="I242" s="218" t="str">
        <f t="shared" ca="1" si="22"/>
        <v>Vencido hace 127 dias</v>
      </c>
      <c r="J242" s="219">
        <f t="shared" ca="1" si="20"/>
        <v>-127</v>
      </c>
      <c r="K242" s="220"/>
      <c r="L242" s="218"/>
    </row>
    <row r="243" spans="2:12">
      <c r="B243" s="212" t="s">
        <v>997</v>
      </c>
      <c r="C243" s="229" t="s">
        <v>1026</v>
      </c>
      <c r="D243" s="268" t="s">
        <v>1027</v>
      </c>
      <c r="E243" s="214"/>
      <c r="F243" s="215">
        <v>44719</v>
      </c>
      <c r="G243" s="216">
        <v>730</v>
      </c>
      <c r="H243" s="217">
        <f t="shared" si="19"/>
        <v>45449</v>
      </c>
      <c r="I243" s="218" t="str">
        <f t="shared" ca="1" si="22"/>
        <v>Faltan 11745449</v>
      </c>
      <c r="J243" s="219">
        <f t="shared" ca="1" si="20"/>
        <v>117</v>
      </c>
      <c r="K243" s="220" t="s">
        <v>1028</v>
      </c>
      <c r="L243" s="218"/>
    </row>
    <row r="244" spans="2:12">
      <c r="B244" s="212" t="s">
        <v>997</v>
      </c>
      <c r="C244" s="229" t="s">
        <v>1029</v>
      </c>
      <c r="D244" s="268" t="s">
        <v>1030</v>
      </c>
      <c r="E244" s="214"/>
      <c r="F244" s="215">
        <v>44715</v>
      </c>
      <c r="G244" s="216">
        <v>730</v>
      </c>
      <c r="H244" s="217">
        <f t="shared" si="19"/>
        <v>45445</v>
      </c>
      <c r="I244" s="218" t="str">
        <f t="shared" ca="1" si="22"/>
        <v>Faltan 11345445</v>
      </c>
      <c r="J244" s="219">
        <f t="shared" ca="1" si="20"/>
        <v>113</v>
      </c>
      <c r="K244" s="220" t="s">
        <v>1031</v>
      </c>
      <c r="L244" s="218"/>
    </row>
    <row r="245" spans="2:12">
      <c r="B245" s="212" t="s">
        <v>997</v>
      </c>
      <c r="C245" s="229" t="s">
        <v>1032</v>
      </c>
      <c r="D245" s="266" t="s">
        <v>1033</v>
      </c>
      <c r="E245" s="214"/>
      <c r="F245" s="215">
        <v>44410</v>
      </c>
      <c r="G245" s="216">
        <v>730</v>
      </c>
      <c r="H245" s="217">
        <f t="shared" si="19"/>
        <v>45140</v>
      </c>
      <c r="I245" s="218" t="str">
        <f ca="1">IF(H245="","VACIO",IF(J245&lt;0,"Vencido hace "&amp;J245*-1&amp;" dias",IF(J245=0,"Vencido Hoy",IF(J245&lt;8,"Tiene "&amp; J245 &amp;" dias","Faltan "&amp;J245*1&amp;H245))))</f>
        <v>Vencido hace 192 dias</v>
      </c>
      <c r="J245" s="219">
        <f t="shared" ca="1" si="20"/>
        <v>-192</v>
      </c>
      <c r="K245" s="220" t="s">
        <v>541</v>
      </c>
      <c r="L245" s="218"/>
    </row>
    <row r="246" spans="2:12">
      <c r="B246" s="212" t="s">
        <v>997</v>
      </c>
      <c r="C246" s="223" t="s">
        <v>1034</v>
      </c>
      <c r="D246" s="266" t="s">
        <v>1035</v>
      </c>
      <c r="E246" s="215">
        <v>44866</v>
      </c>
      <c r="F246" s="215">
        <v>44866</v>
      </c>
      <c r="G246" s="216">
        <v>730</v>
      </c>
      <c r="H246" s="217">
        <f t="shared" si="19"/>
        <v>45596</v>
      </c>
      <c r="I246" s="218" t="str">
        <f t="shared" ref="I246:I256" ca="1" si="23">IF(H246="","VACIO",IF(J246&lt;0,"Vencido hace "&amp;J246*-1&amp;" dias",IF(J246=0,"Vencido Hoy",IF(J246&lt;8,"Tiene "&amp; J246 &amp;" dias","Faltan "&amp;J246&amp;H246))))</f>
        <v>Faltan 26445596</v>
      </c>
      <c r="J246" s="219">
        <f t="shared" ca="1" si="20"/>
        <v>264</v>
      </c>
      <c r="K246" s="220" t="s">
        <v>1036</v>
      </c>
      <c r="L246" s="218"/>
    </row>
    <row r="247" spans="2:12">
      <c r="B247" s="212" t="s">
        <v>1037</v>
      </c>
      <c r="C247" s="213" t="s">
        <v>1038</v>
      </c>
      <c r="D247" s="266" t="s">
        <v>1039</v>
      </c>
      <c r="E247" s="214" t="s">
        <v>2387</v>
      </c>
      <c r="F247" s="215">
        <v>43369</v>
      </c>
      <c r="G247" s="216">
        <v>730</v>
      </c>
      <c r="H247" s="217">
        <f t="shared" si="19"/>
        <v>44099</v>
      </c>
      <c r="I247" s="218" t="str">
        <f t="shared" ca="1" si="23"/>
        <v>Vencido hace 1233 dias</v>
      </c>
      <c r="J247" s="219">
        <f t="shared" ca="1" si="20"/>
        <v>-1233</v>
      </c>
      <c r="K247" s="220" t="s">
        <v>1040</v>
      </c>
      <c r="L247" s="218"/>
    </row>
    <row r="248" spans="2:12">
      <c r="B248" s="212" t="s">
        <v>1037</v>
      </c>
      <c r="C248" s="223" t="s">
        <v>1041</v>
      </c>
      <c r="D248" s="266" t="s">
        <v>1042</v>
      </c>
      <c r="E248" s="214"/>
      <c r="F248" s="215">
        <v>44826</v>
      </c>
      <c r="G248" s="216">
        <v>730</v>
      </c>
      <c r="H248" s="217">
        <f t="shared" si="19"/>
        <v>45556</v>
      </c>
      <c r="I248" s="218" t="str">
        <f t="shared" ca="1" si="23"/>
        <v>Faltan 22445556</v>
      </c>
      <c r="J248" s="219">
        <f t="shared" ca="1" si="20"/>
        <v>224</v>
      </c>
      <c r="K248" s="220" t="s">
        <v>296</v>
      </c>
      <c r="L248" s="218"/>
    </row>
    <row r="249" spans="2:12">
      <c r="B249" s="212" t="s">
        <v>1037</v>
      </c>
      <c r="C249" s="223" t="s">
        <v>1043</v>
      </c>
      <c r="D249" s="266" t="s">
        <v>1044</v>
      </c>
      <c r="E249" s="214"/>
      <c r="F249" s="215">
        <v>44652</v>
      </c>
      <c r="G249" s="216">
        <v>730</v>
      </c>
      <c r="H249" s="217">
        <f t="shared" si="19"/>
        <v>45382</v>
      </c>
      <c r="I249" s="218" t="str">
        <f t="shared" ca="1" si="23"/>
        <v>Faltan 5045382</v>
      </c>
      <c r="J249" s="219">
        <f t="shared" ca="1" si="20"/>
        <v>50</v>
      </c>
      <c r="K249" s="220" t="s">
        <v>296</v>
      </c>
      <c r="L249" s="218"/>
    </row>
    <row r="250" spans="2:12">
      <c r="B250" s="212" t="s">
        <v>1037</v>
      </c>
      <c r="C250" s="223" t="s">
        <v>1045</v>
      </c>
      <c r="D250" s="266" t="s">
        <v>1046</v>
      </c>
      <c r="E250" s="214"/>
      <c r="F250" s="215">
        <v>44236</v>
      </c>
      <c r="G250" s="216">
        <v>730</v>
      </c>
      <c r="H250" s="217">
        <f t="shared" si="19"/>
        <v>44966</v>
      </c>
      <c r="I250" s="218" t="str">
        <f t="shared" ca="1" si="23"/>
        <v>Vencido hace 366 dias</v>
      </c>
      <c r="J250" s="219">
        <f t="shared" ca="1" si="20"/>
        <v>-366</v>
      </c>
      <c r="K250" s="220" t="s">
        <v>79</v>
      </c>
      <c r="L250" s="218"/>
    </row>
    <row r="251" spans="2:12">
      <c r="B251" s="212" t="s">
        <v>1037</v>
      </c>
      <c r="C251" s="223" t="s">
        <v>1047</v>
      </c>
      <c r="D251" s="266" t="s">
        <v>1048</v>
      </c>
      <c r="E251" s="215">
        <v>44775</v>
      </c>
      <c r="F251" s="215">
        <v>44775</v>
      </c>
      <c r="G251" s="216">
        <v>730</v>
      </c>
      <c r="H251" s="217">
        <f t="shared" si="19"/>
        <v>45505</v>
      </c>
      <c r="I251" s="218" t="str">
        <f t="shared" ca="1" si="23"/>
        <v>Faltan 17345505</v>
      </c>
      <c r="J251" s="219">
        <f t="shared" ca="1" si="20"/>
        <v>173</v>
      </c>
      <c r="K251" s="220" t="s">
        <v>1049</v>
      </c>
      <c r="L251" s="218"/>
    </row>
    <row r="252" spans="2:12">
      <c r="B252" s="212" t="s">
        <v>1037</v>
      </c>
      <c r="C252" s="223" t="s">
        <v>1050</v>
      </c>
      <c r="D252" s="266" t="s">
        <v>1051</v>
      </c>
      <c r="E252" s="214"/>
      <c r="F252" s="215">
        <v>44615</v>
      </c>
      <c r="G252" s="216">
        <v>730</v>
      </c>
      <c r="H252" s="217">
        <f t="shared" si="19"/>
        <v>45345</v>
      </c>
      <c r="I252" s="218" t="str">
        <f t="shared" ca="1" si="23"/>
        <v>Faltan 1345345</v>
      </c>
      <c r="J252" s="219">
        <f t="shared" ca="1" si="20"/>
        <v>13</v>
      </c>
      <c r="K252" s="220" t="s">
        <v>1052</v>
      </c>
      <c r="L252" s="218"/>
    </row>
    <row r="253" spans="2:12">
      <c r="B253" s="212" t="s">
        <v>1037</v>
      </c>
      <c r="C253" s="223" t="s">
        <v>1053</v>
      </c>
      <c r="D253" s="266" t="s">
        <v>1054</v>
      </c>
      <c r="E253" s="214" t="s">
        <v>813</v>
      </c>
      <c r="F253" s="215">
        <v>44467</v>
      </c>
      <c r="G253" s="216">
        <v>730</v>
      </c>
      <c r="H253" s="217">
        <f t="shared" si="19"/>
        <v>45197</v>
      </c>
      <c r="I253" s="218" t="str">
        <f t="shared" ca="1" si="23"/>
        <v>Vencido hace 135 dias</v>
      </c>
      <c r="J253" s="219">
        <f t="shared" ca="1" si="20"/>
        <v>-135</v>
      </c>
      <c r="K253" s="220"/>
      <c r="L253" s="218"/>
    </row>
    <row r="254" spans="2:12">
      <c r="B254" s="212" t="s">
        <v>1037</v>
      </c>
      <c r="C254" s="223" t="s">
        <v>1055</v>
      </c>
      <c r="D254" s="266" t="s">
        <v>1056</v>
      </c>
      <c r="E254" s="214"/>
      <c r="F254" s="215">
        <v>44243</v>
      </c>
      <c r="G254" s="216">
        <v>730</v>
      </c>
      <c r="H254" s="217">
        <f t="shared" si="19"/>
        <v>44973</v>
      </c>
      <c r="I254" s="218" t="str">
        <f t="shared" ca="1" si="23"/>
        <v>Vencido hace 359 dias</v>
      </c>
      <c r="J254" s="219">
        <f t="shared" ca="1" si="20"/>
        <v>-359</v>
      </c>
      <c r="K254" s="220" t="s">
        <v>605</v>
      </c>
      <c r="L254" s="218"/>
    </row>
    <row r="255" spans="2:12">
      <c r="B255" s="212" t="s">
        <v>1037</v>
      </c>
      <c r="C255" s="229" t="s">
        <v>1057</v>
      </c>
      <c r="D255" s="268" t="s">
        <v>1058</v>
      </c>
      <c r="E255" s="214"/>
      <c r="F255" s="215">
        <v>44291</v>
      </c>
      <c r="G255" s="216">
        <v>730</v>
      </c>
      <c r="H255" s="217">
        <f t="shared" si="19"/>
        <v>45021</v>
      </c>
      <c r="I255" s="218" t="str">
        <f t="shared" ca="1" si="23"/>
        <v>Vencido hace 311 dias</v>
      </c>
      <c r="J255" s="219">
        <f t="shared" ca="1" si="20"/>
        <v>-311</v>
      </c>
      <c r="K255" s="220" t="s">
        <v>605</v>
      </c>
      <c r="L255" s="218"/>
    </row>
    <row r="256" spans="2:12">
      <c r="B256" s="212" t="s">
        <v>1037</v>
      </c>
      <c r="C256" s="229" t="s">
        <v>1059</v>
      </c>
      <c r="D256" s="268" t="s">
        <v>1060</v>
      </c>
      <c r="E256" s="214"/>
      <c r="F256" s="215">
        <v>44403</v>
      </c>
      <c r="G256" s="216">
        <v>730</v>
      </c>
      <c r="H256" s="217">
        <f t="shared" si="19"/>
        <v>45133</v>
      </c>
      <c r="I256" s="218" t="str">
        <f t="shared" ca="1" si="23"/>
        <v>Vencido hace 199 dias</v>
      </c>
      <c r="J256" s="219">
        <f t="shared" ca="1" si="20"/>
        <v>-199</v>
      </c>
      <c r="K256" s="220" t="s">
        <v>582</v>
      </c>
      <c r="L256" s="218"/>
    </row>
    <row r="257" spans="2:12">
      <c r="B257" s="212" t="s">
        <v>1037</v>
      </c>
      <c r="C257" s="229" t="s">
        <v>1061</v>
      </c>
      <c r="D257" s="266" t="s">
        <v>1062</v>
      </c>
      <c r="E257" s="214"/>
      <c r="F257" s="215">
        <v>44978</v>
      </c>
      <c r="G257" s="216">
        <v>730</v>
      </c>
      <c r="H257" s="217">
        <f t="shared" si="19"/>
        <v>45708</v>
      </c>
      <c r="I257" s="218" t="str">
        <f ca="1">IF(H257="","VACIO",IF(J257&lt;0,"Vencido hace "&amp;J257*-1&amp;" dias",IF(J257=0,"Vencido Hoy",IF(J257&lt;8,"Tiene "&amp; J257 &amp;" dias","Faltan "&amp;J257*1&amp;H257))))</f>
        <v>Faltan 37645708</v>
      </c>
      <c r="J257" s="219">
        <f t="shared" ca="1" si="20"/>
        <v>376</v>
      </c>
      <c r="K257" s="220" t="s">
        <v>2410</v>
      </c>
      <c r="L257" s="218"/>
    </row>
    <row r="258" spans="2:12">
      <c r="B258" s="212" t="s">
        <v>1037</v>
      </c>
      <c r="C258" s="223" t="s">
        <v>1063</v>
      </c>
      <c r="D258" s="266" t="s">
        <v>1064</v>
      </c>
      <c r="E258" s="214"/>
      <c r="F258" s="215">
        <v>44271</v>
      </c>
      <c r="G258" s="216">
        <v>730</v>
      </c>
      <c r="H258" s="217">
        <f t="shared" si="19"/>
        <v>45001</v>
      </c>
      <c r="I258" s="218" t="str">
        <f ca="1">IF(H258="","VACIO",IF(J258&lt;0,"Vencido hace "&amp;J258*-1&amp;" dias",IF(J258=0,"Vencido Hoy",IF(J258&lt;8,"Tiene "&amp; J258 &amp;" dias","Faltan "&amp;J258*1&amp;H258))))</f>
        <v>Vencido hace 331 dias</v>
      </c>
      <c r="J258" s="219">
        <f t="shared" ca="1" si="20"/>
        <v>-331</v>
      </c>
      <c r="K258" s="220" t="s">
        <v>79</v>
      </c>
      <c r="L258" s="218"/>
    </row>
    <row r="259" spans="2:12">
      <c r="B259" s="212" t="s">
        <v>1037</v>
      </c>
      <c r="C259" s="229" t="s">
        <v>1065</v>
      </c>
      <c r="D259" s="268" t="s">
        <v>1066</v>
      </c>
      <c r="E259" s="214"/>
      <c r="F259" s="215">
        <v>44700</v>
      </c>
      <c r="G259" s="216">
        <v>730</v>
      </c>
      <c r="H259" s="217">
        <f t="shared" si="19"/>
        <v>45430</v>
      </c>
      <c r="I259" s="218" t="str">
        <f ca="1">IF(H259="","VACIO",IF(J259&lt;0,"Vencido hace "&amp;J259*-1&amp;" dias",IF(J259=0,"Vencido Hoy",IF(J259&lt;8,"Tiene "&amp; J259 &amp;" dias","Faltan "&amp;J259*1&amp;H259))))</f>
        <v>Faltan 9845430</v>
      </c>
      <c r="J259" s="219">
        <f t="shared" ca="1" si="20"/>
        <v>98</v>
      </c>
      <c r="K259" s="220"/>
      <c r="L259" s="218"/>
    </row>
    <row r="260" spans="2:12">
      <c r="B260" s="212" t="s">
        <v>1037</v>
      </c>
      <c r="C260" s="229" t="s">
        <v>1067</v>
      </c>
      <c r="D260" s="268" t="s">
        <v>1068</v>
      </c>
      <c r="E260" s="214"/>
      <c r="F260" s="215">
        <v>44608</v>
      </c>
      <c r="G260" s="216">
        <v>730</v>
      </c>
      <c r="H260" s="217">
        <f t="shared" ref="H260:H323" si="24">F260+G260</f>
        <v>45338</v>
      </c>
      <c r="I260" s="218" t="str">
        <f ca="1">IF(H260="","VACIO",IF(J260&lt;0,"Vencido hace "&amp;J260*-1&amp;" dias",IF(J260=0,"Vencido Hoy",IF(J260&lt;8,"Tiene "&amp; J260 &amp;" dias","Faltan "&amp;J260*1&amp;H260))))</f>
        <v>Tiene 6 dias</v>
      </c>
      <c r="J260" s="219">
        <f t="shared" ref="J260:J325" ca="1" si="25">H260-$B$2</f>
        <v>6</v>
      </c>
      <c r="K260" s="220" t="s">
        <v>296</v>
      </c>
      <c r="L260" s="218"/>
    </row>
    <row r="261" spans="2:12">
      <c r="B261" s="212" t="s">
        <v>1037</v>
      </c>
      <c r="C261" s="229" t="s">
        <v>1069</v>
      </c>
      <c r="D261" s="268" t="s">
        <v>1070</v>
      </c>
      <c r="E261" s="214"/>
      <c r="F261" s="215">
        <v>44960</v>
      </c>
      <c r="G261" s="216">
        <v>730</v>
      </c>
      <c r="H261" s="217">
        <f t="shared" si="24"/>
        <v>45690</v>
      </c>
      <c r="I261" s="218" t="str">
        <f ca="1">IF(H261="","VACIO",IF(J261&lt;0,"Vencido hace "&amp;J261*-1&amp;" dias",IF(J261=0,"Vencido Hoy",IF(J261&lt;8,"Tiene "&amp; J261 &amp;" dias","Faltan "&amp;J261*1&amp;H261))))</f>
        <v>Faltan 35845690</v>
      </c>
      <c r="J261" s="219">
        <f t="shared" ca="1" si="25"/>
        <v>358</v>
      </c>
      <c r="K261" s="220" t="s">
        <v>605</v>
      </c>
      <c r="L261" s="218"/>
    </row>
    <row r="262" spans="2:12">
      <c r="B262" s="212" t="s">
        <v>1037</v>
      </c>
      <c r="C262" s="223" t="s">
        <v>1071</v>
      </c>
      <c r="D262" s="266" t="s">
        <v>1072</v>
      </c>
      <c r="E262" s="214"/>
      <c r="F262" s="215">
        <v>44410</v>
      </c>
      <c r="G262" s="216">
        <v>730</v>
      </c>
      <c r="H262" s="217">
        <f t="shared" si="24"/>
        <v>45140</v>
      </c>
      <c r="I262" s="218" t="str">
        <f t="shared" ref="I262:I270" ca="1" si="26">IF(H262="","VACIO",IF(J262&lt;0,"Vencido hace "&amp;J262*-1&amp;" dias",IF(J262=0,"Vencido Hoy",IF(J262&lt;8,"Tiene "&amp; J262 &amp;" dias","Faltan "&amp;J262&amp;H262))))</f>
        <v>Vencido hace 192 dias</v>
      </c>
      <c r="J262" s="219">
        <f t="shared" ca="1" si="25"/>
        <v>-192</v>
      </c>
      <c r="K262" s="220" t="s">
        <v>474</v>
      </c>
      <c r="L262" s="218"/>
    </row>
    <row r="263" spans="2:12">
      <c r="B263" s="212" t="s">
        <v>1037</v>
      </c>
      <c r="C263" s="223" t="s">
        <v>1073</v>
      </c>
      <c r="D263" s="266" t="s">
        <v>1074</v>
      </c>
      <c r="E263" s="214"/>
      <c r="F263" s="215">
        <v>44591</v>
      </c>
      <c r="G263" s="216">
        <v>730</v>
      </c>
      <c r="H263" s="217">
        <f t="shared" si="24"/>
        <v>45321</v>
      </c>
      <c r="I263" s="218" t="str">
        <f t="shared" ca="1" si="26"/>
        <v>Vencido hace 11 dias</v>
      </c>
      <c r="J263" s="219">
        <f t="shared" ca="1" si="25"/>
        <v>-11</v>
      </c>
      <c r="K263" s="220" t="s">
        <v>582</v>
      </c>
      <c r="L263" s="218"/>
    </row>
    <row r="264" spans="2:12">
      <c r="B264" s="212" t="s">
        <v>1075</v>
      </c>
      <c r="C264" s="223" t="s">
        <v>1076</v>
      </c>
      <c r="D264" s="266" t="s">
        <v>1077</v>
      </c>
      <c r="E264" s="214"/>
      <c r="F264" s="215">
        <v>44379</v>
      </c>
      <c r="G264" s="216">
        <v>730</v>
      </c>
      <c r="H264" s="217">
        <f t="shared" si="24"/>
        <v>45109</v>
      </c>
      <c r="I264" s="218" t="str">
        <f t="shared" ca="1" si="26"/>
        <v>Vencido hace 223 dias</v>
      </c>
      <c r="J264" s="219">
        <f t="shared" ca="1" si="25"/>
        <v>-223</v>
      </c>
      <c r="K264" s="220" t="s">
        <v>771</v>
      </c>
      <c r="L264" s="218"/>
    </row>
    <row r="265" spans="2:12">
      <c r="B265" s="212" t="s">
        <v>1075</v>
      </c>
      <c r="C265" s="223" t="s">
        <v>1078</v>
      </c>
      <c r="D265" s="266" t="s">
        <v>1079</v>
      </c>
      <c r="E265" s="214" t="s">
        <v>1080</v>
      </c>
      <c r="F265" s="215">
        <v>44123</v>
      </c>
      <c r="G265" s="216">
        <v>730</v>
      </c>
      <c r="H265" s="217">
        <f t="shared" si="24"/>
        <v>44853</v>
      </c>
      <c r="I265" s="218" t="str">
        <f t="shared" ca="1" si="26"/>
        <v>Vencido hace 479 dias</v>
      </c>
      <c r="J265" s="219">
        <f t="shared" ca="1" si="25"/>
        <v>-479</v>
      </c>
      <c r="K265" s="220" t="s">
        <v>79</v>
      </c>
      <c r="L265" s="218"/>
    </row>
    <row r="266" spans="2:12">
      <c r="B266" s="212" t="s">
        <v>1075</v>
      </c>
      <c r="C266" s="223" t="s">
        <v>1081</v>
      </c>
      <c r="D266" s="266" t="s">
        <v>1082</v>
      </c>
      <c r="E266" s="214"/>
      <c r="F266" s="215">
        <v>44498</v>
      </c>
      <c r="G266" s="216">
        <v>730</v>
      </c>
      <c r="H266" s="217">
        <f t="shared" si="24"/>
        <v>45228</v>
      </c>
      <c r="I266" s="218" t="str">
        <f t="shared" ca="1" si="26"/>
        <v>Vencido hace 104 dias</v>
      </c>
      <c r="J266" s="219">
        <f t="shared" ca="1" si="25"/>
        <v>-104</v>
      </c>
      <c r="K266" s="220" t="s">
        <v>79</v>
      </c>
      <c r="L266" s="218"/>
    </row>
    <row r="267" spans="2:12">
      <c r="B267" s="212" t="s">
        <v>1075</v>
      </c>
      <c r="C267" s="229" t="s">
        <v>1083</v>
      </c>
      <c r="D267" s="268" t="s">
        <v>1084</v>
      </c>
      <c r="E267" s="214"/>
      <c r="F267" s="215">
        <v>44509</v>
      </c>
      <c r="G267" s="216">
        <v>730</v>
      </c>
      <c r="H267" s="217">
        <f t="shared" si="24"/>
        <v>45239</v>
      </c>
      <c r="I267" s="218" t="str">
        <f t="shared" ca="1" si="26"/>
        <v>Vencido hace 93 dias</v>
      </c>
      <c r="J267" s="219">
        <f t="shared" ca="1" si="25"/>
        <v>-93</v>
      </c>
      <c r="K267" s="220" t="s">
        <v>922</v>
      </c>
      <c r="L267" s="218"/>
    </row>
    <row r="268" spans="2:12">
      <c r="B268" s="212" t="s">
        <v>1075</v>
      </c>
      <c r="C268" s="229" t="s">
        <v>1085</v>
      </c>
      <c r="D268" s="268" t="s">
        <v>1086</v>
      </c>
      <c r="E268" s="214"/>
      <c r="F268" s="215">
        <v>44266</v>
      </c>
      <c r="G268" s="216">
        <v>730</v>
      </c>
      <c r="H268" s="217">
        <f t="shared" si="24"/>
        <v>44996</v>
      </c>
      <c r="I268" s="218" t="str">
        <f t="shared" ca="1" si="26"/>
        <v>Vencido hace 336 dias</v>
      </c>
      <c r="J268" s="219">
        <f t="shared" ca="1" si="25"/>
        <v>-336</v>
      </c>
      <c r="K268" s="220" t="s">
        <v>541</v>
      </c>
      <c r="L268" s="218"/>
    </row>
    <row r="269" spans="2:12">
      <c r="B269" s="212" t="s">
        <v>1075</v>
      </c>
      <c r="C269" s="229" t="s">
        <v>1087</v>
      </c>
      <c r="D269" s="268" t="s">
        <v>1088</v>
      </c>
      <c r="E269" s="214"/>
      <c r="F269" s="215">
        <v>44461</v>
      </c>
      <c r="G269" s="216">
        <v>730</v>
      </c>
      <c r="H269" s="217">
        <f t="shared" si="24"/>
        <v>45191</v>
      </c>
      <c r="I269" s="218" t="str">
        <f t="shared" ca="1" si="26"/>
        <v>Vencido hace 141 dias</v>
      </c>
      <c r="J269" s="219">
        <f t="shared" ca="1" si="25"/>
        <v>-141</v>
      </c>
      <c r="K269" s="220" t="s">
        <v>922</v>
      </c>
      <c r="L269" s="218"/>
    </row>
    <row r="270" spans="2:12">
      <c r="B270" s="212" t="s">
        <v>1075</v>
      </c>
      <c r="C270" s="229" t="s">
        <v>1089</v>
      </c>
      <c r="D270" s="268" t="s">
        <v>1090</v>
      </c>
      <c r="E270" s="214"/>
      <c r="F270" s="215">
        <v>44263</v>
      </c>
      <c r="G270" s="216">
        <v>730</v>
      </c>
      <c r="H270" s="217">
        <f t="shared" si="24"/>
        <v>44993</v>
      </c>
      <c r="I270" s="218" t="str">
        <f t="shared" ca="1" si="26"/>
        <v>Vencido hace 339 dias</v>
      </c>
      <c r="J270" s="219">
        <f t="shared" ca="1" si="25"/>
        <v>-339</v>
      </c>
      <c r="K270" s="220" t="s">
        <v>474</v>
      </c>
      <c r="L270" s="218"/>
    </row>
    <row r="271" spans="2:12">
      <c r="B271" s="212" t="s">
        <v>1075</v>
      </c>
      <c r="C271" s="229" t="s">
        <v>1091</v>
      </c>
      <c r="D271" s="268" t="s">
        <v>1092</v>
      </c>
      <c r="E271" s="214"/>
      <c r="F271" s="215">
        <v>44375</v>
      </c>
      <c r="G271" s="216">
        <v>730</v>
      </c>
      <c r="H271" s="217">
        <f t="shared" si="24"/>
        <v>45105</v>
      </c>
      <c r="I271" s="218" t="str">
        <f ca="1">IF(H271="","VACIO",IF(J271&lt;0,"Vencido hace "&amp;J271*-1&amp;" dias",IF(J271=0,"Vencido Hoy",IF(J271&lt;8,"Tiene "&amp; J271 &amp;" dias","Faltan "&amp;J271*1&amp;H271))))</f>
        <v>Vencido hace 227 dias</v>
      </c>
      <c r="J271" s="219">
        <f t="shared" ca="1" si="25"/>
        <v>-227</v>
      </c>
      <c r="K271" s="220" t="s">
        <v>1093</v>
      </c>
      <c r="L271" s="218"/>
    </row>
    <row r="272" spans="2:12">
      <c r="B272" s="212" t="s">
        <v>1075</v>
      </c>
      <c r="C272" s="229" t="s">
        <v>1094</v>
      </c>
      <c r="D272" s="266" t="s">
        <v>1095</v>
      </c>
      <c r="E272" s="214"/>
      <c r="F272" s="215">
        <v>44854</v>
      </c>
      <c r="G272" s="216">
        <v>730</v>
      </c>
      <c r="H272" s="217">
        <f t="shared" si="24"/>
        <v>45584</v>
      </c>
      <c r="I272" s="218" t="str">
        <f ca="1">IF(H272="","VACIO",IF(J272&lt;0,"Vencido hace "&amp;J272*-1&amp;" dias",IF(J272=0,"Vencido Hoy",IF(J272&lt;8,"Tiene "&amp; J272 &amp;" dias","Faltan "&amp;J272*1&amp;H272))))</f>
        <v>Faltan 25245584</v>
      </c>
      <c r="J272" s="219">
        <f t="shared" ca="1" si="25"/>
        <v>252</v>
      </c>
      <c r="K272" s="220" t="s">
        <v>296</v>
      </c>
      <c r="L272" s="218"/>
    </row>
    <row r="273" spans="2:12">
      <c r="B273" s="212" t="s">
        <v>1075</v>
      </c>
      <c r="C273" s="229" t="s">
        <v>1096</v>
      </c>
      <c r="D273" s="266" t="s">
        <v>1097</v>
      </c>
      <c r="E273" s="214"/>
      <c r="F273" s="215">
        <v>44882</v>
      </c>
      <c r="G273" s="216">
        <v>730</v>
      </c>
      <c r="H273" s="217">
        <f t="shared" si="24"/>
        <v>45612</v>
      </c>
      <c r="I273" s="218" t="str">
        <f ca="1">IF(H273="","VACIO",IF(J273&lt;0,"Vencido hace "&amp;J273*-1&amp;" dias",IF(J273=0,"Vencido Hoy",IF(J273&lt;8,"Tiene "&amp; J273 &amp;" dias","Faltan "&amp;J273*1&amp;H273))))</f>
        <v>Faltan 28045612</v>
      </c>
      <c r="J273" s="219">
        <f t="shared" ca="1" si="25"/>
        <v>280</v>
      </c>
      <c r="K273" s="220" t="s">
        <v>296</v>
      </c>
      <c r="L273" s="218"/>
    </row>
    <row r="274" spans="2:12">
      <c r="B274" s="212" t="s">
        <v>1075</v>
      </c>
      <c r="C274" s="229" t="s">
        <v>1098</v>
      </c>
      <c r="D274" s="268" t="s">
        <v>1099</v>
      </c>
      <c r="E274" s="214"/>
      <c r="F274" s="215">
        <v>44799</v>
      </c>
      <c r="G274" s="216">
        <v>730</v>
      </c>
      <c r="H274" s="217">
        <f t="shared" si="24"/>
        <v>45529</v>
      </c>
      <c r="I274" s="218" t="str">
        <f ca="1">IF(H274="","VACIO",IF(J274&lt;0,"Vencido hace "&amp;J274*-1&amp;" dias",IF(J274=0,"Vencido Hoy",IF(J274&lt;8,"Tiene "&amp; J274 &amp;" dias","Faltan "&amp;J274*1&amp;H274))))</f>
        <v>Faltan 19745529</v>
      </c>
      <c r="J274" s="219">
        <f t="shared" ca="1" si="25"/>
        <v>197</v>
      </c>
      <c r="K274" s="220" t="s">
        <v>1100</v>
      </c>
      <c r="L274" s="218"/>
    </row>
    <row r="275" spans="2:12">
      <c r="B275" s="212" t="s">
        <v>1075</v>
      </c>
      <c r="C275" s="229" t="s">
        <v>1101</v>
      </c>
      <c r="D275" s="266" t="s">
        <v>1102</v>
      </c>
      <c r="E275" s="214"/>
      <c r="F275" s="215">
        <v>44420</v>
      </c>
      <c r="G275" s="216">
        <v>730</v>
      </c>
      <c r="H275" s="217">
        <f t="shared" si="24"/>
        <v>45150</v>
      </c>
      <c r="I275" s="218" t="str">
        <f ca="1">IF(H275="","VACIO",IF(J275&lt;0,"Vencido hace "&amp;J275*-1&amp;" dias",IF(J275=0,"Vencido Hoy",IF(J275&lt;8,"Tiene "&amp; J275 &amp;" dias","Faltan "&amp;J275*1&amp;H275))))</f>
        <v>Vencido hace 182 dias</v>
      </c>
      <c r="J275" s="219">
        <f t="shared" ca="1" si="25"/>
        <v>-182</v>
      </c>
      <c r="K275" s="220" t="s">
        <v>1103</v>
      </c>
      <c r="L275" s="218"/>
    </row>
    <row r="276" spans="2:12">
      <c r="B276" s="212" t="s">
        <v>1075</v>
      </c>
      <c r="C276" s="229" t="s">
        <v>1104</v>
      </c>
      <c r="D276" s="268" t="s">
        <v>1105</v>
      </c>
      <c r="E276" s="214"/>
      <c r="F276" s="215">
        <v>44627</v>
      </c>
      <c r="G276" s="216">
        <v>730</v>
      </c>
      <c r="H276" s="217">
        <f t="shared" si="24"/>
        <v>45357</v>
      </c>
      <c r="I276" s="218" t="str">
        <f t="shared" ref="I276:I288" ca="1" si="27">IF(H276="","VACIO",IF(J276&lt;0,"Vencido hace "&amp;J276*-1&amp;" dias",IF(J276=0,"Vencido Hoy",IF(J276&lt;8,"Tiene "&amp; J276 &amp;" dias","Faltan "&amp;J276&amp;H276))))</f>
        <v>Faltan 2545357</v>
      </c>
      <c r="J276" s="219">
        <f t="shared" ca="1" si="25"/>
        <v>25</v>
      </c>
      <c r="K276" s="220" t="s">
        <v>922</v>
      </c>
      <c r="L276" s="218"/>
    </row>
    <row r="277" spans="2:12">
      <c r="B277" s="212" t="s">
        <v>1075</v>
      </c>
      <c r="C277" s="229" t="s">
        <v>1106</v>
      </c>
      <c r="D277" s="268" t="s">
        <v>1107</v>
      </c>
      <c r="E277" s="214"/>
      <c r="F277" s="215">
        <v>44644</v>
      </c>
      <c r="G277" s="216">
        <v>730</v>
      </c>
      <c r="H277" s="217">
        <f t="shared" si="24"/>
        <v>45374</v>
      </c>
      <c r="I277" s="218" t="str">
        <f t="shared" ca="1" si="27"/>
        <v>Faltan 4245374</v>
      </c>
      <c r="J277" s="219">
        <f t="shared" ca="1" si="25"/>
        <v>42</v>
      </c>
      <c r="K277" s="220" t="s">
        <v>1108</v>
      </c>
      <c r="L277" s="218"/>
    </row>
    <row r="278" spans="2:12">
      <c r="B278" s="212" t="s">
        <v>1075</v>
      </c>
      <c r="C278" s="229" t="s">
        <v>1109</v>
      </c>
      <c r="D278" s="268" t="s">
        <v>1110</v>
      </c>
      <c r="E278" s="214"/>
      <c r="F278" s="215">
        <v>44396</v>
      </c>
      <c r="G278" s="216">
        <v>730</v>
      </c>
      <c r="H278" s="217">
        <f t="shared" si="24"/>
        <v>45126</v>
      </c>
      <c r="I278" s="218" t="str">
        <f t="shared" ca="1" si="27"/>
        <v>Vencido hace 206 dias</v>
      </c>
      <c r="J278" s="219">
        <f t="shared" ca="1" si="25"/>
        <v>-206</v>
      </c>
      <c r="K278" s="220" t="s">
        <v>771</v>
      </c>
      <c r="L278" s="218"/>
    </row>
    <row r="279" spans="2:12">
      <c r="B279" s="212" t="s">
        <v>1075</v>
      </c>
      <c r="C279" s="229" t="s">
        <v>1111</v>
      </c>
      <c r="D279" s="268" t="s">
        <v>1112</v>
      </c>
      <c r="E279" s="214"/>
      <c r="F279" s="215">
        <v>44237</v>
      </c>
      <c r="G279" s="216">
        <v>730</v>
      </c>
      <c r="H279" s="217">
        <f t="shared" si="24"/>
        <v>44967</v>
      </c>
      <c r="I279" s="218" t="str">
        <f t="shared" ca="1" si="27"/>
        <v>Vencido hace 365 dias</v>
      </c>
      <c r="J279" s="219">
        <f t="shared" ca="1" si="25"/>
        <v>-365</v>
      </c>
      <c r="K279" s="220" t="s">
        <v>771</v>
      </c>
      <c r="L279" s="218"/>
    </row>
    <row r="280" spans="2:12">
      <c r="B280" s="212" t="s">
        <v>1113</v>
      </c>
      <c r="C280" s="223" t="s">
        <v>1114</v>
      </c>
      <c r="D280" s="266" t="s">
        <v>1115</v>
      </c>
      <c r="E280" s="214"/>
      <c r="F280" s="215">
        <v>44895</v>
      </c>
      <c r="G280" s="216">
        <v>730</v>
      </c>
      <c r="H280" s="217">
        <f t="shared" si="24"/>
        <v>45625</v>
      </c>
      <c r="I280" s="218" t="str">
        <f t="shared" ca="1" si="27"/>
        <v>Faltan 29345625</v>
      </c>
      <c r="J280" s="219">
        <f t="shared" ca="1" si="25"/>
        <v>293</v>
      </c>
      <c r="K280" s="220" t="s">
        <v>296</v>
      </c>
      <c r="L280" s="218"/>
    </row>
    <row r="281" spans="2:12">
      <c r="B281" s="212" t="s">
        <v>1113</v>
      </c>
      <c r="C281" s="223" t="s">
        <v>1116</v>
      </c>
      <c r="D281" s="266" t="s">
        <v>1117</v>
      </c>
      <c r="E281" s="214"/>
      <c r="F281" s="215">
        <v>44635</v>
      </c>
      <c r="G281" s="216">
        <v>730</v>
      </c>
      <c r="H281" s="217">
        <f t="shared" si="24"/>
        <v>45365</v>
      </c>
      <c r="I281" s="218" t="str">
        <f t="shared" ca="1" si="27"/>
        <v>Faltan 3345365</v>
      </c>
      <c r="J281" s="219">
        <f t="shared" ca="1" si="25"/>
        <v>33</v>
      </c>
      <c r="K281" s="220" t="s">
        <v>1118</v>
      </c>
      <c r="L281" s="218"/>
    </row>
    <row r="282" spans="2:12">
      <c r="B282" s="212" t="s">
        <v>1113</v>
      </c>
      <c r="C282" s="223" t="s">
        <v>1119</v>
      </c>
      <c r="D282" s="266" t="s">
        <v>1120</v>
      </c>
      <c r="E282" s="214"/>
      <c r="F282" s="215">
        <v>45028</v>
      </c>
      <c r="G282" s="216">
        <v>730</v>
      </c>
      <c r="H282" s="217">
        <f t="shared" si="24"/>
        <v>45758</v>
      </c>
      <c r="I282" s="218" t="str">
        <f t="shared" ca="1" si="27"/>
        <v>Faltan 42645758</v>
      </c>
      <c r="J282" s="219">
        <f t="shared" ca="1" si="25"/>
        <v>426</v>
      </c>
      <c r="K282" s="220" t="s">
        <v>296</v>
      </c>
      <c r="L282" s="218"/>
    </row>
    <row r="283" spans="2:12">
      <c r="B283" s="212" t="s">
        <v>1113</v>
      </c>
      <c r="C283" s="223" t="s">
        <v>1121</v>
      </c>
      <c r="D283" s="266" t="s">
        <v>1122</v>
      </c>
      <c r="E283" s="214"/>
      <c r="F283" s="215">
        <v>44256</v>
      </c>
      <c r="G283" s="216">
        <v>730</v>
      </c>
      <c r="H283" s="217">
        <f t="shared" si="24"/>
        <v>44986</v>
      </c>
      <c r="I283" s="218" t="str">
        <f t="shared" ca="1" si="27"/>
        <v>Vencido hace 346 dias</v>
      </c>
      <c r="J283" s="219">
        <f t="shared" ca="1" si="25"/>
        <v>-346</v>
      </c>
      <c r="K283" s="220" t="s">
        <v>605</v>
      </c>
      <c r="L283" s="218"/>
    </row>
    <row r="284" spans="2:12">
      <c r="B284" s="212" t="s">
        <v>1113</v>
      </c>
      <c r="C284" s="223" t="s">
        <v>1123</v>
      </c>
      <c r="D284" s="266" t="s">
        <v>1124</v>
      </c>
      <c r="E284" s="214"/>
      <c r="F284" s="215">
        <v>44620</v>
      </c>
      <c r="G284" s="216">
        <v>730</v>
      </c>
      <c r="H284" s="217">
        <f t="shared" si="24"/>
        <v>45350</v>
      </c>
      <c r="I284" s="218" t="str">
        <f t="shared" ca="1" si="27"/>
        <v>Faltan 1845350</v>
      </c>
      <c r="J284" s="219">
        <f t="shared" ca="1" si="25"/>
        <v>18</v>
      </c>
      <c r="K284" s="220" t="s">
        <v>582</v>
      </c>
      <c r="L284" s="218"/>
    </row>
    <row r="285" spans="2:12">
      <c r="B285" s="212" t="s">
        <v>1113</v>
      </c>
      <c r="C285" s="223" t="s">
        <v>1125</v>
      </c>
      <c r="D285" s="266" t="s">
        <v>1126</v>
      </c>
      <c r="E285" s="214"/>
      <c r="F285" s="215">
        <v>45009</v>
      </c>
      <c r="G285" s="216">
        <v>730</v>
      </c>
      <c r="H285" s="217">
        <f t="shared" si="24"/>
        <v>45739</v>
      </c>
      <c r="I285" s="218" t="str">
        <f t="shared" ca="1" si="27"/>
        <v>Faltan 40745739</v>
      </c>
      <c r="J285" s="219">
        <f t="shared" ca="1" si="25"/>
        <v>407</v>
      </c>
      <c r="K285" s="220" t="s">
        <v>296</v>
      </c>
      <c r="L285" s="218"/>
    </row>
    <row r="286" spans="2:12">
      <c r="B286" s="212" t="s">
        <v>1113</v>
      </c>
      <c r="C286" s="223" t="s">
        <v>1127</v>
      </c>
      <c r="D286" s="266" t="s">
        <v>1128</v>
      </c>
      <c r="E286" s="214" t="s">
        <v>649</v>
      </c>
      <c r="F286" s="215">
        <v>44727</v>
      </c>
      <c r="G286" s="216">
        <v>730</v>
      </c>
      <c r="H286" s="217">
        <f t="shared" si="24"/>
        <v>45457</v>
      </c>
      <c r="I286" s="218" t="str">
        <f t="shared" ca="1" si="27"/>
        <v>Faltan 12545457</v>
      </c>
      <c r="J286" s="219">
        <f t="shared" ca="1" si="25"/>
        <v>125</v>
      </c>
      <c r="K286" s="220" t="s">
        <v>1010</v>
      </c>
      <c r="L286" s="218"/>
    </row>
    <row r="287" spans="2:12">
      <c r="B287" s="212" t="s">
        <v>1113</v>
      </c>
      <c r="C287" s="223" t="s">
        <v>1129</v>
      </c>
      <c r="D287" s="266" t="s">
        <v>1130</v>
      </c>
      <c r="E287" s="214"/>
      <c r="F287" s="215">
        <v>44825</v>
      </c>
      <c r="G287" s="216">
        <v>730</v>
      </c>
      <c r="H287" s="217">
        <f t="shared" si="24"/>
        <v>45555</v>
      </c>
      <c r="I287" s="218" t="str">
        <f t="shared" ca="1" si="27"/>
        <v>Faltan 22345555</v>
      </c>
      <c r="J287" s="219">
        <f t="shared" ca="1" si="25"/>
        <v>223</v>
      </c>
      <c r="K287" s="220" t="s">
        <v>1131</v>
      </c>
      <c r="L287" s="218"/>
    </row>
    <row r="288" spans="2:12">
      <c r="B288" s="212" t="s">
        <v>1113</v>
      </c>
      <c r="C288" s="223" t="s">
        <v>1132</v>
      </c>
      <c r="D288" s="266" t="s">
        <v>1133</v>
      </c>
      <c r="E288" s="214"/>
      <c r="F288" s="215">
        <v>44546</v>
      </c>
      <c r="G288" s="216">
        <v>730</v>
      </c>
      <c r="H288" s="217">
        <f t="shared" si="24"/>
        <v>45276</v>
      </c>
      <c r="I288" s="218" t="str">
        <f t="shared" ca="1" si="27"/>
        <v>Vencido hace 56 dias</v>
      </c>
      <c r="J288" s="219">
        <f t="shared" ca="1" si="25"/>
        <v>-56</v>
      </c>
      <c r="K288" s="220" t="s">
        <v>474</v>
      </c>
      <c r="L288" s="218"/>
    </row>
    <row r="289" spans="2:12">
      <c r="B289" s="212" t="s">
        <v>1113</v>
      </c>
      <c r="C289" s="223" t="s">
        <v>1134</v>
      </c>
      <c r="D289" s="266" t="s">
        <v>1135</v>
      </c>
      <c r="E289" s="214"/>
      <c r="F289" s="215">
        <v>44694</v>
      </c>
      <c r="G289" s="216">
        <v>730</v>
      </c>
      <c r="H289" s="230">
        <f t="shared" si="24"/>
        <v>45424</v>
      </c>
      <c r="I289" s="218" t="str">
        <f ca="1">IF(H289="","VACIO",IF(J289&lt;0,"Vencido hace "&amp;J289*-1&amp;" dias",IF(J289=0,"Vencido Hoy",IF(J289&lt;8,"Tiene "&amp; J289 &amp;" dias","Faltan "&amp;J289*1&amp;H289))))</f>
        <v>Faltan 9245424</v>
      </c>
      <c r="J289" s="219">
        <f t="shared" ca="1" si="25"/>
        <v>92</v>
      </c>
      <c r="K289" s="220" t="s">
        <v>386</v>
      </c>
      <c r="L289" s="218"/>
    </row>
    <row r="290" spans="2:12">
      <c r="B290" s="212" t="s">
        <v>1113</v>
      </c>
      <c r="C290" s="223" t="s">
        <v>1136</v>
      </c>
      <c r="D290" s="266" t="s">
        <v>1137</v>
      </c>
      <c r="E290" s="214"/>
      <c r="F290" s="215">
        <v>44389</v>
      </c>
      <c r="G290" s="216">
        <v>730</v>
      </c>
      <c r="H290" s="230">
        <f t="shared" si="24"/>
        <v>45119</v>
      </c>
      <c r="I290" s="218" t="str">
        <f ca="1">IF(H290="","VACIO",IF(J290&lt;0,"Vencido hace "&amp;J290*-1&amp;" dias",IF(J290=0,"Vencido Hoy",IF(J290&lt;8,"Tiene "&amp; J290 &amp;" dias","Faltan "&amp;J290*1&amp;H290))))</f>
        <v>Vencido hace 213 dias</v>
      </c>
      <c r="J290" s="219">
        <f t="shared" ca="1" si="25"/>
        <v>-213</v>
      </c>
      <c r="K290" s="220" t="s">
        <v>1138</v>
      </c>
      <c r="L290" s="218"/>
    </row>
    <row r="291" spans="2:12">
      <c r="B291" s="212" t="s">
        <v>1113</v>
      </c>
      <c r="C291" s="223" t="s">
        <v>1141</v>
      </c>
      <c r="D291" s="266" t="s">
        <v>1142</v>
      </c>
      <c r="E291" s="215"/>
      <c r="F291" s="215">
        <v>44419</v>
      </c>
      <c r="G291" s="216">
        <v>730</v>
      </c>
      <c r="H291" s="217">
        <f t="shared" si="24"/>
        <v>45149</v>
      </c>
      <c r="I291" s="218" t="str">
        <f ca="1">IF(H291="","VACIO",IF(J291&lt;0,"Vencido hace "&amp;J291*-1&amp;" dias",IF(J291=0,"Vencido Hoy",IF(J291&lt;8,"Tiene "&amp; J291 &amp;" dias","Faltan "&amp;J291*1&amp;H291))))</f>
        <v>Vencido hace 183 dias</v>
      </c>
      <c r="J291" s="219">
        <f t="shared" ca="1" si="25"/>
        <v>-183</v>
      </c>
      <c r="K291" s="220" t="s">
        <v>1143</v>
      </c>
      <c r="L291" s="218"/>
    </row>
    <row r="292" spans="2:12">
      <c r="B292" s="212" t="s">
        <v>1113</v>
      </c>
      <c r="C292" s="223" t="s">
        <v>1144</v>
      </c>
      <c r="D292" s="266" t="s">
        <v>1145</v>
      </c>
      <c r="E292" s="215">
        <v>44783</v>
      </c>
      <c r="F292" s="215">
        <v>44783</v>
      </c>
      <c r="G292" s="216">
        <v>730</v>
      </c>
      <c r="H292" s="217">
        <f t="shared" si="24"/>
        <v>45513</v>
      </c>
      <c r="I292" s="218" t="str">
        <f ca="1">IF(H292="","VACIO",IF(J292&lt;0,"Vencido hace "&amp;J292*-1&amp;" dias",IF(J292=0,"Vencido Hoy",IF(J292&lt;8,"Tiene "&amp; J292 &amp;" dias","Faltan "&amp;J292&amp;H292))))</f>
        <v>Faltan 18145513</v>
      </c>
      <c r="J292" s="219">
        <f t="shared" ca="1" si="25"/>
        <v>181</v>
      </c>
      <c r="K292" s="220" t="s">
        <v>1146</v>
      </c>
      <c r="L292" s="218"/>
    </row>
    <row r="293" spans="2:12">
      <c r="B293" s="212" t="s">
        <v>1147</v>
      </c>
      <c r="C293" s="213" t="s">
        <v>1148</v>
      </c>
      <c r="D293" s="266" t="s">
        <v>1149</v>
      </c>
      <c r="E293" s="214" t="s">
        <v>649</v>
      </c>
      <c r="F293" s="215">
        <v>44811</v>
      </c>
      <c r="G293" s="216">
        <v>730</v>
      </c>
      <c r="H293" s="217">
        <f t="shared" si="24"/>
        <v>45541</v>
      </c>
      <c r="I293" s="218" t="str">
        <f ca="1">IF(H293="","VACIO",IF(J293&lt;0,"Vencido hace "&amp;J293*-1&amp;" dias",IF(J293=0,"Vencido Hoy",IF(J293&lt;8,"Tiene "&amp; J293 &amp;" dias","Faltan "&amp;J293&amp;H293))))</f>
        <v>Faltan 20945541</v>
      </c>
      <c r="J293" s="219">
        <f t="shared" ca="1" si="25"/>
        <v>209</v>
      </c>
      <c r="K293" s="220" t="s">
        <v>582</v>
      </c>
      <c r="L293" s="218"/>
    </row>
    <row r="294" spans="2:12">
      <c r="B294" s="212" t="s">
        <v>1147</v>
      </c>
      <c r="C294" s="223" t="s">
        <v>1150</v>
      </c>
      <c r="D294" s="266" t="s">
        <v>1151</v>
      </c>
      <c r="E294" s="214"/>
      <c r="F294" s="215">
        <v>44593</v>
      </c>
      <c r="G294" s="216">
        <v>730</v>
      </c>
      <c r="H294" s="217">
        <f t="shared" si="24"/>
        <v>45323</v>
      </c>
      <c r="I294" s="218" t="str">
        <f ca="1">IF(H294="","VACIO",IF(J294&lt;0,"Vencido hace "&amp;J294*-1&amp;" dias",IF(J294=0,"Vencido Hoy",IF(J294&lt;8,"Tiene "&amp; J294 &amp;" dias","Faltan "&amp;J294*1&amp;H294))))</f>
        <v>Vencido hace 9 dias</v>
      </c>
      <c r="J294" s="219">
        <f t="shared" ca="1" si="25"/>
        <v>-9</v>
      </c>
      <c r="K294" s="220" t="s">
        <v>1152</v>
      </c>
      <c r="L294" s="218"/>
    </row>
    <row r="295" spans="2:12">
      <c r="B295" s="212" t="s">
        <v>1147</v>
      </c>
      <c r="C295" s="223" t="s">
        <v>1153</v>
      </c>
      <c r="D295" s="266" t="s">
        <v>1154</v>
      </c>
      <c r="E295" s="215">
        <v>44673</v>
      </c>
      <c r="F295" s="215">
        <v>44669</v>
      </c>
      <c r="G295" s="216">
        <v>730</v>
      </c>
      <c r="H295" s="217">
        <f t="shared" si="24"/>
        <v>45399</v>
      </c>
      <c r="I295" s="218" t="str">
        <f t="shared" ref="I295:I305" ca="1" si="28">IF(H295="","VACIO",IF(J295&lt;0,"Vencido hace "&amp;J295*-1&amp;" dias",IF(J295=0,"Vencido Hoy",IF(J295&lt;8,"Tiene "&amp; J295 &amp;" dias","Faltan "&amp;J295&amp;H295))))</f>
        <v>Faltan 6745399</v>
      </c>
      <c r="J295" s="219">
        <f t="shared" ca="1" si="25"/>
        <v>67</v>
      </c>
      <c r="K295" s="220" t="s">
        <v>1155</v>
      </c>
      <c r="L295" s="218"/>
    </row>
    <row r="296" spans="2:12">
      <c r="B296" s="212" t="s">
        <v>1147</v>
      </c>
      <c r="C296" s="223" t="s">
        <v>1156</v>
      </c>
      <c r="D296" s="266" t="s">
        <v>1157</v>
      </c>
      <c r="E296" s="215"/>
      <c r="F296" s="215">
        <v>44334</v>
      </c>
      <c r="G296" s="216">
        <v>730</v>
      </c>
      <c r="H296" s="217">
        <f t="shared" si="24"/>
        <v>45064</v>
      </c>
      <c r="I296" s="218" t="str">
        <f t="shared" ca="1" si="28"/>
        <v>Vencido hace 268 dias</v>
      </c>
      <c r="J296" s="219">
        <f t="shared" ca="1" si="25"/>
        <v>-268</v>
      </c>
      <c r="K296" s="220" t="s">
        <v>977</v>
      </c>
      <c r="L296" s="218"/>
    </row>
    <row r="297" spans="2:12">
      <c r="B297" s="212" t="s">
        <v>1147</v>
      </c>
      <c r="C297" s="223" t="s">
        <v>1158</v>
      </c>
      <c r="D297" s="266" t="s">
        <v>1159</v>
      </c>
      <c r="E297" s="214"/>
      <c r="F297" s="215">
        <v>44760</v>
      </c>
      <c r="G297" s="216">
        <v>730</v>
      </c>
      <c r="H297" s="217">
        <f t="shared" si="24"/>
        <v>45490</v>
      </c>
      <c r="I297" s="218" t="str">
        <f t="shared" ca="1" si="28"/>
        <v>Faltan 15845490</v>
      </c>
      <c r="J297" s="219">
        <f t="shared" ca="1" si="25"/>
        <v>158</v>
      </c>
      <c r="K297" s="220" t="s">
        <v>296</v>
      </c>
      <c r="L297" s="218"/>
    </row>
    <row r="298" spans="2:12">
      <c r="B298" s="212" t="s">
        <v>1147</v>
      </c>
      <c r="C298" s="223" t="s">
        <v>1160</v>
      </c>
      <c r="D298" s="266" t="s">
        <v>1161</v>
      </c>
      <c r="E298" s="214"/>
      <c r="F298" s="215">
        <v>44383</v>
      </c>
      <c r="G298" s="216">
        <v>730</v>
      </c>
      <c r="H298" s="217">
        <f t="shared" si="24"/>
        <v>45113</v>
      </c>
      <c r="I298" s="218" t="str">
        <f t="shared" ca="1" si="28"/>
        <v>Vencido hace 219 dias</v>
      </c>
      <c r="J298" s="219">
        <f t="shared" ca="1" si="25"/>
        <v>-219</v>
      </c>
      <c r="K298" s="220" t="s">
        <v>984</v>
      </c>
      <c r="L298" s="218"/>
    </row>
    <row r="299" spans="2:12">
      <c r="B299" s="212" t="s">
        <v>1147</v>
      </c>
      <c r="C299" s="223" t="s">
        <v>1162</v>
      </c>
      <c r="D299" s="266" t="s">
        <v>1163</v>
      </c>
      <c r="E299" s="214" t="s">
        <v>649</v>
      </c>
      <c r="F299" s="215">
        <v>44693</v>
      </c>
      <c r="G299" s="216">
        <v>730</v>
      </c>
      <c r="H299" s="217">
        <f t="shared" si="24"/>
        <v>45423</v>
      </c>
      <c r="I299" s="218" t="str">
        <f t="shared" ca="1" si="28"/>
        <v>Faltan 9145423</v>
      </c>
      <c r="J299" s="219">
        <f t="shared" ca="1" si="25"/>
        <v>91</v>
      </c>
      <c r="K299" s="220" t="s">
        <v>1164</v>
      </c>
      <c r="L299" s="218"/>
    </row>
    <row r="300" spans="2:12">
      <c r="B300" s="212" t="s">
        <v>1147</v>
      </c>
      <c r="C300" s="223" t="s">
        <v>1165</v>
      </c>
      <c r="D300" s="266" t="s">
        <v>1166</v>
      </c>
      <c r="E300" s="215">
        <v>44797</v>
      </c>
      <c r="F300" s="215">
        <v>44797</v>
      </c>
      <c r="G300" s="216">
        <v>730</v>
      </c>
      <c r="H300" s="217">
        <f t="shared" si="24"/>
        <v>45527</v>
      </c>
      <c r="I300" s="218" t="str">
        <f t="shared" ca="1" si="28"/>
        <v>Faltan 19545527</v>
      </c>
      <c r="J300" s="219">
        <f t="shared" ca="1" si="25"/>
        <v>195</v>
      </c>
      <c r="K300" s="220" t="s">
        <v>232</v>
      </c>
      <c r="L300" s="218"/>
    </row>
    <row r="301" spans="2:12">
      <c r="B301" s="212" t="s">
        <v>1147</v>
      </c>
      <c r="C301" s="223" t="s">
        <v>1167</v>
      </c>
      <c r="D301" s="266" t="s">
        <v>1168</v>
      </c>
      <c r="E301" s="214"/>
      <c r="F301" s="215">
        <v>44453</v>
      </c>
      <c r="G301" s="216">
        <v>730</v>
      </c>
      <c r="H301" s="217">
        <f t="shared" si="24"/>
        <v>45183</v>
      </c>
      <c r="I301" s="218" t="str">
        <f t="shared" ca="1" si="28"/>
        <v>Vencido hace 149 dias</v>
      </c>
      <c r="J301" s="219">
        <f t="shared" ca="1" si="25"/>
        <v>-149</v>
      </c>
      <c r="K301" s="220" t="s">
        <v>605</v>
      </c>
      <c r="L301" s="218"/>
    </row>
    <row r="302" spans="2:12">
      <c r="B302" s="212" t="s">
        <v>1147</v>
      </c>
      <c r="C302" s="223" t="s">
        <v>1169</v>
      </c>
      <c r="D302" s="266" t="s">
        <v>1170</v>
      </c>
      <c r="E302" s="215">
        <v>44770</v>
      </c>
      <c r="F302" s="215">
        <v>44770</v>
      </c>
      <c r="G302" s="216">
        <v>730</v>
      </c>
      <c r="H302" s="217">
        <f t="shared" si="24"/>
        <v>45500</v>
      </c>
      <c r="I302" s="218" t="str">
        <f t="shared" ca="1" si="28"/>
        <v>Faltan 16845500</v>
      </c>
      <c r="J302" s="219">
        <f t="shared" ca="1" si="25"/>
        <v>168</v>
      </c>
      <c r="K302" s="220" t="s">
        <v>232</v>
      </c>
      <c r="L302" s="218"/>
    </row>
    <row r="303" spans="2:12">
      <c r="B303" s="212" t="s">
        <v>1147</v>
      </c>
      <c r="C303" s="223" t="s">
        <v>1171</v>
      </c>
      <c r="D303" s="266" t="s">
        <v>1172</v>
      </c>
      <c r="E303" s="214"/>
      <c r="F303" s="215">
        <v>44609</v>
      </c>
      <c r="G303" s="216">
        <v>730</v>
      </c>
      <c r="H303" s="217">
        <f t="shared" si="24"/>
        <v>45339</v>
      </c>
      <c r="I303" s="218" t="str">
        <f t="shared" ca="1" si="28"/>
        <v>Tiene 7 dias</v>
      </c>
      <c r="J303" s="219">
        <f t="shared" ca="1" si="25"/>
        <v>7</v>
      </c>
      <c r="K303" s="220" t="s">
        <v>605</v>
      </c>
      <c r="L303" s="218"/>
    </row>
    <row r="304" spans="2:12">
      <c r="B304" s="212" t="s">
        <v>1147</v>
      </c>
      <c r="C304" s="223" t="s">
        <v>1173</v>
      </c>
      <c r="D304" s="266" t="s">
        <v>1174</v>
      </c>
      <c r="E304" s="214"/>
      <c r="F304" s="215">
        <v>44728</v>
      </c>
      <c r="G304" s="216">
        <v>730</v>
      </c>
      <c r="H304" s="217">
        <f t="shared" si="24"/>
        <v>45458</v>
      </c>
      <c r="I304" s="218" t="str">
        <f t="shared" ca="1" si="28"/>
        <v>Faltan 12645458</v>
      </c>
      <c r="J304" s="219">
        <f t="shared" ca="1" si="25"/>
        <v>126</v>
      </c>
      <c r="K304" s="220" t="s">
        <v>1175</v>
      </c>
      <c r="L304" s="218"/>
    </row>
    <row r="305" spans="2:12">
      <c r="B305" s="212" t="s">
        <v>1147</v>
      </c>
      <c r="C305" s="223" t="s">
        <v>1176</v>
      </c>
      <c r="D305" s="266" t="s">
        <v>1177</v>
      </c>
      <c r="E305" s="214"/>
      <c r="F305" s="215">
        <v>44725</v>
      </c>
      <c r="G305" s="216">
        <v>730</v>
      </c>
      <c r="H305" s="217">
        <f t="shared" si="24"/>
        <v>45455</v>
      </c>
      <c r="I305" s="218" t="str">
        <f t="shared" ca="1" si="28"/>
        <v>Faltan 12345455</v>
      </c>
      <c r="J305" s="219">
        <f t="shared" ca="1" si="25"/>
        <v>123</v>
      </c>
      <c r="K305" s="220" t="s">
        <v>1178</v>
      </c>
      <c r="L305" s="218"/>
    </row>
    <row r="306" spans="2:12">
      <c r="B306" s="212" t="s">
        <v>1147</v>
      </c>
      <c r="C306" s="223" t="s">
        <v>1179</v>
      </c>
      <c r="D306" s="266" t="s">
        <v>1180</v>
      </c>
      <c r="E306" s="214"/>
      <c r="F306" s="215">
        <v>44355</v>
      </c>
      <c r="G306" s="216">
        <v>730</v>
      </c>
      <c r="H306" s="217">
        <f t="shared" si="24"/>
        <v>45085</v>
      </c>
      <c r="I306" s="218" t="str">
        <f ca="1">IF(H306="","VACIO",IF(J306&lt;0,"Vencido hace "&amp;J306*-1&amp;" dias",IF(J306=0,"Vencido Hoy",IF(J306&lt;8,"Tiene "&amp; J306 &amp;" dias","Faltan "&amp;J306*1&amp;H306))))</f>
        <v>Vencido hace 247 dias</v>
      </c>
      <c r="J306" s="219">
        <f t="shared" ca="1" si="25"/>
        <v>-247</v>
      </c>
      <c r="K306" s="220" t="s">
        <v>1181</v>
      </c>
      <c r="L306" s="218"/>
    </row>
    <row r="307" spans="2:12">
      <c r="B307" s="212" t="s">
        <v>1147</v>
      </c>
      <c r="C307" s="223" t="s">
        <v>1182</v>
      </c>
      <c r="D307" s="266" t="s">
        <v>1183</v>
      </c>
      <c r="E307" s="214"/>
      <c r="F307" s="215">
        <v>44410</v>
      </c>
      <c r="G307" s="216">
        <v>730</v>
      </c>
      <c r="H307" s="217">
        <f t="shared" si="24"/>
        <v>45140</v>
      </c>
      <c r="I307" s="218" t="str">
        <f ca="1">IF(H307="","VACIO",IF(J307&lt;0,"Vencido hace "&amp;J307*-1&amp;" dias",IF(J307=0,"Vencido Hoy",IF(J307&lt;8,"Tiene "&amp; J307 &amp;" dias","Faltan "&amp;J307*1&amp;H307))))</f>
        <v>Vencido hace 192 dias</v>
      </c>
      <c r="J307" s="219">
        <f t="shared" ca="1" si="25"/>
        <v>-192</v>
      </c>
      <c r="K307" s="220" t="s">
        <v>1184</v>
      </c>
      <c r="L307" s="218"/>
    </row>
    <row r="308" spans="2:12">
      <c r="B308" s="212" t="s">
        <v>1147</v>
      </c>
      <c r="C308" s="223" t="s">
        <v>1185</v>
      </c>
      <c r="D308" s="266" t="s">
        <v>1186</v>
      </c>
      <c r="E308" s="214" t="s">
        <v>1187</v>
      </c>
      <c r="F308" s="215">
        <v>44833</v>
      </c>
      <c r="G308" s="216">
        <v>730</v>
      </c>
      <c r="H308" s="217">
        <f t="shared" si="24"/>
        <v>45563</v>
      </c>
      <c r="I308" s="218" t="str">
        <f ca="1">IF(H308="","VACIO",IF(J308&lt;0,"Vencido hace "&amp;J308*-1&amp;" dias",IF(J308=0,"Vencido Hoy",IF(J308&lt;8,"Tiene "&amp; J308 &amp;" dias","Faltan "&amp;J308*1&amp;H308))))</f>
        <v>Faltan 23145563</v>
      </c>
      <c r="J308" s="219">
        <f t="shared" ca="1" si="25"/>
        <v>231</v>
      </c>
      <c r="K308" s="220" t="s">
        <v>599</v>
      </c>
      <c r="L308" s="218"/>
    </row>
    <row r="309" spans="2:12">
      <c r="B309" s="212" t="s">
        <v>1147</v>
      </c>
      <c r="C309" s="223" t="s">
        <v>1188</v>
      </c>
      <c r="D309" s="266" t="s">
        <v>1189</v>
      </c>
      <c r="E309" s="214"/>
      <c r="F309" s="215">
        <v>44530</v>
      </c>
      <c r="G309" s="216">
        <v>730</v>
      </c>
      <c r="H309" s="217">
        <f t="shared" si="24"/>
        <v>45260</v>
      </c>
      <c r="I309" s="218" t="str">
        <f t="shared" ref="I309:I324" ca="1" si="29">IF(H309="","VACIO",IF(J309&lt;0,"Vencido hace "&amp;J309*-1&amp;" dias",IF(J309=0,"Vencido Hoy",IF(J309&lt;8,"Tiene "&amp; J309 &amp;" dias","Faltan "&amp;J309&amp;H309))))</f>
        <v>Vencido hace 72 dias</v>
      </c>
      <c r="J309" s="219">
        <f t="shared" ca="1" si="25"/>
        <v>-72</v>
      </c>
      <c r="K309" s="220" t="s">
        <v>717</v>
      </c>
      <c r="L309" s="218"/>
    </row>
    <row r="310" spans="2:12">
      <c r="B310" s="212" t="s">
        <v>1147</v>
      </c>
      <c r="C310" s="223" t="s">
        <v>1190</v>
      </c>
      <c r="D310" s="266" t="s">
        <v>1191</v>
      </c>
      <c r="E310" s="215">
        <v>44644</v>
      </c>
      <c r="F310" s="215">
        <v>44644</v>
      </c>
      <c r="G310" s="216">
        <v>730</v>
      </c>
      <c r="H310" s="217">
        <f t="shared" si="24"/>
        <v>45374</v>
      </c>
      <c r="I310" s="218" t="str">
        <f t="shared" ca="1" si="29"/>
        <v>Faltan 4245374</v>
      </c>
      <c r="J310" s="219">
        <f t="shared" ca="1" si="25"/>
        <v>42</v>
      </c>
      <c r="K310" s="220" t="s">
        <v>1192</v>
      </c>
      <c r="L310" s="218"/>
    </row>
    <row r="311" spans="2:12">
      <c r="B311" s="212" t="s">
        <v>1193</v>
      </c>
      <c r="C311" s="213" t="s">
        <v>1194</v>
      </c>
      <c r="D311" s="266" t="s">
        <v>1195</v>
      </c>
      <c r="E311" s="216"/>
      <c r="F311" s="217">
        <v>44874</v>
      </c>
      <c r="G311" s="216">
        <v>730</v>
      </c>
      <c r="H311" s="217">
        <f t="shared" si="24"/>
        <v>45604</v>
      </c>
      <c r="I311" s="218" t="str">
        <f t="shared" ca="1" si="29"/>
        <v>Faltan 27245604</v>
      </c>
      <c r="J311" s="219">
        <f t="shared" ca="1" si="25"/>
        <v>272</v>
      </c>
      <c r="K311" s="220" t="s">
        <v>1196</v>
      </c>
      <c r="L311" s="218"/>
    </row>
    <row r="312" spans="2:12">
      <c r="B312" s="212" t="s">
        <v>1193</v>
      </c>
      <c r="C312" s="223" t="s">
        <v>1197</v>
      </c>
      <c r="D312" s="266" t="s">
        <v>1198</v>
      </c>
      <c r="E312" s="214"/>
      <c r="F312" s="215">
        <v>44861</v>
      </c>
      <c r="G312" s="216">
        <v>730</v>
      </c>
      <c r="H312" s="217">
        <f t="shared" si="24"/>
        <v>45591</v>
      </c>
      <c r="I312" s="218" t="str">
        <f t="shared" ca="1" si="29"/>
        <v>Faltan 25945591</v>
      </c>
      <c r="J312" s="219">
        <f t="shared" ca="1" si="25"/>
        <v>259</v>
      </c>
      <c r="K312" s="220" t="s">
        <v>1199</v>
      </c>
      <c r="L312" s="218"/>
    </row>
    <row r="313" spans="2:12">
      <c r="B313" s="212" t="s">
        <v>1193</v>
      </c>
      <c r="C313" s="223" t="s">
        <v>1200</v>
      </c>
      <c r="D313" s="266" t="s">
        <v>1201</v>
      </c>
      <c r="E313" s="214"/>
      <c r="F313" s="215">
        <v>44438</v>
      </c>
      <c r="G313" s="216">
        <v>730</v>
      </c>
      <c r="H313" s="217">
        <f t="shared" si="24"/>
        <v>45168</v>
      </c>
      <c r="I313" s="218" t="str">
        <f t="shared" ca="1" si="29"/>
        <v>Vencido hace 164 dias</v>
      </c>
      <c r="J313" s="219">
        <f t="shared" ca="1" si="25"/>
        <v>-164</v>
      </c>
      <c r="K313" s="220" t="s">
        <v>922</v>
      </c>
      <c r="L313" s="218"/>
    </row>
    <row r="314" spans="2:12">
      <c r="B314" s="212" t="s">
        <v>1193</v>
      </c>
      <c r="C314" s="223" t="s">
        <v>1202</v>
      </c>
      <c r="D314" s="266" t="s">
        <v>1177</v>
      </c>
      <c r="E314" s="214"/>
      <c r="F314" s="215">
        <v>44725</v>
      </c>
      <c r="G314" s="216">
        <v>730</v>
      </c>
      <c r="H314" s="217">
        <f t="shared" si="24"/>
        <v>45455</v>
      </c>
      <c r="I314" s="218" t="str">
        <f t="shared" ca="1" si="29"/>
        <v>Faltan 12345455</v>
      </c>
      <c r="J314" s="219">
        <f t="shared" ca="1" si="25"/>
        <v>123</v>
      </c>
      <c r="K314" s="220" t="s">
        <v>1203</v>
      </c>
      <c r="L314" s="218"/>
    </row>
    <row r="315" spans="2:12">
      <c r="B315" s="212" t="s">
        <v>1193</v>
      </c>
      <c r="C315" s="223" t="s">
        <v>1204</v>
      </c>
      <c r="D315" s="266" t="s">
        <v>1205</v>
      </c>
      <c r="E315" s="214"/>
      <c r="F315" s="215">
        <v>44484</v>
      </c>
      <c r="G315" s="216">
        <v>730</v>
      </c>
      <c r="H315" s="217">
        <f t="shared" si="24"/>
        <v>45214</v>
      </c>
      <c r="I315" s="218" t="str">
        <f t="shared" ca="1" si="29"/>
        <v>Vencido hace 118 dias</v>
      </c>
      <c r="J315" s="219">
        <f t="shared" ca="1" si="25"/>
        <v>-118</v>
      </c>
      <c r="K315" s="220" t="s">
        <v>1206</v>
      </c>
      <c r="L315" s="218"/>
    </row>
    <row r="316" spans="2:12">
      <c r="B316" s="212" t="s">
        <v>1193</v>
      </c>
      <c r="C316" s="223" t="s">
        <v>1207</v>
      </c>
      <c r="D316" s="266" t="s">
        <v>1208</v>
      </c>
      <c r="E316" s="214"/>
      <c r="F316" s="215">
        <v>44743</v>
      </c>
      <c r="G316" s="216">
        <v>730</v>
      </c>
      <c r="H316" s="217">
        <f t="shared" si="24"/>
        <v>45473</v>
      </c>
      <c r="I316" s="218" t="str">
        <f t="shared" ca="1" si="29"/>
        <v>Faltan 14145473</v>
      </c>
      <c r="J316" s="219">
        <f t="shared" ca="1" si="25"/>
        <v>141</v>
      </c>
      <c r="K316" s="220" t="s">
        <v>1209</v>
      </c>
      <c r="L316" s="218"/>
    </row>
    <row r="317" spans="2:12">
      <c r="B317" s="212" t="s">
        <v>1193</v>
      </c>
      <c r="C317" s="223" t="s">
        <v>1210</v>
      </c>
      <c r="D317" s="266" t="s">
        <v>1211</v>
      </c>
      <c r="E317" s="214"/>
      <c r="F317" s="215">
        <v>44340</v>
      </c>
      <c r="G317" s="216">
        <v>730</v>
      </c>
      <c r="H317" s="217">
        <f t="shared" si="24"/>
        <v>45070</v>
      </c>
      <c r="I317" s="218" t="str">
        <f t="shared" ca="1" si="29"/>
        <v>Vencido hace 262 dias</v>
      </c>
      <c r="J317" s="219">
        <f t="shared" ca="1" si="25"/>
        <v>-262</v>
      </c>
      <c r="K317" s="220" t="s">
        <v>717</v>
      </c>
      <c r="L317" s="218"/>
    </row>
    <row r="318" spans="2:12">
      <c r="B318" s="212" t="s">
        <v>1193</v>
      </c>
      <c r="C318" s="223" t="s">
        <v>1212</v>
      </c>
      <c r="D318" s="266" t="s">
        <v>1213</v>
      </c>
      <c r="E318" s="214"/>
      <c r="F318" s="215">
        <v>44743</v>
      </c>
      <c r="G318" s="216">
        <v>730</v>
      </c>
      <c r="H318" s="217">
        <f t="shared" si="24"/>
        <v>45473</v>
      </c>
      <c r="I318" s="218" t="str">
        <f t="shared" ca="1" si="29"/>
        <v>Faltan 14145473</v>
      </c>
      <c r="J318" s="219">
        <f t="shared" ca="1" si="25"/>
        <v>141</v>
      </c>
      <c r="K318" s="220" t="s">
        <v>1214</v>
      </c>
      <c r="L318" s="218"/>
    </row>
    <row r="319" spans="2:12">
      <c r="B319" s="212" t="s">
        <v>1193</v>
      </c>
      <c r="C319" s="223" t="s">
        <v>1215</v>
      </c>
      <c r="D319" s="266" t="s">
        <v>1216</v>
      </c>
      <c r="E319" s="214"/>
      <c r="F319" s="215">
        <v>44431</v>
      </c>
      <c r="G319" s="216">
        <v>730</v>
      </c>
      <c r="H319" s="217">
        <f t="shared" si="24"/>
        <v>45161</v>
      </c>
      <c r="I319" s="218" t="str">
        <f t="shared" ca="1" si="29"/>
        <v>Vencido hace 171 dias</v>
      </c>
      <c r="J319" s="219">
        <f t="shared" ca="1" si="25"/>
        <v>-171</v>
      </c>
      <c r="K319" s="220" t="s">
        <v>474</v>
      </c>
      <c r="L319" s="218"/>
    </row>
    <row r="320" spans="2:12">
      <c r="B320" s="212" t="s">
        <v>1193</v>
      </c>
      <c r="C320" s="223" t="s">
        <v>1217</v>
      </c>
      <c r="D320" s="266" t="s">
        <v>1218</v>
      </c>
      <c r="E320" s="214"/>
      <c r="F320" s="215">
        <v>44750</v>
      </c>
      <c r="G320" s="216">
        <v>730</v>
      </c>
      <c r="H320" s="217">
        <f t="shared" si="24"/>
        <v>45480</v>
      </c>
      <c r="I320" s="218" t="str">
        <f t="shared" ca="1" si="29"/>
        <v>Faltan 14845480</v>
      </c>
      <c r="J320" s="219">
        <f t="shared" ca="1" si="25"/>
        <v>148</v>
      </c>
      <c r="K320" s="220" t="s">
        <v>1219</v>
      </c>
      <c r="L320" s="218"/>
    </row>
    <row r="321" spans="2:12">
      <c r="B321" s="212" t="s">
        <v>1193</v>
      </c>
      <c r="C321" s="223" t="s">
        <v>1220</v>
      </c>
      <c r="D321" s="266" t="s">
        <v>1221</v>
      </c>
      <c r="E321" s="214"/>
      <c r="F321" s="215">
        <v>44741</v>
      </c>
      <c r="G321" s="216">
        <v>730</v>
      </c>
      <c r="H321" s="217">
        <f t="shared" si="24"/>
        <v>45471</v>
      </c>
      <c r="I321" s="218" t="str">
        <f t="shared" ca="1" si="29"/>
        <v>Faltan 13945471</v>
      </c>
      <c r="J321" s="219">
        <f t="shared" ca="1" si="25"/>
        <v>139</v>
      </c>
      <c r="K321" s="220" t="s">
        <v>1222</v>
      </c>
      <c r="L321" s="218"/>
    </row>
    <row r="322" spans="2:12">
      <c r="B322" s="212" t="s">
        <v>1193</v>
      </c>
      <c r="C322" s="223" t="s">
        <v>1223</v>
      </c>
      <c r="D322" s="266" t="s">
        <v>1224</v>
      </c>
      <c r="E322" s="216"/>
      <c r="F322" s="217">
        <v>44224</v>
      </c>
      <c r="G322" s="216">
        <v>730</v>
      </c>
      <c r="H322" s="217">
        <f t="shared" si="24"/>
        <v>44954</v>
      </c>
      <c r="I322" s="218" t="str">
        <f t="shared" ca="1" si="29"/>
        <v>Vencido hace 378 dias</v>
      </c>
      <c r="J322" s="219">
        <f t="shared" ca="1" si="25"/>
        <v>-378</v>
      </c>
      <c r="K322" s="220" t="s">
        <v>474</v>
      </c>
      <c r="L322" s="218"/>
    </row>
    <row r="323" spans="2:12">
      <c r="B323" s="212" t="s">
        <v>1193</v>
      </c>
      <c r="C323" s="223" t="s">
        <v>1225</v>
      </c>
      <c r="D323" s="266" t="s">
        <v>1226</v>
      </c>
      <c r="E323" s="217">
        <v>44874</v>
      </c>
      <c r="F323" s="217">
        <v>44874</v>
      </c>
      <c r="G323" s="216">
        <v>730</v>
      </c>
      <c r="H323" s="217">
        <f t="shared" si="24"/>
        <v>45604</v>
      </c>
      <c r="I323" s="218" t="str">
        <f t="shared" ca="1" si="29"/>
        <v>Faltan 27245604</v>
      </c>
      <c r="J323" s="219">
        <f t="shared" ca="1" si="25"/>
        <v>272</v>
      </c>
      <c r="K323" s="220" t="s">
        <v>1227</v>
      </c>
      <c r="L323" s="218"/>
    </row>
    <row r="324" spans="2:12">
      <c r="B324" s="212" t="s">
        <v>1193</v>
      </c>
      <c r="C324" s="223" t="s">
        <v>1228</v>
      </c>
      <c r="D324" s="266" t="s">
        <v>1229</v>
      </c>
      <c r="E324" s="216"/>
      <c r="F324" s="217">
        <v>44546</v>
      </c>
      <c r="G324" s="216">
        <v>730</v>
      </c>
      <c r="H324" s="217">
        <f t="shared" ref="H324:H325" si="30">F324+G324</f>
        <v>45276</v>
      </c>
      <c r="I324" s="218" t="str">
        <f t="shared" ca="1" si="29"/>
        <v>Vencido hace 56 dias</v>
      </c>
      <c r="J324" s="219">
        <f t="shared" ca="1" si="25"/>
        <v>-56</v>
      </c>
      <c r="K324" s="220" t="s">
        <v>1230</v>
      </c>
      <c r="L324" s="218"/>
    </row>
    <row r="325" spans="2:12">
      <c r="B325" s="231" t="s">
        <v>1193</v>
      </c>
      <c r="C325" s="232" t="s">
        <v>1231</v>
      </c>
      <c r="D325" s="269" t="s">
        <v>1232</v>
      </c>
      <c r="E325" s="233"/>
      <c r="F325" s="234">
        <v>44463</v>
      </c>
      <c r="G325" s="216">
        <v>730</v>
      </c>
      <c r="H325" s="217">
        <f t="shared" si="30"/>
        <v>45193</v>
      </c>
      <c r="I325" s="218" t="str">
        <f ca="1">IF(H325="","VACIO",IF(J325&lt;0,"Vencido hace "&amp;J325*-1&amp;" dias",IF(J325=0,"Vencido Hoy",IF(J325&lt;8,"Tiene "&amp; J325 &amp;" dias","Faltan "&amp;J325*1&amp;H325))))</f>
        <v>Vencido hace 139 dias</v>
      </c>
      <c r="J325" s="219">
        <f t="shared" ca="1" si="25"/>
        <v>-139</v>
      </c>
      <c r="K325" s="235"/>
      <c r="L325" s="218"/>
    </row>
    <row r="326" spans="2:12">
      <c r="B326" s="231"/>
      <c r="C326" s="232"/>
      <c r="D326" s="269"/>
      <c r="E326" s="233"/>
      <c r="F326" s="234"/>
      <c r="G326" s="216"/>
      <c r="H326" s="217"/>
      <c r="I326" s="236"/>
      <c r="J326" s="219"/>
      <c r="K326" s="235"/>
      <c r="L326" s="218"/>
    </row>
    <row r="327" spans="2:12">
      <c r="B327" s="231"/>
      <c r="C327" s="232"/>
      <c r="D327" s="269"/>
      <c r="E327" s="216"/>
      <c r="F327" s="217"/>
      <c r="G327" s="216"/>
      <c r="H327" s="217"/>
      <c r="I327" s="236"/>
      <c r="J327" s="219"/>
      <c r="K327" s="220"/>
      <c r="L327" s="218"/>
    </row>
    <row r="328" spans="2:12">
      <c r="B328" s="231"/>
      <c r="C328" s="232"/>
      <c r="D328" s="269"/>
      <c r="E328" s="233"/>
      <c r="F328" s="233"/>
      <c r="G328" s="216"/>
      <c r="H328" s="217"/>
      <c r="I328" s="236"/>
      <c r="J328" s="219"/>
      <c r="K328" s="235"/>
      <c r="L328" s="218"/>
    </row>
  </sheetData>
  <conditionalFormatting sqref="J4:J328">
    <cfRule type="containsText" dxfId="16453" priority="26" operator="containsText" text="VENCIDO">
      <formula>NOT(ISERROR(SEARCH("VENCIDO",J4)))</formula>
    </cfRule>
  </conditionalFormatting>
  <conditionalFormatting sqref="G4:G328">
    <cfRule type="containsText" dxfId="16452" priority="25" stopIfTrue="1" operator="containsText" text="VENCIDO">
      <formula>NOT(ISERROR(SEARCH("VENCIDO",G4)))</formula>
    </cfRule>
  </conditionalFormatting>
  <conditionalFormatting sqref="I4:I328">
    <cfRule type="expression" dxfId="16451" priority="24" stopIfTrue="1">
      <formula>I4&lt;0</formula>
    </cfRule>
  </conditionalFormatting>
  <conditionalFormatting sqref="I4:I328">
    <cfRule type="expression" dxfId="16450" priority="29">
      <formula>$J4&gt;=8</formula>
    </cfRule>
    <cfRule type="expression" dxfId="16449" priority="30">
      <formula>AND($J4&gt;0,$J4&lt;90)</formula>
    </cfRule>
    <cfRule type="expression" dxfId="16448" priority="31">
      <formula>$J4=0</formula>
    </cfRule>
    <cfRule type="expression" dxfId="16447" priority="32">
      <formula>$J4&lt;0</formula>
    </cfRule>
    <cfRule type="expression" dxfId="16446" priority="33" stopIfTrue="1">
      <formula>$I4=0</formula>
    </cfRule>
    <cfRule type="expression" dxfId="16445" priority="34" stopIfTrue="1">
      <formula>$I4&lt;0</formula>
    </cfRule>
    <cfRule type="expression" dxfId="16444" priority="35" stopIfTrue="1">
      <formula>$I$4&lt;0</formula>
    </cfRule>
  </conditionalFormatting>
  <conditionalFormatting sqref="K4:K7 K9:K19">
    <cfRule type="containsText" dxfId="16443" priority="14" operator="containsText" text="VENCIDO">
      <formula>NOT(ISERROR(SEARCH("VENCIDO",K4)))</formula>
    </cfRule>
  </conditionalFormatting>
  <conditionalFormatting sqref="J325">
    <cfRule type="containsText" dxfId="16442" priority="13" operator="containsText" text="VENCIDO">
      <formula>NOT(ISERROR(SEARCH("VENCIDO",J325)))</formula>
    </cfRule>
  </conditionalFormatting>
  <conditionalFormatting sqref="I324">
    <cfRule type="expression" dxfId="16441" priority="4" stopIfTrue="1">
      <formula>I324&lt;0</formula>
    </cfRule>
  </conditionalFormatting>
  <conditionalFormatting sqref="J324">
    <cfRule type="containsText" dxfId="16440" priority="2" operator="containsText" text="VENCIDO">
      <formula>NOT(ISERROR(SEARCH("VENCIDO",J324)))</formula>
    </cfRule>
  </conditionalFormatting>
  <conditionalFormatting sqref="A1:XFD1048576">
    <cfRule type="expression" dxfId="16439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XFD790"/>
  <sheetViews>
    <sheetView tabSelected="1" topLeftCell="A361" workbookViewId="0">
      <selection activeCell="D374" sqref="D374"/>
    </sheetView>
  </sheetViews>
  <sheetFormatPr baseColWidth="10" defaultColWidth="11.5546875" defaultRowHeight="14.4"/>
  <cols>
    <col min="1" max="1" width="13.5546875" style="279" bestFit="1" customWidth="1"/>
    <col min="2" max="2" width="28.5546875" style="280" bestFit="1" customWidth="1"/>
    <col min="3" max="3" width="46.44140625" style="279" bestFit="1" customWidth="1"/>
    <col min="4" max="4" width="30.109375" style="279" bestFit="1" customWidth="1"/>
    <col min="5" max="5" width="134.88671875" style="279" bestFit="1" customWidth="1"/>
    <col min="6" max="6" width="17.88671875" style="279" bestFit="1" customWidth="1"/>
    <col min="7" max="16384" width="11.5546875" style="279"/>
  </cols>
  <sheetData>
    <row r="1" spans="1:16384" s="286" customFormat="1">
      <c r="A1" s="277" t="s">
        <v>2</v>
      </c>
      <c r="B1" s="278" t="s">
        <v>2439</v>
      </c>
      <c r="C1" s="277" t="s">
        <v>2440</v>
      </c>
      <c r="D1" s="277" t="s">
        <v>2441</v>
      </c>
      <c r="E1" s="277" t="s">
        <v>1837</v>
      </c>
      <c r="F1" s="277" t="s">
        <v>2479</v>
      </c>
      <c r="G1" s="286" t="s">
        <v>379</v>
      </c>
      <c r="H1" s="286" t="s">
        <v>2519</v>
      </c>
      <c r="I1" s="286" t="s">
        <v>2520</v>
      </c>
      <c r="J1" s="286" t="s">
        <v>2521</v>
      </c>
      <c r="K1" s="286" t="s">
        <v>2522</v>
      </c>
      <c r="L1" s="286" t="s">
        <v>2523</v>
      </c>
      <c r="M1" s="286" t="s">
        <v>2524</v>
      </c>
      <c r="N1" s="286" t="s">
        <v>2525</v>
      </c>
      <c r="O1" s="286" t="s">
        <v>2526</v>
      </c>
      <c r="P1" s="286" t="s">
        <v>2527</v>
      </c>
      <c r="Q1" s="286" t="s">
        <v>2528</v>
      </c>
      <c r="R1" s="286" t="s">
        <v>2529</v>
      </c>
      <c r="S1" s="286" t="s">
        <v>2530</v>
      </c>
      <c r="T1" s="286" t="s">
        <v>2531</v>
      </c>
      <c r="U1" s="286" t="s">
        <v>2532</v>
      </c>
      <c r="V1" s="286" t="s">
        <v>2533</v>
      </c>
      <c r="W1" s="286" t="s">
        <v>2534</v>
      </c>
      <c r="X1" s="286" t="s">
        <v>2535</v>
      </c>
      <c r="Y1" s="286" t="s">
        <v>2536</v>
      </c>
      <c r="Z1" s="286" t="s">
        <v>2537</v>
      </c>
      <c r="AA1" s="286" t="s">
        <v>2538</v>
      </c>
      <c r="AB1" s="286" t="s">
        <v>2539</v>
      </c>
      <c r="AC1" s="286" t="s">
        <v>2540</v>
      </c>
      <c r="AD1" s="286" t="s">
        <v>2541</v>
      </c>
      <c r="AE1" s="286" t="s">
        <v>2542</v>
      </c>
      <c r="AF1" s="286" t="s">
        <v>2543</v>
      </c>
      <c r="AG1" s="286" t="s">
        <v>2544</v>
      </c>
      <c r="AH1" s="286" t="s">
        <v>2545</v>
      </c>
      <c r="AI1" s="286" t="s">
        <v>2546</v>
      </c>
      <c r="AJ1" s="286" t="s">
        <v>2547</v>
      </c>
      <c r="AK1" s="286" t="s">
        <v>2548</v>
      </c>
      <c r="AL1" s="286" t="s">
        <v>2549</v>
      </c>
      <c r="AM1" s="286" t="s">
        <v>2550</v>
      </c>
      <c r="AN1" s="286" t="s">
        <v>2551</v>
      </c>
      <c r="AO1" s="286" t="s">
        <v>2552</v>
      </c>
      <c r="AP1" s="286" t="s">
        <v>2553</v>
      </c>
      <c r="AQ1" s="286" t="s">
        <v>2554</v>
      </c>
      <c r="AR1" s="286" t="s">
        <v>2555</v>
      </c>
      <c r="AS1" s="286" t="s">
        <v>2556</v>
      </c>
      <c r="AT1" s="286" t="s">
        <v>2557</v>
      </c>
      <c r="AU1" s="286" t="s">
        <v>2558</v>
      </c>
      <c r="AV1" s="286" t="s">
        <v>2559</v>
      </c>
      <c r="AW1" s="286" t="s">
        <v>2560</v>
      </c>
      <c r="AX1" s="286" t="s">
        <v>2561</v>
      </c>
      <c r="AY1" s="286" t="s">
        <v>2562</v>
      </c>
      <c r="AZ1" s="286" t="s">
        <v>2563</v>
      </c>
      <c r="BA1" s="286" t="s">
        <v>2564</v>
      </c>
      <c r="BB1" s="286" t="s">
        <v>2565</v>
      </c>
      <c r="BC1" s="286" t="s">
        <v>2566</v>
      </c>
      <c r="BD1" s="286" t="s">
        <v>2567</v>
      </c>
      <c r="BE1" s="286" t="s">
        <v>2568</v>
      </c>
      <c r="BF1" s="286" t="s">
        <v>2569</v>
      </c>
      <c r="BG1" s="286" t="s">
        <v>2570</v>
      </c>
      <c r="BH1" s="286" t="s">
        <v>2571</v>
      </c>
      <c r="BI1" s="286" t="s">
        <v>2572</v>
      </c>
      <c r="BJ1" s="286" t="s">
        <v>2573</v>
      </c>
      <c r="BK1" s="286" t="s">
        <v>2574</v>
      </c>
      <c r="BL1" s="286" t="s">
        <v>2575</v>
      </c>
      <c r="BM1" s="286" t="s">
        <v>2576</v>
      </c>
      <c r="BN1" s="286" t="s">
        <v>2577</v>
      </c>
      <c r="BO1" s="286" t="s">
        <v>2578</v>
      </c>
      <c r="BP1" s="286" t="s">
        <v>2579</v>
      </c>
      <c r="BQ1" s="286" t="s">
        <v>2580</v>
      </c>
      <c r="BR1" s="286" t="s">
        <v>2581</v>
      </c>
      <c r="BS1" s="286" t="s">
        <v>2582</v>
      </c>
      <c r="BT1" s="286" t="s">
        <v>2583</v>
      </c>
      <c r="BU1" s="286" t="s">
        <v>2584</v>
      </c>
      <c r="BV1" s="286" t="s">
        <v>2585</v>
      </c>
      <c r="BW1" s="286" t="s">
        <v>2586</v>
      </c>
      <c r="BX1" s="286" t="s">
        <v>2587</v>
      </c>
      <c r="BY1" s="286" t="s">
        <v>2588</v>
      </c>
      <c r="BZ1" s="286" t="s">
        <v>2589</v>
      </c>
      <c r="CA1" s="286" t="s">
        <v>2590</v>
      </c>
      <c r="CB1" s="286" t="s">
        <v>2591</v>
      </c>
      <c r="CC1" s="286" t="s">
        <v>2592</v>
      </c>
      <c r="CD1" s="286" t="s">
        <v>2593</v>
      </c>
      <c r="CE1" s="286" t="s">
        <v>2594</v>
      </c>
      <c r="CF1" s="286" t="s">
        <v>2595</v>
      </c>
      <c r="CG1" s="286" t="s">
        <v>2596</v>
      </c>
      <c r="CH1" s="286" t="s">
        <v>2597</v>
      </c>
      <c r="CI1" s="286" t="s">
        <v>2598</v>
      </c>
      <c r="CJ1" s="286" t="s">
        <v>2599</v>
      </c>
      <c r="CK1" s="286" t="s">
        <v>2600</v>
      </c>
      <c r="CL1" s="286" t="s">
        <v>2601</v>
      </c>
      <c r="CM1" s="286" t="s">
        <v>2602</v>
      </c>
      <c r="CN1" s="286" t="s">
        <v>2603</v>
      </c>
      <c r="CO1" s="286" t="s">
        <v>2604</v>
      </c>
      <c r="CP1" s="286" t="s">
        <v>2605</v>
      </c>
      <c r="CQ1" s="286" t="s">
        <v>2606</v>
      </c>
      <c r="CR1" s="286" t="s">
        <v>2607</v>
      </c>
      <c r="CS1" s="286" t="s">
        <v>2608</v>
      </c>
      <c r="CT1" s="286" t="s">
        <v>2609</v>
      </c>
      <c r="CU1" s="286" t="s">
        <v>2610</v>
      </c>
      <c r="CV1" s="286" t="s">
        <v>2611</v>
      </c>
      <c r="CW1" s="286" t="s">
        <v>2612</v>
      </c>
      <c r="CX1" s="286" t="s">
        <v>2613</v>
      </c>
      <c r="CY1" s="286" t="s">
        <v>2614</v>
      </c>
      <c r="CZ1" s="286" t="s">
        <v>2615</v>
      </c>
      <c r="DA1" s="286" t="s">
        <v>2616</v>
      </c>
      <c r="DB1" s="286" t="s">
        <v>2617</v>
      </c>
      <c r="DC1" s="286" t="s">
        <v>2618</v>
      </c>
      <c r="DD1" s="286" t="s">
        <v>2619</v>
      </c>
      <c r="DE1" s="286" t="s">
        <v>2620</v>
      </c>
      <c r="DF1" s="286" t="s">
        <v>2621</v>
      </c>
      <c r="DG1" s="286" t="s">
        <v>2622</v>
      </c>
      <c r="DH1" s="286" t="s">
        <v>2623</v>
      </c>
      <c r="DI1" s="286" t="s">
        <v>2624</v>
      </c>
      <c r="DJ1" s="286" t="s">
        <v>2625</v>
      </c>
      <c r="DK1" s="286" t="s">
        <v>2626</v>
      </c>
      <c r="DL1" s="286" t="s">
        <v>2627</v>
      </c>
      <c r="DM1" s="286" t="s">
        <v>2628</v>
      </c>
      <c r="DN1" s="286" t="s">
        <v>2629</v>
      </c>
      <c r="DO1" s="286" t="s">
        <v>2630</v>
      </c>
      <c r="DP1" s="286" t="s">
        <v>2631</v>
      </c>
      <c r="DQ1" s="286" t="s">
        <v>2632</v>
      </c>
      <c r="DR1" s="286" t="s">
        <v>2633</v>
      </c>
      <c r="DS1" s="286" t="s">
        <v>2634</v>
      </c>
      <c r="DT1" s="286" t="s">
        <v>2635</v>
      </c>
      <c r="DU1" s="286" t="s">
        <v>2636</v>
      </c>
      <c r="DV1" s="286" t="s">
        <v>2637</v>
      </c>
      <c r="DW1" s="286" t="s">
        <v>2638</v>
      </c>
      <c r="DX1" s="286" t="s">
        <v>2639</v>
      </c>
      <c r="DY1" s="286" t="s">
        <v>2640</v>
      </c>
      <c r="DZ1" s="286" t="s">
        <v>2641</v>
      </c>
      <c r="EA1" s="286" t="s">
        <v>2642</v>
      </c>
      <c r="EB1" s="286" t="s">
        <v>2643</v>
      </c>
      <c r="EC1" s="286" t="s">
        <v>2644</v>
      </c>
      <c r="ED1" s="286" t="s">
        <v>2645</v>
      </c>
      <c r="EE1" s="286" t="s">
        <v>2646</v>
      </c>
      <c r="EF1" s="286" t="s">
        <v>2647</v>
      </c>
      <c r="EG1" s="286" t="s">
        <v>2648</v>
      </c>
      <c r="EH1" s="286" t="s">
        <v>2649</v>
      </c>
      <c r="EI1" s="286" t="s">
        <v>2650</v>
      </c>
      <c r="EJ1" s="286" t="s">
        <v>2651</v>
      </c>
      <c r="EK1" s="286" t="s">
        <v>2652</v>
      </c>
      <c r="EL1" s="286" t="s">
        <v>2653</v>
      </c>
      <c r="EM1" s="286" t="s">
        <v>2654</v>
      </c>
      <c r="EN1" s="286" t="s">
        <v>2655</v>
      </c>
      <c r="EO1" s="286" t="s">
        <v>2656</v>
      </c>
      <c r="EP1" s="286" t="s">
        <v>2657</v>
      </c>
      <c r="EQ1" s="286" t="s">
        <v>2658</v>
      </c>
      <c r="ER1" s="286" t="s">
        <v>2659</v>
      </c>
      <c r="ES1" s="286" t="s">
        <v>2660</v>
      </c>
      <c r="ET1" s="286" t="s">
        <v>2661</v>
      </c>
      <c r="EU1" s="286" t="s">
        <v>2662</v>
      </c>
      <c r="EV1" s="286" t="s">
        <v>2663</v>
      </c>
      <c r="EW1" s="286" t="s">
        <v>2664</v>
      </c>
      <c r="EX1" s="286" t="s">
        <v>2665</v>
      </c>
      <c r="EY1" s="286" t="s">
        <v>2666</v>
      </c>
      <c r="EZ1" s="286" t="s">
        <v>2667</v>
      </c>
      <c r="FA1" s="286" t="s">
        <v>2668</v>
      </c>
      <c r="FB1" s="286" t="s">
        <v>2669</v>
      </c>
      <c r="FC1" s="286" t="s">
        <v>2670</v>
      </c>
      <c r="FD1" s="286" t="s">
        <v>2671</v>
      </c>
      <c r="FE1" s="286" t="s">
        <v>2672</v>
      </c>
      <c r="FF1" s="286" t="s">
        <v>2673</v>
      </c>
      <c r="FG1" s="286" t="s">
        <v>2674</v>
      </c>
      <c r="FH1" s="286" t="s">
        <v>2675</v>
      </c>
      <c r="FI1" s="286" t="s">
        <v>2676</v>
      </c>
      <c r="FJ1" s="286" t="s">
        <v>2677</v>
      </c>
      <c r="FK1" s="286" t="s">
        <v>2678</v>
      </c>
      <c r="FL1" s="286" t="s">
        <v>2679</v>
      </c>
      <c r="FM1" s="286" t="s">
        <v>2680</v>
      </c>
      <c r="FN1" s="286" t="s">
        <v>2681</v>
      </c>
      <c r="FO1" s="286" t="s">
        <v>2682</v>
      </c>
      <c r="FP1" s="286" t="s">
        <v>2683</v>
      </c>
      <c r="FQ1" s="286" t="s">
        <v>2684</v>
      </c>
      <c r="FR1" s="286" t="s">
        <v>2685</v>
      </c>
      <c r="FS1" s="286" t="s">
        <v>2686</v>
      </c>
      <c r="FT1" s="286" t="s">
        <v>2687</v>
      </c>
      <c r="FU1" s="286" t="s">
        <v>2688</v>
      </c>
      <c r="FV1" s="286" t="s">
        <v>2689</v>
      </c>
      <c r="FW1" s="286" t="s">
        <v>2690</v>
      </c>
      <c r="FX1" s="286" t="s">
        <v>2691</v>
      </c>
      <c r="FY1" s="286" t="s">
        <v>2692</v>
      </c>
      <c r="FZ1" s="286" t="s">
        <v>2693</v>
      </c>
      <c r="GA1" s="286" t="s">
        <v>2694</v>
      </c>
      <c r="GB1" s="286" t="s">
        <v>2695</v>
      </c>
      <c r="GC1" s="286" t="s">
        <v>2696</v>
      </c>
      <c r="GD1" s="286" t="s">
        <v>2697</v>
      </c>
      <c r="GE1" s="286" t="s">
        <v>2698</v>
      </c>
      <c r="GF1" s="286" t="s">
        <v>2699</v>
      </c>
      <c r="GG1" s="286" t="s">
        <v>2700</v>
      </c>
      <c r="GH1" s="286" t="s">
        <v>2701</v>
      </c>
      <c r="GI1" s="286" t="s">
        <v>2702</v>
      </c>
      <c r="GJ1" s="286" t="s">
        <v>2703</v>
      </c>
      <c r="GK1" s="286" t="s">
        <v>2704</v>
      </c>
      <c r="GL1" s="286" t="s">
        <v>2705</v>
      </c>
      <c r="GM1" s="286" t="s">
        <v>2706</v>
      </c>
      <c r="GN1" s="286" t="s">
        <v>2707</v>
      </c>
      <c r="GO1" s="286" t="s">
        <v>2708</v>
      </c>
      <c r="GP1" s="286" t="s">
        <v>2709</v>
      </c>
      <c r="GQ1" s="286" t="s">
        <v>2710</v>
      </c>
      <c r="GR1" s="286" t="s">
        <v>2711</v>
      </c>
      <c r="GS1" s="286" t="s">
        <v>2712</v>
      </c>
      <c r="GT1" s="286" t="s">
        <v>2713</v>
      </c>
      <c r="GU1" s="286" t="s">
        <v>2714</v>
      </c>
      <c r="GV1" s="286" t="s">
        <v>2715</v>
      </c>
      <c r="GW1" s="286" t="s">
        <v>2716</v>
      </c>
      <c r="GX1" s="286" t="s">
        <v>2717</v>
      </c>
      <c r="GY1" s="286" t="s">
        <v>2718</v>
      </c>
      <c r="GZ1" s="286" t="s">
        <v>2719</v>
      </c>
      <c r="HA1" s="286" t="s">
        <v>2720</v>
      </c>
      <c r="HB1" s="286" t="s">
        <v>2721</v>
      </c>
      <c r="HC1" s="286" t="s">
        <v>2722</v>
      </c>
      <c r="HD1" s="286" t="s">
        <v>2723</v>
      </c>
      <c r="HE1" s="286" t="s">
        <v>2724</v>
      </c>
      <c r="HF1" s="286" t="s">
        <v>2725</v>
      </c>
      <c r="HG1" s="286" t="s">
        <v>2726</v>
      </c>
      <c r="HH1" s="286" t="s">
        <v>2727</v>
      </c>
      <c r="HI1" s="286" t="s">
        <v>2728</v>
      </c>
      <c r="HJ1" s="286" t="s">
        <v>2729</v>
      </c>
      <c r="HK1" s="286" t="s">
        <v>2730</v>
      </c>
      <c r="HL1" s="286" t="s">
        <v>2731</v>
      </c>
      <c r="HM1" s="286" t="s">
        <v>2732</v>
      </c>
      <c r="HN1" s="286" t="s">
        <v>2733</v>
      </c>
      <c r="HO1" s="286" t="s">
        <v>2734</v>
      </c>
      <c r="HP1" s="286" t="s">
        <v>2735</v>
      </c>
      <c r="HQ1" s="286" t="s">
        <v>2736</v>
      </c>
      <c r="HR1" s="286" t="s">
        <v>2737</v>
      </c>
      <c r="HS1" s="286" t="s">
        <v>2738</v>
      </c>
      <c r="HT1" s="286" t="s">
        <v>2739</v>
      </c>
      <c r="HU1" s="286" t="s">
        <v>2740</v>
      </c>
      <c r="HV1" s="286" t="s">
        <v>2741</v>
      </c>
      <c r="HW1" s="286" t="s">
        <v>2742</v>
      </c>
      <c r="HX1" s="286" t="s">
        <v>2743</v>
      </c>
      <c r="HY1" s="286" t="s">
        <v>2744</v>
      </c>
      <c r="HZ1" s="286" t="s">
        <v>2745</v>
      </c>
      <c r="IA1" s="286" t="s">
        <v>2746</v>
      </c>
      <c r="IB1" s="286" t="s">
        <v>2747</v>
      </c>
      <c r="IC1" s="286" t="s">
        <v>2748</v>
      </c>
      <c r="ID1" s="286" t="s">
        <v>2749</v>
      </c>
      <c r="IE1" s="286" t="s">
        <v>2750</v>
      </c>
      <c r="IF1" s="286" t="s">
        <v>2751</v>
      </c>
      <c r="IG1" s="286" t="s">
        <v>2752</v>
      </c>
      <c r="IH1" s="286" t="s">
        <v>2753</v>
      </c>
      <c r="II1" s="286" t="s">
        <v>2754</v>
      </c>
      <c r="IJ1" s="286" t="s">
        <v>2755</v>
      </c>
      <c r="IK1" s="286" t="s">
        <v>2756</v>
      </c>
      <c r="IL1" s="286" t="s">
        <v>2757</v>
      </c>
      <c r="IM1" s="286" t="s">
        <v>2758</v>
      </c>
      <c r="IN1" s="286" t="s">
        <v>2759</v>
      </c>
      <c r="IO1" s="286" t="s">
        <v>2760</v>
      </c>
      <c r="IP1" s="286" t="s">
        <v>2761</v>
      </c>
      <c r="IQ1" s="286" t="s">
        <v>2762</v>
      </c>
      <c r="IR1" s="286" t="s">
        <v>2763</v>
      </c>
      <c r="IS1" s="286" t="s">
        <v>2764</v>
      </c>
      <c r="IT1" s="286" t="s">
        <v>2765</v>
      </c>
      <c r="IU1" s="286" t="s">
        <v>2766</v>
      </c>
      <c r="IV1" s="286" t="s">
        <v>2767</v>
      </c>
      <c r="IW1" s="286" t="s">
        <v>2768</v>
      </c>
      <c r="IX1" s="286" t="s">
        <v>2769</v>
      </c>
      <c r="IY1" s="286" t="s">
        <v>2770</v>
      </c>
      <c r="IZ1" s="286" t="s">
        <v>2771</v>
      </c>
      <c r="JA1" s="286" t="s">
        <v>2772</v>
      </c>
      <c r="JB1" s="286" t="s">
        <v>2773</v>
      </c>
      <c r="JC1" s="286" t="s">
        <v>2774</v>
      </c>
      <c r="JD1" s="286" t="s">
        <v>2775</v>
      </c>
      <c r="JE1" s="286" t="s">
        <v>2776</v>
      </c>
      <c r="JF1" s="286" t="s">
        <v>2777</v>
      </c>
      <c r="JG1" s="286" t="s">
        <v>2778</v>
      </c>
      <c r="JH1" s="286" t="s">
        <v>2779</v>
      </c>
      <c r="JI1" s="286" t="s">
        <v>2780</v>
      </c>
      <c r="JJ1" s="286" t="s">
        <v>2781</v>
      </c>
      <c r="JK1" s="286" t="s">
        <v>2782</v>
      </c>
      <c r="JL1" s="286" t="s">
        <v>2783</v>
      </c>
      <c r="JM1" s="286" t="s">
        <v>2784</v>
      </c>
      <c r="JN1" s="286" t="s">
        <v>2785</v>
      </c>
      <c r="JO1" s="286" t="s">
        <v>2786</v>
      </c>
      <c r="JP1" s="286" t="s">
        <v>2787</v>
      </c>
      <c r="JQ1" s="286" t="s">
        <v>2788</v>
      </c>
      <c r="JR1" s="286" t="s">
        <v>2789</v>
      </c>
      <c r="JS1" s="286" t="s">
        <v>2790</v>
      </c>
      <c r="JT1" s="286" t="s">
        <v>2791</v>
      </c>
      <c r="JU1" s="286" t="s">
        <v>2792</v>
      </c>
      <c r="JV1" s="286" t="s">
        <v>2793</v>
      </c>
      <c r="JW1" s="286" t="s">
        <v>2794</v>
      </c>
      <c r="JX1" s="286" t="s">
        <v>2795</v>
      </c>
      <c r="JY1" s="286" t="s">
        <v>2796</v>
      </c>
      <c r="JZ1" s="286" t="s">
        <v>2797</v>
      </c>
      <c r="KA1" s="286" t="s">
        <v>2798</v>
      </c>
      <c r="KB1" s="286" t="s">
        <v>2799</v>
      </c>
      <c r="KC1" s="286" t="s">
        <v>2800</v>
      </c>
      <c r="KD1" s="286" t="s">
        <v>2801</v>
      </c>
      <c r="KE1" s="286" t="s">
        <v>2802</v>
      </c>
      <c r="KF1" s="286" t="s">
        <v>2803</v>
      </c>
      <c r="KG1" s="286" t="s">
        <v>2804</v>
      </c>
      <c r="KH1" s="286" t="s">
        <v>2805</v>
      </c>
      <c r="KI1" s="286" t="s">
        <v>2806</v>
      </c>
      <c r="KJ1" s="286" t="s">
        <v>2807</v>
      </c>
      <c r="KK1" s="286" t="s">
        <v>2808</v>
      </c>
      <c r="KL1" s="286" t="s">
        <v>2809</v>
      </c>
      <c r="KM1" s="286" t="s">
        <v>2810</v>
      </c>
      <c r="KN1" s="286" t="s">
        <v>2811</v>
      </c>
      <c r="KO1" s="286" t="s">
        <v>2812</v>
      </c>
      <c r="KP1" s="286" t="s">
        <v>2813</v>
      </c>
      <c r="KQ1" s="286" t="s">
        <v>2814</v>
      </c>
      <c r="KR1" s="286" t="s">
        <v>2815</v>
      </c>
      <c r="KS1" s="286" t="s">
        <v>2816</v>
      </c>
      <c r="KT1" s="286" t="s">
        <v>2817</v>
      </c>
      <c r="KU1" s="286" t="s">
        <v>2818</v>
      </c>
      <c r="KV1" s="286" t="s">
        <v>2819</v>
      </c>
      <c r="KW1" s="286" t="s">
        <v>2820</v>
      </c>
      <c r="KX1" s="286" t="s">
        <v>2821</v>
      </c>
      <c r="KY1" s="286" t="s">
        <v>2822</v>
      </c>
      <c r="KZ1" s="286" t="s">
        <v>2823</v>
      </c>
      <c r="LA1" s="286" t="s">
        <v>2824</v>
      </c>
      <c r="LB1" s="286" t="s">
        <v>2825</v>
      </c>
      <c r="LC1" s="286" t="s">
        <v>2826</v>
      </c>
      <c r="LD1" s="286" t="s">
        <v>2827</v>
      </c>
      <c r="LE1" s="286" t="s">
        <v>2828</v>
      </c>
      <c r="LF1" s="286" t="s">
        <v>2829</v>
      </c>
      <c r="LG1" s="286" t="s">
        <v>2830</v>
      </c>
      <c r="LH1" s="286" t="s">
        <v>2831</v>
      </c>
      <c r="LI1" s="286" t="s">
        <v>2832</v>
      </c>
      <c r="LJ1" s="286" t="s">
        <v>2833</v>
      </c>
      <c r="LK1" s="286" t="s">
        <v>2834</v>
      </c>
      <c r="LL1" s="286" t="s">
        <v>2835</v>
      </c>
      <c r="LM1" s="286" t="s">
        <v>2836</v>
      </c>
      <c r="LN1" s="286" t="s">
        <v>2837</v>
      </c>
      <c r="LO1" s="286" t="s">
        <v>2838</v>
      </c>
      <c r="LP1" s="286" t="s">
        <v>2839</v>
      </c>
      <c r="LQ1" s="286" t="s">
        <v>2840</v>
      </c>
      <c r="LR1" s="286" t="s">
        <v>2841</v>
      </c>
      <c r="LS1" s="286" t="s">
        <v>2842</v>
      </c>
      <c r="LT1" s="286" t="s">
        <v>2843</v>
      </c>
      <c r="LU1" s="286" t="s">
        <v>2844</v>
      </c>
      <c r="LV1" s="286" t="s">
        <v>2845</v>
      </c>
      <c r="LW1" s="286" t="s">
        <v>2846</v>
      </c>
      <c r="LX1" s="286" t="s">
        <v>2847</v>
      </c>
      <c r="LY1" s="286" t="s">
        <v>2848</v>
      </c>
      <c r="LZ1" s="286" t="s">
        <v>2849</v>
      </c>
      <c r="MA1" s="286" t="s">
        <v>2850</v>
      </c>
      <c r="MB1" s="286" t="s">
        <v>2851</v>
      </c>
      <c r="MC1" s="286" t="s">
        <v>2852</v>
      </c>
      <c r="MD1" s="286" t="s">
        <v>2853</v>
      </c>
      <c r="ME1" s="286" t="s">
        <v>2854</v>
      </c>
      <c r="MF1" s="286" t="s">
        <v>2855</v>
      </c>
      <c r="MG1" s="286" t="s">
        <v>2856</v>
      </c>
      <c r="MH1" s="286" t="s">
        <v>2857</v>
      </c>
      <c r="MI1" s="286" t="s">
        <v>2858</v>
      </c>
      <c r="MJ1" s="286" t="s">
        <v>2859</v>
      </c>
      <c r="MK1" s="286" t="s">
        <v>2860</v>
      </c>
      <c r="ML1" s="286" t="s">
        <v>2861</v>
      </c>
      <c r="MM1" s="286" t="s">
        <v>2862</v>
      </c>
      <c r="MN1" s="286" t="s">
        <v>2863</v>
      </c>
      <c r="MO1" s="286" t="s">
        <v>2864</v>
      </c>
      <c r="MP1" s="286" t="s">
        <v>2865</v>
      </c>
      <c r="MQ1" s="286" t="s">
        <v>2866</v>
      </c>
      <c r="MR1" s="286" t="s">
        <v>2867</v>
      </c>
      <c r="MS1" s="286" t="s">
        <v>2868</v>
      </c>
      <c r="MT1" s="286" t="s">
        <v>2869</v>
      </c>
      <c r="MU1" s="286" t="s">
        <v>2870</v>
      </c>
      <c r="MV1" s="286" t="s">
        <v>2871</v>
      </c>
      <c r="MW1" s="286" t="s">
        <v>2872</v>
      </c>
      <c r="MX1" s="286" t="s">
        <v>2873</v>
      </c>
      <c r="MY1" s="286" t="s">
        <v>2874</v>
      </c>
      <c r="MZ1" s="286" t="s">
        <v>2875</v>
      </c>
      <c r="NA1" s="286" t="s">
        <v>2876</v>
      </c>
      <c r="NB1" s="286" t="s">
        <v>2877</v>
      </c>
      <c r="NC1" s="286" t="s">
        <v>2878</v>
      </c>
      <c r="ND1" s="286" t="s">
        <v>2879</v>
      </c>
      <c r="NE1" s="286" t="s">
        <v>2880</v>
      </c>
      <c r="NF1" s="286" t="s">
        <v>2881</v>
      </c>
      <c r="NG1" s="286" t="s">
        <v>2882</v>
      </c>
      <c r="NH1" s="286" t="s">
        <v>2883</v>
      </c>
      <c r="NI1" s="286" t="s">
        <v>2884</v>
      </c>
      <c r="NJ1" s="286" t="s">
        <v>2885</v>
      </c>
      <c r="NK1" s="286" t="s">
        <v>2886</v>
      </c>
      <c r="NL1" s="286" t="s">
        <v>2887</v>
      </c>
      <c r="NM1" s="286" t="s">
        <v>2888</v>
      </c>
      <c r="NN1" s="286" t="s">
        <v>2889</v>
      </c>
      <c r="NO1" s="286" t="s">
        <v>2890</v>
      </c>
      <c r="NP1" s="286" t="s">
        <v>2891</v>
      </c>
      <c r="NQ1" s="286" t="s">
        <v>2892</v>
      </c>
      <c r="NR1" s="286" t="s">
        <v>2893</v>
      </c>
      <c r="NS1" s="286" t="s">
        <v>2894</v>
      </c>
      <c r="NT1" s="286" t="s">
        <v>2895</v>
      </c>
      <c r="NU1" s="286" t="s">
        <v>2896</v>
      </c>
      <c r="NV1" s="286" t="s">
        <v>2897</v>
      </c>
      <c r="NW1" s="286" t="s">
        <v>2898</v>
      </c>
      <c r="NX1" s="286" t="s">
        <v>2899</v>
      </c>
      <c r="NY1" s="286" t="s">
        <v>2900</v>
      </c>
      <c r="NZ1" s="286" t="s">
        <v>2901</v>
      </c>
      <c r="OA1" s="286" t="s">
        <v>2902</v>
      </c>
      <c r="OB1" s="286" t="s">
        <v>2903</v>
      </c>
      <c r="OC1" s="286" t="s">
        <v>2904</v>
      </c>
      <c r="OD1" s="286" t="s">
        <v>2905</v>
      </c>
      <c r="OE1" s="286" t="s">
        <v>2906</v>
      </c>
      <c r="OF1" s="286" t="s">
        <v>2907</v>
      </c>
      <c r="OG1" s="286" t="s">
        <v>2908</v>
      </c>
      <c r="OH1" s="286" t="s">
        <v>2909</v>
      </c>
      <c r="OI1" s="286" t="s">
        <v>2910</v>
      </c>
      <c r="OJ1" s="286" t="s">
        <v>2911</v>
      </c>
      <c r="OK1" s="286" t="s">
        <v>2912</v>
      </c>
      <c r="OL1" s="286" t="s">
        <v>2913</v>
      </c>
      <c r="OM1" s="286" t="s">
        <v>2914</v>
      </c>
      <c r="ON1" s="286" t="s">
        <v>2915</v>
      </c>
      <c r="OO1" s="286" t="s">
        <v>2916</v>
      </c>
      <c r="OP1" s="286" t="s">
        <v>2917</v>
      </c>
      <c r="OQ1" s="286" t="s">
        <v>2918</v>
      </c>
      <c r="OR1" s="286" t="s">
        <v>2919</v>
      </c>
      <c r="OS1" s="286" t="s">
        <v>2920</v>
      </c>
      <c r="OT1" s="286" t="s">
        <v>2921</v>
      </c>
      <c r="OU1" s="286" t="s">
        <v>2922</v>
      </c>
      <c r="OV1" s="286" t="s">
        <v>2923</v>
      </c>
      <c r="OW1" s="286" t="s">
        <v>2924</v>
      </c>
      <c r="OX1" s="286" t="s">
        <v>2925</v>
      </c>
      <c r="OY1" s="286" t="s">
        <v>2926</v>
      </c>
      <c r="OZ1" s="286" t="s">
        <v>2927</v>
      </c>
      <c r="PA1" s="286" t="s">
        <v>2928</v>
      </c>
      <c r="PB1" s="286" t="s">
        <v>2929</v>
      </c>
      <c r="PC1" s="286" t="s">
        <v>2930</v>
      </c>
      <c r="PD1" s="286" t="s">
        <v>2931</v>
      </c>
      <c r="PE1" s="286" t="s">
        <v>2932</v>
      </c>
      <c r="PF1" s="286" t="s">
        <v>2933</v>
      </c>
      <c r="PG1" s="286" t="s">
        <v>2934</v>
      </c>
      <c r="PH1" s="286" t="s">
        <v>2935</v>
      </c>
      <c r="PI1" s="286" t="s">
        <v>2936</v>
      </c>
      <c r="PJ1" s="286" t="s">
        <v>2937</v>
      </c>
      <c r="PK1" s="286" t="s">
        <v>2938</v>
      </c>
      <c r="PL1" s="286" t="s">
        <v>2939</v>
      </c>
      <c r="PM1" s="286" t="s">
        <v>2940</v>
      </c>
      <c r="PN1" s="286" t="s">
        <v>2941</v>
      </c>
      <c r="PO1" s="286" t="s">
        <v>2942</v>
      </c>
      <c r="PP1" s="286" t="s">
        <v>2943</v>
      </c>
      <c r="PQ1" s="286" t="s">
        <v>2944</v>
      </c>
      <c r="PR1" s="286" t="s">
        <v>2945</v>
      </c>
      <c r="PS1" s="286" t="s">
        <v>2946</v>
      </c>
      <c r="PT1" s="286" t="s">
        <v>2947</v>
      </c>
      <c r="PU1" s="286" t="s">
        <v>2948</v>
      </c>
      <c r="PV1" s="286" t="s">
        <v>2949</v>
      </c>
      <c r="PW1" s="286" t="s">
        <v>2950</v>
      </c>
      <c r="PX1" s="286" t="s">
        <v>2951</v>
      </c>
      <c r="PY1" s="286" t="s">
        <v>2952</v>
      </c>
      <c r="PZ1" s="286" t="s">
        <v>2953</v>
      </c>
      <c r="QA1" s="286" t="s">
        <v>2954</v>
      </c>
      <c r="QB1" s="286" t="s">
        <v>2955</v>
      </c>
      <c r="QC1" s="286" t="s">
        <v>2956</v>
      </c>
      <c r="QD1" s="286" t="s">
        <v>2957</v>
      </c>
      <c r="QE1" s="286" t="s">
        <v>2958</v>
      </c>
      <c r="QF1" s="286" t="s">
        <v>2959</v>
      </c>
      <c r="QG1" s="286" t="s">
        <v>2960</v>
      </c>
      <c r="QH1" s="286" t="s">
        <v>2961</v>
      </c>
      <c r="QI1" s="286" t="s">
        <v>2962</v>
      </c>
      <c r="QJ1" s="286" t="s">
        <v>2963</v>
      </c>
      <c r="QK1" s="286" t="s">
        <v>2964</v>
      </c>
      <c r="QL1" s="286" t="s">
        <v>2965</v>
      </c>
      <c r="QM1" s="286" t="s">
        <v>2966</v>
      </c>
      <c r="QN1" s="286" t="s">
        <v>2967</v>
      </c>
      <c r="QO1" s="286" t="s">
        <v>2968</v>
      </c>
      <c r="QP1" s="286" t="s">
        <v>2969</v>
      </c>
      <c r="QQ1" s="286" t="s">
        <v>2970</v>
      </c>
      <c r="QR1" s="286" t="s">
        <v>2971</v>
      </c>
      <c r="QS1" s="286" t="s">
        <v>2972</v>
      </c>
      <c r="QT1" s="286" t="s">
        <v>2973</v>
      </c>
      <c r="QU1" s="286" t="s">
        <v>2974</v>
      </c>
      <c r="QV1" s="286" t="s">
        <v>2975</v>
      </c>
      <c r="QW1" s="286" t="s">
        <v>2976</v>
      </c>
      <c r="QX1" s="286" t="s">
        <v>2977</v>
      </c>
      <c r="QY1" s="286" t="s">
        <v>2978</v>
      </c>
      <c r="QZ1" s="286" t="s">
        <v>2979</v>
      </c>
      <c r="RA1" s="286" t="s">
        <v>2980</v>
      </c>
      <c r="RB1" s="286" t="s">
        <v>2981</v>
      </c>
      <c r="RC1" s="286" t="s">
        <v>2982</v>
      </c>
      <c r="RD1" s="286" t="s">
        <v>2983</v>
      </c>
      <c r="RE1" s="286" t="s">
        <v>2984</v>
      </c>
      <c r="RF1" s="286" t="s">
        <v>2985</v>
      </c>
      <c r="RG1" s="286" t="s">
        <v>2986</v>
      </c>
      <c r="RH1" s="286" t="s">
        <v>2987</v>
      </c>
      <c r="RI1" s="286" t="s">
        <v>2988</v>
      </c>
      <c r="RJ1" s="286" t="s">
        <v>2989</v>
      </c>
      <c r="RK1" s="286" t="s">
        <v>2990</v>
      </c>
      <c r="RL1" s="286" t="s">
        <v>2991</v>
      </c>
      <c r="RM1" s="286" t="s">
        <v>2992</v>
      </c>
      <c r="RN1" s="286" t="s">
        <v>2993</v>
      </c>
      <c r="RO1" s="286" t="s">
        <v>2994</v>
      </c>
      <c r="RP1" s="286" t="s">
        <v>2995</v>
      </c>
      <c r="RQ1" s="286" t="s">
        <v>2996</v>
      </c>
      <c r="RR1" s="286" t="s">
        <v>2997</v>
      </c>
      <c r="RS1" s="286" t="s">
        <v>2998</v>
      </c>
      <c r="RT1" s="286" t="s">
        <v>2999</v>
      </c>
      <c r="RU1" s="286" t="s">
        <v>3000</v>
      </c>
      <c r="RV1" s="286" t="s">
        <v>3001</v>
      </c>
      <c r="RW1" s="286" t="s">
        <v>3002</v>
      </c>
      <c r="RX1" s="286" t="s">
        <v>3003</v>
      </c>
      <c r="RY1" s="286" t="s">
        <v>3004</v>
      </c>
      <c r="RZ1" s="286" t="s">
        <v>3005</v>
      </c>
      <c r="SA1" s="286" t="s">
        <v>3006</v>
      </c>
      <c r="SB1" s="286" t="s">
        <v>3007</v>
      </c>
      <c r="SC1" s="286" t="s">
        <v>3008</v>
      </c>
      <c r="SD1" s="286" t="s">
        <v>3009</v>
      </c>
      <c r="SE1" s="286" t="s">
        <v>3010</v>
      </c>
      <c r="SF1" s="286" t="s">
        <v>3011</v>
      </c>
      <c r="SG1" s="286" t="s">
        <v>3012</v>
      </c>
      <c r="SH1" s="286" t="s">
        <v>3013</v>
      </c>
      <c r="SI1" s="286" t="s">
        <v>3014</v>
      </c>
      <c r="SJ1" s="286" t="s">
        <v>3015</v>
      </c>
      <c r="SK1" s="286" t="s">
        <v>3016</v>
      </c>
      <c r="SL1" s="286" t="s">
        <v>3017</v>
      </c>
      <c r="SM1" s="286" t="s">
        <v>3018</v>
      </c>
      <c r="SN1" s="286" t="s">
        <v>3019</v>
      </c>
      <c r="SO1" s="286" t="s">
        <v>3020</v>
      </c>
      <c r="SP1" s="286" t="s">
        <v>3021</v>
      </c>
      <c r="SQ1" s="286" t="s">
        <v>3022</v>
      </c>
      <c r="SR1" s="286" t="s">
        <v>3023</v>
      </c>
      <c r="SS1" s="286" t="s">
        <v>3024</v>
      </c>
      <c r="ST1" s="286" t="s">
        <v>3025</v>
      </c>
      <c r="SU1" s="286" t="s">
        <v>3026</v>
      </c>
      <c r="SV1" s="286" t="s">
        <v>3027</v>
      </c>
      <c r="SW1" s="286" t="s">
        <v>3028</v>
      </c>
      <c r="SX1" s="286" t="s">
        <v>3029</v>
      </c>
      <c r="SY1" s="286" t="s">
        <v>3030</v>
      </c>
      <c r="SZ1" s="286" t="s">
        <v>3031</v>
      </c>
      <c r="TA1" s="286" t="s">
        <v>3032</v>
      </c>
      <c r="TB1" s="286" t="s">
        <v>3033</v>
      </c>
      <c r="TC1" s="286" t="s">
        <v>3034</v>
      </c>
      <c r="TD1" s="286" t="s">
        <v>3035</v>
      </c>
      <c r="TE1" s="286" t="s">
        <v>3036</v>
      </c>
      <c r="TF1" s="286" t="s">
        <v>3037</v>
      </c>
      <c r="TG1" s="286" t="s">
        <v>3038</v>
      </c>
      <c r="TH1" s="286" t="s">
        <v>3039</v>
      </c>
      <c r="TI1" s="286" t="s">
        <v>3040</v>
      </c>
      <c r="TJ1" s="286" t="s">
        <v>3041</v>
      </c>
      <c r="TK1" s="286" t="s">
        <v>3042</v>
      </c>
      <c r="TL1" s="286" t="s">
        <v>3043</v>
      </c>
      <c r="TM1" s="286" t="s">
        <v>3044</v>
      </c>
      <c r="TN1" s="286" t="s">
        <v>3045</v>
      </c>
      <c r="TO1" s="286" t="s">
        <v>3046</v>
      </c>
      <c r="TP1" s="286" t="s">
        <v>3047</v>
      </c>
      <c r="TQ1" s="286" t="s">
        <v>3048</v>
      </c>
      <c r="TR1" s="286" t="s">
        <v>3049</v>
      </c>
      <c r="TS1" s="286" t="s">
        <v>3050</v>
      </c>
      <c r="TT1" s="286" t="s">
        <v>3051</v>
      </c>
      <c r="TU1" s="286" t="s">
        <v>3052</v>
      </c>
      <c r="TV1" s="286" t="s">
        <v>3053</v>
      </c>
      <c r="TW1" s="286" t="s">
        <v>3054</v>
      </c>
      <c r="TX1" s="286" t="s">
        <v>3055</v>
      </c>
      <c r="TY1" s="286" t="s">
        <v>3056</v>
      </c>
      <c r="TZ1" s="286" t="s">
        <v>3057</v>
      </c>
      <c r="UA1" s="286" t="s">
        <v>3058</v>
      </c>
      <c r="UB1" s="286" t="s">
        <v>3059</v>
      </c>
      <c r="UC1" s="286" t="s">
        <v>3060</v>
      </c>
      <c r="UD1" s="286" t="s">
        <v>3061</v>
      </c>
      <c r="UE1" s="286" t="s">
        <v>3062</v>
      </c>
      <c r="UF1" s="286" t="s">
        <v>3063</v>
      </c>
      <c r="UG1" s="286" t="s">
        <v>3064</v>
      </c>
      <c r="UH1" s="286" t="s">
        <v>3065</v>
      </c>
      <c r="UI1" s="286" t="s">
        <v>3066</v>
      </c>
      <c r="UJ1" s="286" t="s">
        <v>3067</v>
      </c>
      <c r="UK1" s="286" t="s">
        <v>3068</v>
      </c>
      <c r="UL1" s="286" t="s">
        <v>3069</v>
      </c>
      <c r="UM1" s="286" t="s">
        <v>3070</v>
      </c>
      <c r="UN1" s="286" t="s">
        <v>3071</v>
      </c>
      <c r="UO1" s="286" t="s">
        <v>3072</v>
      </c>
      <c r="UP1" s="286" t="s">
        <v>3073</v>
      </c>
      <c r="UQ1" s="286" t="s">
        <v>3074</v>
      </c>
      <c r="UR1" s="286" t="s">
        <v>3075</v>
      </c>
      <c r="US1" s="286" t="s">
        <v>3076</v>
      </c>
      <c r="UT1" s="286" t="s">
        <v>3077</v>
      </c>
      <c r="UU1" s="286" t="s">
        <v>3078</v>
      </c>
      <c r="UV1" s="286" t="s">
        <v>3079</v>
      </c>
      <c r="UW1" s="286" t="s">
        <v>3080</v>
      </c>
      <c r="UX1" s="286" t="s">
        <v>3081</v>
      </c>
      <c r="UY1" s="286" t="s">
        <v>3082</v>
      </c>
      <c r="UZ1" s="286" t="s">
        <v>3083</v>
      </c>
      <c r="VA1" s="286" t="s">
        <v>3084</v>
      </c>
      <c r="VB1" s="286" t="s">
        <v>3085</v>
      </c>
      <c r="VC1" s="286" t="s">
        <v>3086</v>
      </c>
      <c r="VD1" s="286" t="s">
        <v>3087</v>
      </c>
      <c r="VE1" s="286" t="s">
        <v>3088</v>
      </c>
      <c r="VF1" s="286" t="s">
        <v>3089</v>
      </c>
      <c r="VG1" s="286" t="s">
        <v>3090</v>
      </c>
      <c r="VH1" s="286" t="s">
        <v>3091</v>
      </c>
      <c r="VI1" s="286" t="s">
        <v>3092</v>
      </c>
      <c r="VJ1" s="286" t="s">
        <v>3093</v>
      </c>
      <c r="VK1" s="286" t="s">
        <v>3094</v>
      </c>
      <c r="VL1" s="286" t="s">
        <v>3095</v>
      </c>
      <c r="VM1" s="286" t="s">
        <v>3096</v>
      </c>
      <c r="VN1" s="286" t="s">
        <v>3097</v>
      </c>
      <c r="VO1" s="286" t="s">
        <v>3098</v>
      </c>
      <c r="VP1" s="286" t="s">
        <v>3099</v>
      </c>
      <c r="VQ1" s="286" t="s">
        <v>3100</v>
      </c>
      <c r="VR1" s="286" t="s">
        <v>3101</v>
      </c>
      <c r="VS1" s="286" t="s">
        <v>3102</v>
      </c>
      <c r="VT1" s="286" t="s">
        <v>3103</v>
      </c>
      <c r="VU1" s="286" t="s">
        <v>3104</v>
      </c>
      <c r="VV1" s="286" t="s">
        <v>3105</v>
      </c>
      <c r="VW1" s="286" t="s">
        <v>3106</v>
      </c>
      <c r="VX1" s="286" t="s">
        <v>3107</v>
      </c>
      <c r="VY1" s="286" t="s">
        <v>3108</v>
      </c>
      <c r="VZ1" s="286" t="s">
        <v>3109</v>
      </c>
      <c r="WA1" s="286" t="s">
        <v>3110</v>
      </c>
      <c r="WB1" s="286" t="s">
        <v>3111</v>
      </c>
      <c r="WC1" s="286" t="s">
        <v>3112</v>
      </c>
      <c r="WD1" s="286" t="s">
        <v>3113</v>
      </c>
      <c r="WE1" s="286" t="s">
        <v>3114</v>
      </c>
      <c r="WF1" s="286" t="s">
        <v>3115</v>
      </c>
      <c r="WG1" s="286" t="s">
        <v>3116</v>
      </c>
      <c r="WH1" s="286" t="s">
        <v>3117</v>
      </c>
      <c r="WI1" s="286" t="s">
        <v>3118</v>
      </c>
      <c r="WJ1" s="286" t="s">
        <v>3119</v>
      </c>
      <c r="WK1" s="286" t="s">
        <v>3120</v>
      </c>
      <c r="WL1" s="286" t="s">
        <v>3121</v>
      </c>
      <c r="WM1" s="286" t="s">
        <v>3122</v>
      </c>
      <c r="WN1" s="286" t="s">
        <v>3123</v>
      </c>
      <c r="WO1" s="286" t="s">
        <v>3124</v>
      </c>
      <c r="WP1" s="286" t="s">
        <v>3125</v>
      </c>
      <c r="WQ1" s="286" t="s">
        <v>3126</v>
      </c>
      <c r="WR1" s="286" t="s">
        <v>3127</v>
      </c>
      <c r="WS1" s="286" t="s">
        <v>3128</v>
      </c>
      <c r="WT1" s="286" t="s">
        <v>3129</v>
      </c>
      <c r="WU1" s="286" t="s">
        <v>3130</v>
      </c>
      <c r="WV1" s="286" t="s">
        <v>3131</v>
      </c>
      <c r="WW1" s="286" t="s">
        <v>3132</v>
      </c>
      <c r="WX1" s="286" t="s">
        <v>3133</v>
      </c>
      <c r="WY1" s="286" t="s">
        <v>3134</v>
      </c>
      <c r="WZ1" s="286" t="s">
        <v>3135</v>
      </c>
      <c r="XA1" s="286" t="s">
        <v>3136</v>
      </c>
      <c r="XB1" s="286" t="s">
        <v>3137</v>
      </c>
      <c r="XC1" s="286" t="s">
        <v>3138</v>
      </c>
      <c r="XD1" s="286" t="s">
        <v>3139</v>
      </c>
      <c r="XE1" s="286" t="s">
        <v>3140</v>
      </c>
      <c r="XF1" s="286" t="s">
        <v>3141</v>
      </c>
      <c r="XG1" s="286" t="s">
        <v>3142</v>
      </c>
      <c r="XH1" s="286" t="s">
        <v>3143</v>
      </c>
      <c r="XI1" s="286" t="s">
        <v>3144</v>
      </c>
      <c r="XJ1" s="286" t="s">
        <v>3145</v>
      </c>
      <c r="XK1" s="286" t="s">
        <v>3146</v>
      </c>
      <c r="XL1" s="286" t="s">
        <v>3147</v>
      </c>
      <c r="XM1" s="286" t="s">
        <v>3148</v>
      </c>
      <c r="XN1" s="286" t="s">
        <v>3149</v>
      </c>
      <c r="XO1" s="286" t="s">
        <v>3150</v>
      </c>
      <c r="XP1" s="286" t="s">
        <v>3151</v>
      </c>
      <c r="XQ1" s="286" t="s">
        <v>3152</v>
      </c>
      <c r="XR1" s="286" t="s">
        <v>3153</v>
      </c>
      <c r="XS1" s="286" t="s">
        <v>3154</v>
      </c>
      <c r="XT1" s="286" t="s">
        <v>3155</v>
      </c>
      <c r="XU1" s="286" t="s">
        <v>3156</v>
      </c>
      <c r="XV1" s="286" t="s">
        <v>3157</v>
      </c>
      <c r="XW1" s="286" t="s">
        <v>3158</v>
      </c>
      <c r="XX1" s="286" t="s">
        <v>3159</v>
      </c>
      <c r="XY1" s="286" t="s">
        <v>3160</v>
      </c>
      <c r="XZ1" s="286" t="s">
        <v>3161</v>
      </c>
      <c r="YA1" s="286" t="s">
        <v>3162</v>
      </c>
      <c r="YB1" s="286" t="s">
        <v>3163</v>
      </c>
      <c r="YC1" s="286" t="s">
        <v>3164</v>
      </c>
      <c r="YD1" s="286" t="s">
        <v>3165</v>
      </c>
      <c r="YE1" s="286" t="s">
        <v>3166</v>
      </c>
      <c r="YF1" s="286" t="s">
        <v>3167</v>
      </c>
      <c r="YG1" s="286" t="s">
        <v>3168</v>
      </c>
      <c r="YH1" s="286" t="s">
        <v>3169</v>
      </c>
      <c r="YI1" s="286" t="s">
        <v>3170</v>
      </c>
      <c r="YJ1" s="286" t="s">
        <v>3171</v>
      </c>
      <c r="YK1" s="286" t="s">
        <v>3172</v>
      </c>
      <c r="YL1" s="286" t="s">
        <v>3173</v>
      </c>
      <c r="YM1" s="286" t="s">
        <v>3174</v>
      </c>
      <c r="YN1" s="286" t="s">
        <v>3175</v>
      </c>
      <c r="YO1" s="286" t="s">
        <v>3176</v>
      </c>
      <c r="YP1" s="286" t="s">
        <v>3177</v>
      </c>
      <c r="YQ1" s="286" t="s">
        <v>3178</v>
      </c>
      <c r="YR1" s="286" t="s">
        <v>3179</v>
      </c>
      <c r="YS1" s="286" t="s">
        <v>3180</v>
      </c>
      <c r="YT1" s="286" t="s">
        <v>3181</v>
      </c>
      <c r="YU1" s="286" t="s">
        <v>3182</v>
      </c>
      <c r="YV1" s="286" t="s">
        <v>3183</v>
      </c>
      <c r="YW1" s="286" t="s">
        <v>3184</v>
      </c>
      <c r="YX1" s="286" t="s">
        <v>3185</v>
      </c>
      <c r="YY1" s="286" t="s">
        <v>3186</v>
      </c>
      <c r="YZ1" s="286" t="s">
        <v>3187</v>
      </c>
      <c r="ZA1" s="286" t="s">
        <v>3188</v>
      </c>
      <c r="ZB1" s="286" t="s">
        <v>3189</v>
      </c>
      <c r="ZC1" s="286" t="s">
        <v>3190</v>
      </c>
      <c r="ZD1" s="286" t="s">
        <v>3191</v>
      </c>
      <c r="ZE1" s="286" t="s">
        <v>3192</v>
      </c>
      <c r="ZF1" s="286" t="s">
        <v>3193</v>
      </c>
      <c r="ZG1" s="286" t="s">
        <v>3194</v>
      </c>
      <c r="ZH1" s="286" t="s">
        <v>3195</v>
      </c>
      <c r="ZI1" s="286" t="s">
        <v>3196</v>
      </c>
      <c r="ZJ1" s="286" t="s">
        <v>3197</v>
      </c>
      <c r="ZK1" s="286" t="s">
        <v>3198</v>
      </c>
      <c r="ZL1" s="286" t="s">
        <v>3199</v>
      </c>
      <c r="ZM1" s="286" t="s">
        <v>3200</v>
      </c>
      <c r="ZN1" s="286" t="s">
        <v>3201</v>
      </c>
      <c r="ZO1" s="286" t="s">
        <v>3202</v>
      </c>
      <c r="ZP1" s="286" t="s">
        <v>3203</v>
      </c>
      <c r="ZQ1" s="286" t="s">
        <v>3204</v>
      </c>
      <c r="ZR1" s="286" t="s">
        <v>3205</v>
      </c>
      <c r="ZS1" s="286" t="s">
        <v>3206</v>
      </c>
      <c r="ZT1" s="286" t="s">
        <v>3207</v>
      </c>
      <c r="ZU1" s="286" t="s">
        <v>3208</v>
      </c>
      <c r="ZV1" s="286" t="s">
        <v>3209</v>
      </c>
      <c r="ZW1" s="286" t="s">
        <v>3210</v>
      </c>
      <c r="ZX1" s="286" t="s">
        <v>3211</v>
      </c>
      <c r="ZY1" s="286" t="s">
        <v>3212</v>
      </c>
      <c r="ZZ1" s="286" t="s">
        <v>3213</v>
      </c>
      <c r="AAA1" s="286" t="s">
        <v>3214</v>
      </c>
      <c r="AAB1" s="286" t="s">
        <v>3215</v>
      </c>
      <c r="AAC1" s="286" t="s">
        <v>3216</v>
      </c>
      <c r="AAD1" s="286" t="s">
        <v>3217</v>
      </c>
      <c r="AAE1" s="286" t="s">
        <v>3218</v>
      </c>
      <c r="AAF1" s="286" t="s">
        <v>3219</v>
      </c>
      <c r="AAG1" s="286" t="s">
        <v>3220</v>
      </c>
      <c r="AAH1" s="286" t="s">
        <v>3221</v>
      </c>
      <c r="AAI1" s="286" t="s">
        <v>3222</v>
      </c>
      <c r="AAJ1" s="286" t="s">
        <v>3223</v>
      </c>
      <c r="AAK1" s="286" t="s">
        <v>3224</v>
      </c>
      <c r="AAL1" s="286" t="s">
        <v>3225</v>
      </c>
      <c r="AAM1" s="286" t="s">
        <v>3226</v>
      </c>
      <c r="AAN1" s="286" t="s">
        <v>3227</v>
      </c>
      <c r="AAO1" s="286" t="s">
        <v>3228</v>
      </c>
      <c r="AAP1" s="286" t="s">
        <v>3229</v>
      </c>
      <c r="AAQ1" s="286" t="s">
        <v>3230</v>
      </c>
      <c r="AAR1" s="286" t="s">
        <v>3231</v>
      </c>
      <c r="AAS1" s="286" t="s">
        <v>3232</v>
      </c>
      <c r="AAT1" s="286" t="s">
        <v>3233</v>
      </c>
      <c r="AAU1" s="286" t="s">
        <v>3234</v>
      </c>
      <c r="AAV1" s="286" t="s">
        <v>3235</v>
      </c>
      <c r="AAW1" s="286" t="s">
        <v>3236</v>
      </c>
      <c r="AAX1" s="286" t="s">
        <v>3237</v>
      </c>
      <c r="AAY1" s="286" t="s">
        <v>3238</v>
      </c>
      <c r="AAZ1" s="286" t="s">
        <v>3239</v>
      </c>
      <c r="ABA1" s="286" t="s">
        <v>3240</v>
      </c>
      <c r="ABB1" s="286" t="s">
        <v>3241</v>
      </c>
      <c r="ABC1" s="286" t="s">
        <v>3242</v>
      </c>
      <c r="ABD1" s="286" t="s">
        <v>3243</v>
      </c>
      <c r="ABE1" s="286" t="s">
        <v>3244</v>
      </c>
      <c r="ABF1" s="286" t="s">
        <v>3245</v>
      </c>
      <c r="ABG1" s="286" t="s">
        <v>3246</v>
      </c>
      <c r="ABH1" s="286" t="s">
        <v>3247</v>
      </c>
      <c r="ABI1" s="286" t="s">
        <v>3248</v>
      </c>
      <c r="ABJ1" s="286" t="s">
        <v>3249</v>
      </c>
      <c r="ABK1" s="286" t="s">
        <v>3250</v>
      </c>
      <c r="ABL1" s="286" t="s">
        <v>3251</v>
      </c>
      <c r="ABM1" s="286" t="s">
        <v>3252</v>
      </c>
      <c r="ABN1" s="286" t="s">
        <v>3253</v>
      </c>
      <c r="ABO1" s="286" t="s">
        <v>3254</v>
      </c>
      <c r="ABP1" s="286" t="s">
        <v>3255</v>
      </c>
      <c r="ABQ1" s="286" t="s">
        <v>3256</v>
      </c>
      <c r="ABR1" s="286" t="s">
        <v>3257</v>
      </c>
      <c r="ABS1" s="286" t="s">
        <v>3258</v>
      </c>
      <c r="ABT1" s="286" t="s">
        <v>3259</v>
      </c>
      <c r="ABU1" s="286" t="s">
        <v>3260</v>
      </c>
      <c r="ABV1" s="286" t="s">
        <v>3261</v>
      </c>
      <c r="ABW1" s="286" t="s">
        <v>3262</v>
      </c>
      <c r="ABX1" s="286" t="s">
        <v>3263</v>
      </c>
      <c r="ABY1" s="286" t="s">
        <v>3264</v>
      </c>
      <c r="ABZ1" s="286" t="s">
        <v>3265</v>
      </c>
      <c r="ACA1" s="286" t="s">
        <v>3266</v>
      </c>
      <c r="ACB1" s="286" t="s">
        <v>3267</v>
      </c>
      <c r="ACC1" s="286" t="s">
        <v>3268</v>
      </c>
      <c r="ACD1" s="286" t="s">
        <v>3269</v>
      </c>
      <c r="ACE1" s="286" t="s">
        <v>3270</v>
      </c>
      <c r="ACF1" s="286" t="s">
        <v>3271</v>
      </c>
      <c r="ACG1" s="286" t="s">
        <v>3272</v>
      </c>
      <c r="ACH1" s="286" t="s">
        <v>3273</v>
      </c>
      <c r="ACI1" s="286" t="s">
        <v>3274</v>
      </c>
      <c r="ACJ1" s="286" t="s">
        <v>3275</v>
      </c>
      <c r="ACK1" s="286" t="s">
        <v>3276</v>
      </c>
      <c r="ACL1" s="286" t="s">
        <v>3277</v>
      </c>
      <c r="ACM1" s="286" t="s">
        <v>3278</v>
      </c>
      <c r="ACN1" s="286" t="s">
        <v>3279</v>
      </c>
      <c r="ACO1" s="286" t="s">
        <v>3280</v>
      </c>
      <c r="ACP1" s="286" t="s">
        <v>3281</v>
      </c>
      <c r="ACQ1" s="286" t="s">
        <v>3282</v>
      </c>
      <c r="ACR1" s="286" t="s">
        <v>3283</v>
      </c>
      <c r="ACS1" s="286" t="s">
        <v>3284</v>
      </c>
      <c r="ACT1" s="286" t="s">
        <v>3285</v>
      </c>
      <c r="ACU1" s="286" t="s">
        <v>3286</v>
      </c>
      <c r="ACV1" s="286" t="s">
        <v>3287</v>
      </c>
      <c r="ACW1" s="286" t="s">
        <v>3288</v>
      </c>
      <c r="ACX1" s="286" t="s">
        <v>3289</v>
      </c>
      <c r="ACY1" s="286" t="s">
        <v>3290</v>
      </c>
      <c r="ACZ1" s="286" t="s">
        <v>3291</v>
      </c>
      <c r="ADA1" s="286" t="s">
        <v>3292</v>
      </c>
      <c r="ADB1" s="286" t="s">
        <v>3293</v>
      </c>
      <c r="ADC1" s="286" t="s">
        <v>3294</v>
      </c>
      <c r="ADD1" s="286" t="s">
        <v>3295</v>
      </c>
      <c r="ADE1" s="286" t="s">
        <v>3296</v>
      </c>
      <c r="ADF1" s="286" t="s">
        <v>3297</v>
      </c>
      <c r="ADG1" s="286" t="s">
        <v>3298</v>
      </c>
      <c r="ADH1" s="286" t="s">
        <v>3299</v>
      </c>
      <c r="ADI1" s="286" t="s">
        <v>3300</v>
      </c>
      <c r="ADJ1" s="286" t="s">
        <v>3301</v>
      </c>
      <c r="ADK1" s="286" t="s">
        <v>3302</v>
      </c>
      <c r="ADL1" s="286" t="s">
        <v>3303</v>
      </c>
      <c r="ADM1" s="286" t="s">
        <v>3304</v>
      </c>
      <c r="ADN1" s="286" t="s">
        <v>3305</v>
      </c>
      <c r="ADO1" s="286" t="s">
        <v>3306</v>
      </c>
      <c r="ADP1" s="286" t="s">
        <v>3307</v>
      </c>
      <c r="ADQ1" s="286" t="s">
        <v>3308</v>
      </c>
      <c r="ADR1" s="286" t="s">
        <v>3309</v>
      </c>
      <c r="ADS1" s="286" t="s">
        <v>3310</v>
      </c>
      <c r="ADT1" s="286" t="s">
        <v>3311</v>
      </c>
      <c r="ADU1" s="286" t="s">
        <v>3312</v>
      </c>
      <c r="ADV1" s="286" t="s">
        <v>3313</v>
      </c>
      <c r="ADW1" s="286" t="s">
        <v>3314</v>
      </c>
      <c r="ADX1" s="286" t="s">
        <v>3315</v>
      </c>
      <c r="ADY1" s="286" t="s">
        <v>3316</v>
      </c>
      <c r="ADZ1" s="286" t="s">
        <v>3317</v>
      </c>
      <c r="AEA1" s="286" t="s">
        <v>3318</v>
      </c>
      <c r="AEB1" s="286" t="s">
        <v>3319</v>
      </c>
      <c r="AEC1" s="286" t="s">
        <v>3320</v>
      </c>
      <c r="AED1" s="286" t="s">
        <v>3321</v>
      </c>
      <c r="AEE1" s="286" t="s">
        <v>3322</v>
      </c>
      <c r="AEF1" s="286" t="s">
        <v>3323</v>
      </c>
      <c r="AEG1" s="286" t="s">
        <v>3324</v>
      </c>
      <c r="AEH1" s="286" t="s">
        <v>3325</v>
      </c>
      <c r="AEI1" s="286" t="s">
        <v>3326</v>
      </c>
      <c r="AEJ1" s="286" t="s">
        <v>3327</v>
      </c>
      <c r="AEK1" s="286" t="s">
        <v>3328</v>
      </c>
      <c r="AEL1" s="286" t="s">
        <v>3329</v>
      </c>
      <c r="AEM1" s="286" t="s">
        <v>3330</v>
      </c>
      <c r="AEN1" s="286" t="s">
        <v>3331</v>
      </c>
      <c r="AEO1" s="286" t="s">
        <v>3332</v>
      </c>
      <c r="AEP1" s="286" t="s">
        <v>3333</v>
      </c>
      <c r="AEQ1" s="286" t="s">
        <v>3334</v>
      </c>
      <c r="AER1" s="286" t="s">
        <v>3335</v>
      </c>
      <c r="AES1" s="286" t="s">
        <v>3336</v>
      </c>
      <c r="AET1" s="286" t="s">
        <v>3337</v>
      </c>
      <c r="AEU1" s="286" t="s">
        <v>3338</v>
      </c>
      <c r="AEV1" s="286" t="s">
        <v>3339</v>
      </c>
      <c r="AEW1" s="286" t="s">
        <v>3340</v>
      </c>
      <c r="AEX1" s="286" t="s">
        <v>3341</v>
      </c>
      <c r="AEY1" s="286" t="s">
        <v>3342</v>
      </c>
      <c r="AEZ1" s="286" t="s">
        <v>3343</v>
      </c>
      <c r="AFA1" s="286" t="s">
        <v>3344</v>
      </c>
      <c r="AFB1" s="286" t="s">
        <v>3345</v>
      </c>
      <c r="AFC1" s="286" t="s">
        <v>3346</v>
      </c>
      <c r="AFD1" s="286" t="s">
        <v>3347</v>
      </c>
      <c r="AFE1" s="286" t="s">
        <v>3348</v>
      </c>
      <c r="AFF1" s="286" t="s">
        <v>3349</v>
      </c>
      <c r="AFG1" s="286" t="s">
        <v>3350</v>
      </c>
      <c r="AFH1" s="286" t="s">
        <v>3351</v>
      </c>
      <c r="AFI1" s="286" t="s">
        <v>3352</v>
      </c>
      <c r="AFJ1" s="286" t="s">
        <v>3353</v>
      </c>
      <c r="AFK1" s="286" t="s">
        <v>3354</v>
      </c>
      <c r="AFL1" s="286" t="s">
        <v>3355</v>
      </c>
      <c r="AFM1" s="286" t="s">
        <v>3356</v>
      </c>
      <c r="AFN1" s="286" t="s">
        <v>3357</v>
      </c>
      <c r="AFO1" s="286" t="s">
        <v>3358</v>
      </c>
      <c r="AFP1" s="286" t="s">
        <v>3359</v>
      </c>
      <c r="AFQ1" s="286" t="s">
        <v>3360</v>
      </c>
      <c r="AFR1" s="286" t="s">
        <v>3361</v>
      </c>
      <c r="AFS1" s="286" t="s">
        <v>3362</v>
      </c>
      <c r="AFT1" s="286" t="s">
        <v>3363</v>
      </c>
      <c r="AFU1" s="286" t="s">
        <v>3364</v>
      </c>
      <c r="AFV1" s="286" t="s">
        <v>3365</v>
      </c>
      <c r="AFW1" s="286" t="s">
        <v>3366</v>
      </c>
      <c r="AFX1" s="286" t="s">
        <v>3367</v>
      </c>
      <c r="AFY1" s="286" t="s">
        <v>3368</v>
      </c>
      <c r="AFZ1" s="286" t="s">
        <v>3369</v>
      </c>
      <c r="AGA1" s="286" t="s">
        <v>3370</v>
      </c>
      <c r="AGB1" s="286" t="s">
        <v>3371</v>
      </c>
      <c r="AGC1" s="286" t="s">
        <v>3372</v>
      </c>
      <c r="AGD1" s="286" t="s">
        <v>3373</v>
      </c>
      <c r="AGE1" s="286" t="s">
        <v>3374</v>
      </c>
      <c r="AGF1" s="286" t="s">
        <v>3375</v>
      </c>
      <c r="AGG1" s="286" t="s">
        <v>3376</v>
      </c>
      <c r="AGH1" s="286" t="s">
        <v>3377</v>
      </c>
      <c r="AGI1" s="286" t="s">
        <v>3378</v>
      </c>
      <c r="AGJ1" s="286" t="s">
        <v>3379</v>
      </c>
      <c r="AGK1" s="286" t="s">
        <v>3380</v>
      </c>
      <c r="AGL1" s="286" t="s">
        <v>3381</v>
      </c>
      <c r="AGM1" s="286" t="s">
        <v>3382</v>
      </c>
      <c r="AGN1" s="286" t="s">
        <v>3383</v>
      </c>
      <c r="AGO1" s="286" t="s">
        <v>3384</v>
      </c>
      <c r="AGP1" s="286" t="s">
        <v>3385</v>
      </c>
      <c r="AGQ1" s="286" t="s">
        <v>3386</v>
      </c>
      <c r="AGR1" s="286" t="s">
        <v>3387</v>
      </c>
      <c r="AGS1" s="286" t="s">
        <v>3388</v>
      </c>
      <c r="AGT1" s="286" t="s">
        <v>3389</v>
      </c>
      <c r="AGU1" s="286" t="s">
        <v>3390</v>
      </c>
      <c r="AGV1" s="286" t="s">
        <v>3391</v>
      </c>
      <c r="AGW1" s="286" t="s">
        <v>3392</v>
      </c>
      <c r="AGX1" s="286" t="s">
        <v>3393</v>
      </c>
      <c r="AGY1" s="286" t="s">
        <v>3394</v>
      </c>
      <c r="AGZ1" s="286" t="s">
        <v>3395</v>
      </c>
      <c r="AHA1" s="286" t="s">
        <v>3396</v>
      </c>
      <c r="AHB1" s="286" t="s">
        <v>3397</v>
      </c>
      <c r="AHC1" s="286" t="s">
        <v>3398</v>
      </c>
      <c r="AHD1" s="286" t="s">
        <v>3399</v>
      </c>
      <c r="AHE1" s="286" t="s">
        <v>3400</v>
      </c>
      <c r="AHF1" s="286" t="s">
        <v>3401</v>
      </c>
      <c r="AHG1" s="286" t="s">
        <v>3402</v>
      </c>
      <c r="AHH1" s="286" t="s">
        <v>3403</v>
      </c>
      <c r="AHI1" s="286" t="s">
        <v>3404</v>
      </c>
      <c r="AHJ1" s="286" t="s">
        <v>3405</v>
      </c>
      <c r="AHK1" s="286" t="s">
        <v>3406</v>
      </c>
      <c r="AHL1" s="286" t="s">
        <v>3407</v>
      </c>
      <c r="AHM1" s="286" t="s">
        <v>3408</v>
      </c>
      <c r="AHN1" s="286" t="s">
        <v>3409</v>
      </c>
      <c r="AHO1" s="286" t="s">
        <v>3410</v>
      </c>
      <c r="AHP1" s="286" t="s">
        <v>3411</v>
      </c>
      <c r="AHQ1" s="286" t="s">
        <v>3412</v>
      </c>
      <c r="AHR1" s="286" t="s">
        <v>3413</v>
      </c>
      <c r="AHS1" s="286" t="s">
        <v>3414</v>
      </c>
      <c r="AHT1" s="286" t="s">
        <v>3415</v>
      </c>
      <c r="AHU1" s="286" t="s">
        <v>3416</v>
      </c>
      <c r="AHV1" s="286" t="s">
        <v>3417</v>
      </c>
      <c r="AHW1" s="286" t="s">
        <v>3418</v>
      </c>
      <c r="AHX1" s="286" t="s">
        <v>3419</v>
      </c>
      <c r="AHY1" s="286" t="s">
        <v>3420</v>
      </c>
      <c r="AHZ1" s="286" t="s">
        <v>3421</v>
      </c>
      <c r="AIA1" s="286" t="s">
        <v>3422</v>
      </c>
      <c r="AIB1" s="286" t="s">
        <v>3423</v>
      </c>
      <c r="AIC1" s="286" t="s">
        <v>3424</v>
      </c>
      <c r="AID1" s="286" t="s">
        <v>3425</v>
      </c>
      <c r="AIE1" s="286" t="s">
        <v>3426</v>
      </c>
      <c r="AIF1" s="286" t="s">
        <v>3427</v>
      </c>
      <c r="AIG1" s="286" t="s">
        <v>3428</v>
      </c>
      <c r="AIH1" s="286" t="s">
        <v>3429</v>
      </c>
      <c r="AII1" s="286" t="s">
        <v>3430</v>
      </c>
      <c r="AIJ1" s="286" t="s">
        <v>3431</v>
      </c>
      <c r="AIK1" s="286" t="s">
        <v>3432</v>
      </c>
      <c r="AIL1" s="286" t="s">
        <v>3433</v>
      </c>
      <c r="AIM1" s="286" t="s">
        <v>3434</v>
      </c>
      <c r="AIN1" s="286" t="s">
        <v>3435</v>
      </c>
      <c r="AIO1" s="286" t="s">
        <v>3436</v>
      </c>
      <c r="AIP1" s="286" t="s">
        <v>3437</v>
      </c>
      <c r="AIQ1" s="286" t="s">
        <v>3438</v>
      </c>
      <c r="AIR1" s="286" t="s">
        <v>3439</v>
      </c>
      <c r="AIS1" s="286" t="s">
        <v>3440</v>
      </c>
      <c r="AIT1" s="286" t="s">
        <v>3441</v>
      </c>
      <c r="AIU1" s="286" t="s">
        <v>3442</v>
      </c>
      <c r="AIV1" s="286" t="s">
        <v>3443</v>
      </c>
      <c r="AIW1" s="286" t="s">
        <v>3444</v>
      </c>
      <c r="AIX1" s="286" t="s">
        <v>3445</v>
      </c>
      <c r="AIY1" s="286" t="s">
        <v>3446</v>
      </c>
      <c r="AIZ1" s="286" t="s">
        <v>3447</v>
      </c>
      <c r="AJA1" s="286" t="s">
        <v>3448</v>
      </c>
      <c r="AJB1" s="286" t="s">
        <v>3449</v>
      </c>
      <c r="AJC1" s="286" t="s">
        <v>3450</v>
      </c>
      <c r="AJD1" s="286" t="s">
        <v>3451</v>
      </c>
      <c r="AJE1" s="286" t="s">
        <v>3452</v>
      </c>
      <c r="AJF1" s="286" t="s">
        <v>3453</v>
      </c>
      <c r="AJG1" s="286" t="s">
        <v>3454</v>
      </c>
      <c r="AJH1" s="286" t="s">
        <v>3455</v>
      </c>
      <c r="AJI1" s="286" t="s">
        <v>3456</v>
      </c>
      <c r="AJJ1" s="286" t="s">
        <v>3457</v>
      </c>
      <c r="AJK1" s="286" t="s">
        <v>3458</v>
      </c>
      <c r="AJL1" s="286" t="s">
        <v>3459</v>
      </c>
      <c r="AJM1" s="286" t="s">
        <v>3460</v>
      </c>
      <c r="AJN1" s="286" t="s">
        <v>3461</v>
      </c>
      <c r="AJO1" s="286" t="s">
        <v>3462</v>
      </c>
      <c r="AJP1" s="286" t="s">
        <v>3463</v>
      </c>
      <c r="AJQ1" s="286" t="s">
        <v>3464</v>
      </c>
      <c r="AJR1" s="286" t="s">
        <v>3465</v>
      </c>
      <c r="AJS1" s="286" t="s">
        <v>3466</v>
      </c>
      <c r="AJT1" s="286" t="s">
        <v>3467</v>
      </c>
      <c r="AJU1" s="286" t="s">
        <v>3468</v>
      </c>
      <c r="AJV1" s="286" t="s">
        <v>3469</v>
      </c>
      <c r="AJW1" s="286" t="s">
        <v>3470</v>
      </c>
      <c r="AJX1" s="286" t="s">
        <v>3471</v>
      </c>
      <c r="AJY1" s="286" t="s">
        <v>3472</v>
      </c>
      <c r="AJZ1" s="286" t="s">
        <v>3473</v>
      </c>
      <c r="AKA1" s="286" t="s">
        <v>3474</v>
      </c>
      <c r="AKB1" s="286" t="s">
        <v>3475</v>
      </c>
      <c r="AKC1" s="286" t="s">
        <v>3476</v>
      </c>
      <c r="AKD1" s="286" t="s">
        <v>3477</v>
      </c>
      <c r="AKE1" s="286" t="s">
        <v>3478</v>
      </c>
      <c r="AKF1" s="286" t="s">
        <v>3479</v>
      </c>
      <c r="AKG1" s="286" t="s">
        <v>3480</v>
      </c>
      <c r="AKH1" s="286" t="s">
        <v>3481</v>
      </c>
      <c r="AKI1" s="286" t="s">
        <v>3482</v>
      </c>
      <c r="AKJ1" s="286" t="s">
        <v>3483</v>
      </c>
      <c r="AKK1" s="286" t="s">
        <v>3484</v>
      </c>
      <c r="AKL1" s="286" t="s">
        <v>3485</v>
      </c>
      <c r="AKM1" s="286" t="s">
        <v>3486</v>
      </c>
      <c r="AKN1" s="286" t="s">
        <v>3487</v>
      </c>
      <c r="AKO1" s="286" t="s">
        <v>3488</v>
      </c>
      <c r="AKP1" s="286" t="s">
        <v>3489</v>
      </c>
      <c r="AKQ1" s="286" t="s">
        <v>3490</v>
      </c>
      <c r="AKR1" s="286" t="s">
        <v>3491</v>
      </c>
      <c r="AKS1" s="286" t="s">
        <v>3492</v>
      </c>
      <c r="AKT1" s="286" t="s">
        <v>3493</v>
      </c>
      <c r="AKU1" s="286" t="s">
        <v>3494</v>
      </c>
      <c r="AKV1" s="286" t="s">
        <v>3495</v>
      </c>
      <c r="AKW1" s="286" t="s">
        <v>3496</v>
      </c>
      <c r="AKX1" s="286" t="s">
        <v>3497</v>
      </c>
      <c r="AKY1" s="286" t="s">
        <v>3498</v>
      </c>
      <c r="AKZ1" s="286" t="s">
        <v>3499</v>
      </c>
      <c r="ALA1" s="286" t="s">
        <v>3500</v>
      </c>
      <c r="ALB1" s="286" t="s">
        <v>3501</v>
      </c>
      <c r="ALC1" s="286" t="s">
        <v>3502</v>
      </c>
      <c r="ALD1" s="286" t="s">
        <v>3503</v>
      </c>
      <c r="ALE1" s="286" t="s">
        <v>3504</v>
      </c>
      <c r="ALF1" s="286" t="s">
        <v>3505</v>
      </c>
      <c r="ALG1" s="286" t="s">
        <v>3506</v>
      </c>
      <c r="ALH1" s="286" t="s">
        <v>3507</v>
      </c>
      <c r="ALI1" s="286" t="s">
        <v>3508</v>
      </c>
      <c r="ALJ1" s="286" t="s">
        <v>3509</v>
      </c>
      <c r="ALK1" s="286" t="s">
        <v>3510</v>
      </c>
      <c r="ALL1" s="286" t="s">
        <v>3511</v>
      </c>
      <c r="ALM1" s="286" t="s">
        <v>3512</v>
      </c>
      <c r="ALN1" s="286" t="s">
        <v>3513</v>
      </c>
      <c r="ALO1" s="286" t="s">
        <v>3514</v>
      </c>
      <c r="ALP1" s="286" t="s">
        <v>3515</v>
      </c>
      <c r="ALQ1" s="286" t="s">
        <v>3516</v>
      </c>
      <c r="ALR1" s="286" t="s">
        <v>3517</v>
      </c>
      <c r="ALS1" s="286" t="s">
        <v>3518</v>
      </c>
      <c r="ALT1" s="286" t="s">
        <v>3519</v>
      </c>
      <c r="ALU1" s="286" t="s">
        <v>3520</v>
      </c>
      <c r="ALV1" s="286" t="s">
        <v>3521</v>
      </c>
      <c r="ALW1" s="286" t="s">
        <v>3522</v>
      </c>
      <c r="ALX1" s="286" t="s">
        <v>3523</v>
      </c>
      <c r="ALY1" s="286" t="s">
        <v>3524</v>
      </c>
      <c r="ALZ1" s="286" t="s">
        <v>3525</v>
      </c>
      <c r="AMA1" s="286" t="s">
        <v>3526</v>
      </c>
      <c r="AMB1" s="286" t="s">
        <v>3527</v>
      </c>
      <c r="AMC1" s="286" t="s">
        <v>3528</v>
      </c>
      <c r="AMD1" s="286" t="s">
        <v>3529</v>
      </c>
      <c r="AME1" s="286" t="s">
        <v>3530</v>
      </c>
      <c r="AMF1" s="286" t="s">
        <v>3531</v>
      </c>
      <c r="AMG1" s="286" t="s">
        <v>3532</v>
      </c>
      <c r="AMH1" s="286" t="s">
        <v>3533</v>
      </c>
      <c r="AMI1" s="286" t="s">
        <v>3534</v>
      </c>
      <c r="AMJ1" s="286" t="s">
        <v>3535</v>
      </c>
      <c r="AMK1" s="286" t="s">
        <v>3536</v>
      </c>
      <c r="AML1" s="286" t="s">
        <v>3537</v>
      </c>
      <c r="AMM1" s="286" t="s">
        <v>3538</v>
      </c>
      <c r="AMN1" s="286" t="s">
        <v>3539</v>
      </c>
      <c r="AMO1" s="286" t="s">
        <v>3540</v>
      </c>
      <c r="AMP1" s="286" t="s">
        <v>3541</v>
      </c>
      <c r="AMQ1" s="286" t="s">
        <v>3542</v>
      </c>
      <c r="AMR1" s="286" t="s">
        <v>3543</v>
      </c>
      <c r="AMS1" s="286" t="s">
        <v>3544</v>
      </c>
      <c r="AMT1" s="286" t="s">
        <v>3545</v>
      </c>
      <c r="AMU1" s="286" t="s">
        <v>3546</v>
      </c>
      <c r="AMV1" s="286" t="s">
        <v>3547</v>
      </c>
      <c r="AMW1" s="286" t="s">
        <v>3548</v>
      </c>
      <c r="AMX1" s="286" t="s">
        <v>3549</v>
      </c>
      <c r="AMY1" s="286" t="s">
        <v>3550</v>
      </c>
      <c r="AMZ1" s="286" t="s">
        <v>3551</v>
      </c>
      <c r="ANA1" s="286" t="s">
        <v>3552</v>
      </c>
      <c r="ANB1" s="286" t="s">
        <v>3553</v>
      </c>
      <c r="ANC1" s="286" t="s">
        <v>3554</v>
      </c>
      <c r="AND1" s="286" t="s">
        <v>3555</v>
      </c>
      <c r="ANE1" s="286" t="s">
        <v>3556</v>
      </c>
      <c r="ANF1" s="286" t="s">
        <v>3557</v>
      </c>
      <c r="ANG1" s="286" t="s">
        <v>3558</v>
      </c>
      <c r="ANH1" s="286" t="s">
        <v>3559</v>
      </c>
      <c r="ANI1" s="286" t="s">
        <v>3560</v>
      </c>
      <c r="ANJ1" s="286" t="s">
        <v>3561</v>
      </c>
      <c r="ANK1" s="286" t="s">
        <v>3562</v>
      </c>
      <c r="ANL1" s="286" t="s">
        <v>3563</v>
      </c>
      <c r="ANM1" s="286" t="s">
        <v>3564</v>
      </c>
      <c r="ANN1" s="286" t="s">
        <v>3565</v>
      </c>
      <c r="ANO1" s="286" t="s">
        <v>3566</v>
      </c>
      <c r="ANP1" s="286" t="s">
        <v>3567</v>
      </c>
      <c r="ANQ1" s="286" t="s">
        <v>3568</v>
      </c>
      <c r="ANR1" s="286" t="s">
        <v>3569</v>
      </c>
      <c r="ANS1" s="286" t="s">
        <v>3570</v>
      </c>
      <c r="ANT1" s="286" t="s">
        <v>3571</v>
      </c>
      <c r="ANU1" s="286" t="s">
        <v>3572</v>
      </c>
      <c r="ANV1" s="286" t="s">
        <v>3573</v>
      </c>
      <c r="ANW1" s="286" t="s">
        <v>3574</v>
      </c>
      <c r="ANX1" s="286" t="s">
        <v>3575</v>
      </c>
      <c r="ANY1" s="286" t="s">
        <v>3576</v>
      </c>
      <c r="ANZ1" s="286" t="s">
        <v>3577</v>
      </c>
      <c r="AOA1" s="286" t="s">
        <v>3578</v>
      </c>
      <c r="AOB1" s="286" t="s">
        <v>3579</v>
      </c>
      <c r="AOC1" s="286" t="s">
        <v>3580</v>
      </c>
      <c r="AOD1" s="286" t="s">
        <v>3581</v>
      </c>
      <c r="AOE1" s="286" t="s">
        <v>3582</v>
      </c>
      <c r="AOF1" s="286" t="s">
        <v>3583</v>
      </c>
      <c r="AOG1" s="286" t="s">
        <v>3584</v>
      </c>
      <c r="AOH1" s="286" t="s">
        <v>3585</v>
      </c>
      <c r="AOI1" s="286" t="s">
        <v>3586</v>
      </c>
      <c r="AOJ1" s="286" t="s">
        <v>3587</v>
      </c>
      <c r="AOK1" s="286" t="s">
        <v>3588</v>
      </c>
      <c r="AOL1" s="286" t="s">
        <v>3589</v>
      </c>
      <c r="AOM1" s="286" t="s">
        <v>3590</v>
      </c>
      <c r="AON1" s="286" t="s">
        <v>3591</v>
      </c>
      <c r="AOO1" s="286" t="s">
        <v>3592</v>
      </c>
      <c r="AOP1" s="286" t="s">
        <v>3593</v>
      </c>
      <c r="AOQ1" s="286" t="s">
        <v>3594</v>
      </c>
      <c r="AOR1" s="286" t="s">
        <v>3595</v>
      </c>
      <c r="AOS1" s="286" t="s">
        <v>3596</v>
      </c>
      <c r="AOT1" s="286" t="s">
        <v>3597</v>
      </c>
      <c r="AOU1" s="286" t="s">
        <v>3598</v>
      </c>
      <c r="AOV1" s="286" t="s">
        <v>3599</v>
      </c>
      <c r="AOW1" s="286" t="s">
        <v>3600</v>
      </c>
      <c r="AOX1" s="286" t="s">
        <v>3601</v>
      </c>
      <c r="AOY1" s="286" t="s">
        <v>3602</v>
      </c>
      <c r="AOZ1" s="286" t="s">
        <v>3603</v>
      </c>
      <c r="APA1" s="286" t="s">
        <v>3604</v>
      </c>
      <c r="APB1" s="286" t="s">
        <v>3605</v>
      </c>
      <c r="APC1" s="286" t="s">
        <v>3606</v>
      </c>
      <c r="APD1" s="286" t="s">
        <v>3607</v>
      </c>
      <c r="APE1" s="286" t="s">
        <v>3608</v>
      </c>
      <c r="APF1" s="286" t="s">
        <v>3609</v>
      </c>
      <c r="APG1" s="286" t="s">
        <v>3610</v>
      </c>
      <c r="APH1" s="286" t="s">
        <v>3611</v>
      </c>
      <c r="API1" s="286" t="s">
        <v>3612</v>
      </c>
      <c r="APJ1" s="286" t="s">
        <v>3613</v>
      </c>
      <c r="APK1" s="286" t="s">
        <v>3614</v>
      </c>
      <c r="APL1" s="286" t="s">
        <v>3615</v>
      </c>
      <c r="APM1" s="286" t="s">
        <v>3616</v>
      </c>
      <c r="APN1" s="286" t="s">
        <v>3617</v>
      </c>
      <c r="APO1" s="286" t="s">
        <v>3618</v>
      </c>
      <c r="APP1" s="286" t="s">
        <v>3619</v>
      </c>
      <c r="APQ1" s="286" t="s">
        <v>3620</v>
      </c>
      <c r="APR1" s="286" t="s">
        <v>3621</v>
      </c>
      <c r="APS1" s="286" t="s">
        <v>3622</v>
      </c>
      <c r="APT1" s="286" t="s">
        <v>3623</v>
      </c>
      <c r="APU1" s="286" t="s">
        <v>3624</v>
      </c>
      <c r="APV1" s="286" t="s">
        <v>3625</v>
      </c>
      <c r="APW1" s="286" t="s">
        <v>3626</v>
      </c>
      <c r="APX1" s="286" t="s">
        <v>3627</v>
      </c>
      <c r="APY1" s="286" t="s">
        <v>3628</v>
      </c>
      <c r="APZ1" s="286" t="s">
        <v>3629</v>
      </c>
      <c r="AQA1" s="286" t="s">
        <v>3630</v>
      </c>
      <c r="AQB1" s="286" t="s">
        <v>3631</v>
      </c>
      <c r="AQC1" s="286" t="s">
        <v>3632</v>
      </c>
      <c r="AQD1" s="286" t="s">
        <v>3633</v>
      </c>
      <c r="AQE1" s="286" t="s">
        <v>3634</v>
      </c>
      <c r="AQF1" s="286" t="s">
        <v>3635</v>
      </c>
      <c r="AQG1" s="286" t="s">
        <v>3636</v>
      </c>
      <c r="AQH1" s="286" t="s">
        <v>3637</v>
      </c>
      <c r="AQI1" s="286" t="s">
        <v>3638</v>
      </c>
      <c r="AQJ1" s="286" t="s">
        <v>3639</v>
      </c>
      <c r="AQK1" s="286" t="s">
        <v>3640</v>
      </c>
      <c r="AQL1" s="286" t="s">
        <v>3641</v>
      </c>
      <c r="AQM1" s="286" t="s">
        <v>3642</v>
      </c>
      <c r="AQN1" s="286" t="s">
        <v>3643</v>
      </c>
      <c r="AQO1" s="286" t="s">
        <v>3644</v>
      </c>
      <c r="AQP1" s="286" t="s">
        <v>3645</v>
      </c>
      <c r="AQQ1" s="286" t="s">
        <v>3646</v>
      </c>
      <c r="AQR1" s="286" t="s">
        <v>3647</v>
      </c>
      <c r="AQS1" s="286" t="s">
        <v>3648</v>
      </c>
      <c r="AQT1" s="286" t="s">
        <v>3649</v>
      </c>
      <c r="AQU1" s="286" t="s">
        <v>3650</v>
      </c>
      <c r="AQV1" s="286" t="s">
        <v>3651</v>
      </c>
      <c r="AQW1" s="286" t="s">
        <v>3652</v>
      </c>
      <c r="AQX1" s="286" t="s">
        <v>3653</v>
      </c>
      <c r="AQY1" s="286" t="s">
        <v>3654</v>
      </c>
      <c r="AQZ1" s="286" t="s">
        <v>3655</v>
      </c>
      <c r="ARA1" s="286" t="s">
        <v>3656</v>
      </c>
      <c r="ARB1" s="286" t="s">
        <v>3657</v>
      </c>
      <c r="ARC1" s="286" t="s">
        <v>3658</v>
      </c>
      <c r="ARD1" s="286" t="s">
        <v>3659</v>
      </c>
      <c r="ARE1" s="286" t="s">
        <v>3660</v>
      </c>
      <c r="ARF1" s="286" t="s">
        <v>3661</v>
      </c>
      <c r="ARG1" s="286" t="s">
        <v>3662</v>
      </c>
      <c r="ARH1" s="286" t="s">
        <v>3663</v>
      </c>
      <c r="ARI1" s="286" t="s">
        <v>3664</v>
      </c>
      <c r="ARJ1" s="286" t="s">
        <v>3665</v>
      </c>
      <c r="ARK1" s="286" t="s">
        <v>3666</v>
      </c>
      <c r="ARL1" s="286" t="s">
        <v>3667</v>
      </c>
      <c r="ARM1" s="286" t="s">
        <v>3668</v>
      </c>
      <c r="ARN1" s="286" t="s">
        <v>3669</v>
      </c>
      <c r="ARO1" s="286" t="s">
        <v>3670</v>
      </c>
      <c r="ARP1" s="286" t="s">
        <v>3671</v>
      </c>
      <c r="ARQ1" s="286" t="s">
        <v>3672</v>
      </c>
      <c r="ARR1" s="286" t="s">
        <v>3673</v>
      </c>
      <c r="ARS1" s="286" t="s">
        <v>3674</v>
      </c>
      <c r="ART1" s="286" t="s">
        <v>3675</v>
      </c>
      <c r="ARU1" s="286" t="s">
        <v>3676</v>
      </c>
      <c r="ARV1" s="286" t="s">
        <v>3677</v>
      </c>
      <c r="ARW1" s="286" t="s">
        <v>3678</v>
      </c>
      <c r="ARX1" s="286" t="s">
        <v>3679</v>
      </c>
      <c r="ARY1" s="286" t="s">
        <v>3680</v>
      </c>
      <c r="ARZ1" s="286" t="s">
        <v>3681</v>
      </c>
      <c r="ASA1" s="286" t="s">
        <v>3682</v>
      </c>
      <c r="ASB1" s="286" t="s">
        <v>3683</v>
      </c>
      <c r="ASC1" s="286" t="s">
        <v>3684</v>
      </c>
      <c r="ASD1" s="286" t="s">
        <v>3685</v>
      </c>
      <c r="ASE1" s="286" t="s">
        <v>3686</v>
      </c>
      <c r="ASF1" s="286" t="s">
        <v>3687</v>
      </c>
      <c r="ASG1" s="286" t="s">
        <v>3688</v>
      </c>
      <c r="ASH1" s="286" t="s">
        <v>3689</v>
      </c>
      <c r="ASI1" s="286" t="s">
        <v>3690</v>
      </c>
      <c r="ASJ1" s="286" t="s">
        <v>3691</v>
      </c>
      <c r="ASK1" s="286" t="s">
        <v>3692</v>
      </c>
      <c r="ASL1" s="286" t="s">
        <v>3693</v>
      </c>
      <c r="ASM1" s="286" t="s">
        <v>3694</v>
      </c>
      <c r="ASN1" s="286" t="s">
        <v>3695</v>
      </c>
      <c r="ASO1" s="286" t="s">
        <v>3696</v>
      </c>
      <c r="ASP1" s="286" t="s">
        <v>3697</v>
      </c>
      <c r="ASQ1" s="286" t="s">
        <v>3698</v>
      </c>
      <c r="ASR1" s="286" t="s">
        <v>3699</v>
      </c>
      <c r="ASS1" s="286" t="s">
        <v>3700</v>
      </c>
      <c r="AST1" s="286" t="s">
        <v>3701</v>
      </c>
      <c r="ASU1" s="286" t="s">
        <v>3702</v>
      </c>
      <c r="ASV1" s="286" t="s">
        <v>3703</v>
      </c>
      <c r="ASW1" s="286" t="s">
        <v>3704</v>
      </c>
      <c r="ASX1" s="286" t="s">
        <v>3705</v>
      </c>
      <c r="ASY1" s="286" t="s">
        <v>3706</v>
      </c>
      <c r="ASZ1" s="286" t="s">
        <v>3707</v>
      </c>
      <c r="ATA1" s="286" t="s">
        <v>3708</v>
      </c>
      <c r="ATB1" s="286" t="s">
        <v>3709</v>
      </c>
      <c r="ATC1" s="286" t="s">
        <v>3710</v>
      </c>
      <c r="ATD1" s="286" t="s">
        <v>3711</v>
      </c>
      <c r="ATE1" s="286" t="s">
        <v>3712</v>
      </c>
      <c r="ATF1" s="286" t="s">
        <v>3713</v>
      </c>
      <c r="ATG1" s="286" t="s">
        <v>3714</v>
      </c>
      <c r="ATH1" s="286" t="s">
        <v>3715</v>
      </c>
      <c r="ATI1" s="286" t="s">
        <v>3716</v>
      </c>
      <c r="ATJ1" s="286" t="s">
        <v>3717</v>
      </c>
      <c r="ATK1" s="286" t="s">
        <v>3718</v>
      </c>
      <c r="ATL1" s="286" t="s">
        <v>3719</v>
      </c>
      <c r="ATM1" s="286" t="s">
        <v>3720</v>
      </c>
      <c r="ATN1" s="286" t="s">
        <v>3721</v>
      </c>
      <c r="ATO1" s="286" t="s">
        <v>3722</v>
      </c>
      <c r="ATP1" s="286" t="s">
        <v>3723</v>
      </c>
      <c r="ATQ1" s="286" t="s">
        <v>3724</v>
      </c>
      <c r="ATR1" s="286" t="s">
        <v>3725</v>
      </c>
      <c r="ATS1" s="286" t="s">
        <v>3726</v>
      </c>
      <c r="ATT1" s="286" t="s">
        <v>3727</v>
      </c>
      <c r="ATU1" s="286" t="s">
        <v>3728</v>
      </c>
      <c r="ATV1" s="286" t="s">
        <v>3729</v>
      </c>
      <c r="ATW1" s="286" t="s">
        <v>3730</v>
      </c>
      <c r="ATX1" s="286" t="s">
        <v>3731</v>
      </c>
      <c r="ATY1" s="286" t="s">
        <v>3732</v>
      </c>
      <c r="ATZ1" s="286" t="s">
        <v>3733</v>
      </c>
      <c r="AUA1" s="286" t="s">
        <v>3734</v>
      </c>
      <c r="AUB1" s="286" t="s">
        <v>3735</v>
      </c>
      <c r="AUC1" s="286" t="s">
        <v>3736</v>
      </c>
      <c r="AUD1" s="286" t="s">
        <v>3737</v>
      </c>
      <c r="AUE1" s="286" t="s">
        <v>3738</v>
      </c>
      <c r="AUF1" s="286" t="s">
        <v>3739</v>
      </c>
      <c r="AUG1" s="286" t="s">
        <v>3740</v>
      </c>
      <c r="AUH1" s="286" t="s">
        <v>3741</v>
      </c>
      <c r="AUI1" s="286" t="s">
        <v>3742</v>
      </c>
      <c r="AUJ1" s="286" t="s">
        <v>3743</v>
      </c>
      <c r="AUK1" s="286" t="s">
        <v>3744</v>
      </c>
      <c r="AUL1" s="286" t="s">
        <v>3745</v>
      </c>
      <c r="AUM1" s="286" t="s">
        <v>3746</v>
      </c>
      <c r="AUN1" s="286" t="s">
        <v>3747</v>
      </c>
      <c r="AUO1" s="286" t="s">
        <v>3748</v>
      </c>
      <c r="AUP1" s="286" t="s">
        <v>3749</v>
      </c>
      <c r="AUQ1" s="286" t="s">
        <v>3750</v>
      </c>
      <c r="AUR1" s="286" t="s">
        <v>3751</v>
      </c>
      <c r="AUS1" s="286" t="s">
        <v>3752</v>
      </c>
      <c r="AUT1" s="286" t="s">
        <v>3753</v>
      </c>
      <c r="AUU1" s="286" t="s">
        <v>3754</v>
      </c>
      <c r="AUV1" s="286" t="s">
        <v>3755</v>
      </c>
      <c r="AUW1" s="286" t="s">
        <v>3756</v>
      </c>
      <c r="AUX1" s="286" t="s">
        <v>3757</v>
      </c>
      <c r="AUY1" s="286" t="s">
        <v>3758</v>
      </c>
      <c r="AUZ1" s="286" t="s">
        <v>3759</v>
      </c>
      <c r="AVA1" s="286" t="s">
        <v>3760</v>
      </c>
      <c r="AVB1" s="286" t="s">
        <v>3761</v>
      </c>
      <c r="AVC1" s="286" t="s">
        <v>3762</v>
      </c>
      <c r="AVD1" s="286" t="s">
        <v>3763</v>
      </c>
      <c r="AVE1" s="286" t="s">
        <v>3764</v>
      </c>
      <c r="AVF1" s="286" t="s">
        <v>3765</v>
      </c>
      <c r="AVG1" s="286" t="s">
        <v>3766</v>
      </c>
      <c r="AVH1" s="286" t="s">
        <v>3767</v>
      </c>
      <c r="AVI1" s="286" t="s">
        <v>3768</v>
      </c>
      <c r="AVJ1" s="286" t="s">
        <v>3769</v>
      </c>
      <c r="AVK1" s="286" t="s">
        <v>3770</v>
      </c>
      <c r="AVL1" s="286" t="s">
        <v>3771</v>
      </c>
      <c r="AVM1" s="286" t="s">
        <v>3772</v>
      </c>
      <c r="AVN1" s="286" t="s">
        <v>3773</v>
      </c>
      <c r="AVO1" s="286" t="s">
        <v>3774</v>
      </c>
      <c r="AVP1" s="286" t="s">
        <v>3775</v>
      </c>
      <c r="AVQ1" s="286" t="s">
        <v>3776</v>
      </c>
      <c r="AVR1" s="286" t="s">
        <v>3777</v>
      </c>
      <c r="AVS1" s="286" t="s">
        <v>3778</v>
      </c>
      <c r="AVT1" s="286" t="s">
        <v>3779</v>
      </c>
      <c r="AVU1" s="286" t="s">
        <v>3780</v>
      </c>
      <c r="AVV1" s="286" t="s">
        <v>3781</v>
      </c>
      <c r="AVW1" s="286" t="s">
        <v>3782</v>
      </c>
      <c r="AVX1" s="286" t="s">
        <v>3783</v>
      </c>
      <c r="AVY1" s="286" t="s">
        <v>3784</v>
      </c>
      <c r="AVZ1" s="286" t="s">
        <v>3785</v>
      </c>
      <c r="AWA1" s="286" t="s">
        <v>3786</v>
      </c>
      <c r="AWB1" s="286" t="s">
        <v>3787</v>
      </c>
      <c r="AWC1" s="286" t="s">
        <v>3788</v>
      </c>
      <c r="AWD1" s="286" t="s">
        <v>3789</v>
      </c>
      <c r="AWE1" s="286" t="s">
        <v>3790</v>
      </c>
      <c r="AWF1" s="286" t="s">
        <v>3791</v>
      </c>
      <c r="AWG1" s="286" t="s">
        <v>3792</v>
      </c>
      <c r="AWH1" s="286" t="s">
        <v>3793</v>
      </c>
      <c r="AWI1" s="286" t="s">
        <v>3794</v>
      </c>
      <c r="AWJ1" s="286" t="s">
        <v>3795</v>
      </c>
      <c r="AWK1" s="286" t="s">
        <v>3796</v>
      </c>
      <c r="AWL1" s="286" t="s">
        <v>3797</v>
      </c>
      <c r="AWM1" s="286" t="s">
        <v>3798</v>
      </c>
      <c r="AWN1" s="286" t="s">
        <v>3799</v>
      </c>
      <c r="AWO1" s="286" t="s">
        <v>3800</v>
      </c>
      <c r="AWP1" s="286" t="s">
        <v>3801</v>
      </c>
      <c r="AWQ1" s="286" t="s">
        <v>3802</v>
      </c>
      <c r="AWR1" s="286" t="s">
        <v>3803</v>
      </c>
      <c r="AWS1" s="286" t="s">
        <v>3804</v>
      </c>
      <c r="AWT1" s="286" t="s">
        <v>3805</v>
      </c>
      <c r="AWU1" s="286" t="s">
        <v>3806</v>
      </c>
      <c r="AWV1" s="286" t="s">
        <v>3807</v>
      </c>
      <c r="AWW1" s="286" t="s">
        <v>3808</v>
      </c>
      <c r="AWX1" s="286" t="s">
        <v>3809</v>
      </c>
      <c r="AWY1" s="286" t="s">
        <v>3810</v>
      </c>
      <c r="AWZ1" s="286" t="s">
        <v>3811</v>
      </c>
      <c r="AXA1" s="286" t="s">
        <v>3812</v>
      </c>
      <c r="AXB1" s="286" t="s">
        <v>3813</v>
      </c>
      <c r="AXC1" s="286" t="s">
        <v>3814</v>
      </c>
      <c r="AXD1" s="286" t="s">
        <v>3815</v>
      </c>
      <c r="AXE1" s="286" t="s">
        <v>3816</v>
      </c>
      <c r="AXF1" s="286" t="s">
        <v>3817</v>
      </c>
      <c r="AXG1" s="286" t="s">
        <v>3818</v>
      </c>
      <c r="AXH1" s="286" t="s">
        <v>3819</v>
      </c>
      <c r="AXI1" s="286" t="s">
        <v>3820</v>
      </c>
      <c r="AXJ1" s="286" t="s">
        <v>3821</v>
      </c>
      <c r="AXK1" s="286" t="s">
        <v>3822</v>
      </c>
      <c r="AXL1" s="286" t="s">
        <v>3823</v>
      </c>
      <c r="AXM1" s="286" t="s">
        <v>3824</v>
      </c>
      <c r="AXN1" s="286" t="s">
        <v>3825</v>
      </c>
      <c r="AXO1" s="286" t="s">
        <v>3826</v>
      </c>
      <c r="AXP1" s="286" t="s">
        <v>3827</v>
      </c>
      <c r="AXQ1" s="286" t="s">
        <v>3828</v>
      </c>
      <c r="AXR1" s="286" t="s">
        <v>3829</v>
      </c>
      <c r="AXS1" s="286" t="s">
        <v>3830</v>
      </c>
      <c r="AXT1" s="286" t="s">
        <v>3831</v>
      </c>
      <c r="AXU1" s="286" t="s">
        <v>3832</v>
      </c>
      <c r="AXV1" s="286" t="s">
        <v>3833</v>
      </c>
      <c r="AXW1" s="286" t="s">
        <v>3834</v>
      </c>
      <c r="AXX1" s="286" t="s">
        <v>3835</v>
      </c>
      <c r="AXY1" s="286" t="s">
        <v>3836</v>
      </c>
      <c r="AXZ1" s="286" t="s">
        <v>3837</v>
      </c>
      <c r="AYA1" s="286" t="s">
        <v>3838</v>
      </c>
      <c r="AYB1" s="286" t="s">
        <v>3839</v>
      </c>
      <c r="AYC1" s="286" t="s">
        <v>3840</v>
      </c>
      <c r="AYD1" s="286" t="s">
        <v>3841</v>
      </c>
      <c r="AYE1" s="286" t="s">
        <v>3842</v>
      </c>
      <c r="AYF1" s="286" t="s">
        <v>3843</v>
      </c>
      <c r="AYG1" s="286" t="s">
        <v>3844</v>
      </c>
      <c r="AYH1" s="286" t="s">
        <v>3845</v>
      </c>
      <c r="AYI1" s="286" t="s">
        <v>3846</v>
      </c>
      <c r="AYJ1" s="286" t="s">
        <v>3847</v>
      </c>
      <c r="AYK1" s="286" t="s">
        <v>3848</v>
      </c>
      <c r="AYL1" s="286" t="s">
        <v>3849</v>
      </c>
      <c r="AYM1" s="286" t="s">
        <v>3850</v>
      </c>
      <c r="AYN1" s="286" t="s">
        <v>3851</v>
      </c>
      <c r="AYO1" s="286" t="s">
        <v>3852</v>
      </c>
      <c r="AYP1" s="286" t="s">
        <v>3853</v>
      </c>
      <c r="AYQ1" s="286" t="s">
        <v>3854</v>
      </c>
      <c r="AYR1" s="286" t="s">
        <v>3855</v>
      </c>
      <c r="AYS1" s="286" t="s">
        <v>3856</v>
      </c>
      <c r="AYT1" s="286" t="s">
        <v>3857</v>
      </c>
      <c r="AYU1" s="286" t="s">
        <v>3858</v>
      </c>
      <c r="AYV1" s="286" t="s">
        <v>3859</v>
      </c>
      <c r="AYW1" s="286" t="s">
        <v>3860</v>
      </c>
      <c r="AYX1" s="286" t="s">
        <v>3861</v>
      </c>
      <c r="AYY1" s="286" t="s">
        <v>3862</v>
      </c>
      <c r="AYZ1" s="286" t="s">
        <v>3863</v>
      </c>
      <c r="AZA1" s="286" t="s">
        <v>3864</v>
      </c>
      <c r="AZB1" s="286" t="s">
        <v>3865</v>
      </c>
      <c r="AZC1" s="286" t="s">
        <v>3866</v>
      </c>
      <c r="AZD1" s="286" t="s">
        <v>3867</v>
      </c>
      <c r="AZE1" s="286" t="s">
        <v>3868</v>
      </c>
      <c r="AZF1" s="286" t="s">
        <v>3869</v>
      </c>
      <c r="AZG1" s="286" t="s">
        <v>3870</v>
      </c>
      <c r="AZH1" s="286" t="s">
        <v>3871</v>
      </c>
      <c r="AZI1" s="286" t="s">
        <v>3872</v>
      </c>
      <c r="AZJ1" s="286" t="s">
        <v>3873</v>
      </c>
      <c r="AZK1" s="286" t="s">
        <v>3874</v>
      </c>
      <c r="AZL1" s="286" t="s">
        <v>3875</v>
      </c>
      <c r="AZM1" s="286" t="s">
        <v>3876</v>
      </c>
      <c r="AZN1" s="286" t="s">
        <v>3877</v>
      </c>
      <c r="AZO1" s="286" t="s">
        <v>3878</v>
      </c>
      <c r="AZP1" s="286" t="s">
        <v>3879</v>
      </c>
      <c r="AZQ1" s="286" t="s">
        <v>3880</v>
      </c>
      <c r="AZR1" s="286" t="s">
        <v>3881</v>
      </c>
      <c r="AZS1" s="286" t="s">
        <v>3882</v>
      </c>
      <c r="AZT1" s="286" t="s">
        <v>3883</v>
      </c>
      <c r="AZU1" s="286" t="s">
        <v>3884</v>
      </c>
      <c r="AZV1" s="286" t="s">
        <v>3885</v>
      </c>
      <c r="AZW1" s="286" t="s">
        <v>3886</v>
      </c>
      <c r="AZX1" s="286" t="s">
        <v>3887</v>
      </c>
      <c r="AZY1" s="286" t="s">
        <v>3888</v>
      </c>
      <c r="AZZ1" s="286" t="s">
        <v>3889</v>
      </c>
      <c r="BAA1" s="286" t="s">
        <v>3890</v>
      </c>
      <c r="BAB1" s="286" t="s">
        <v>3891</v>
      </c>
      <c r="BAC1" s="286" t="s">
        <v>3892</v>
      </c>
      <c r="BAD1" s="286" t="s">
        <v>3893</v>
      </c>
      <c r="BAE1" s="286" t="s">
        <v>3894</v>
      </c>
      <c r="BAF1" s="286" t="s">
        <v>3895</v>
      </c>
      <c r="BAG1" s="286" t="s">
        <v>3896</v>
      </c>
      <c r="BAH1" s="286" t="s">
        <v>3897</v>
      </c>
      <c r="BAI1" s="286" t="s">
        <v>3898</v>
      </c>
      <c r="BAJ1" s="286" t="s">
        <v>3899</v>
      </c>
      <c r="BAK1" s="286" t="s">
        <v>3900</v>
      </c>
      <c r="BAL1" s="286" t="s">
        <v>3901</v>
      </c>
      <c r="BAM1" s="286" t="s">
        <v>3902</v>
      </c>
      <c r="BAN1" s="286" t="s">
        <v>3903</v>
      </c>
      <c r="BAO1" s="286" t="s">
        <v>3904</v>
      </c>
      <c r="BAP1" s="286" t="s">
        <v>3905</v>
      </c>
      <c r="BAQ1" s="286" t="s">
        <v>3906</v>
      </c>
      <c r="BAR1" s="286" t="s">
        <v>3907</v>
      </c>
      <c r="BAS1" s="286" t="s">
        <v>3908</v>
      </c>
      <c r="BAT1" s="286" t="s">
        <v>3909</v>
      </c>
      <c r="BAU1" s="286" t="s">
        <v>3910</v>
      </c>
      <c r="BAV1" s="286" t="s">
        <v>3911</v>
      </c>
      <c r="BAW1" s="286" t="s">
        <v>3912</v>
      </c>
      <c r="BAX1" s="286" t="s">
        <v>3913</v>
      </c>
      <c r="BAY1" s="286" t="s">
        <v>3914</v>
      </c>
      <c r="BAZ1" s="286" t="s">
        <v>3915</v>
      </c>
      <c r="BBA1" s="286" t="s">
        <v>3916</v>
      </c>
      <c r="BBB1" s="286" t="s">
        <v>3917</v>
      </c>
      <c r="BBC1" s="286" t="s">
        <v>3918</v>
      </c>
      <c r="BBD1" s="286" t="s">
        <v>3919</v>
      </c>
      <c r="BBE1" s="286" t="s">
        <v>3920</v>
      </c>
      <c r="BBF1" s="286" t="s">
        <v>3921</v>
      </c>
      <c r="BBG1" s="286" t="s">
        <v>3922</v>
      </c>
      <c r="BBH1" s="286" t="s">
        <v>3923</v>
      </c>
      <c r="BBI1" s="286" t="s">
        <v>3924</v>
      </c>
      <c r="BBJ1" s="286" t="s">
        <v>3925</v>
      </c>
      <c r="BBK1" s="286" t="s">
        <v>3926</v>
      </c>
      <c r="BBL1" s="286" t="s">
        <v>3927</v>
      </c>
      <c r="BBM1" s="286" t="s">
        <v>3928</v>
      </c>
      <c r="BBN1" s="286" t="s">
        <v>3929</v>
      </c>
      <c r="BBO1" s="286" t="s">
        <v>3930</v>
      </c>
      <c r="BBP1" s="286" t="s">
        <v>3931</v>
      </c>
      <c r="BBQ1" s="286" t="s">
        <v>3932</v>
      </c>
      <c r="BBR1" s="286" t="s">
        <v>3933</v>
      </c>
      <c r="BBS1" s="286" t="s">
        <v>3934</v>
      </c>
      <c r="BBT1" s="286" t="s">
        <v>3935</v>
      </c>
      <c r="BBU1" s="286" t="s">
        <v>3936</v>
      </c>
      <c r="BBV1" s="286" t="s">
        <v>3937</v>
      </c>
      <c r="BBW1" s="286" t="s">
        <v>3938</v>
      </c>
      <c r="BBX1" s="286" t="s">
        <v>3939</v>
      </c>
      <c r="BBY1" s="286" t="s">
        <v>3940</v>
      </c>
      <c r="BBZ1" s="286" t="s">
        <v>3941</v>
      </c>
      <c r="BCA1" s="286" t="s">
        <v>3942</v>
      </c>
      <c r="BCB1" s="286" t="s">
        <v>3943</v>
      </c>
      <c r="BCC1" s="286" t="s">
        <v>3944</v>
      </c>
      <c r="BCD1" s="286" t="s">
        <v>3945</v>
      </c>
      <c r="BCE1" s="286" t="s">
        <v>3946</v>
      </c>
      <c r="BCF1" s="286" t="s">
        <v>3947</v>
      </c>
      <c r="BCG1" s="286" t="s">
        <v>3948</v>
      </c>
      <c r="BCH1" s="286" t="s">
        <v>3949</v>
      </c>
      <c r="BCI1" s="286" t="s">
        <v>3950</v>
      </c>
      <c r="BCJ1" s="286" t="s">
        <v>3951</v>
      </c>
      <c r="BCK1" s="286" t="s">
        <v>3952</v>
      </c>
      <c r="BCL1" s="286" t="s">
        <v>3953</v>
      </c>
      <c r="BCM1" s="286" t="s">
        <v>3954</v>
      </c>
      <c r="BCN1" s="286" t="s">
        <v>3955</v>
      </c>
      <c r="BCO1" s="286" t="s">
        <v>3956</v>
      </c>
      <c r="BCP1" s="286" t="s">
        <v>3957</v>
      </c>
      <c r="BCQ1" s="286" t="s">
        <v>3958</v>
      </c>
      <c r="BCR1" s="286" t="s">
        <v>3959</v>
      </c>
      <c r="BCS1" s="286" t="s">
        <v>3960</v>
      </c>
      <c r="BCT1" s="286" t="s">
        <v>3961</v>
      </c>
      <c r="BCU1" s="286" t="s">
        <v>3962</v>
      </c>
      <c r="BCV1" s="286" t="s">
        <v>3963</v>
      </c>
      <c r="BCW1" s="286" t="s">
        <v>3964</v>
      </c>
      <c r="BCX1" s="286" t="s">
        <v>3965</v>
      </c>
      <c r="BCY1" s="286" t="s">
        <v>3966</v>
      </c>
      <c r="BCZ1" s="286" t="s">
        <v>3967</v>
      </c>
      <c r="BDA1" s="286" t="s">
        <v>3968</v>
      </c>
      <c r="BDB1" s="286" t="s">
        <v>3969</v>
      </c>
      <c r="BDC1" s="286" t="s">
        <v>3970</v>
      </c>
      <c r="BDD1" s="286" t="s">
        <v>3971</v>
      </c>
      <c r="BDE1" s="286" t="s">
        <v>3972</v>
      </c>
      <c r="BDF1" s="286" t="s">
        <v>3973</v>
      </c>
      <c r="BDG1" s="286" t="s">
        <v>3974</v>
      </c>
      <c r="BDH1" s="286" t="s">
        <v>3975</v>
      </c>
      <c r="BDI1" s="286" t="s">
        <v>3976</v>
      </c>
      <c r="BDJ1" s="286" t="s">
        <v>3977</v>
      </c>
      <c r="BDK1" s="286" t="s">
        <v>3978</v>
      </c>
      <c r="BDL1" s="286" t="s">
        <v>3979</v>
      </c>
      <c r="BDM1" s="286" t="s">
        <v>3980</v>
      </c>
      <c r="BDN1" s="286" t="s">
        <v>3981</v>
      </c>
      <c r="BDO1" s="286" t="s">
        <v>3982</v>
      </c>
      <c r="BDP1" s="286" t="s">
        <v>3983</v>
      </c>
      <c r="BDQ1" s="286" t="s">
        <v>3984</v>
      </c>
      <c r="BDR1" s="286" t="s">
        <v>3985</v>
      </c>
      <c r="BDS1" s="286" t="s">
        <v>3986</v>
      </c>
      <c r="BDT1" s="286" t="s">
        <v>3987</v>
      </c>
      <c r="BDU1" s="286" t="s">
        <v>3988</v>
      </c>
      <c r="BDV1" s="286" t="s">
        <v>3989</v>
      </c>
      <c r="BDW1" s="286" t="s">
        <v>3990</v>
      </c>
      <c r="BDX1" s="286" t="s">
        <v>3991</v>
      </c>
      <c r="BDY1" s="286" t="s">
        <v>3992</v>
      </c>
      <c r="BDZ1" s="286" t="s">
        <v>3993</v>
      </c>
      <c r="BEA1" s="286" t="s">
        <v>3994</v>
      </c>
      <c r="BEB1" s="286" t="s">
        <v>3995</v>
      </c>
      <c r="BEC1" s="286" t="s">
        <v>3996</v>
      </c>
      <c r="BED1" s="286" t="s">
        <v>3997</v>
      </c>
      <c r="BEE1" s="286" t="s">
        <v>3998</v>
      </c>
      <c r="BEF1" s="286" t="s">
        <v>3999</v>
      </c>
      <c r="BEG1" s="286" t="s">
        <v>4000</v>
      </c>
      <c r="BEH1" s="286" t="s">
        <v>4001</v>
      </c>
      <c r="BEI1" s="286" t="s">
        <v>4002</v>
      </c>
      <c r="BEJ1" s="286" t="s">
        <v>4003</v>
      </c>
      <c r="BEK1" s="286" t="s">
        <v>4004</v>
      </c>
      <c r="BEL1" s="286" t="s">
        <v>4005</v>
      </c>
      <c r="BEM1" s="286" t="s">
        <v>4006</v>
      </c>
      <c r="BEN1" s="286" t="s">
        <v>4007</v>
      </c>
      <c r="BEO1" s="286" t="s">
        <v>4008</v>
      </c>
      <c r="BEP1" s="286" t="s">
        <v>4009</v>
      </c>
      <c r="BEQ1" s="286" t="s">
        <v>4010</v>
      </c>
      <c r="BER1" s="286" t="s">
        <v>4011</v>
      </c>
      <c r="BES1" s="286" t="s">
        <v>4012</v>
      </c>
      <c r="BET1" s="286" t="s">
        <v>4013</v>
      </c>
      <c r="BEU1" s="286" t="s">
        <v>4014</v>
      </c>
      <c r="BEV1" s="286" t="s">
        <v>4015</v>
      </c>
      <c r="BEW1" s="286" t="s">
        <v>4016</v>
      </c>
      <c r="BEX1" s="286" t="s">
        <v>4017</v>
      </c>
      <c r="BEY1" s="286" t="s">
        <v>4018</v>
      </c>
      <c r="BEZ1" s="286" t="s">
        <v>4019</v>
      </c>
      <c r="BFA1" s="286" t="s">
        <v>4020</v>
      </c>
      <c r="BFB1" s="286" t="s">
        <v>4021</v>
      </c>
      <c r="BFC1" s="286" t="s">
        <v>4022</v>
      </c>
      <c r="BFD1" s="286" t="s">
        <v>4023</v>
      </c>
      <c r="BFE1" s="286" t="s">
        <v>4024</v>
      </c>
      <c r="BFF1" s="286" t="s">
        <v>4025</v>
      </c>
      <c r="BFG1" s="286" t="s">
        <v>4026</v>
      </c>
      <c r="BFH1" s="286" t="s">
        <v>4027</v>
      </c>
      <c r="BFI1" s="286" t="s">
        <v>4028</v>
      </c>
      <c r="BFJ1" s="286" t="s">
        <v>4029</v>
      </c>
      <c r="BFK1" s="286" t="s">
        <v>4030</v>
      </c>
      <c r="BFL1" s="286" t="s">
        <v>4031</v>
      </c>
      <c r="BFM1" s="286" t="s">
        <v>4032</v>
      </c>
      <c r="BFN1" s="286" t="s">
        <v>4033</v>
      </c>
      <c r="BFO1" s="286" t="s">
        <v>4034</v>
      </c>
      <c r="BFP1" s="286" t="s">
        <v>4035</v>
      </c>
      <c r="BFQ1" s="286" t="s">
        <v>4036</v>
      </c>
      <c r="BFR1" s="286" t="s">
        <v>4037</v>
      </c>
      <c r="BFS1" s="286" t="s">
        <v>4038</v>
      </c>
      <c r="BFT1" s="286" t="s">
        <v>4039</v>
      </c>
      <c r="BFU1" s="286" t="s">
        <v>4040</v>
      </c>
      <c r="BFV1" s="286" t="s">
        <v>4041</v>
      </c>
      <c r="BFW1" s="286" t="s">
        <v>4042</v>
      </c>
      <c r="BFX1" s="286" t="s">
        <v>4043</v>
      </c>
      <c r="BFY1" s="286" t="s">
        <v>4044</v>
      </c>
      <c r="BFZ1" s="286" t="s">
        <v>4045</v>
      </c>
      <c r="BGA1" s="286" t="s">
        <v>4046</v>
      </c>
      <c r="BGB1" s="286" t="s">
        <v>4047</v>
      </c>
      <c r="BGC1" s="286" t="s">
        <v>4048</v>
      </c>
      <c r="BGD1" s="286" t="s">
        <v>4049</v>
      </c>
      <c r="BGE1" s="286" t="s">
        <v>4050</v>
      </c>
      <c r="BGF1" s="286" t="s">
        <v>4051</v>
      </c>
      <c r="BGG1" s="286" t="s">
        <v>4052</v>
      </c>
      <c r="BGH1" s="286" t="s">
        <v>4053</v>
      </c>
      <c r="BGI1" s="286" t="s">
        <v>4054</v>
      </c>
      <c r="BGJ1" s="286" t="s">
        <v>4055</v>
      </c>
      <c r="BGK1" s="286" t="s">
        <v>4056</v>
      </c>
      <c r="BGL1" s="286" t="s">
        <v>4057</v>
      </c>
      <c r="BGM1" s="286" t="s">
        <v>4058</v>
      </c>
      <c r="BGN1" s="286" t="s">
        <v>4059</v>
      </c>
      <c r="BGO1" s="286" t="s">
        <v>4060</v>
      </c>
      <c r="BGP1" s="286" t="s">
        <v>4061</v>
      </c>
      <c r="BGQ1" s="286" t="s">
        <v>4062</v>
      </c>
      <c r="BGR1" s="286" t="s">
        <v>4063</v>
      </c>
      <c r="BGS1" s="286" t="s">
        <v>4064</v>
      </c>
      <c r="BGT1" s="286" t="s">
        <v>4065</v>
      </c>
      <c r="BGU1" s="286" t="s">
        <v>4066</v>
      </c>
      <c r="BGV1" s="286" t="s">
        <v>4067</v>
      </c>
      <c r="BGW1" s="286" t="s">
        <v>4068</v>
      </c>
      <c r="BGX1" s="286" t="s">
        <v>4069</v>
      </c>
      <c r="BGY1" s="286" t="s">
        <v>4070</v>
      </c>
      <c r="BGZ1" s="286" t="s">
        <v>4071</v>
      </c>
      <c r="BHA1" s="286" t="s">
        <v>4072</v>
      </c>
      <c r="BHB1" s="286" t="s">
        <v>4073</v>
      </c>
      <c r="BHC1" s="286" t="s">
        <v>4074</v>
      </c>
      <c r="BHD1" s="286" t="s">
        <v>4075</v>
      </c>
      <c r="BHE1" s="286" t="s">
        <v>4076</v>
      </c>
      <c r="BHF1" s="286" t="s">
        <v>4077</v>
      </c>
      <c r="BHG1" s="286" t="s">
        <v>4078</v>
      </c>
      <c r="BHH1" s="286" t="s">
        <v>4079</v>
      </c>
      <c r="BHI1" s="286" t="s">
        <v>4080</v>
      </c>
      <c r="BHJ1" s="286" t="s">
        <v>4081</v>
      </c>
      <c r="BHK1" s="286" t="s">
        <v>4082</v>
      </c>
      <c r="BHL1" s="286" t="s">
        <v>4083</v>
      </c>
      <c r="BHM1" s="286" t="s">
        <v>4084</v>
      </c>
      <c r="BHN1" s="286" t="s">
        <v>4085</v>
      </c>
      <c r="BHO1" s="286" t="s">
        <v>4086</v>
      </c>
      <c r="BHP1" s="286" t="s">
        <v>4087</v>
      </c>
      <c r="BHQ1" s="286" t="s">
        <v>4088</v>
      </c>
      <c r="BHR1" s="286" t="s">
        <v>4089</v>
      </c>
      <c r="BHS1" s="286" t="s">
        <v>4090</v>
      </c>
      <c r="BHT1" s="286" t="s">
        <v>4091</v>
      </c>
      <c r="BHU1" s="286" t="s">
        <v>4092</v>
      </c>
      <c r="BHV1" s="286" t="s">
        <v>4093</v>
      </c>
      <c r="BHW1" s="286" t="s">
        <v>4094</v>
      </c>
      <c r="BHX1" s="286" t="s">
        <v>4095</v>
      </c>
      <c r="BHY1" s="286" t="s">
        <v>4096</v>
      </c>
      <c r="BHZ1" s="286" t="s">
        <v>4097</v>
      </c>
      <c r="BIA1" s="286" t="s">
        <v>4098</v>
      </c>
      <c r="BIB1" s="286" t="s">
        <v>4099</v>
      </c>
      <c r="BIC1" s="286" t="s">
        <v>4100</v>
      </c>
      <c r="BID1" s="286" t="s">
        <v>4101</v>
      </c>
      <c r="BIE1" s="286" t="s">
        <v>4102</v>
      </c>
      <c r="BIF1" s="286" t="s">
        <v>4103</v>
      </c>
      <c r="BIG1" s="286" t="s">
        <v>4104</v>
      </c>
      <c r="BIH1" s="286" t="s">
        <v>4105</v>
      </c>
      <c r="BII1" s="286" t="s">
        <v>4106</v>
      </c>
      <c r="BIJ1" s="286" t="s">
        <v>4107</v>
      </c>
      <c r="BIK1" s="286" t="s">
        <v>4108</v>
      </c>
      <c r="BIL1" s="286" t="s">
        <v>4109</v>
      </c>
      <c r="BIM1" s="286" t="s">
        <v>4110</v>
      </c>
      <c r="BIN1" s="286" t="s">
        <v>4111</v>
      </c>
      <c r="BIO1" s="286" t="s">
        <v>4112</v>
      </c>
      <c r="BIP1" s="286" t="s">
        <v>4113</v>
      </c>
      <c r="BIQ1" s="286" t="s">
        <v>4114</v>
      </c>
      <c r="BIR1" s="286" t="s">
        <v>4115</v>
      </c>
      <c r="BIS1" s="286" t="s">
        <v>4116</v>
      </c>
      <c r="BIT1" s="286" t="s">
        <v>4117</v>
      </c>
      <c r="BIU1" s="286" t="s">
        <v>4118</v>
      </c>
      <c r="BIV1" s="286" t="s">
        <v>4119</v>
      </c>
      <c r="BIW1" s="286" t="s">
        <v>4120</v>
      </c>
      <c r="BIX1" s="286" t="s">
        <v>4121</v>
      </c>
      <c r="BIY1" s="286" t="s">
        <v>4122</v>
      </c>
      <c r="BIZ1" s="286" t="s">
        <v>4123</v>
      </c>
      <c r="BJA1" s="286" t="s">
        <v>4124</v>
      </c>
      <c r="BJB1" s="286" t="s">
        <v>4125</v>
      </c>
      <c r="BJC1" s="286" t="s">
        <v>4126</v>
      </c>
      <c r="BJD1" s="286" t="s">
        <v>4127</v>
      </c>
      <c r="BJE1" s="286" t="s">
        <v>4128</v>
      </c>
      <c r="BJF1" s="286" t="s">
        <v>4129</v>
      </c>
      <c r="BJG1" s="286" t="s">
        <v>4130</v>
      </c>
      <c r="BJH1" s="286" t="s">
        <v>4131</v>
      </c>
      <c r="BJI1" s="286" t="s">
        <v>4132</v>
      </c>
      <c r="BJJ1" s="286" t="s">
        <v>4133</v>
      </c>
      <c r="BJK1" s="286" t="s">
        <v>4134</v>
      </c>
      <c r="BJL1" s="286" t="s">
        <v>4135</v>
      </c>
      <c r="BJM1" s="286" t="s">
        <v>4136</v>
      </c>
      <c r="BJN1" s="286" t="s">
        <v>4137</v>
      </c>
      <c r="BJO1" s="286" t="s">
        <v>4138</v>
      </c>
      <c r="BJP1" s="286" t="s">
        <v>4139</v>
      </c>
      <c r="BJQ1" s="286" t="s">
        <v>4140</v>
      </c>
      <c r="BJR1" s="286" t="s">
        <v>4141</v>
      </c>
      <c r="BJS1" s="286" t="s">
        <v>4142</v>
      </c>
      <c r="BJT1" s="286" t="s">
        <v>4143</v>
      </c>
      <c r="BJU1" s="286" t="s">
        <v>4144</v>
      </c>
      <c r="BJV1" s="286" t="s">
        <v>4145</v>
      </c>
      <c r="BJW1" s="286" t="s">
        <v>4146</v>
      </c>
      <c r="BJX1" s="286" t="s">
        <v>4147</v>
      </c>
      <c r="BJY1" s="286" t="s">
        <v>4148</v>
      </c>
      <c r="BJZ1" s="286" t="s">
        <v>4149</v>
      </c>
      <c r="BKA1" s="286" t="s">
        <v>4150</v>
      </c>
      <c r="BKB1" s="286" t="s">
        <v>4151</v>
      </c>
      <c r="BKC1" s="286" t="s">
        <v>4152</v>
      </c>
      <c r="BKD1" s="286" t="s">
        <v>4153</v>
      </c>
      <c r="BKE1" s="286" t="s">
        <v>4154</v>
      </c>
      <c r="BKF1" s="286" t="s">
        <v>4155</v>
      </c>
      <c r="BKG1" s="286" t="s">
        <v>4156</v>
      </c>
      <c r="BKH1" s="286" t="s">
        <v>4157</v>
      </c>
      <c r="BKI1" s="286" t="s">
        <v>4158</v>
      </c>
      <c r="BKJ1" s="286" t="s">
        <v>4159</v>
      </c>
      <c r="BKK1" s="286" t="s">
        <v>4160</v>
      </c>
      <c r="BKL1" s="286" t="s">
        <v>4161</v>
      </c>
      <c r="BKM1" s="286" t="s">
        <v>4162</v>
      </c>
      <c r="BKN1" s="286" t="s">
        <v>4163</v>
      </c>
      <c r="BKO1" s="286" t="s">
        <v>4164</v>
      </c>
      <c r="BKP1" s="286" t="s">
        <v>4165</v>
      </c>
      <c r="BKQ1" s="286" t="s">
        <v>4166</v>
      </c>
      <c r="BKR1" s="286" t="s">
        <v>4167</v>
      </c>
      <c r="BKS1" s="286" t="s">
        <v>4168</v>
      </c>
      <c r="BKT1" s="286" t="s">
        <v>4169</v>
      </c>
      <c r="BKU1" s="286" t="s">
        <v>4170</v>
      </c>
      <c r="BKV1" s="286" t="s">
        <v>4171</v>
      </c>
      <c r="BKW1" s="286" t="s">
        <v>4172</v>
      </c>
      <c r="BKX1" s="286" t="s">
        <v>4173</v>
      </c>
      <c r="BKY1" s="286" t="s">
        <v>4174</v>
      </c>
      <c r="BKZ1" s="286" t="s">
        <v>4175</v>
      </c>
      <c r="BLA1" s="286" t="s">
        <v>4176</v>
      </c>
      <c r="BLB1" s="286" t="s">
        <v>4177</v>
      </c>
      <c r="BLC1" s="286" t="s">
        <v>4178</v>
      </c>
      <c r="BLD1" s="286" t="s">
        <v>4179</v>
      </c>
      <c r="BLE1" s="286" t="s">
        <v>4180</v>
      </c>
      <c r="BLF1" s="286" t="s">
        <v>4181</v>
      </c>
      <c r="BLG1" s="286" t="s">
        <v>4182</v>
      </c>
      <c r="BLH1" s="286" t="s">
        <v>4183</v>
      </c>
      <c r="BLI1" s="286" t="s">
        <v>4184</v>
      </c>
      <c r="BLJ1" s="286" t="s">
        <v>4185</v>
      </c>
      <c r="BLK1" s="286" t="s">
        <v>4186</v>
      </c>
      <c r="BLL1" s="286" t="s">
        <v>4187</v>
      </c>
      <c r="BLM1" s="286" t="s">
        <v>4188</v>
      </c>
      <c r="BLN1" s="286" t="s">
        <v>4189</v>
      </c>
      <c r="BLO1" s="286" t="s">
        <v>4190</v>
      </c>
      <c r="BLP1" s="286" t="s">
        <v>4191</v>
      </c>
      <c r="BLQ1" s="286" t="s">
        <v>4192</v>
      </c>
      <c r="BLR1" s="286" t="s">
        <v>4193</v>
      </c>
      <c r="BLS1" s="286" t="s">
        <v>4194</v>
      </c>
      <c r="BLT1" s="286" t="s">
        <v>4195</v>
      </c>
      <c r="BLU1" s="286" t="s">
        <v>4196</v>
      </c>
      <c r="BLV1" s="286" t="s">
        <v>4197</v>
      </c>
      <c r="BLW1" s="286" t="s">
        <v>4198</v>
      </c>
      <c r="BLX1" s="286" t="s">
        <v>4199</v>
      </c>
      <c r="BLY1" s="286" t="s">
        <v>4200</v>
      </c>
      <c r="BLZ1" s="286" t="s">
        <v>4201</v>
      </c>
      <c r="BMA1" s="286" t="s">
        <v>4202</v>
      </c>
      <c r="BMB1" s="286" t="s">
        <v>4203</v>
      </c>
      <c r="BMC1" s="286" t="s">
        <v>4204</v>
      </c>
      <c r="BMD1" s="286" t="s">
        <v>4205</v>
      </c>
      <c r="BME1" s="286" t="s">
        <v>4206</v>
      </c>
      <c r="BMF1" s="286" t="s">
        <v>4207</v>
      </c>
      <c r="BMG1" s="286" t="s">
        <v>4208</v>
      </c>
      <c r="BMH1" s="286" t="s">
        <v>4209</v>
      </c>
      <c r="BMI1" s="286" t="s">
        <v>4210</v>
      </c>
      <c r="BMJ1" s="286" t="s">
        <v>4211</v>
      </c>
      <c r="BMK1" s="286" t="s">
        <v>4212</v>
      </c>
      <c r="BML1" s="286" t="s">
        <v>4213</v>
      </c>
      <c r="BMM1" s="286" t="s">
        <v>4214</v>
      </c>
      <c r="BMN1" s="286" t="s">
        <v>4215</v>
      </c>
      <c r="BMO1" s="286" t="s">
        <v>4216</v>
      </c>
      <c r="BMP1" s="286" t="s">
        <v>4217</v>
      </c>
      <c r="BMQ1" s="286" t="s">
        <v>4218</v>
      </c>
      <c r="BMR1" s="286" t="s">
        <v>4219</v>
      </c>
      <c r="BMS1" s="286" t="s">
        <v>4220</v>
      </c>
      <c r="BMT1" s="286" t="s">
        <v>4221</v>
      </c>
      <c r="BMU1" s="286" t="s">
        <v>4222</v>
      </c>
      <c r="BMV1" s="286" t="s">
        <v>4223</v>
      </c>
      <c r="BMW1" s="286" t="s">
        <v>4224</v>
      </c>
      <c r="BMX1" s="286" t="s">
        <v>4225</v>
      </c>
      <c r="BMY1" s="286" t="s">
        <v>4226</v>
      </c>
      <c r="BMZ1" s="286" t="s">
        <v>4227</v>
      </c>
      <c r="BNA1" s="286" t="s">
        <v>4228</v>
      </c>
      <c r="BNB1" s="286" t="s">
        <v>4229</v>
      </c>
      <c r="BNC1" s="286" t="s">
        <v>4230</v>
      </c>
      <c r="BND1" s="286" t="s">
        <v>4231</v>
      </c>
      <c r="BNE1" s="286" t="s">
        <v>4232</v>
      </c>
      <c r="BNF1" s="286" t="s">
        <v>4233</v>
      </c>
      <c r="BNG1" s="286" t="s">
        <v>4234</v>
      </c>
      <c r="BNH1" s="286" t="s">
        <v>4235</v>
      </c>
      <c r="BNI1" s="286" t="s">
        <v>4236</v>
      </c>
      <c r="BNJ1" s="286" t="s">
        <v>4237</v>
      </c>
      <c r="BNK1" s="286" t="s">
        <v>4238</v>
      </c>
      <c r="BNL1" s="286" t="s">
        <v>4239</v>
      </c>
      <c r="BNM1" s="286" t="s">
        <v>4240</v>
      </c>
      <c r="BNN1" s="286" t="s">
        <v>4241</v>
      </c>
      <c r="BNO1" s="286" t="s">
        <v>4242</v>
      </c>
      <c r="BNP1" s="286" t="s">
        <v>4243</v>
      </c>
      <c r="BNQ1" s="286" t="s">
        <v>4244</v>
      </c>
      <c r="BNR1" s="286" t="s">
        <v>4245</v>
      </c>
      <c r="BNS1" s="286" t="s">
        <v>4246</v>
      </c>
      <c r="BNT1" s="286" t="s">
        <v>4247</v>
      </c>
      <c r="BNU1" s="286" t="s">
        <v>4248</v>
      </c>
      <c r="BNV1" s="286" t="s">
        <v>4249</v>
      </c>
      <c r="BNW1" s="286" t="s">
        <v>4250</v>
      </c>
      <c r="BNX1" s="286" t="s">
        <v>4251</v>
      </c>
      <c r="BNY1" s="286" t="s">
        <v>4252</v>
      </c>
      <c r="BNZ1" s="286" t="s">
        <v>4253</v>
      </c>
      <c r="BOA1" s="286" t="s">
        <v>4254</v>
      </c>
      <c r="BOB1" s="286" t="s">
        <v>4255</v>
      </c>
      <c r="BOC1" s="286" t="s">
        <v>4256</v>
      </c>
      <c r="BOD1" s="286" t="s">
        <v>4257</v>
      </c>
      <c r="BOE1" s="286" t="s">
        <v>4258</v>
      </c>
      <c r="BOF1" s="286" t="s">
        <v>4259</v>
      </c>
      <c r="BOG1" s="286" t="s">
        <v>4260</v>
      </c>
      <c r="BOH1" s="286" t="s">
        <v>4261</v>
      </c>
      <c r="BOI1" s="286" t="s">
        <v>4262</v>
      </c>
      <c r="BOJ1" s="286" t="s">
        <v>4263</v>
      </c>
      <c r="BOK1" s="286" t="s">
        <v>4264</v>
      </c>
      <c r="BOL1" s="286" t="s">
        <v>4265</v>
      </c>
      <c r="BOM1" s="286" t="s">
        <v>4266</v>
      </c>
      <c r="BON1" s="286" t="s">
        <v>4267</v>
      </c>
      <c r="BOO1" s="286" t="s">
        <v>4268</v>
      </c>
      <c r="BOP1" s="286" t="s">
        <v>4269</v>
      </c>
      <c r="BOQ1" s="286" t="s">
        <v>4270</v>
      </c>
      <c r="BOR1" s="286" t="s">
        <v>4271</v>
      </c>
      <c r="BOS1" s="286" t="s">
        <v>4272</v>
      </c>
      <c r="BOT1" s="286" t="s">
        <v>4273</v>
      </c>
      <c r="BOU1" s="286" t="s">
        <v>4274</v>
      </c>
      <c r="BOV1" s="286" t="s">
        <v>4275</v>
      </c>
      <c r="BOW1" s="286" t="s">
        <v>4276</v>
      </c>
      <c r="BOX1" s="286" t="s">
        <v>4277</v>
      </c>
      <c r="BOY1" s="286" t="s">
        <v>4278</v>
      </c>
      <c r="BOZ1" s="286" t="s">
        <v>4279</v>
      </c>
      <c r="BPA1" s="286" t="s">
        <v>4280</v>
      </c>
      <c r="BPB1" s="286" t="s">
        <v>4281</v>
      </c>
      <c r="BPC1" s="286" t="s">
        <v>4282</v>
      </c>
      <c r="BPD1" s="286" t="s">
        <v>4283</v>
      </c>
      <c r="BPE1" s="286" t="s">
        <v>4284</v>
      </c>
      <c r="BPF1" s="286" t="s">
        <v>4285</v>
      </c>
      <c r="BPG1" s="286" t="s">
        <v>4286</v>
      </c>
      <c r="BPH1" s="286" t="s">
        <v>4287</v>
      </c>
      <c r="BPI1" s="286" t="s">
        <v>4288</v>
      </c>
      <c r="BPJ1" s="286" t="s">
        <v>4289</v>
      </c>
      <c r="BPK1" s="286" t="s">
        <v>4290</v>
      </c>
      <c r="BPL1" s="286" t="s">
        <v>4291</v>
      </c>
      <c r="BPM1" s="286" t="s">
        <v>4292</v>
      </c>
      <c r="BPN1" s="286" t="s">
        <v>4293</v>
      </c>
      <c r="BPO1" s="286" t="s">
        <v>4294</v>
      </c>
      <c r="BPP1" s="286" t="s">
        <v>4295</v>
      </c>
      <c r="BPQ1" s="286" t="s">
        <v>4296</v>
      </c>
      <c r="BPR1" s="286" t="s">
        <v>4297</v>
      </c>
      <c r="BPS1" s="286" t="s">
        <v>4298</v>
      </c>
      <c r="BPT1" s="286" t="s">
        <v>4299</v>
      </c>
      <c r="BPU1" s="286" t="s">
        <v>4300</v>
      </c>
      <c r="BPV1" s="286" t="s">
        <v>4301</v>
      </c>
      <c r="BPW1" s="286" t="s">
        <v>4302</v>
      </c>
      <c r="BPX1" s="286" t="s">
        <v>4303</v>
      </c>
      <c r="BPY1" s="286" t="s">
        <v>4304</v>
      </c>
      <c r="BPZ1" s="286" t="s">
        <v>4305</v>
      </c>
      <c r="BQA1" s="286" t="s">
        <v>4306</v>
      </c>
      <c r="BQB1" s="286" t="s">
        <v>4307</v>
      </c>
      <c r="BQC1" s="286" t="s">
        <v>4308</v>
      </c>
      <c r="BQD1" s="286" t="s">
        <v>4309</v>
      </c>
      <c r="BQE1" s="286" t="s">
        <v>4310</v>
      </c>
      <c r="BQF1" s="286" t="s">
        <v>4311</v>
      </c>
      <c r="BQG1" s="286" t="s">
        <v>4312</v>
      </c>
      <c r="BQH1" s="286" t="s">
        <v>4313</v>
      </c>
      <c r="BQI1" s="286" t="s">
        <v>4314</v>
      </c>
      <c r="BQJ1" s="286" t="s">
        <v>4315</v>
      </c>
      <c r="BQK1" s="286" t="s">
        <v>4316</v>
      </c>
      <c r="BQL1" s="286" t="s">
        <v>4317</v>
      </c>
      <c r="BQM1" s="286" t="s">
        <v>4318</v>
      </c>
      <c r="BQN1" s="286" t="s">
        <v>4319</v>
      </c>
      <c r="BQO1" s="286" t="s">
        <v>4320</v>
      </c>
      <c r="BQP1" s="286" t="s">
        <v>4321</v>
      </c>
      <c r="BQQ1" s="286" t="s">
        <v>4322</v>
      </c>
      <c r="BQR1" s="286" t="s">
        <v>4323</v>
      </c>
      <c r="BQS1" s="286" t="s">
        <v>4324</v>
      </c>
      <c r="BQT1" s="286" t="s">
        <v>4325</v>
      </c>
      <c r="BQU1" s="286" t="s">
        <v>4326</v>
      </c>
      <c r="BQV1" s="286" t="s">
        <v>4327</v>
      </c>
      <c r="BQW1" s="286" t="s">
        <v>4328</v>
      </c>
      <c r="BQX1" s="286" t="s">
        <v>4329</v>
      </c>
      <c r="BQY1" s="286" t="s">
        <v>4330</v>
      </c>
      <c r="BQZ1" s="286" t="s">
        <v>4331</v>
      </c>
      <c r="BRA1" s="286" t="s">
        <v>4332</v>
      </c>
      <c r="BRB1" s="286" t="s">
        <v>4333</v>
      </c>
      <c r="BRC1" s="286" t="s">
        <v>4334</v>
      </c>
      <c r="BRD1" s="286" t="s">
        <v>4335</v>
      </c>
      <c r="BRE1" s="286" t="s">
        <v>4336</v>
      </c>
      <c r="BRF1" s="286" t="s">
        <v>4337</v>
      </c>
      <c r="BRG1" s="286" t="s">
        <v>4338</v>
      </c>
      <c r="BRH1" s="286" t="s">
        <v>4339</v>
      </c>
      <c r="BRI1" s="286" t="s">
        <v>4340</v>
      </c>
      <c r="BRJ1" s="286" t="s">
        <v>4341</v>
      </c>
      <c r="BRK1" s="286" t="s">
        <v>4342</v>
      </c>
      <c r="BRL1" s="286" t="s">
        <v>4343</v>
      </c>
      <c r="BRM1" s="286" t="s">
        <v>4344</v>
      </c>
      <c r="BRN1" s="286" t="s">
        <v>4345</v>
      </c>
      <c r="BRO1" s="286" t="s">
        <v>4346</v>
      </c>
      <c r="BRP1" s="286" t="s">
        <v>4347</v>
      </c>
      <c r="BRQ1" s="286" t="s">
        <v>4348</v>
      </c>
      <c r="BRR1" s="286" t="s">
        <v>4349</v>
      </c>
      <c r="BRS1" s="286" t="s">
        <v>4350</v>
      </c>
      <c r="BRT1" s="286" t="s">
        <v>4351</v>
      </c>
      <c r="BRU1" s="286" t="s">
        <v>4352</v>
      </c>
      <c r="BRV1" s="286" t="s">
        <v>4353</v>
      </c>
      <c r="BRW1" s="286" t="s">
        <v>4354</v>
      </c>
      <c r="BRX1" s="286" t="s">
        <v>4355</v>
      </c>
      <c r="BRY1" s="286" t="s">
        <v>4356</v>
      </c>
      <c r="BRZ1" s="286" t="s">
        <v>4357</v>
      </c>
      <c r="BSA1" s="286" t="s">
        <v>4358</v>
      </c>
      <c r="BSB1" s="286" t="s">
        <v>4359</v>
      </c>
      <c r="BSC1" s="286" t="s">
        <v>4360</v>
      </c>
      <c r="BSD1" s="286" t="s">
        <v>4361</v>
      </c>
      <c r="BSE1" s="286" t="s">
        <v>4362</v>
      </c>
      <c r="BSF1" s="286" t="s">
        <v>4363</v>
      </c>
      <c r="BSG1" s="286" t="s">
        <v>4364</v>
      </c>
      <c r="BSH1" s="286" t="s">
        <v>4365</v>
      </c>
      <c r="BSI1" s="286" t="s">
        <v>4366</v>
      </c>
      <c r="BSJ1" s="286" t="s">
        <v>4367</v>
      </c>
      <c r="BSK1" s="286" t="s">
        <v>4368</v>
      </c>
      <c r="BSL1" s="286" t="s">
        <v>4369</v>
      </c>
      <c r="BSM1" s="286" t="s">
        <v>4370</v>
      </c>
      <c r="BSN1" s="286" t="s">
        <v>4371</v>
      </c>
      <c r="BSO1" s="286" t="s">
        <v>4372</v>
      </c>
      <c r="BSP1" s="286" t="s">
        <v>4373</v>
      </c>
      <c r="BSQ1" s="286" t="s">
        <v>4374</v>
      </c>
      <c r="BSR1" s="286" t="s">
        <v>4375</v>
      </c>
      <c r="BSS1" s="286" t="s">
        <v>4376</v>
      </c>
      <c r="BST1" s="286" t="s">
        <v>4377</v>
      </c>
      <c r="BSU1" s="286" t="s">
        <v>4378</v>
      </c>
      <c r="BSV1" s="286" t="s">
        <v>4379</v>
      </c>
      <c r="BSW1" s="286" t="s">
        <v>4380</v>
      </c>
      <c r="BSX1" s="286" t="s">
        <v>4381</v>
      </c>
      <c r="BSY1" s="286" t="s">
        <v>4382</v>
      </c>
      <c r="BSZ1" s="286" t="s">
        <v>4383</v>
      </c>
      <c r="BTA1" s="286" t="s">
        <v>4384</v>
      </c>
      <c r="BTB1" s="286" t="s">
        <v>4385</v>
      </c>
      <c r="BTC1" s="286" t="s">
        <v>4386</v>
      </c>
      <c r="BTD1" s="286" t="s">
        <v>4387</v>
      </c>
      <c r="BTE1" s="286" t="s">
        <v>4388</v>
      </c>
      <c r="BTF1" s="286" t="s">
        <v>4389</v>
      </c>
      <c r="BTG1" s="286" t="s">
        <v>4390</v>
      </c>
      <c r="BTH1" s="286" t="s">
        <v>4391</v>
      </c>
      <c r="BTI1" s="286" t="s">
        <v>4392</v>
      </c>
      <c r="BTJ1" s="286" t="s">
        <v>4393</v>
      </c>
      <c r="BTK1" s="286" t="s">
        <v>4394</v>
      </c>
      <c r="BTL1" s="286" t="s">
        <v>4395</v>
      </c>
      <c r="BTM1" s="286" t="s">
        <v>4396</v>
      </c>
      <c r="BTN1" s="286" t="s">
        <v>4397</v>
      </c>
      <c r="BTO1" s="286" t="s">
        <v>4398</v>
      </c>
      <c r="BTP1" s="286" t="s">
        <v>4399</v>
      </c>
      <c r="BTQ1" s="286" t="s">
        <v>4400</v>
      </c>
      <c r="BTR1" s="286" t="s">
        <v>4401</v>
      </c>
      <c r="BTS1" s="286" t="s">
        <v>4402</v>
      </c>
      <c r="BTT1" s="286" t="s">
        <v>4403</v>
      </c>
      <c r="BTU1" s="286" t="s">
        <v>4404</v>
      </c>
      <c r="BTV1" s="286" t="s">
        <v>4405</v>
      </c>
      <c r="BTW1" s="286" t="s">
        <v>4406</v>
      </c>
      <c r="BTX1" s="286" t="s">
        <v>4407</v>
      </c>
      <c r="BTY1" s="286" t="s">
        <v>4408</v>
      </c>
      <c r="BTZ1" s="286" t="s">
        <v>4409</v>
      </c>
      <c r="BUA1" s="286" t="s">
        <v>4410</v>
      </c>
      <c r="BUB1" s="286" t="s">
        <v>4411</v>
      </c>
      <c r="BUC1" s="286" t="s">
        <v>4412</v>
      </c>
      <c r="BUD1" s="286" t="s">
        <v>4413</v>
      </c>
      <c r="BUE1" s="286" t="s">
        <v>4414</v>
      </c>
      <c r="BUF1" s="286" t="s">
        <v>4415</v>
      </c>
      <c r="BUG1" s="286" t="s">
        <v>4416</v>
      </c>
      <c r="BUH1" s="286" t="s">
        <v>4417</v>
      </c>
      <c r="BUI1" s="286" t="s">
        <v>4418</v>
      </c>
      <c r="BUJ1" s="286" t="s">
        <v>4419</v>
      </c>
      <c r="BUK1" s="286" t="s">
        <v>4420</v>
      </c>
      <c r="BUL1" s="286" t="s">
        <v>4421</v>
      </c>
      <c r="BUM1" s="286" t="s">
        <v>4422</v>
      </c>
      <c r="BUN1" s="286" t="s">
        <v>4423</v>
      </c>
      <c r="BUO1" s="286" t="s">
        <v>4424</v>
      </c>
      <c r="BUP1" s="286" t="s">
        <v>4425</v>
      </c>
      <c r="BUQ1" s="286" t="s">
        <v>4426</v>
      </c>
      <c r="BUR1" s="286" t="s">
        <v>4427</v>
      </c>
      <c r="BUS1" s="286" t="s">
        <v>4428</v>
      </c>
      <c r="BUT1" s="286" t="s">
        <v>4429</v>
      </c>
      <c r="BUU1" s="286" t="s">
        <v>4430</v>
      </c>
      <c r="BUV1" s="286" t="s">
        <v>4431</v>
      </c>
      <c r="BUW1" s="286" t="s">
        <v>4432</v>
      </c>
      <c r="BUX1" s="286" t="s">
        <v>4433</v>
      </c>
      <c r="BUY1" s="286" t="s">
        <v>4434</v>
      </c>
      <c r="BUZ1" s="286" t="s">
        <v>4435</v>
      </c>
      <c r="BVA1" s="286" t="s">
        <v>4436</v>
      </c>
      <c r="BVB1" s="286" t="s">
        <v>4437</v>
      </c>
      <c r="BVC1" s="286" t="s">
        <v>4438</v>
      </c>
      <c r="BVD1" s="286" t="s">
        <v>4439</v>
      </c>
      <c r="BVE1" s="286" t="s">
        <v>4440</v>
      </c>
      <c r="BVF1" s="286" t="s">
        <v>4441</v>
      </c>
      <c r="BVG1" s="286" t="s">
        <v>4442</v>
      </c>
      <c r="BVH1" s="286" t="s">
        <v>4443</v>
      </c>
      <c r="BVI1" s="286" t="s">
        <v>4444</v>
      </c>
      <c r="BVJ1" s="286" t="s">
        <v>4445</v>
      </c>
      <c r="BVK1" s="286" t="s">
        <v>4446</v>
      </c>
      <c r="BVL1" s="286" t="s">
        <v>4447</v>
      </c>
      <c r="BVM1" s="286" t="s">
        <v>4448</v>
      </c>
      <c r="BVN1" s="286" t="s">
        <v>4449</v>
      </c>
      <c r="BVO1" s="286" t="s">
        <v>4450</v>
      </c>
      <c r="BVP1" s="286" t="s">
        <v>4451</v>
      </c>
      <c r="BVQ1" s="286" t="s">
        <v>4452</v>
      </c>
      <c r="BVR1" s="286" t="s">
        <v>4453</v>
      </c>
      <c r="BVS1" s="286" t="s">
        <v>4454</v>
      </c>
      <c r="BVT1" s="286" t="s">
        <v>4455</v>
      </c>
      <c r="BVU1" s="286" t="s">
        <v>4456</v>
      </c>
      <c r="BVV1" s="286" t="s">
        <v>4457</v>
      </c>
      <c r="BVW1" s="286" t="s">
        <v>4458</v>
      </c>
      <c r="BVX1" s="286" t="s">
        <v>4459</v>
      </c>
      <c r="BVY1" s="286" t="s">
        <v>4460</v>
      </c>
      <c r="BVZ1" s="286" t="s">
        <v>4461</v>
      </c>
      <c r="BWA1" s="286" t="s">
        <v>4462</v>
      </c>
      <c r="BWB1" s="286" t="s">
        <v>4463</v>
      </c>
      <c r="BWC1" s="286" t="s">
        <v>4464</v>
      </c>
      <c r="BWD1" s="286" t="s">
        <v>4465</v>
      </c>
      <c r="BWE1" s="286" t="s">
        <v>4466</v>
      </c>
      <c r="BWF1" s="286" t="s">
        <v>4467</v>
      </c>
      <c r="BWG1" s="286" t="s">
        <v>4468</v>
      </c>
      <c r="BWH1" s="286" t="s">
        <v>4469</v>
      </c>
      <c r="BWI1" s="286" t="s">
        <v>4470</v>
      </c>
      <c r="BWJ1" s="286" t="s">
        <v>4471</v>
      </c>
      <c r="BWK1" s="286" t="s">
        <v>4472</v>
      </c>
      <c r="BWL1" s="286" t="s">
        <v>4473</v>
      </c>
      <c r="BWM1" s="286" t="s">
        <v>4474</v>
      </c>
      <c r="BWN1" s="286" t="s">
        <v>4475</v>
      </c>
      <c r="BWO1" s="286" t="s">
        <v>4476</v>
      </c>
      <c r="BWP1" s="286" t="s">
        <v>4477</v>
      </c>
      <c r="BWQ1" s="286" t="s">
        <v>4478</v>
      </c>
      <c r="BWR1" s="286" t="s">
        <v>4479</v>
      </c>
      <c r="BWS1" s="286" t="s">
        <v>4480</v>
      </c>
      <c r="BWT1" s="286" t="s">
        <v>4481</v>
      </c>
      <c r="BWU1" s="286" t="s">
        <v>4482</v>
      </c>
      <c r="BWV1" s="286" t="s">
        <v>4483</v>
      </c>
      <c r="BWW1" s="286" t="s">
        <v>4484</v>
      </c>
      <c r="BWX1" s="286" t="s">
        <v>4485</v>
      </c>
      <c r="BWY1" s="286" t="s">
        <v>4486</v>
      </c>
      <c r="BWZ1" s="286" t="s">
        <v>4487</v>
      </c>
      <c r="BXA1" s="286" t="s">
        <v>4488</v>
      </c>
      <c r="BXB1" s="286" t="s">
        <v>4489</v>
      </c>
      <c r="BXC1" s="286" t="s">
        <v>4490</v>
      </c>
      <c r="BXD1" s="286" t="s">
        <v>4491</v>
      </c>
      <c r="BXE1" s="286" t="s">
        <v>4492</v>
      </c>
      <c r="BXF1" s="286" t="s">
        <v>4493</v>
      </c>
      <c r="BXG1" s="286" t="s">
        <v>4494</v>
      </c>
      <c r="BXH1" s="286" t="s">
        <v>4495</v>
      </c>
      <c r="BXI1" s="286" t="s">
        <v>4496</v>
      </c>
      <c r="BXJ1" s="286" t="s">
        <v>4497</v>
      </c>
      <c r="BXK1" s="286" t="s">
        <v>4498</v>
      </c>
      <c r="BXL1" s="286" t="s">
        <v>4499</v>
      </c>
      <c r="BXM1" s="286" t="s">
        <v>4500</v>
      </c>
      <c r="BXN1" s="286" t="s">
        <v>4501</v>
      </c>
      <c r="BXO1" s="286" t="s">
        <v>4502</v>
      </c>
      <c r="BXP1" s="286" t="s">
        <v>4503</v>
      </c>
      <c r="BXQ1" s="286" t="s">
        <v>4504</v>
      </c>
      <c r="BXR1" s="286" t="s">
        <v>4505</v>
      </c>
      <c r="BXS1" s="286" t="s">
        <v>4506</v>
      </c>
      <c r="BXT1" s="286" t="s">
        <v>4507</v>
      </c>
      <c r="BXU1" s="286" t="s">
        <v>4508</v>
      </c>
      <c r="BXV1" s="286" t="s">
        <v>4509</v>
      </c>
      <c r="BXW1" s="286" t="s">
        <v>4510</v>
      </c>
      <c r="BXX1" s="286" t="s">
        <v>4511</v>
      </c>
      <c r="BXY1" s="286" t="s">
        <v>4512</v>
      </c>
      <c r="BXZ1" s="286" t="s">
        <v>4513</v>
      </c>
      <c r="BYA1" s="286" t="s">
        <v>4514</v>
      </c>
      <c r="BYB1" s="286" t="s">
        <v>4515</v>
      </c>
      <c r="BYC1" s="286" t="s">
        <v>4516</v>
      </c>
      <c r="BYD1" s="286" t="s">
        <v>4517</v>
      </c>
      <c r="BYE1" s="286" t="s">
        <v>4518</v>
      </c>
      <c r="BYF1" s="286" t="s">
        <v>4519</v>
      </c>
      <c r="BYG1" s="286" t="s">
        <v>4520</v>
      </c>
      <c r="BYH1" s="286" t="s">
        <v>4521</v>
      </c>
      <c r="BYI1" s="286" t="s">
        <v>4522</v>
      </c>
      <c r="BYJ1" s="286" t="s">
        <v>4523</v>
      </c>
      <c r="BYK1" s="286" t="s">
        <v>4524</v>
      </c>
      <c r="BYL1" s="286" t="s">
        <v>4525</v>
      </c>
      <c r="BYM1" s="286" t="s">
        <v>4526</v>
      </c>
      <c r="BYN1" s="286" t="s">
        <v>4527</v>
      </c>
      <c r="BYO1" s="286" t="s">
        <v>4528</v>
      </c>
      <c r="BYP1" s="286" t="s">
        <v>4529</v>
      </c>
      <c r="BYQ1" s="286" t="s">
        <v>4530</v>
      </c>
      <c r="BYR1" s="286" t="s">
        <v>4531</v>
      </c>
      <c r="BYS1" s="286" t="s">
        <v>4532</v>
      </c>
      <c r="BYT1" s="286" t="s">
        <v>4533</v>
      </c>
      <c r="BYU1" s="286" t="s">
        <v>4534</v>
      </c>
      <c r="BYV1" s="286" t="s">
        <v>4535</v>
      </c>
      <c r="BYW1" s="286" t="s">
        <v>4536</v>
      </c>
      <c r="BYX1" s="286" t="s">
        <v>4537</v>
      </c>
      <c r="BYY1" s="286" t="s">
        <v>4538</v>
      </c>
      <c r="BYZ1" s="286" t="s">
        <v>4539</v>
      </c>
      <c r="BZA1" s="286" t="s">
        <v>4540</v>
      </c>
      <c r="BZB1" s="286" t="s">
        <v>4541</v>
      </c>
      <c r="BZC1" s="286" t="s">
        <v>4542</v>
      </c>
      <c r="BZD1" s="286" t="s">
        <v>4543</v>
      </c>
      <c r="BZE1" s="286" t="s">
        <v>4544</v>
      </c>
      <c r="BZF1" s="286" t="s">
        <v>4545</v>
      </c>
      <c r="BZG1" s="286" t="s">
        <v>4546</v>
      </c>
      <c r="BZH1" s="286" t="s">
        <v>4547</v>
      </c>
      <c r="BZI1" s="286" t="s">
        <v>4548</v>
      </c>
      <c r="BZJ1" s="286" t="s">
        <v>4549</v>
      </c>
      <c r="BZK1" s="286" t="s">
        <v>4550</v>
      </c>
      <c r="BZL1" s="286" t="s">
        <v>4551</v>
      </c>
      <c r="BZM1" s="286" t="s">
        <v>4552</v>
      </c>
      <c r="BZN1" s="286" t="s">
        <v>4553</v>
      </c>
      <c r="BZO1" s="286" t="s">
        <v>4554</v>
      </c>
      <c r="BZP1" s="286" t="s">
        <v>4555</v>
      </c>
      <c r="BZQ1" s="286" t="s">
        <v>4556</v>
      </c>
      <c r="BZR1" s="286" t="s">
        <v>4557</v>
      </c>
      <c r="BZS1" s="286" t="s">
        <v>4558</v>
      </c>
      <c r="BZT1" s="286" t="s">
        <v>4559</v>
      </c>
      <c r="BZU1" s="286" t="s">
        <v>4560</v>
      </c>
      <c r="BZV1" s="286" t="s">
        <v>4561</v>
      </c>
      <c r="BZW1" s="286" t="s">
        <v>4562</v>
      </c>
      <c r="BZX1" s="286" t="s">
        <v>4563</v>
      </c>
      <c r="BZY1" s="286" t="s">
        <v>4564</v>
      </c>
      <c r="BZZ1" s="286" t="s">
        <v>4565</v>
      </c>
      <c r="CAA1" s="286" t="s">
        <v>4566</v>
      </c>
      <c r="CAB1" s="286" t="s">
        <v>4567</v>
      </c>
      <c r="CAC1" s="286" t="s">
        <v>4568</v>
      </c>
      <c r="CAD1" s="286" t="s">
        <v>4569</v>
      </c>
      <c r="CAE1" s="286" t="s">
        <v>4570</v>
      </c>
      <c r="CAF1" s="286" t="s">
        <v>4571</v>
      </c>
      <c r="CAG1" s="286" t="s">
        <v>4572</v>
      </c>
      <c r="CAH1" s="286" t="s">
        <v>4573</v>
      </c>
      <c r="CAI1" s="286" t="s">
        <v>4574</v>
      </c>
      <c r="CAJ1" s="286" t="s">
        <v>4575</v>
      </c>
      <c r="CAK1" s="286" t="s">
        <v>4576</v>
      </c>
      <c r="CAL1" s="286" t="s">
        <v>4577</v>
      </c>
      <c r="CAM1" s="286" t="s">
        <v>4578</v>
      </c>
      <c r="CAN1" s="286" t="s">
        <v>4579</v>
      </c>
      <c r="CAO1" s="286" t="s">
        <v>4580</v>
      </c>
      <c r="CAP1" s="286" t="s">
        <v>4581</v>
      </c>
      <c r="CAQ1" s="286" t="s">
        <v>4582</v>
      </c>
      <c r="CAR1" s="286" t="s">
        <v>4583</v>
      </c>
      <c r="CAS1" s="286" t="s">
        <v>4584</v>
      </c>
      <c r="CAT1" s="286" t="s">
        <v>4585</v>
      </c>
      <c r="CAU1" s="286" t="s">
        <v>4586</v>
      </c>
      <c r="CAV1" s="286" t="s">
        <v>4587</v>
      </c>
      <c r="CAW1" s="286" t="s">
        <v>4588</v>
      </c>
      <c r="CAX1" s="286" t="s">
        <v>4589</v>
      </c>
      <c r="CAY1" s="286" t="s">
        <v>4590</v>
      </c>
      <c r="CAZ1" s="286" t="s">
        <v>4591</v>
      </c>
      <c r="CBA1" s="286" t="s">
        <v>4592</v>
      </c>
      <c r="CBB1" s="286" t="s">
        <v>4593</v>
      </c>
      <c r="CBC1" s="286" t="s">
        <v>4594</v>
      </c>
      <c r="CBD1" s="286" t="s">
        <v>4595</v>
      </c>
      <c r="CBE1" s="286" t="s">
        <v>4596</v>
      </c>
      <c r="CBF1" s="286" t="s">
        <v>4597</v>
      </c>
      <c r="CBG1" s="286" t="s">
        <v>4598</v>
      </c>
      <c r="CBH1" s="286" t="s">
        <v>4599</v>
      </c>
      <c r="CBI1" s="286" t="s">
        <v>4600</v>
      </c>
      <c r="CBJ1" s="286" t="s">
        <v>4601</v>
      </c>
      <c r="CBK1" s="286" t="s">
        <v>4602</v>
      </c>
      <c r="CBL1" s="286" t="s">
        <v>4603</v>
      </c>
      <c r="CBM1" s="286" t="s">
        <v>4604</v>
      </c>
      <c r="CBN1" s="286" t="s">
        <v>4605</v>
      </c>
      <c r="CBO1" s="286" t="s">
        <v>4606</v>
      </c>
      <c r="CBP1" s="286" t="s">
        <v>4607</v>
      </c>
      <c r="CBQ1" s="286" t="s">
        <v>4608</v>
      </c>
      <c r="CBR1" s="286" t="s">
        <v>4609</v>
      </c>
      <c r="CBS1" s="286" t="s">
        <v>4610</v>
      </c>
      <c r="CBT1" s="286" t="s">
        <v>4611</v>
      </c>
      <c r="CBU1" s="286" t="s">
        <v>4612</v>
      </c>
      <c r="CBV1" s="286" t="s">
        <v>4613</v>
      </c>
      <c r="CBW1" s="286" t="s">
        <v>4614</v>
      </c>
      <c r="CBX1" s="286" t="s">
        <v>4615</v>
      </c>
      <c r="CBY1" s="286" t="s">
        <v>4616</v>
      </c>
      <c r="CBZ1" s="286" t="s">
        <v>4617</v>
      </c>
      <c r="CCA1" s="286" t="s">
        <v>4618</v>
      </c>
      <c r="CCB1" s="286" t="s">
        <v>4619</v>
      </c>
      <c r="CCC1" s="286" t="s">
        <v>4620</v>
      </c>
      <c r="CCD1" s="286" t="s">
        <v>4621</v>
      </c>
      <c r="CCE1" s="286" t="s">
        <v>4622</v>
      </c>
      <c r="CCF1" s="286" t="s">
        <v>4623</v>
      </c>
      <c r="CCG1" s="286" t="s">
        <v>4624</v>
      </c>
      <c r="CCH1" s="286" t="s">
        <v>4625</v>
      </c>
      <c r="CCI1" s="286" t="s">
        <v>4626</v>
      </c>
      <c r="CCJ1" s="286" t="s">
        <v>4627</v>
      </c>
      <c r="CCK1" s="286" t="s">
        <v>4628</v>
      </c>
      <c r="CCL1" s="286" t="s">
        <v>4629</v>
      </c>
      <c r="CCM1" s="286" t="s">
        <v>4630</v>
      </c>
      <c r="CCN1" s="286" t="s">
        <v>4631</v>
      </c>
      <c r="CCO1" s="286" t="s">
        <v>4632</v>
      </c>
      <c r="CCP1" s="286" t="s">
        <v>4633</v>
      </c>
      <c r="CCQ1" s="286" t="s">
        <v>4634</v>
      </c>
      <c r="CCR1" s="286" t="s">
        <v>4635</v>
      </c>
      <c r="CCS1" s="286" t="s">
        <v>4636</v>
      </c>
      <c r="CCT1" s="286" t="s">
        <v>4637</v>
      </c>
      <c r="CCU1" s="286" t="s">
        <v>4638</v>
      </c>
      <c r="CCV1" s="286" t="s">
        <v>4639</v>
      </c>
      <c r="CCW1" s="286" t="s">
        <v>4640</v>
      </c>
      <c r="CCX1" s="286" t="s">
        <v>4641</v>
      </c>
      <c r="CCY1" s="286" t="s">
        <v>4642</v>
      </c>
      <c r="CCZ1" s="286" t="s">
        <v>4643</v>
      </c>
      <c r="CDA1" s="286" t="s">
        <v>4644</v>
      </c>
      <c r="CDB1" s="286" t="s">
        <v>4645</v>
      </c>
      <c r="CDC1" s="286" t="s">
        <v>4646</v>
      </c>
      <c r="CDD1" s="286" t="s">
        <v>4647</v>
      </c>
      <c r="CDE1" s="286" t="s">
        <v>4648</v>
      </c>
      <c r="CDF1" s="286" t="s">
        <v>4649</v>
      </c>
      <c r="CDG1" s="286" t="s">
        <v>4650</v>
      </c>
      <c r="CDH1" s="286" t="s">
        <v>4651</v>
      </c>
      <c r="CDI1" s="286" t="s">
        <v>4652</v>
      </c>
      <c r="CDJ1" s="286" t="s">
        <v>4653</v>
      </c>
      <c r="CDK1" s="286" t="s">
        <v>4654</v>
      </c>
      <c r="CDL1" s="286" t="s">
        <v>4655</v>
      </c>
      <c r="CDM1" s="286" t="s">
        <v>4656</v>
      </c>
      <c r="CDN1" s="286" t="s">
        <v>4657</v>
      </c>
      <c r="CDO1" s="286" t="s">
        <v>4658</v>
      </c>
      <c r="CDP1" s="286" t="s">
        <v>4659</v>
      </c>
      <c r="CDQ1" s="286" t="s">
        <v>4660</v>
      </c>
      <c r="CDR1" s="286" t="s">
        <v>4661</v>
      </c>
      <c r="CDS1" s="286" t="s">
        <v>4662</v>
      </c>
      <c r="CDT1" s="286" t="s">
        <v>4663</v>
      </c>
      <c r="CDU1" s="286" t="s">
        <v>4664</v>
      </c>
      <c r="CDV1" s="286" t="s">
        <v>4665</v>
      </c>
      <c r="CDW1" s="286" t="s">
        <v>4666</v>
      </c>
      <c r="CDX1" s="286" t="s">
        <v>4667</v>
      </c>
      <c r="CDY1" s="286" t="s">
        <v>4668</v>
      </c>
      <c r="CDZ1" s="286" t="s">
        <v>4669</v>
      </c>
      <c r="CEA1" s="286" t="s">
        <v>4670</v>
      </c>
      <c r="CEB1" s="286" t="s">
        <v>4671</v>
      </c>
      <c r="CEC1" s="286" t="s">
        <v>4672</v>
      </c>
      <c r="CED1" s="286" t="s">
        <v>4673</v>
      </c>
      <c r="CEE1" s="286" t="s">
        <v>4674</v>
      </c>
      <c r="CEF1" s="286" t="s">
        <v>4675</v>
      </c>
      <c r="CEG1" s="286" t="s">
        <v>4676</v>
      </c>
      <c r="CEH1" s="286" t="s">
        <v>4677</v>
      </c>
      <c r="CEI1" s="286" t="s">
        <v>4678</v>
      </c>
      <c r="CEJ1" s="286" t="s">
        <v>4679</v>
      </c>
      <c r="CEK1" s="286" t="s">
        <v>4680</v>
      </c>
      <c r="CEL1" s="286" t="s">
        <v>4681</v>
      </c>
      <c r="CEM1" s="286" t="s">
        <v>4682</v>
      </c>
      <c r="CEN1" s="286" t="s">
        <v>4683</v>
      </c>
      <c r="CEO1" s="286" t="s">
        <v>4684</v>
      </c>
      <c r="CEP1" s="286" t="s">
        <v>4685</v>
      </c>
      <c r="CEQ1" s="286" t="s">
        <v>4686</v>
      </c>
      <c r="CER1" s="286" t="s">
        <v>4687</v>
      </c>
      <c r="CES1" s="286" t="s">
        <v>4688</v>
      </c>
      <c r="CET1" s="286" t="s">
        <v>4689</v>
      </c>
      <c r="CEU1" s="286" t="s">
        <v>4690</v>
      </c>
      <c r="CEV1" s="286" t="s">
        <v>4691</v>
      </c>
      <c r="CEW1" s="286" t="s">
        <v>4692</v>
      </c>
      <c r="CEX1" s="286" t="s">
        <v>4693</v>
      </c>
      <c r="CEY1" s="286" t="s">
        <v>4694</v>
      </c>
      <c r="CEZ1" s="286" t="s">
        <v>4695</v>
      </c>
      <c r="CFA1" s="286" t="s">
        <v>4696</v>
      </c>
      <c r="CFB1" s="286" t="s">
        <v>4697</v>
      </c>
      <c r="CFC1" s="286" t="s">
        <v>4698</v>
      </c>
      <c r="CFD1" s="286" t="s">
        <v>4699</v>
      </c>
      <c r="CFE1" s="286" t="s">
        <v>4700</v>
      </c>
      <c r="CFF1" s="286" t="s">
        <v>4701</v>
      </c>
      <c r="CFG1" s="286" t="s">
        <v>4702</v>
      </c>
      <c r="CFH1" s="286" t="s">
        <v>4703</v>
      </c>
      <c r="CFI1" s="286" t="s">
        <v>4704</v>
      </c>
      <c r="CFJ1" s="286" t="s">
        <v>4705</v>
      </c>
      <c r="CFK1" s="286" t="s">
        <v>4706</v>
      </c>
      <c r="CFL1" s="286" t="s">
        <v>4707</v>
      </c>
      <c r="CFM1" s="286" t="s">
        <v>4708</v>
      </c>
      <c r="CFN1" s="286" t="s">
        <v>4709</v>
      </c>
      <c r="CFO1" s="286" t="s">
        <v>4710</v>
      </c>
      <c r="CFP1" s="286" t="s">
        <v>4711</v>
      </c>
      <c r="CFQ1" s="286" t="s">
        <v>4712</v>
      </c>
      <c r="CFR1" s="286" t="s">
        <v>4713</v>
      </c>
      <c r="CFS1" s="286" t="s">
        <v>4714</v>
      </c>
      <c r="CFT1" s="286" t="s">
        <v>4715</v>
      </c>
      <c r="CFU1" s="286" t="s">
        <v>4716</v>
      </c>
      <c r="CFV1" s="286" t="s">
        <v>4717</v>
      </c>
      <c r="CFW1" s="286" t="s">
        <v>4718</v>
      </c>
      <c r="CFX1" s="286" t="s">
        <v>4719</v>
      </c>
      <c r="CFY1" s="286" t="s">
        <v>4720</v>
      </c>
      <c r="CFZ1" s="286" t="s">
        <v>4721</v>
      </c>
      <c r="CGA1" s="286" t="s">
        <v>4722</v>
      </c>
      <c r="CGB1" s="286" t="s">
        <v>4723</v>
      </c>
      <c r="CGC1" s="286" t="s">
        <v>4724</v>
      </c>
      <c r="CGD1" s="286" t="s">
        <v>4725</v>
      </c>
      <c r="CGE1" s="286" t="s">
        <v>4726</v>
      </c>
      <c r="CGF1" s="286" t="s">
        <v>4727</v>
      </c>
      <c r="CGG1" s="286" t="s">
        <v>4728</v>
      </c>
      <c r="CGH1" s="286" t="s">
        <v>4729</v>
      </c>
      <c r="CGI1" s="286" t="s">
        <v>4730</v>
      </c>
      <c r="CGJ1" s="286" t="s">
        <v>4731</v>
      </c>
      <c r="CGK1" s="286" t="s">
        <v>4732</v>
      </c>
      <c r="CGL1" s="286" t="s">
        <v>4733</v>
      </c>
      <c r="CGM1" s="286" t="s">
        <v>4734</v>
      </c>
      <c r="CGN1" s="286" t="s">
        <v>4735</v>
      </c>
      <c r="CGO1" s="286" t="s">
        <v>4736</v>
      </c>
      <c r="CGP1" s="286" t="s">
        <v>4737</v>
      </c>
      <c r="CGQ1" s="286" t="s">
        <v>4738</v>
      </c>
      <c r="CGR1" s="286" t="s">
        <v>4739</v>
      </c>
      <c r="CGS1" s="286" t="s">
        <v>4740</v>
      </c>
      <c r="CGT1" s="286" t="s">
        <v>4741</v>
      </c>
      <c r="CGU1" s="286" t="s">
        <v>4742</v>
      </c>
      <c r="CGV1" s="286" t="s">
        <v>4743</v>
      </c>
      <c r="CGW1" s="286" t="s">
        <v>4744</v>
      </c>
      <c r="CGX1" s="286" t="s">
        <v>4745</v>
      </c>
      <c r="CGY1" s="286" t="s">
        <v>4746</v>
      </c>
      <c r="CGZ1" s="286" t="s">
        <v>4747</v>
      </c>
      <c r="CHA1" s="286" t="s">
        <v>4748</v>
      </c>
      <c r="CHB1" s="286" t="s">
        <v>4749</v>
      </c>
      <c r="CHC1" s="286" t="s">
        <v>4750</v>
      </c>
      <c r="CHD1" s="286" t="s">
        <v>4751</v>
      </c>
      <c r="CHE1" s="286" t="s">
        <v>4752</v>
      </c>
      <c r="CHF1" s="286" t="s">
        <v>4753</v>
      </c>
      <c r="CHG1" s="286" t="s">
        <v>4754</v>
      </c>
      <c r="CHH1" s="286" t="s">
        <v>4755</v>
      </c>
      <c r="CHI1" s="286" t="s">
        <v>4756</v>
      </c>
      <c r="CHJ1" s="286" t="s">
        <v>4757</v>
      </c>
      <c r="CHK1" s="286" t="s">
        <v>4758</v>
      </c>
      <c r="CHL1" s="286" t="s">
        <v>4759</v>
      </c>
      <c r="CHM1" s="286" t="s">
        <v>4760</v>
      </c>
      <c r="CHN1" s="286" t="s">
        <v>4761</v>
      </c>
      <c r="CHO1" s="286" t="s">
        <v>4762</v>
      </c>
      <c r="CHP1" s="286" t="s">
        <v>4763</v>
      </c>
      <c r="CHQ1" s="286" t="s">
        <v>4764</v>
      </c>
      <c r="CHR1" s="286" t="s">
        <v>4765</v>
      </c>
      <c r="CHS1" s="286" t="s">
        <v>4766</v>
      </c>
      <c r="CHT1" s="286" t="s">
        <v>4767</v>
      </c>
      <c r="CHU1" s="286" t="s">
        <v>4768</v>
      </c>
      <c r="CHV1" s="286" t="s">
        <v>4769</v>
      </c>
      <c r="CHW1" s="286" t="s">
        <v>4770</v>
      </c>
      <c r="CHX1" s="286" t="s">
        <v>4771</v>
      </c>
      <c r="CHY1" s="286" t="s">
        <v>4772</v>
      </c>
      <c r="CHZ1" s="286" t="s">
        <v>4773</v>
      </c>
      <c r="CIA1" s="286" t="s">
        <v>4774</v>
      </c>
      <c r="CIB1" s="286" t="s">
        <v>4775</v>
      </c>
      <c r="CIC1" s="286" t="s">
        <v>4776</v>
      </c>
      <c r="CID1" s="286" t="s">
        <v>4777</v>
      </c>
      <c r="CIE1" s="286" t="s">
        <v>4778</v>
      </c>
      <c r="CIF1" s="286" t="s">
        <v>4779</v>
      </c>
      <c r="CIG1" s="286" t="s">
        <v>4780</v>
      </c>
      <c r="CIH1" s="286" t="s">
        <v>4781</v>
      </c>
      <c r="CII1" s="286" t="s">
        <v>4782</v>
      </c>
      <c r="CIJ1" s="286" t="s">
        <v>4783</v>
      </c>
      <c r="CIK1" s="286" t="s">
        <v>4784</v>
      </c>
      <c r="CIL1" s="286" t="s">
        <v>4785</v>
      </c>
      <c r="CIM1" s="286" t="s">
        <v>4786</v>
      </c>
      <c r="CIN1" s="286" t="s">
        <v>4787</v>
      </c>
      <c r="CIO1" s="286" t="s">
        <v>4788</v>
      </c>
      <c r="CIP1" s="286" t="s">
        <v>4789</v>
      </c>
      <c r="CIQ1" s="286" t="s">
        <v>4790</v>
      </c>
      <c r="CIR1" s="286" t="s">
        <v>4791</v>
      </c>
      <c r="CIS1" s="286" t="s">
        <v>4792</v>
      </c>
      <c r="CIT1" s="286" t="s">
        <v>4793</v>
      </c>
      <c r="CIU1" s="286" t="s">
        <v>4794</v>
      </c>
      <c r="CIV1" s="286" t="s">
        <v>4795</v>
      </c>
      <c r="CIW1" s="286" t="s">
        <v>4796</v>
      </c>
      <c r="CIX1" s="286" t="s">
        <v>4797</v>
      </c>
      <c r="CIY1" s="286" t="s">
        <v>4798</v>
      </c>
      <c r="CIZ1" s="286" t="s">
        <v>4799</v>
      </c>
      <c r="CJA1" s="286" t="s">
        <v>4800</v>
      </c>
      <c r="CJB1" s="286" t="s">
        <v>4801</v>
      </c>
      <c r="CJC1" s="286" t="s">
        <v>4802</v>
      </c>
      <c r="CJD1" s="286" t="s">
        <v>4803</v>
      </c>
      <c r="CJE1" s="286" t="s">
        <v>4804</v>
      </c>
      <c r="CJF1" s="286" t="s">
        <v>4805</v>
      </c>
      <c r="CJG1" s="286" t="s">
        <v>4806</v>
      </c>
      <c r="CJH1" s="286" t="s">
        <v>4807</v>
      </c>
      <c r="CJI1" s="286" t="s">
        <v>4808</v>
      </c>
      <c r="CJJ1" s="286" t="s">
        <v>4809</v>
      </c>
      <c r="CJK1" s="286" t="s">
        <v>4810</v>
      </c>
      <c r="CJL1" s="286" t="s">
        <v>4811</v>
      </c>
      <c r="CJM1" s="286" t="s">
        <v>4812</v>
      </c>
      <c r="CJN1" s="286" t="s">
        <v>4813</v>
      </c>
      <c r="CJO1" s="286" t="s">
        <v>4814</v>
      </c>
      <c r="CJP1" s="286" t="s">
        <v>4815</v>
      </c>
      <c r="CJQ1" s="286" t="s">
        <v>4816</v>
      </c>
      <c r="CJR1" s="286" t="s">
        <v>4817</v>
      </c>
      <c r="CJS1" s="286" t="s">
        <v>4818</v>
      </c>
      <c r="CJT1" s="286" t="s">
        <v>4819</v>
      </c>
      <c r="CJU1" s="286" t="s">
        <v>4820</v>
      </c>
      <c r="CJV1" s="286" t="s">
        <v>4821</v>
      </c>
      <c r="CJW1" s="286" t="s">
        <v>4822</v>
      </c>
      <c r="CJX1" s="286" t="s">
        <v>4823</v>
      </c>
      <c r="CJY1" s="286" t="s">
        <v>4824</v>
      </c>
      <c r="CJZ1" s="286" t="s">
        <v>4825</v>
      </c>
      <c r="CKA1" s="286" t="s">
        <v>4826</v>
      </c>
      <c r="CKB1" s="286" t="s">
        <v>4827</v>
      </c>
      <c r="CKC1" s="286" t="s">
        <v>4828</v>
      </c>
      <c r="CKD1" s="286" t="s">
        <v>4829</v>
      </c>
      <c r="CKE1" s="286" t="s">
        <v>4830</v>
      </c>
      <c r="CKF1" s="286" t="s">
        <v>4831</v>
      </c>
      <c r="CKG1" s="286" t="s">
        <v>4832</v>
      </c>
      <c r="CKH1" s="286" t="s">
        <v>4833</v>
      </c>
      <c r="CKI1" s="286" t="s">
        <v>4834</v>
      </c>
      <c r="CKJ1" s="286" t="s">
        <v>4835</v>
      </c>
      <c r="CKK1" s="286" t="s">
        <v>4836</v>
      </c>
      <c r="CKL1" s="286" t="s">
        <v>4837</v>
      </c>
      <c r="CKM1" s="286" t="s">
        <v>4838</v>
      </c>
      <c r="CKN1" s="286" t="s">
        <v>4839</v>
      </c>
      <c r="CKO1" s="286" t="s">
        <v>4840</v>
      </c>
      <c r="CKP1" s="286" t="s">
        <v>4841</v>
      </c>
      <c r="CKQ1" s="286" t="s">
        <v>4842</v>
      </c>
      <c r="CKR1" s="286" t="s">
        <v>4843</v>
      </c>
      <c r="CKS1" s="286" t="s">
        <v>4844</v>
      </c>
      <c r="CKT1" s="286" t="s">
        <v>4845</v>
      </c>
      <c r="CKU1" s="286" t="s">
        <v>4846</v>
      </c>
      <c r="CKV1" s="286" t="s">
        <v>4847</v>
      </c>
      <c r="CKW1" s="286" t="s">
        <v>4848</v>
      </c>
      <c r="CKX1" s="286" t="s">
        <v>4849</v>
      </c>
      <c r="CKY1" s="286" t="s">
        <v>4850</v>
      </c>
      <c r="CKZ1" s="286" t="s">
        <v>4851</v>
      </c>
      <c r="CLA1" s="286" t="s">
        <v>4852</v>
      </c>
      <c r="CLB1" s="286" t="s">
        <v>4853</v>
      </c>
      <c r="CLC1" s="286" t="s">
        <v>4854</v>
      </c>
      <c r="CLD1" s="286" t="s">
        <v>4855</v>
      </c>
      <c r="CLE1" s="286" t="s">
        <v>4856</v>
      </c>
      <c r="CLF1" s="286" t="s">
        <v>4857</v>
      </c>
      <c r="CLG1" s="286" t="s">
        <v>4858</v>
      </c>
      <c r="CLH1" s="286" t="s">
        <v>4859</v>
      </c>
      <c r="CLI1" s="286" t="s">
        <v>4860</v>
      </c>
      <c r="CLJ1" s="286" t="s">
        <v>4861</v>
      </c>
      <c r="CLK1" s="286" t="s">
        <v>4862</v>
      </c>
      <c r="CLL1" s="286" t="s">
        <v>4863</v>
      </c>
      <c r="CLM1" s="286" t="s">
        <v>4864</v>
      </c>
      <c r="CLN1" s="286" t="s">
        <v>4865</v>
      </c>
      <c r="CLO1" s="286" t="s">
        <v>4866</v>
      </c>
      <c r="CLP1" s="286" t="s">
        <v>4867</v>
      </c>
      <c r="CLQ1" s="286" t="s">
        <v>4868</v>
      </c>
      <c r="CLR1" s="286" t="s">
        <v>4869</v>
      </c>
      <c r="CLS1" s="286" t="s">
        <v>4870</v>
      </c>
      <c r="CLT1" s="286" t="s">
        <v>4871</v>
      </c>
      <c r="CLU1" s="286" t="s">
        <v>4872</v>
      </c>
      <c r="CLV1" s="286" t="s">
        <v>4873</v>
      </c>
      <c r="CLW1" s="286" t="s">
        <v>4874</v>
      </c>
      <c r="CLX1" s="286" t="s">
        <v>4875</v>
      </c>
      <c r="CLY1" s="286" t="s">
        <v>4876</v>
      </c>
      <c r="CLZ1" s="286" t="s">
        <v>4877</v>
      </c>
      <c r="CMA1" s="286" t="s">
        <v>4878</v>
      </c>
      <c r="CMB1" s="286" t="s">
        <v>4879</v>
      </c>
      <c r="CMC1" s="286" t="s">
        <v>4880</v>
      </c>
      <c r="CMD1" s="286" t="s">
        <v>4881</v>
      </c>
      <c r="CME1" s="286" t="s">
        <v>4882</v>
      </c>
      <c r="CMF1" s="286" t="s">
        <v>4883</v>
      </c>
      <c r="CMG1" s="286" t="s">
        <v>4884</v>
      </c>
      <c r="CMH1" s="286" t="s">
        <v>4885</v>
      </c>
      <c r="CMI1" s="286" t="s">
        <v>4886</v>
      </c>
      <c r="CMJ1" s="286" t="s">
        <v>4887</v>
      </c>
      <c r="CMK1" s="286" t="s">
        <v>4888</v>
      </c>
      <c r="CML1" s="286" t="s">
        <v>4889</v>
      </c>
      <c r="CMM1" s="286" t="s">
        <v>4890</v>
      </c>
      <c r="CMN1" s="286" t="s">
        <v>4891</v>
      </c>
      <c r="CMO1" s="286" t="s">
        <v>4892</v>
      </c>
      <c r="CMP1" s="286" t="s">
        <v>4893</v>
      </c>
      <c r="CMQ1" s="286" t="s">
        <v>4894</v>
      </c>
      <c r="CMR1" s="286" t="s">
        <v>4895</v>
      </c>
      <c r="CMS1" s="286" t="s">
        <v>4896</v>
      </c>
      <c r="CMT1" s="286" t="s">
        <v>4897</v>
      </c>
      <c r="CMU1" s="286" t="s">
        <v>4898</v>
      </c>
      <c r="CMV1" s="286" t="s">
        <v>4899</v>
      </c>
      <c r="CMW1" s="286" t="s">
        <v>4900</v>
      </c>
      <c r="CMX1" s="286" t="s">
        <v>4901</v>
      </c>
      <c r="CMY1" s="286" t="s">
        <v>4902</v>
      </c>
      <c r="CMZ1" s="286" t="s">
        <v>4903</v>
      </c>
      <c r="CNA1" s="286" t="s">
        <v>4904</v>
      </c>
      <c r="CNB1" s="286" t="s">
        <v>4905</v>
      </c>
      <c r="CNC1" s="286" t="s">
        <v>4906</v>
      </c>
      <c r="CND1" s="286" t="s">
        <v>4907</v>
      </c>
      <c r="CNE1" s="286" t="s">
        <v>4908</v>
      </c>
      <c r="CNF1" s="286" t="s">
        <v>4909</v>
      </c>
      <c r="CNG1" s="286" t="s">
        <v>4910</v>
      </c>
      <c r="CNH1" s="286" t="s">
        <v>4911</v>
      </c>
      <c r="CNI1" s="286" t="s">
        <v>4912</v>
      </c>
      <c r="CNJ1" s="286" t="s">
        <v>4913</v>
      </c>
      <c r="CNK1" s="286" t="s">
        <v>4914</v>
      </c>
      <c r="CNL1" s="286" t="s">
        <v>4915</v>
      </c>
      <c r="CNM1" s="286" t="s">
        <v>4916</v>
      </c>
      <c r="CNN1" s="286" t="s">
        <v>4917</v>
      </c>
      <c r="CNO1" s="286" t="s">
        <v>4918</v>
      </c>
      <c r="CNP1" s="286" t="s">
        <v>4919</v>
      </c>
      <c r="CNQ1" s="286" t="s">
        <v>4920</v>
      </c>
      <c r="CNR1" s="286" t="s">
        <v>4921</v>
      </c>
      <c r="CNS1" s="286" t="s">
        <v>4922</v>
      </c>
      <c r="CNT1" s="286" t="s">
        <v>4923</v>
      </c>
      <c r="CNU1" s="286" t="s">
        <v>4924</v>
      </c>
      <c r="CNV1" s="286" t="s">
        <v>4925</v>
      </c>
      <c r="CNW1" s="286" t="s">
        <v>4926</v>
      </c>
      <c r="CNX1" s="286" t="s">
        <v>4927</v>
      </c>
      <c r="CNY1" s="286" t="s">
        <v>4928</v>
      </c>
      <c r="CNZ1" s="286" t="s">
        <v>4929</v>
      </c>
      <c r="COA1" s="286" t="s">
        <v>4930</v>
      </c>
      <c r="COB1" s="286" t="s">
        <v>4931</v>
      </c>
      <c r="COC1" s="286" t="s">
        <v>4932</v>
      </c>
      <c r="COD1" s="286" t="s">
        <v>4933</v>
      </c>
      <c r="COE1" s="286" t="s">
        <v>4934</v>
      </c>
      <c r="COF1" s="286" t="s">
        <v>4935</v>
      </c>
      <c r="COG1" s="286" t="s">
        <v>4936</v>
      </c>
      <c r="COH1" s="286" t="s">
        <v>4937</v>
      </c>
      <c r="COI1" s="286" t="s">
        <v>4938</v>
      </c>
      <c r="COJ1" s="286" t="s">
        <v>4939</v>
      </c>
      <c r="COK1" s="286" t="s">
        <v>4940</v>
      </c>
      <c r="COL1" s="286" t="s">
        <v>4941</v>
      </c>
      <c r="COM1" s="286" t="s">
        <v>4942</v>
      </c>
      <c r="CON1" s="286" t="s">
        <v>4943</v>
      </c>
      <c r="COO1" s="286" t="s">
        <v>4944</v>
      </c>
      <c r="COP1" s="286" t="s">
        <v>4945</v>
      </c>
      <c r="COQ1" s="286" t="s">
        <v>4946</v>
      </c>
      <c r="COR1" s="286" t="s">
        <v>4947</v>
      </c>
      <c r="COS1" s="286" t="s">
        <v>4948</v>
      </c>
      <c r="COT1" s="286" t="s">
        <v>4949</v>
      </c>
      <c r="COU1" s="286" t="s">
        <v>4950</v>
      </c>
      <c r="COV1" s="286" t="s">
        <v>4951</v>
      </c>
      <c r="COW1" s="286" t="s">
        <v>4952</v>
      </c>
      <c r="COX1" s="286" t="s">
        <v>4953</v>
      </c>
      <c r="COY1" s="286" t="s">
        <v>4954</v>
      </c>
      <c r="COZ1" s="286" t="s">
        <v>4955</v>
      </c>
      <c r="CPA1" s="286" t="s">
        <v>4956</v>
      </c>
      <c r="CPB1" s="286" t="s">
        <v>4957</v>
      </c>
      <c r="CPC1" s="286" t="s">
        <v>4958</v>
      </c>
      <c r="CPD1" s="286" t="s">
        <v>4959</v>
      </c>
      <c r="CPE1" s="286" t="s">
        <v>4960</v>
      </c>
      <c r="CPF1" s="286" t="s">
        <v>4961</v>
      </c>
      <c r="CPG1" s="286" t="s">
        <v>4962</v>
      </c>
      <c r="CPH1" s="286" t="s">
        <v>4963</v>
      </c>
      <c r="CPI1" s="286" t="s">
        <v>4964</v>
      </c>
      <c r="CPJ1" s="286" t="s">
        <v>4965</v>
      </c>
      <c r="CPK1" s="286" t="s">
        <v>4966</v>
      </c>
      <c r="CPL1" s="286" t="s">
        <v>4967</v>
      </c>
      <c r="CPM1" s="286" t="s">
        <v>4968</v>
      </c>
      <c r="CPN1" s="286" t="s">
        <v>4969</v>
      </c>
      <c r="CPO1" s="286" t="s">
        <v>4970</v>
      </c>
      <c r="CPP1" s="286" t="s">
        <v>4971</v>
      </c>
      <c r="CPQ1" s="286" t="s">
        <v>4972</v>
      </c>
      <c r="CPR1" s="286" t="s">
        <v>4973</v>
      </c>
      <c r="CPS1" s="286" t="s">
        <v>4974</v>
      </c>
      <c r="CPT1" s="286" t="s">
        <v>4975</v>
      </c>
      <c r="CPU1" s="286" t="s">
        <v>4976</v>
      </c>
      <c r="CPV1" s="286" t="s">
        <v>4977</v>
      </c>
      <c r="CPW1" s="286" t="s">
        <v>4978</v>
      </c>
      <c r="CPX1" s="286" t="s">
        <v>4979</v>
      </c>
      <c r="CPY1" s="286" t="s">
        <v>4980</v>
      </c>
      <c r="CPZ1" s="286" t="s">
        <v>4981</v>
      </c>
      <c r="CQA1" s="286" t="s">
        <v>4982</v>
      </c>
      <c r="CQB1" s="286" t="s">
        <v>4983</v>
      </c>
      <c r="CQC1" s="286" t="s">
        <v>4984</v>
      </c>
      <c r="CQD1" s="286" t="s">
        <v>4985</v>
      </c>
      <c r="CQE1" s="286" t="s">
        <v>4986</v>
      </c>
      <c r="CQF1" s="286" t="s">
        <v>4987</v>
      </c>
      <c r="CQG1" s="286" t="s">
        <v>4988</v>
      </c>
      <c r="CQH1" s="286" t="s">
        <v>4989</v>
      </c>
      <c r="CQI1" s="286" t="s">
        <v>4990</v>
      </c>
      <c r="CQJ1" s="286" t="s">
        <v>4991</v>
      </c>
      <c r="CQK1" s="286" t="s">
        <v>4992</v>
      </c>
      <c r="CQL1" s="286" t="s">
        <v>4993</v>
      </c>
      <c r="CQM1" s="286" t="s">
        <v>4994</v>
      </c>
      <c r="CQN1" s="286" t="s">
        <v>4995</v>
      </c>
      <c r="CQO1" s="286" t="s">
        <v>4996</v>
      </c>
      <c r="CQP1" s="286" t="s">
        <v>4997</v>
      </c>
      <c r="CQQ1" s="286" t="s">
        <v>4998</v>
      </c>
      <c r="CQR1" s="286" t="s">
        <v>4999</v>
      </c>
      <c r="CQS1" s="286" t="s">
        <v>5000</v>
      </c>
      <c r="CQT1" s="286" t="s">
        <v>5001</v>
      </c>
      <c r="CQU1" s="286" t="s">
        <v>5002</v>
      </c>
      <c r="CQV1" s="286" t="s">
        <v>5003</v>
      </c>
      <c r="CQW1" s="286" t="s">
        <v>5004</v>
      </c>
      <c r="CQX1" s="286" t="s">
        <v>5005</v>
      </c>
      <c r="CQY1" s="286" t="s">
        <v>5006</v>
      </c>
      <c r="CQZ1" s="286" t="s">
        <v>5007</v>
      </c>
      <c r="CRA1" s="286" t="s">
        <v>5008</v>
      </c>
      <c r="CRB1" s="286" t="s">
        <v>5009</v>
      </c>
      <c r="CRC1" s="286" t="s">
        <v>5010</v>
      </c>
      <c r="CRD1" s="286" t="s">
        <v>5011</v>
      </c>
      <c r="CRE1" s="286" t="s">
        <v>5012</v>
      </c>
      <c r="CRF1" s="286" t="s">
        <v>5013</v>
      </c>
      <c r="CRG1" s="286" t="s">
        <v>5014</v>
      </c>
      <c r="CRH1" s="286" t="s">
        <v>5015</v>
      </c>
      <c r="CRI1" s="286" t="s">
        <v>5016</v>
      </c>
      <c r="CRJ1" s="286" t="s">
        <v>5017</v>
      </c>
      <c r="CRK1" s="286" t="s">
        <v>5018</v>
      </c>
      <c r="CRL1" s="286" t="s">
        <v>5019</v>
      </c>
      <c r="CRM1" s="286" t="s">
        <v>5020</v>
      </c>
      <c r="CRN1" s="286" t="s">
        <v>5021</v>
      </c>
      <c r="CRO1" s="286" t="s">
        <v>5022</v>
      </c>
      <c r="CRP1" s="286" t="s">
        <v>5023</v>
      </c>
      <c r="CRQ1" s="286" t="s">
        <v>5024</v>
      </c>
      <c r="CRR1" s="286" t="s">
        <v>5025</v>
      </c>
      <c r="CRS1" s="286" t="s">
        <v>5026</v>
      </c>
      <c r="CRT1" s="286" t="s">
        <v>5027</v>
      </c>
      <c r="CRU1" s="286" t="s">
        <v>5028</v>
      </c>
      <c r="CRV1" s="286" t="s">
        <v>5029</v>
      </c>
      <c r="CRW1" s="286" t="s">
        <v>5030</v>
      </c>
      <c r="CRX1" s="286" t="s">
        <v>5031</v>
      </c>
      <c r="CRY1" s="286" t="s">
        <v>5032</v>
      </c>
      <c r="CRZ1" s="286" t="s">
        <v>5033</v>
      </c>
      <c r="CSA1" s="286" t="s">
        <v>5034</v>
      </c>
      <c r="CSB1" s="286" t="s">
        <v>5035</v>
      </c>
      <c r="CSC1" s="286" t="s">
        <v>5036</v>
      </c>
      <c r="CSD1" s="286" t="s">
        <v>5037</v>
      </c>
      <c r="CSE1" s="286" t="s">
        <v>5038</v>
      </c>
      <c r="CSF1" s="286" t="s">
        <v>5039</v>
      </c>
      <c r="CSG1" s="286" t="s">
        <v>5040</v>
      </c>
      <c r="CSH1" s="286" t="s">
        <v>5041</v>
      </c>
      <c r="CSI1" s="286" t="s">
        <v>5042</v>
      </c>
      <c r="CSJ1" s="286" t="s">
        <v>5043</v>
      </c>
      <c r="CSK1" s="286" t="s">
        <v>5044</v>
      </c>
      <c r="CSL1" s="286" t="s">
        <v>5045</v>
      </c>
      <c r="CSM1" s="286" t="s">
        <v>5046</v>
      </c>
      <c r="CSN1" s="286" t="s">
        <v>5047</v>
      </c>
      <c r="CSO1" s="286" t="s">
        <v>5048</v>
      </c>
      <c r="CSP1" s="286" t="s">
        <v>5049</v>
      </c>
      <c r="CSQ1" s="286" t="s">
        <v>5050</v>
      </c>
      <c r="CSR1" s="286" t="s">
        <v>5051</v>
      </c>
      <c r="CSS1" s="286" t="s">
        <v>5052</v>
      </c>
      <c r="CST1" s="286" t="s">
        <v>5053</v>
      </c>
      <c r="CSU1" s="286" t="s">
        <v>5054</v>
      </c>
      <c r="CSV1" s="286" t="s">
        <v>5055</v>
      </c>
      <c r="CSW1" s="286" t="s">
        <v>5056</v>
      </c>
      <c r="CSX1" s="286" t="s">
        <v>5057</v>
      </c>
      <c r="CSY1" s="286" t="s">
        <v>5058</v>
      </c>
      <c r="CSZ1" s="286" t="s">
        <v>5059</v>
      </c>
      <c r="CTA1" s="286" t="s">
        <v>5060</v>
      </c>
      <c r="CTB1" s="286" t="s">
        <v>5061</v>
      </c>
      <c r="CTC1" s="286" t="s">
        <v>5062</v>
      </c>
      <c r="CTD1" s="286" t="s">
        <v>5063</v>
      </c>
      <c r="CTE1" s="286" t="s">
        <v>5064</v>
      </c>
      <c r="CTF1" s="286" t="s">
        <v>5065</v>
      </c>
      <c r="CTG1" s="286" t="s">
        <v>5066</v>
      </c>
      <c r="CTH1" s="286" t="s">
        <v>5067</v>
      </c>
      <c r="CTI1" s="286" t="s">
        <v>5068</v>
      </c>
      <c r="CTJ1" s="286" t="s">
        <v>5069</v>
      </c>
      <c r="CTK1" s="286" t="s">
        <v>5070</v>
      </c>
      <c r="CTL1" s="286" t="s">
        <v>5071</v>
      </c>
      <c r="CTM1" s="286" t="s">
        <v>5072</v>
      </c>
      <c r="CTN1" s="286" t="s">
        <v>5073</v>
      </c>
      <c r="CTO1" s="286" t="s">
        <v>5074</v>
      </c>
      <c r="CTP1" s="286" t="s">
        <v>5075</v>
      </c>
      <c r="CTQ1" s="286" t="s">
        <v>5076</v>
      </c>
      <c r="CTR1" s="286" t="s">
        <v>5077</v>
      </c>
      <c r="CTS1" s="286" t="s">
        <v>5078</v>
      </c>
      <c r="CTT1" s="286" t="s">
        <v>5079</v>
      </c>
      <c r="CTU1" s="286" t="s">
        <v>5080</v>
      </c>
      <c r="CTV1" s="286" t="s">
        <v>5081</v>
      </c>
      <c r="CTW1" s="286" t="s">
        <v>5082</v>
      </c>
      <c r="CTX1" s="286" t="s">
        <v>5083</v>
      </c>
      <c r="CTY1" s="286" t="s">
        <v>5084</v>
      </c>
      <c r="CTZ1" s="286" t="s">
        <v>5085</v>
      </c>
      <c r="CUA1" s="286" t="s">
        <v>5086</v>
      </c>
      <c r="CUB1" s="286" t="s">
        <v>5087</v>
      </c>
      <c r="CUC1" s="286" t="s">
        <v>5088</v>
      </c>
      <c r="CUD1" s="286" t="s">
        <v>5089</v>
      </c>
      <c r="CUE1" s="286" t="s">
        <v>5090</v>
      </c>
      <c r="CUF1" s="286" t="s">
        <v>5091</v>
      </c>
      <c r="CUG1" s="286" t="s">
        <v>5092</v>
      </c>
      <c r="CUH1" s="286" t="s">
        <v>5093</v>
      </c>
      <c r="CUI1" s="286" t="s">
        <v>5094</v>
      </c>
      <c r="CUJ1" s="286" t="s">
        <v>5095</v>
      </c>
      <c r="CUK1" s="286" t="s">
        <v>5096</v>
      </c>
      <c r="CUL1" s="286" t="s">
        <v>5097</v>
      </c>
      <c r="CUM1" s="286" t="s">
        <v>5098</v>
      </c>
      <c r="CUN1" s="286" t="s">
        <v>5099</v>
      </c>
      <c r="CUO1" s="286" t="s">
        <v>5100</v>
      </c>
      <c r="CUP1" s="286" t="s">
        <v>5101</v>
      </c>
      <c r="CUQ1" s="286" t="s">
        <v>5102</v>
      </c>
      <c r="CUR1" s="286" t="s">
        <v>5103</v>
      </c>
      <c r="CUS1" s="286" t="s">
        <v>5104</v>
      </c>
      <c r="CUT1" s="286" t="s">
        <v>5105</v>
      </c>
      <c r="CUU1" s="286" t="s">
        <v>5106</v>
      </c>
      <c r="CUV1" s="286" t="s">
        <v>5107</v>
      </c>
      <c r="CUW1" s="286" t="s">
        <v>5108</v>
      </c>
      <c r="CUX1" s="286" t="s">
        <v>5109</v>
      </c>
      <c r="CUY1" s="286" t="s">
        <v>5110</v>
      </c>
      <c r="CUZ1" s="286" t="s">
        <v>5111</v>
      </c>
      <c r="CVA1" s="286" t="s">
        <v>5112</v>
      </c>
      <c r="CVB1" s="286" t="s">
        <v>5113</v>
      </c>
      <c r="CVC1" s="286" t="s">
        <v>5114</v>
      </c>
      <c r="CVD1" s="286" t="s">
        <v>5115</v>
      </c>
      <c r="CVE1" s="286" t="s">
        <v>5116</v>
      </c>
      <c r="CVF1" s="286" t="s">
        <v>5117</v>
      </c>
      <c r="CVG1" s="286" t="s">
        <v>5118</v>
      </c>
      <c r="CVH1" s="286" t="s">
        <v>5119</v>
      </c>
      <c r="CVI1" s="286" t="s">
        <v>5120</v>
      </c>
      <c r="CVJ1" s="286" t="s">
        <v>5121</v>
      </c>
      <c r="CVK1" s="286" t="s">
        <v>5122</v>
      </c>
      <c r="CVL1" s="286" t="s">
        <v>5123</v>
      </c>
      <c r="CVM1" s="286" t="s">
        <v>5124</v>
      </c>
      <c r="CVN1" s="286" t="s">
        <v>5125</v>
      </c>
      <c r="CVO1" s="286" t="s">
        <v>5126</v>
      </c>
      <c r="CVP1" s="286" t="s">
        <v>5127</v>
      </c>
      <c r="CVQ1" s="286" t="s">
        <v>5128</v>
      </c>
      <c r="CVR1" s="286" t="s">
        <v>5129</v>
      </c>
      <c r="CVS1" s="286" t="s">
        <v>5130</v>
      </c>
      <c r="CVT1" s="286" t="s">
        <v>5131</v>
      </c>
      <c r="CVU1" s="286" t="s">
        <v>5132</v>
      </c>
      <c r="CVV1" s="286" t="s">
        <v>5133</v>
      </c>
      <c r="CVW1" s="286" t="s">
        <v>5134</v>
      </c>
      <c r="CVX1" s="286" t="s">
        <v>5135</v>
      </c>
      <c r="CVY1" s="286" t="s">
        <v>5136</v>
      </c>
      <c r="CVZ1" s="286" t="s">
        <v>5137</v>
      </c>
      <c r="CWA1" s="286" t="s">
        <v>5138</v>
      </c>
      <c r="CWB1" s="286" t="s">
        <v>5139</v>
      </c>
      <c r="CWC1" s="286" t="s">
        <v>5140</v>
      </c>
      <c r="CWD1" s="286" t="s">
        <v>5141</v>
      </c>
      <c r="CWE1" s="286" t="s">
        <v>5142</v>
      </c>
      <c r="CWF1" s="286" t="s">
        <v>5143</v>
      </c>
      <c r="CWG1" s="286" t="s">
        <v>5144</v>
      </c>
      <c r="CWH1" s="286" t="s">
        <v>5145</v>
      </c>
      <c r="CWI1" s="286" t="s">
        <v>5146</v>
      </c>
      <c r="CWJ1" s="286" t="s">
        <v>5147</v>
      </c>
      <c r="CWK1" s="286" t="s">
        <v>5148</v>
      </c>
      <c r="CWL1" s="286" t="s">
        <v>5149</v>
      </c>
      <c r="CWM1" s="286" t="s">
        <v>5150</v>
      </c>
      <c r="CWN1" s="286" t="s">
        <v>5151</v>
      </c>
      <c r="CWO1" s="286" t="s">
        <v>5152</v>
      </c>
      <c r="CWP1" s="286" t="s">
        <v>5153</v>
      </c>
      <c r="CWQ1" s="286" t="s">
        <v>5154</v>
      </c>
      <c r="CWR1" s="286" t="s">
        <v>5155</v>
      </c>
      <c r="CWS1" s="286" t="s">
        <v>5156</v>
      </c>
      <c r="CWT1" s="286" t="s">
        <v>5157</v>
      </c>
      <c r="CWU1" s="286" t="s">
        <v>5158</v>
      </c>
      <c r="CWV1" s="286" t="s">
        <v>5159</v>
      </c>
      <c r="CWW1" s="286" t="s">
        <v>5160</v>
      </c>
      <c r="CWX1" s="286" t="s">
        <v>5161</v>
      </c>
      <c r="CWY1" s="286" t="s">
        <v>5162</v>
      </c>
      <c r="CWZ1" s="286" t="s">
        <v>5163</v>
      </c>
      <c r="CXA1" s="286" t="s">
        <v>5164</v>
      </c>
      <c r="CXB1" s="286" t="s">
        <v>5165</v>
      </c>
      <c r="CXC1" s="286" t="s">
        <v>5166</v>
      </c>
      <c r="CXD1" s="286" t="s">
        <v>5167</v>
      </c>
      <c r="CXE1" s="286" t="s">
        <v>5168</v>
      </c>
      <c r="CXF1" s="286" t="s">
        <v>5169</v>
      </c>
      <c r="CXG1" s="286" t="s">
        <v>5170</v>
      </c>
      <c r="CXH1" s="286" t="s">
        <v>5171</v>
      </c>
      <c r="CXI1" s="286" t="s">
        <v>5172</v>
      </c>
      <c r="CXJ1" s="286" t="s">
        <v>5173</v>
      </c>
      <c r="CXK1" s="286" t="s">
        <v>5174</v>
      </c>
      <c r="CXL1" s="286" t="s">
        <v>5175</v>
      </c>
      <c r="CXM1" s="286" t="s">
        <v>5176</v>
      </c>
      <c r="CXN1" s="286" t="s">
        <v>5177</v>
      </c>
      <c r="CXO1" s="286" t="s">
        <v>5178</v>
      </c>
      <c r="CXP1" s="286" t="s">
        <v>5179</v>
      </c>
      <c r="CXQ1" s="286" t="s">
        <v>5180</v>
      </c>
      <c r="CXR1" s="286" t="s">
        <v>5181</v>
      </c>
      <c r="CXS1" s="286" t="s">
        <v>5182</v>
      </c>
      <c r="CXT1" s="286" t="s">
        <v>5183</v>
      </c>
      <c r="CXU1" s="286" t="s">
        <v>5184</v>
      </c>
      <c r="CXV1" s="286" t="s">
        <v>5185</v>
      </c>
      <c r="CXW1" s="286" t="s">
        <v>5186</v>
      </c>
      <c r="CXX1" s="286" t="s">
        <v>5187</v>
      </c>
      <c r="CXY1" s="286" t="s">
        <v>5188</v>
      </c>
      <c r="CXZ1" s="286" t="s">
        <v>5189</v>
      </c>
      <c r="CYA1" s="286" t="s">
        <v>5190</v>
      </c>
      <c r="CYB1" s="286" t="s">
        <v>5191</v>
      </c>
      <c r="CYC1" s="286" t="s">
        <v>5192</v>
      </c>
      <c r="CYD1" s="286" t="s">
        <v>5193</v>
      </c>
      <c r="CYE1" s="286" t="s">
        <v>5194</v>
      </c>
      <c r="CYF1" s="286" t="s">
        <v>5195</v>
      </c>
      <c r="CYG1" s="286" t="s">
        <v>5196</v>
      </c>
      <c r="CYH1" s="286" t="s">
        <v>5197</v>
      </c>
      <c r="CYI1" s="286" t="s">
        <v>5198</v>
      </c>
      <c r="CYJ1" s="286" t="s">
        <v>5199</v>
      </c>
      <c r="CYK1" s="286" t="s">
        <v>5200</v>
      </c>
      <c r="CYL1" s="286" t="s">
        <v>5201</v>
      </c>
      <c r="CYM1" s="286" t="s">
        <v>5202</v>
      </c>
      <c r="CYN1" s="286" t="s">
        <v>5203</v>
      </c>
      <c r="CYO1" s="286" t="s">
        <v>5204</v>
      </c>
      <c r="CYP1" s="286" t="s">
        <v>5205</v>
      </c>
      <c r="CYQ1" s="286" t="s">
        <v>5206</v>
      </c>
      <c r="CYR1" s="286" t="s">
        <v>5207</v>
      </c>
      <c r="CYS1" s="286" t="s">
        <v>5208</v>
      </c>
      <c r="CYT1" s="286" t="s">
        <v>5209</v>
      </c>
      <c r="CYU1" s="286" t="s">
        <v>5210</v>
      </c>
      <c r="CYV1" s="286" t="s">
        <v>5211</v>
      </c>
      <c r="CYW1" s="286" t="s">
        <v>5212</v>
      </c>
      <c r="CYX1" s="286" t="s">
        <v>5213</v>
      </c>
      <c r="CYY1" s="286" t="s">
        <v>5214</v>
      </c>
      <c r="CYZ1" s="286" t="s">
        <v>5215</v>
      </c>
      <c r="CZA1" s="286" t="s">
        <v>5216</v>
      </c>
      <c r="CZB1" s="286" t="s">
        <v>5217</v>
      </c>
      <c r="CZC1" s="286" t="s">
        <v>5218</v>
      </c>
      <c r="CZD1" s="286" t="s">
        <v>5219</v>
      </c>
      <c r="CZE1" s="286" t="s">
        <v>5220</v>
      </c>
      <c r="CZF1" s="286" t="s">
        <v>5221</v>
      </c>
      <c r="CZG1" s="286" t="s">
        <v>5222</v>
      </c>
      <c r="CZH1" s="286" t="s">
        <v>5223</v>
      </c>
      <c r="CZI1" s="286" t="s">
        <v>5224</v>
      </c>
      <c r="CZJ1" s="286" t="s">
        <v>5225</v>
      </c>
      <c r="CZK1" s="286" t="s">
        <v>5226</v>
      </c>
      <c r="CZL1" s="286" t="s">
        <v>5227</v>
      </c>
      <c r="CZM1" s="286" t="s">
        <v>5228</v>
      </c>
      <c r="CZN1" s="286" t="s">
        <v>5229</v>
      </c>
      <c r="CZO1" s="286" t="s">
        <v>5230</v>
      </c>
      <c r="CZP1" s="286" t="s">
        <v>5231</v>
      </c>
      <c r="CZQ1" s="286" t="s">
        <v>5232</v>
      </c>
      <c r="CZR1" s="286" t="s">
        <v>5233</v>
      </c>
      <c r="CZS1" s="286" t="s">
        <v>5234</v>
      </c>
      <c r="CZT1" s="286" t="s">
        <v>5235</v>
      </c>
      <c r="CZU1" s="286" t="s">
        <v>5236</v>
      </c>
      <c r="CZV1" s="286" t="s">
        <v>5237</v>
      </c>
      <c r="CZW1" s="286" t="s">
        <v>5238</v>
      </c>
      <c r="CZX1" s="286" t="s">
        <v>5239</v>
      </c>
      <c r="CZY1" s="286" t="s">
        <v>5240</v>
      </c>
      <c r="CZZ1" s="286" t="s">
        <v>5241</v>
      </c>
      <c r="DAA1" s="286" t="s">
        <v>5242</v>
      </c>
      <c r="DAB1" s="286" t="s">
        <v>5243</v>
      </c>
      <c r="DAC1" s="286" t="s">
        <v>5244</v>
      </c>
      <c r="DAD1" s="286" t="s">
        <v>5245</v>
      </c>
      <c r="DAE1" s="286" t="s">
        <v>5246</v>
      </c>
      <c r="DAF1" s="286" t="s">
        <v>5247</v>
      </c>
      <c r="DAG1" s="286" t="s">
        <v>5248</v>
      </c>
      <c r="DAH1" s="286" t="s">
        <v>5249</v>
      </c>
      <c r="DAI1" s="286" t="s">
        <v>5250</v>
      </c>
      <c r="DAJ1" s="286" t="s">
        <v>5251</v>
      </c>
      <c r="DAK1" s="286" t="s">
        <v>5252</v>
      </c>
      <c r="DAL1" s="286" t="s">
        <v>5253</v>
      </c>
      <c r="DAM1" s="286" t="s">
        <v>5254</v>
      </c>
      <c r="DAN1" s="286" t="s">
        <v>5255</v>
      </c>
      <c r="DAO1" s="286" t="s">
        <v>5256</v>
      </c>
      <c r="DAP1" s="286" t="s">
        <v>5257</v>
      </c>
      <c r="DAQ1" s="286" t="s">
        <v>5258</v>
      </c>
      <c r="DAR1" s="286" t="s">
        <v>5259</v>
      </c>
      <c r="DAS1" s="286" t="s">
        <v>5260</v>
      </c>
      <c r="DAT1" s="286" t="s">
        <v>5261</v>
      </c>
      <c r="DAU1" s="286" t="s">
        <v>5262</v>
      </c>
      <c r="DAV1" s="286" t="s">
        <v>5263</v>
      </c>
      <c r="DAW1" s="286" t="s">
        <v>5264</v>
      </c>
      <c r="DAX1" s="286" t="s">
        <v>5265</v>
      </c>
      <c r="DAY1" s="286" t="s">
        <v>5266</v>
      </c>
      <c r="DAZ1" s="286" t="s">
        <v>5267</v>
      </c>
      <c r="DBA1" s="286" t="s">
        <v>5268</v>
      </c>
      <c r="DBB1" s="286" t="s">
        <v>5269</v>
      </c>
      <c r="DBC1" s="286" t="s">
        <v>5270</v>
      </c>
      <c r="DBD1" s="286" t="s">
        <v>5271</v>
      </c>
      <c r="DBE1" s="286" t="s">
        <v>5272</v>
      </c>
      <c r="DBF1" s="286" t="s">
        <v>5273</v>
      </c>
      <c r="DBG1" s="286" t="s">
        <v>5274</v>
      </c>
      <c r="DBH1" s="286" t="s">
        <v>5275</v>
      </c>
      <c r="DBI1" s="286" t="s">
        <v>5276</v>
      </c>
      <c r="DBJ1" s="286" t="s">
        <v>5277</v>
      </c>
      <c r="DBK1" s="286" t="s">
        <v>5278</v>
      </c>
      <c r="DBL1" s="286" t="s">
        <v>5279</v>
      </c>
      <c r="DBM1" s="286" t="s">
        <v>5280</v>
      </c>
      <c r="DBN1" s="286" t="s">
        <v>5281</v>
      </c>
      <c r="DBO1" s="286" t="s">
        <v>5282</v>
      </c>
      <c r="DBP1" s="286" t="s">
        <v>5283</v>
      </c>
      <c r="DBQ1" s="286" t="s">
        <v>5284</v>
      </c>
      <c r="DBR1" s="286" t="s">
        <v>5285</v>
      </c>
      <c r="DBS1" s="286" t="s">
        <v>5286</v>
      </c>
      <c r="DBT1" s="286" t="s">
        <v>5287</v>
      </c>
      <c r="DBU1" s="286" t="s">
        <v>5288</v>
      </c>
      <c r="DBV1" s="286" t="s">
        <v>5289</v>
      </c>
      <c r="DBW1" s="286" t="s">
        <v>5290</v>
      </c>
      <c r="DBX1" s="286" t="s">
        <v>5291</v>
      </c>
      <c r="DBY1" s="286" t="s">
        <v>5292</v>
      </c>
      <c r="DBZ1" s="286" t="s">
        <v>5293</v>
      </c>
      <c r="DCA1" s="286" t="s">
        <v>5294</v>
      </c>
      <c r="DCB1" s="286" t="s">
        <v>5295</v>
      </c>
      <c r="DCC1" s="286" t="s">
        <v>5296</v>
      </c>
      <c r="DCD1" s="286" t="s">
        <v>5297</v>
      </c>
      <c r="DCE1" s="286" t="s">
        <v>5298</v>
      </c>
      <c r="DCF1" s="286" t="s">
        <v>5299</v>
      </c>
      <c r="DCG1" s="286" t="s">
        <v>5300</v>
      </c>
      <c r="DCH1" s="286" t="s">
        <v>5301</v>
      </c>
      <c r="DCI1" s="286" t="s">
        <v>5302</v>
      </c>
      <c r="DCJ1" s="286" t="s">
        <v>5303</v>
      </c>
      <c r="DCK1" s="286" t="s">
        <v>5304</v>
      </c>
      <c r="DCL1" s="286" t="s">
        <v>5305</v>
      </c>
      <c r="DCM1" s="286" t="s">
        <v>5306</v>
      </c>
      <c r="DCN1" s="286" t="s">
        <v>5307</v>
      </c>
      <c r="DCO1" s="286" t="s">
        <v>5308</v>
      </c>
      <c r="DCP1" s="286" t="s">
        <v>5309</v>
      </c>
      <c r="DCQ1" s="286" t="s">
        <v>5310</v>
      </c>
      <c r="DCR1" s="286" t="s">
        <v>5311</v>
      </c>
      <c r="DCS1" s="286" t="s">
        <v>5312</v>
      </c>
      <c r="DCT1" s="286" t="s">
        <v>5313</v>
      </c>
      <c r="DCU1" s="286" t="s">
        <v>5314</v>
      </c>
      <c r="DCV1" s="286" t="s">
        <v>5315</v>
      </c>
      <c r="DCW1" s="286" t="s">
        <v>5316</v>
      </c>
      <c r="DCX1" s="286" t="s">
        <v>5317</v>
      </c>
      <c r="DCY1" s="286" t="s">
        <v>5318</v>
      </c>
      <c r="DCZ1" s="286" t="s">
        <v>5319</v>
      </c>
      <c r="DDA1" s="286" t="s">
        <v>5320</v>
      </c>
      <c r="DDB1" s="286" t="s">
        <v>5321</v>
      </c>
      <c r="DDC1" s="286" t="s">
        <v>5322</v>
      </c>
      <c r="DDD1" s="286" t="s">
        <v>5323</v>
      </c>
      <c r="DDE1" s="286" t="s">
        <v>5324</v>
      </c>
      <c r="DDF1" s="286" t="s">
        <v>5325</v>
      </c>
      <c r="DDG1" s="286" t="s">
        <v>5326</v>
      </c>
      <c r="DDH1" s="286" t="s">
        <v>5327</v>
      </c>
      <c r="DDI1" s="286" t="s">
        <v>5328</v>
      </c>
      <c r="DDJ1" s="286" t="s">
        <v>5329</v>
      </c>
      <c r="DDK1" s="286" t="s">
        <v>5330</v>
      </c>
      <c r="DDL1" s="286" t="s">
        <v>5331</v>
      </c>
      <c r="DDM1" s="286" t="s">
        <v>5332</v>
      </c>
      <c r="DDN1" s="286" t="s">
        <v>5333</v>
      </c>
      <c r="DDO1" s="286" t="s">
        <v>5334</v>
      </c>
      <c r="DDP1" s="286" t="s">
        <v>5335</v>
      </c>
      <c r="DDQ1" s="286" t="s">
        <v>5336</v>
      </c>
      <c r="DDR1" s="286" t="s">
        <v>5337</v>
      </c>
      <c r="DDS1" s="286" t="s">
        <v>5338</v>
      </c>
      <c r="DDT1" s="286" t="s">
        <v>5339</v>
      </c>
      <c r="DDU1" s="286" t="s">
        <v>5340</v>
      </c>
      <c r="DDV1" s="286" t="s">
        <v>5341</v>
      </c>
      <c r="DDW1" s="286" t="s">
        <v>5342</v>
      </c>
      <c r="DDX1" s="286" t="s">
        <v>5343</v>
      </c>
      <c r="DDY1" s="286" t="s">
        <v>5344</v>
      </c>
      <c r="DDZ1" s="286" t="s">
        <v>5345</v>
      </c>
      <c r="DEA1" s="286" t="s">
        <v>5346</v>
      </c>
      <c r="DEB1" s="286" t="s">
        <v>5347</v>
      </c>
      <c r="DEC1" s="286" t="s">
        <v>5348</v>
      </c>
      <c r="DED1" s="286" t="s">
        <v>5349</v>
      </c>
      <c r="DEE1" s="286" t="s">
        <v>5350</v>
      </c>
      <c r="DEF1" s="286" t="s">
        <v>5351</v>
      </c>
      <c r="DEG1" s="286" t="s">
        <v>5352</v>
      </c>
      <c r="DEH1" s="286" t="s">
        <v>5353</v>
      </c>
      <c r="DEI1" s="286" t="s">
        <v>5354</v>
      </c>
      <c r="DEJ1" s="286" t="s">
        <v>5355</v>
      </c>
      <c r="DEK1" s="286" t="s">
        <v>5356</v>
      </c>
      <c r="DEL1" s="286" t="s">
        <v>5357</v>
      </c>
      <c r="DEM1" s="286" t="s">
        <v>5358</v>
      </c>
      <c r="DEN1" s="286" t="s">
        <v>5359</v>
      </c>
      <c r="DEO1" s="286" t="s">
        <v>5360</v>
      </c>
      <c r="DEP1" s="286" t="s">
        <v>5361</v>
      </c>
      <c r="DEQ1" s="286" t="s">
        <v>5362</v>
      </c>
      <c r="DER1" s="286" t="s">
        <v>5363</v>
      </c>
      <c r="DES1" s="286" t="s">
        <v>5364</v>
      </c>
      <c r="DET1" s="286" t="s">
        <v>5365</v>
      </c>
      <c r="DEU1" s="286" t="s">
        <v>5366</v>
      </c>
      <c r="DEV1" s="286" t="s">
        <v>5367</v>
      </c>
      <c r="DEW1" s="286" t="s">
        <v>5368</v>
      </c>
      <c r="DEX1" s="286" t="s">
        <v>5369</v>
      </c>
      <c r="DEY1" s="286" t="s">
        <v>5370</v>
      </c>
      <c r="DEZ1" s="286" t="s">
        <v>5371</v>
      </c>
      <c r="DFA1" s="286" t="s">
        <v>5372</v>
      </c>
      <c r="DFB1" s="286" t="s">
        <v>5373</v>
      </c>
      <c r="DFC1" s="286" t="s">
        <v>5374</v>
      </c>
      <c r="DFD1" s="286" t="s">
        <v>5375</v>
      </c>
      <c r="DFE1" s="286" t="s">
        <v>5376</v>
      </c>
      <c r="DFF1" s="286" t="s">
        <v>5377</v>
      </c>
      <c r="DFG1" s="286" t="s">
        <v>5378</v>
      </c>
      <c r="DFH1" s="286" t="s">
        <v>5379</v>
      </c>
      <c r="DFI1" s="286" t="s">
        <v>5380</v>
      </c>
      <c r="DFJ1" s="286" t="s">
        <v>5381</v>
      </c>
      <c r="DFK1" s="286" t="s">
        <v>5382</v>
      </c>
      <c r="DFL1" s="286" t="s">
        <v>5383</v>
      </c>
      <c r="DFM1" s="286" t="s">
        <v>5384</v>
      </c>
      <c r="DFN1" s="286" t="s">
        <v>5385</v>
      </c>
      <c r="DFO1" s="286" t="s">
        <v>5386</v>
      </c>
      <c r="DFP1" s="286" t="s">
        <v>5387</v>
      </c>
      <c r="DFQ1" s="286" t="s">
        <v>5388</v>
      </c>
      <c r="DFR1" s="286" t="s">
        <v>5389</v>
      </c>
      <c r="DFS1" s="286" t="s">
        <v>5390</v>
      </c>
      <c r="DFT1" s="286" t="s">
        <v>5391</v>
      </c>
      <c r="DFU1" s="286" t="s">
        <v>5392</v>
      </c>
      <c r="DFV1" s="286" t="s">
        <v>5393</v>
      </c>
      <c r="DFW1" s="286" t="s">
        <v>5394</v>
      </c>
      <c r="DFX1" s="286" t="s">
        <v>5395</v>
      </c>
      <c r="DFY1" s="286" t="s">
        <v>5396</v>
      </c>
      <c r="DFZ1" s="286" t="s">
        <v>5397</v>
      </c>
      <c r="DGA1" s="286" t="s">
        <v>5398</v>
      </c>
      <c r="DGB1" s="286" t="s">
        <v>5399</v>
      </c>
      <c r="DGC1" s="286" t="s">
        <v>5400</v>
      </c>
      <c r="DGD1" s="286" t="s">
        <v>5401</v>
      </c>
      <c r="DGE1" s="286" t="s">
        <v>5402</v>
      </c>
      <c r="DGF1" s="286" t="s">
        <v>5403</v>
      </c>
      <c r="DGG1" s="286" t="s">
        <v>5404</v>
      </c>
      <c r="DGH1" s="286" t="s">
        <v>5405</v>
      </c>
      <c r="DGI1" s="286" t="s">
        <v>5406</v>
      </c>
      <c r="DGJ1" s="286" t="s">
        <v>5407</v>
      </c>
      <c r="DGK1" s="286" t="s">
        <v>5408</v>
      </c>
      <c r="DGL1" s="286" t="s">
        <v>5409</v>
      </c>
      <c r="DGM1" s="286" t="s">
        <v>5410</v>
      </c>
      <c r="DGN1" s="286" t="s">
        <v>5411</v>
      </c>
      <c r="DGO1" s="286" t="s">
        <v>5412</v>
      </c>
      <c r="DGP1" s="286" t="s">
        <v>5413</v>
      </c>
      <c r="DGQ1" s="286" t="s">
        <v>5414</v>
      </c>
      <c r="DGR1" s="286" t="s">
        <v>5415</v>
      </c>
      <c r="DGS1" s="286" t="s">
        <v>5416</v>
      </c>
      <c r="DGT1" s="286" t="s">
        <v>5417</v>
      </c>
      <c r="DGU1" s="286" t="s">
        <v>5418</v>
      </c>
      <c r="DGV1" s="286" t="s">
        <v>5419</v>
      </c>
      <c r="DGW1" s="286" t="s">
        <v>5420</v>
      </c>
      <c r="DGX1" s="286" t="s">
        <v>5421</v>
      </c>
      <c r="DGY1" s="286" t="s">
        <v>5422</v>
      </c>
      <c r="DGZ1" s="286" t="s">
        <v>5423</v>
      </c>
      <c r="DHA1" s="286" t="s">
        <v>5424</v>
      </c>
      <c r="DHB1" s="286" t="s">
        <v>5425</v>
      </c>
      <c r="DHC1" s="286" t="s">
        <v>5426</v>
      </c>
      <c r="DHD1" s="286" t="s">
        <v>5427</v>
      </c>
      <c r="DHE1" s="286" t="s">
        <v>5428</v>
      </c>
      <c r="DHF1" s="286" t="s">
        <v>5429</v>
      </c>
      <c r="DHG1" s="286" t="s">
        <v>5430</v>
      </c>
      <c r="DHH1" s="286" t="s">
        <v>5431</v>
      </c>
      <c r="DHI1" s="286" t="s">
        <v>5432</v>
      </c>
      <c r="DHJ1" s="286" t="s">
        <v>5433</v>
      </c>
      <c r="DHK1" s="286" t="s">
        <v>5434</v>
      </c>
      <c r="DHL1" s="286" t="s">
        <v>5435</v>
      </c>
      <c r="DHM1" s="286" t="s">
        <v>5436</v>
      </c>
      <c r="DHN1" s="286" t="s">
        <v>5437</v>
      </c>
      <c r="DHO1" s="286" t="s">
        <v>5438</v>
      </c>
      <c r="DHP1" s="286" t="s">
        <v>5439</v>
      </c>
      <c r="DHQ1" s="286" t="s">
        <v>5440</v>
      </c>
      <c r="DHR1" s="286" t="s">
        <v>5441</v>
      </c>
      <c r="DHS1" s="286" t="s">
        <v>5442</v>
      </c>
      <c r="DHT1" s="286" t="s">
        <v>5443</v>
      </c>
      <c r="DHU1" s="286" t="s">
        <v>5444</v>
      </c>
      <c r="DHV1" s="286" t="s">
        <v>5445</v>
      </c>
      <c r="DHW1" s="286" t="s">
        <v>5446</v>
      </c>
      <c r="DHX1" s="286" t="s">
        <v>5447</v>
      </c>
      <c r="DHY1" s="286" t="s">
        <v>5448</v>
      </c>
      <c r="DHZ1" s="286" t="s">
        <v>5449</v>
      </c>
      <c r="DIA1" s="286" t="s">
        <v>5450</v>
      </c>
      <c r="DIB1" s="286" t="s">
        <v>5451</v>
      </c>
      <c r="DIC1" s="286" t="s">
        <v>5452</v>
      </c>
      <c r="DID1" s="286" t="s">
        <v>5453</v>
      </c>
      <c r="DIE1" s="286" t="s">
        <v>5454</v>
      </c>
      <c r="DIF1" s="286" t="s">
        <v>5455</v>
      </c>
      <c r="DIG1" s="286" t="s">
        <v>5456</v>
      </c>
      <c r="DIH1" s="286" t="s">
        <v>5457</v>
      </c>
      <c r="DII1" s="286" t="s">
        <v>5458</v>
      </c>
      <c r="DIJ1" s="286" t="s">
        <v>5459</v>
      </c>
      <c r="DIK1" s="286" t="s">
        <v>5460</v>
      </c>
      <c r="DIL1" s="286" t="s">
        <v>5461</v>
      </c>
      <c r="DIM1" s="286" t="s">
        <v>5462</v>
      </c>
      <c r="DIN1" s="286" t="s">
        <v>5463</v>
      </c>
      <c r="DIO1" s="286" t="s">
        <v>5464</v>
      </c>
      <c r="DIP1" s="286" t="s">
        <v>5465</v>
      </c>
      <c r="DIQ1" s="286" t="s">
        <v>5466</v>
      </c>
      <c r="DIR1" s="286" t="s">
        <v>5467</v>
      </c>
      <c r="DIS1" s="286" t="s">
        <v>5468</v>
      </c>
      <c r="DIT1" s="286" t="s">
        <v>5469</v>
      </c>
      <c r="DIU1" s="286" t="s">
        <v>5470</v>
      </c>
      <c r="DIV1" s="286" t="s">
        <v>5471</v>
      </c>
      <c r="DIW1" s="286" t="s">
        <v>5472</v>
      </c>
      <c r="DIX1" s="286" t="s">
        <v>5473</v>
      </c>
      <c r="DIY1" s="286" t="s">
        <v>5474</v>
      </c>
      <c r="DIZ1" s="286" t="s">
        <v>5475</v>
      </c>
      <c r="DJA1" s="286" t="s">
        <v>5476</v>
      </c>
      <c r="DJB1" s="286" t="s">
        <v>5477</v>
      </c>
      <c r="DJC1" s="286" t="s">
        <v>5478</v>
      </c>
      <c r="DJD1" s="286" t="s">
        <v>5479</v>
      </c>
      <c r="DJE1" s="286" t="s">
        <v>5480</v>
      </c>
      <c r="DJF1" s="286" t="s">
        <v>5481</v>
      </c>
      <c r="DJG1" s="286" t="s">
        <v>5482</v>
      </c>
      <c r="DJH1" s="286" t="s">
        <v>5483</v>
      </c>
      <c r="DJI1" s="286" t="s">
        <v>5484</v>
      </c>
      <c r="DJJ1" s="286" t="s">
        <v>5485</v>
      </c>
      <c r="DJK1" s="286" t="s">
        <v>5486</v>
      </c>
      <c r="DJL1" s="286" t="s">
        <v>5487</v>
      </c>
      <c r="DJM1" s="286" t="s">
        <v>5488</v>
      </c>
      <c r="DJN1" s="286" t="s">
        <v>5489</v>
      </c>
      <c r="DJO1" s="286" t="s">
        <v>5490</v>
      </c>
      <c r="DJP1" s="286" t="s">
        <v>5491</v>
      </c>
      <c r="DJQ1" s="286" t="s">
        <v>5492</v>
      </c>
      <c r="DJR1" s="286" t="s">
        <v>5493</v>
      </c>
      <c r="DJS1" s="286" t="s">
        <v>5494</v>
      </c>
      <c r="DJT1" s="286" t="s">
        <v>5495</v>
      </c>
      <c r="DJU1" s="286" t="s">
        <v>5496</v>
      </c>
      <c r="DJV1" s="286" t="s">
        <v>5497</v>
      </c>
      <c r="DJW1" s="286" t="s">
        <v>5498</v>
      </c>
      <c r="DJX1" s="286" t="s">
        <v>5499</v>
      </c>
      <c r="DJY1" s="286" t="s">
        <v>5500</v>
      </c>
      <c r="DJZ1" s="286" t="s">
        <v>5501</v>
      </c>
      <c r="DKA1" s="286" t="s">
        <v>5502</v>
      </c>
      <c r="DKB1" s="286" t="s">
        <v>5503</v>
      </c>
      <c r="DKC1" s="286" t="s">
        <v>5504</v>
      </c>
      <c r="DKD1" s="286" t="s">
        <v>5505</v>
      </c>
      <c r="DKE1" s="286" t="s">
        <v>5506</v>
      </c>
      <c r="DKF1" s="286" t="s">
        <v>5507</v>
      </c>
      <c r="DKG1" s="286" t="s">
        <v>5508</v>
      </c>
      <c r="DKH1" s="286" t="s">
        <v>5509</v>
      </c>
      <c r="DKI1" s="286" t="s">
        <v>5510</v>
      </c>
      <c r="DKJ1" s="286" t="s">
        <v>5511</v>
      </c>
      <c r="DKK1" s="286" t="s">
        <v>5512</v>
      </c>
      <c r="DKL1" s="286" t="s">
        <v>5513</v>
      </c>
      <c r="DKM1" s="286" t="s">
        <v>5514</v>
      </c>
      <c r="DKN1" s="286" t="s">
        <v>5515</v>
      </c>
      <c r="DKO1" s="286" t="s">
        <v>5516</v>
      </c>
      <c r="DKP1" s="286" t="s">
        <v>5517</v>
      </c>
      <c r="DKQ1" s="286" t="s">
        <v>5518</v>
      </c>
      <c r="DKR1" s="286" t="s">
        <v>5519</v>
      </c>
      <c r="DKS1" s="286" t="s">
        <v>5520</v>
      </c>
      <c r="DKT1" s="286" t="s">
        <v>5521</v>
      </c>
      <c r="DKU1" s="286" t="s">
        <v>5522</v>
      </c>
      <c r="DKV1" s="286" t="s">
        <v>5523</v>
      </c>
      <c r="DKW1" s="286" t="s">
        <v>5524</v>
      </c>
      <c r="DKX1" s="286" t="s">
        <v>5525</v>
      </c>
      <c r="DKY1" s="286" t="s">
        <v>5526</v>
      </c>
      <c r="DKZ1" s="286" t="s">
        <v>5527</v>
      </c>
      <c r="DLA1" s="286" t="s">
        <v>5528</v>
      </c>
      <c r="DLB1" s="286" t="s">
        <v>5529</v>
      </c>
      <c r="DLC1" s="286" t="s">
        <v>5530</v>
      </c>
      <c r="DLD1" s="286" t="s">
        <v>5531</v>
      </c>
      <c r="DLE1" s="286" t="s">
        <v>5532</v>
      </c>
      <c r="DLF1" s="286" t="s">
        <v>5533</v>
      </c>
      <c r="DLG1" s="286" t="s">
        <v>5534</v>
      </c>
      <c r="DLH1" s="286" t="s">
        <v>5535</v>
      </c>
      <c r="DLI1" s="286" t="s">
        <v>5536</v>
      </c>
      <c r="DLJ1" s="286" t="s">
        <v>5537</v>
      </c>
      <c r="DLK1" s="286" t="s">
        <v>5538</v>
      </c>
      <c r="DLL1" s="286" t="s">
        <v>5539</v>
      </c>
      <c r="DLM1" s="286" t="s">
        <v>5540</v>
      </c>
      <c r="DLN1" s="286" t="s">
        <v>5541</v>
      </c>
      <c r="DLO1" s="286" t="s">
        <v>5542</v>
      </c>
      <c r="DLP1" s="286" t="s">
        <v>5543</v>
      </c>
      <c r="DLQ1" s="286" t="s">
        <v>5544</v>
      </c>
      <c r="DLR1" s="286" t="s">
        <v>5545</v>
      </c>
      <c r="DLS1" s="286" t="s">
        <v>5546</v>
      </c>
      <c r="DLT1" s="286" t="s">
        <v>5547</v>
      </c>
      <c r="DLU1" s="286" t="s">
        <v>5548</v>
      </c>
      <c r="DLV1" s="286" t="s">
        <v>5549</v>
      </c>
      <c r="DLW1" s="286" t="s">
        <v>5550</v>
      </c>
      <c r="DLX1" s="286" t="s">
        <v>5551</v>
      </c>
      <c r="DLY1" s="286" t="s">
        <v>5552</v>
      </c>
      <c r="DLZ1" s="286" t="s">
        <v>5553</v>
      </c>
      <c r="DMA1" s="286" t="s">
        <v>5554</v>
      </c>
      <c r="DMB1" s="286" t="s">
        <v>5555</v>
      </c>
      <c r="DMC1" s="286" t="s">
        <v>5556</v>
      </c>
      <c r="DMD1" s="286" t="s">
        <v>5557</v>
      </c>
      <c r="DME1" s="286" t="s">
        <v>5558</v>
      </c>
      <c r="DMF1" s="286" t="s">
        <v>5559</v>
      </c>
      <c r="DMG1" s="286" t="s">
        <v>5560</v>
      </c>
      <c r="DMH1" s="286" t="s">
        <v>5561</v>
      </c>
      <c r="DMI1" s="286" t="s">
        <v>5562</v>
      </c>
      <c r="DMJ1" s="286" t="s">
        <v>5563</v>
      </c>
      <c r="DMK1" s="286" t="s">
        <v>5564</v>
      </c>
      <c r="DML1" s="286" t="s">
        <v>5565</v>
      </c>
      <c r="DMM1" s="286" t="s">
        <v>5566</v>
      </c>
      <c r="DMN1" s="286" t="s">
        <v>5567</v>
      </c>
      <c r="DMO1" s="286" t="s">
        <v>5568</v>
      </c>
      <c r="DMP1" s="286" t="s">
        <v>5569</v>
      </c>
      <c r="DMQ1" s="286" t="s">
        <v>5570</v>
      </c>
      <c r="DMR1" s="286" t="s">
        <v>5571</v>
      </c>
      <c r="DMS1" s="286" t="s">
        <v>5572</v>
      </c>
      <c r="DMT1" s="286" t="s">
        <v>5573</v>
      </c>
      <c r="DMU1" s="286" t="s">
        <v>5574</v>
      </c>
      <c r="DMV1" s="286" t="s">
        <v>5575</v>
      </c>
      <c r="DMW1" s="286" t="s">
        <v>5576</v>
      </c>
      <c r="DMX1" s="286" t="s">
        <v>5577</v>
      </c>
      <c r="DMY1" s="286" t="s">
        <v>5578</v>
      </c>
      <c r="DMZ1" s="286" t="s">
        <v>5579</v>
      </c>
      <c r="DNA1" s="286" t="s">
        <v>5580</v>
      </c>
      <c r="DNB1" s="286" t="s">
        <v>5581</v>
      </c>
      <c r="DNC1" s="286" t="s">
        <v>5582</v>
      </c>
      <c r="DND1" s="286" t="s">
        <v>5583</v>
      </c>
      <c r="DNE1" s="286" t="s">
        <v>5584</v>
      </c>
      <c r="DNF1" s="286" t="s">
        <v>5585</v>
      </c>
      <c r="DNG1" s="286" t="s">
        <v>5586</v>
      </c>
      <c r="DNH1" s="286" t="s">
        <v>5587</v>
      </c>
      <c r="DNI1" s="286" t="s">
        <v>5588</v>
      </c>
      <c r="DNJ1" s="286" t="s">
        <v>5589</v>
      </c>
      <c r="DNK1" s="286" t="s">
        <v>5590</v>
      </c>
      <c r="DNL1" s="286" t="s">
        <v>5591</v>
      </c>
      <c r="DNM1" s="286" t="s">
        <v>5592</v>
      </c>
      <c r="DNN1" s="286" t="s">
        <v>5593</v>
      </c>
      <c r="DNO1" s="286" t="s">
        <v>5594</v>
      </c>
      <c r="DNP1" s="286" t="s">
        <v>5595</v>
      </c>
      <c r="DNQ1" s="286" t="s">
        <v>5596</v>
      </c>
      <c r="DNR1" s="286" t="s">
        <v>5597</v>
      </c>
      <c r="DNS1" s="286" t="s">
        <v>5598</v>
      </c>
      <c r="DNT1" s="286" t="s">
        <v>5599</v>
      </c>
      <c r="DNU1" s="286" t="s">
        <v>5600</v>
      </c>
      <c r="DNV1" s="286" t="s">
        <v>5601</v>
      </c>
      <c r="DNW1" s="286" t="s">
        <v>5602</v>
      </c>
      <c r="DNX1" s="286" t="s">
        <v>5603</v>
      </c>
      <c r="DNY1" s="286" t="s">
        <v>5604</v>
      </c>
      <c r="DNZ1" s="286" t="s">
        <v>5605</v>
      </c>
      <c r="DOA1" s="286" t="s">
        <v>5606</v>
      </c>
      <c r="DOB1" s="286" t="s">
        <v>5607</v>
      </c>
      <c r="DOC1" s="286" t="s">
        <v>5608</v>
      </c>
      <c r="DOD1" s="286" t="s">
        <v>5609</v>
      </c>
      <c r="DOE1" s="286" t="s">
        <v>5610</v>
      </c>
      <c r="DOF1" s="286" t="s">
        <v>5611</v>
      </c>
      <c r="DOG1" s="286" t="s">
        <v>5612</v>
      </c>
      <c r="DOH1" s="286" t="s">
        <v>5613</v>
      </c>
      <c r="DOI1" s="286" t="s">
        <v>5614</v>
      </c>
      <c r="DOJ1" s="286" t="s">
        <v>5615</v>
      </c>
      <c r="DOK1" s="286" t="s">
        <v>5616</v>
      </c>
      <c r="DOL1" s="286" t="s">
        <v>5617</v>
      </c>
      <c r="DOM1" s="286" t="s">
        <v>5618</v>
      </c>
      <c r="DON1" s="286" t="s">
        <v>5619</v>
      </c>
      <c r="DOO1" s="286" t="s">
        <v>5620</v>
      </c>
      <c r="DOP1" s="286" t="s">
        <v>5621</v>
      </c>
      <c r="DOQ1" s="286" t="s">
        <v>5622</v>
      </c>
      <c r="DOR1" s="286" t="s">
        <v>5623</v>
      </c>
      <c r="DOS1" s="286" t="s">
        <v>5624</v>
      </c>
      <c r="DOT1" s="286" t="s">
        <v>5625</v>
      </c>
      <c r="DOU1" s="286" t="s">
        <v>5626</v>
      </c>
      <c r="DOV1" s="286" t="s">
        <v>5627</v>
      </c>
      <c r="DOW1" s="286" t="s">
        <v>5628</v>
      </c>
      <c r="DOX1" s="286" t="s">
        <v>5629</v>
      </c>
      <c r="DOY1" s="286" t="s">
        <v>5630</v>
      </c>
      <c r="DOZ1" s="286" t="s">
        <v>5631</v>
      </c>
      <c r="DPA1" s="286" t="s">
        <v>5632</v>
      </c>
      <c r="DPB1" s="286" t="s">
        <v>5633</v>
      </c>
      <c r="DPC1" s="286" t="s">
        <v>5634</v>
      </c>
      <c r="DPD1" s="286" t="s">
        <v>5635</v>
      </c>
      <c r="DPE1" s="286" t="s">
        <v>5636</v>
      </c>
      <c r="DPF1" s="286" t="s">
        <v>5637</v>
      </c>
      <c r="DPG1" s="286" t="s">
        <v>5638</v>
      </c>
      <c r="DPH1" s="286" t="s">
        <v>5639</v>
      </c>
      <c r="DPI1" s="286" t="s">
        <v>5640</v>
      </c>
      <c r="DPJ1" s="286" t="s">
        <v>5641</v>
      </c>
      <c r="DPK1" s="286" t="s">
        <v>5642</v>
      </c>
      <c r="DPL1" s="286" t="s">
        <v>5643</v>
      </c>
      <c r="DPM1" s="286" t="s">
        <v>5644</v>
      </c>
      <c r="DPN1" s="286" t="s">
        <v>5645</v>
      </c>
      <c r="DPO1" s="286" t="s">
        <v>5646</v>
      </c>
      <c r="DPP1" s="286" t="s">
        <v>5647</v>
      </c>
      <c r="DPQ1" s="286" t="s">
        <v>5648</v>
      </c>
      <c r="DPR1" s="286" t="s">
        <v>5649</v>
      </c>
      <c r="DPS1" s="286" t="s">
        <v>5650</v>
      </c>
      <c r="DPT1" s="286" t="s">
        <v>5651</v>
      </c>
      <c r="DPU1" s="286" t="s">
        <v>5652</v>
      </c>
      <c r="DPV1" s="286" t="s">
        <v>5653</v>
      </c>
      <c r="DPW1" s="286" t="s">
        <v>5654</v>
      </c>
      <c r="DPX1" s="286" t="s">
        <v>5655</v>
      </c>
      <c r="DPY1" s="286" t="s">
        <v>5656</v>
      </c>
      <c r="DPZ1" s="286" t="s">
        <v>5657</v>
      </c>
      <c r="DQA1" s="286" t="s">
        <v>5658</v>
      </c>
      <c r="DQB1" s="286" t="s">
        <v>5659</v>
      </c>
      <c r="DQC1" s="286" t="s">
        <v>5660</v>
      </c>
      <c r="DQD1" s="286" t="s">
        <v>5661</v>
      </c>
      <c r="DQE1" s="286" t="s">
        <v>5662</v>
      </c>
      <c r="DQF1" s="286" t="s">
        <v>5663</v>
      </c>
      <c r="DQG1" s="286" t="s">
        <v>5664</v>
      </c>
      <c r="DQH1" s="286" t="s">
        <v>5665</v>
      </c>
      <c r="DQI1" s="286" t="s">
        <v>5666</v>
      </c>
      <c r="DQJ1" s="286" t="s">
        <v>5667</v>
      </c>
      <c r="DQK1" s="286" t="s">
        <v>5668</v>
      </c>
      <c r="DQL1" s="286" t="s">
        <v>5669</v>
      </c>
      <c r="DQM1" s="286" t="s">
        <v>5670</v>
      </c>
      <c r="DQN1" s="286" t="s">
        <v>5671</v>
      </c>
      <c r="DQO1" s="286" t="s">
        <v>5672</v>
      </c>
      <c r="DQP1" s="286" t="s">
        <v>5673</v>
      </c>
      <c r="DQQ1" s="286" t="s">
        <v>5674</v>
      </c>
      <c r="DQR1" s="286" t="s">
        <v>5675</v>
      </c>
      <c r="DQS1" s="286" t="s">
        <v>5676</v>
      </c>
      <c r="DQT1" s="286" t="s">
        <v>5677</v>
      </c>
      <c r="DQU1" s="286" t="s">
        <v>5678</v>
      </c>
      <c r="DQV1" s="286" t="s">
        <v>5679</v>
      </c>
      <c r="DQW1" s="286" t="s">
        <v>5680</v>
      </c>
      <c r="DQX1" s="286" t="s">
        <v>5681</v>
      </c>
      <c r="DQY1" s="286" t="s">
        <v>5682</v>
      </c>
      <c r="DQZ1" s="286" t="s">
        <v>5683</v>
      </c>
      <c r="DRA1" s="286" t="s">
        <v>5684</v>
      </c>
      <c r="DRB1" s="286" t="s">
        <v>5685</v>
      </c>
      <c r="DRC1" s="286" t="s">
        <v>5686</v>
      </c>
      <c r="DRD1" s="286" t="s">
        <v>5687</v>
      </c>
      <c r="DRE1" s="286" t="s">
        <v>5688</v>
      </c>
      <c r="DRF1" s="286" t="s">
        <v>5689</v>
      </c>
      <c r="DRG1" s="286" t="s">
        <v>5690</v>
      </c>
      <c r="DRH1" s="286" t="s">
        <v>5691</v>
      </c>
      <c r="DRI1" s="286" t="s">
        <v>5692</v>
      </c>
      <c r="DRJ1" s="286" t="s">
        <v>5693</v>
      </c>
      <c r="DRK1" s="286" t="s">
        <v>5694</v>
      </c>
      <c r="DRL1" s="286" t="s">
        <v>5695</v>
      </c>
      <c r="DRM1" s="286" t="s">
        <v>5696</v>
      </c>
      <c r="DRN1" s="286" t="s">
        <v>5697</v>
      </c>
      <c r="DRO1" s="286" t="s">
        <v>5698</v>
      </c>
      <c r="DRP1" s="286" t="s">
        <v>5699</v>
      </c>
      <c r="DRQ1" s="286" t="s">
        <v>5700</v>
      </c>
      <c r="DRR1" s="286" t="s">
        <v>5701</v>
      </c>
      <c r="DRS1" s="286" t="s">
        <v>5702</v>
      </c>
      <c r="DRT1" s="286" t="s">
        <v>5703</v>
      </c>
      <c r="DRU1" s="286" t="s">
        <v>5704</v>
      </c>
      <c r="DRV1" s="286" t="s">
        <v>5705</v>
      </c>
      <c r="DRW1" s="286" t="s">
        <v>5706</v>
      </c>
      <c r="DRX1" s="286" t="s">
        <v>5707</v>
      </c>
      <c r="DRY1" s="286" t="s">
        <v>5708</v>
      </c>
      <c r="DRZ1" s="286" t="s">
        <v>5709</v>
      </c>
      <c r="DSA1" s="286" t="s">
        <v>5710</v>
      </c>
      <c r="DSB1" s="286" t="s">
        <v>5711</v>
      </c>
      <c r="DSC1" s="286" t="s">
        <v>5712</v>
      </c>
      <c r="DSD1" s="286" t="s">
        <v>5713</v>
      </c>
      <c r="DSE1" s="286" t="s">
        <v>5714</v>
      </c>
      <c r="DSF1" s="286" t="s">
        <v>5715</v>
      </c>
      <c r="DSG1" s="286" t="s">
        <v>5716</v>
      </c>
      <c r="DSH1" s="286" t="s">
        <v>5717</v>
      </c>
      <c r="DSI1" s="286" t="s">
        <v>5718</v>
      </c>
      <c r="DSJ1" s="286" t="s">
        <v>5719</v>
      </c>
      <c r="DSK1" s="286" t="s">
        <v>5720</v>
      </c>
      <c r="DSL1" s="286" t="s">
        <v>5721</v>
      </c>
      <c r="DSM1" s="286" t="s">
        <v>5722</v>
      </c>
      <c r="DSN1" s="286" t="s">
        <v>5723</v>
      </c>
      <c r="DSO1" s="286" t="s">
        <v>5724</v>
      </c>
      <c r="DSP1" s="286" t="s">
        <v>5725</v>
      </c>
      <c r="DSQ1" s="286" t="s">
        <v>5726</v>
      </c>
      <c r="DSR1" s="286" t="s">
        <v>5727</v>
      </c>
      <c r="DSS1" s="286" t="s">
        <v>5728</v>
      </c>
      <c r="DST1" s="286" t="s">
        <v>5729</v>
      </c>
      <c r="DSU1" s="286" t="s">
        <v>5730</v>
      </c>
      <c r="DSV1" s="286" t="s">
        <v>5731</v>
      </c>
      <c r="DSW1" s="286" t="s">
        <v>5732</v>
      </c>
      <c r="DSX1" s="286" t="s">
        <v>5733</v>
      </c>
      <c r="DSY1" s="286" t="s">
        <v>5734</v>
      </c>
      <c r="DSZ1" s="286" t="s">
        <v>5735</v>
      </c>
      <c r="DTA1" s="286" t="s">
        <v>5736</v>
      </c>
      <c r="DTB1" s="286" t="s">
        <v>5737</v>
      </c>
      <c r="DTC1" s="286" t="s">
        <v>5738</v>
      </c>
      <c r="DTD1" s="286" t="s">
        <v>5739</v>
      </c>
      <c r="DTE1" s="286" t="s">
        <v>5740</v>
      </c>
      <c r="DTF1" s="286" t="s">
        <v>5741</v>
      </c>
      <c r="DTG1" s="286" t="s">
        <v>5742</v>
      </c>
      <c r="DTH1" s="286" t="s">
        <v>5743</v>
      </c>
      <c r="DTI1" s="286" t="s">
        <v>5744</v>
      </c>
      <c r="DTJ1" s="286" t="s">
        <v>5745</v>
      </c>
      <c r="DTK1" s="286" t="s">
        <v>5746</v>
      </c>
      <c r="DTL1" s="286" t="s">
        <v>5747</v>
      </c>
      <c r="DTM1" s="286" t="s">
        <v>5748</v>
      </c>
      <c r="DTN1" s="286" t="s">
        <v>5749</v>
      </c>
      <c r="DTO1" s="286" t="s">
        <v>5750</v>
      </c>
      <c r="DTP1" s="286" t="s">
        <v>5751</v>
      </c>
      <c r="DTQ1" s="286" t="s">
        <v>5752</v>
      </c>
      <c r="DTR1" s="286" t="s">
        <v>5753</v>
      </c>
      <c r="DTS1" s="286" t="s">
        <v>5754</v>
      </c>
      <c r="DTT1" s="286" t="s">
        <v>5755</v>
      </c>
      <c r="DTU1" s="286" t="s">
        <v>5756</v>
      </c>
      <c r="DTV1" s="286" t="s">
        <v>5757</v>
      </c>
      <c r="DTW1" s="286" t="s">
        <v>5758</v>
      </c>
      <c r="DTX1" s="286" t="s">
        <v>5759</v>
      </c>
      <c r="DTY1" s="286" t="s">
        <v>5760</v>
      </c>
      <c r="DTZ1" s="286" t="s">
        <v>5761</v>
      </c>
      <c r="DUA1" s="286" t="s">
        <v>5762</v>
      </c>
      <c r="DUB1" s="286" t="s">
        <v>5763</v>
      </c>
      <c r="DUC1" s="286" t="s">
        <v>5764</v>
      </c>
      <c r="DUD1" s="286" t="s">
        <v>5765</v>
      </c>
      <c r="DUE1" s="286" t="s">
        <v>5766</v>
      </c>
      <c r="DUF1" s="286" t="s">
        <v>5767</v>
      </c>
      <c r="DUG1" s="286" t="s">
        <v>5768</v>
      </c>
      <c r="DUH1" s="286" t="s">
        <v>5769</v>
      </c>
      <c r="DUI1" s="286" t="s">
        <v>5770</v>
      </c>
      <c r="DUJ1" s="286" t="s">
        <v>5771</v>
      </c>
      <c r="DUK1" s="286" t="s">
        <v>5772</v>
      </c>
      <c r="DUL1" s="286" t="s">
        <v>5773</v>
      </c>
      <c r="DUM1" s="286" t="s">
        <v>5774</v>
      </c>
      <c r="DUN1" s="286" t="s">
        <v>5775</v>
      </c>
      <c r="DUO1" s="286" t="s">
        <v>5776</v>
      </c>
      <c r="DUP1" s="286" t="s">
        <v>5777</v>
      </c>
      <c r="DUQ1" s="286" t="s">
        <v>5778</v>
      </c>
      <c r="DUR1" s="286" t="s">
        <v>5779</v>
      </c>
      <c r="DUS1" s="286" t="s">
        <v>5780</v>
      </c>
      <c r="DUT1" s="286" t="s">
        <v>5781</v>
      </c>
      <c r="DUU1" s="286" t="s">
        <v>5782</v>
      </c>
      <c r="DUV1" s="286" t="s">
        <v>5783</v>
      </c>
      <c r="DUW1" s="286" t="s">
        <v>5784</v>
      </c>
      <c r="DUX1" s="286" t="s">
        <v>5785</v>
      </c>
      <c r="DUY1" s="286" t="s">
        <v>5786</v>
      </c>
      <c r="DUZ1" s="286" t="s">
        <v>5787</v>
      </c>
      <c r="DVA1" s="286" t="s">
        <v>5788</v>
      </c>
      <c r="DVB1" s="286" t="s">
        <v>5789</v>
      </c>
      <c r="DVC1" s="286" t="s">
        <v>5790</v>
      </c>
      <c r="DVD1" s="286" t="s">
        <v>5791</v>
      </c>
      <c r="DVE1" s="286" t="s">
        <v>5792</v>
      </c>
      <c r="DVF1" s="286" t="s">
        <v>5793</v>
      </c>
      <c r="DVG1" s="286" t="s">
        <v>5794</v>
      </c>
      <c r="DVH1" s="286" t="s">
        <v>5795</v>
      </c>
      <c r="DVI1" s="286" t="s">
        <v>5796</v>
      </c>
      <c r="DVJ1" s="286" t="s">
        <v>5797</v>
      </c>
      <c r="DVK1" s="286" t="s">
        <v>5798</v>
      </c>
      <c r="DVL1" s="286" t="s">
        <v>5799</v>
      </c>
      <c r="DVM1" s="286" t="s">
        <v>5800</v>
      </c>
      <c r="DVN1" s="286" t="s">
        <v>5801</v>
      </c>
      <c r="DVO1" s="286" t="s">
        <v>5802</v>
      </c>
      <c r="DVP1" s="286" t="s">
        <v>5803</v>
      </c>
      <c r="DVQ1" s="286" t="s">
        <v>5804</v>
      </c>
      <c r="DVR1" s="286" t="s">
        <v>5805</v>
      </c>
      <c r="DVS1" s="286" t="s">
        <v>5806</v>
      </c>
      <c r="DVT1" s="286" t="s">
        <v>5807</v>
      </c>
      <c r="DVU1" s="286" t="s">
        <v>5808</v>
      </c>
      <c r="DVV1" s="286" t="s">
        <v>5809</v>
      </c>
      <c r="DVW1" s="286" t="s">
        <v>5810</v>
      </c>
      <c r="DVX1" s="286" t="s">
        <v>5811</v>
      </c>
      <c r="DVY1" s="286" t="s">
        <v>5812</v>
      </c>
      <c r="DVZ1" s="286" t="s">
        <v>5813</v>
      </c>
      <c r="DWA1" s="286" t="s">
        <v>5814</v>
      </c>
      <c r="DWB1" s="286" t="s">
        <v>5815</v>
      </c>
      <c r="DWC1" s="286" t="s">
        <v>5816</v>
      </c>
      <c r="DWD1" s="286" t="s">
        <v>5817</v>
      </c>
      <c r="DWE1" s="286" t="s">
        <v>5818</v>
      </c>
      <c r="DWF1" s="286" t="s">
        <v>5819</v>
      </c>
      <c r="DWG1" s="286" t="s">
        <v>5820</v>
      </c>
      <c r="DWH1" s="286" t="s">
        <v>5821</v>
      </c>
      <c r="DWI1" s="286" t="s">
        <v>5822</v>
      </c>
      <c r="DWJ1" s="286" t="s">
        <v>5823</v>
      </c>
      <c r="DWK1" s="286" t="s">
        <v>5824</v>
      </c>
      <c r="DWL1" s="286" t="s">
        <v>5825</v>
      </c>
      <c r="DWM1" s="286" t="s">
        <v>5826</v>
      </c>
      <c r="DWN1" s="286" t="s">
        <v>5827</v>
      </c>
      <c r="DWO1" s="286" t="s">
        <v>5828</v>
      </c>
      <c r="DWP1" s="286" t="s">
        <v>5829</v>
      </c>
      <c r="DWQ1" s="286" t="s">
        <v>5830</v>
      </c>
      <c r="DWR1" s="286" t="s">
        <v>5831</v>
      </c>
      <c r="DWS1" s="286" t="s">
        <v>5832</v>
      </c>
      <c r="DWT1" s="286" t="s">
        <v>5833</v>
      </c>
      <c r="DWU1" s="286" t="s">
        <v>5834</v>
      </c>
      <c r="DWV1" s="286" t="s">
        <v>5835</v>
      </c>
      <c r="DWW1" s="286" t="s">
        <v>5836</v>
      </c>
      <c r="DWX1" s="286" t="s">
        <v>5837</v>
      </c>
      <c r="DWY1" s="286" t="s">
        <v>5838</v>
      </c>
      <c r="DWZ1" s="286" t="s">
        <v>5839</v>
      </c>
      <c r="DXA1" s="286" t="s">
        <v>5840</v>
      </c>
      <c r="DXB1" s="286" t="s">
        <v>5841</v>
      </c>
      <c r="DXC1" s="286" t="s">
        <v>5842</v>
      </c>
      <c r="DXD1" s="286" t="s">
        <v>5843</v>
      </c>
      <c r="DXE1" s="286" t="s">
        <v>5844</v>
      </c>
      <c r="DXF1" s="286" t="s">
        <v>5845</v>
      </c>
      <c r="DXG1" s="286" t="s">
        <v>5846</v>
      </c>
      <c r="DXH1" s="286" t="s">
        <v>5847</v>
      </c>
      <c r="DXI1" s="286" t="s">
        <v>5848</v>
      </c>
      <c r="DXJ1" s="286" t="s">
        <v>5849</v>
      </c>
      <c r="DXK1" s="286" t="s">
        <v>5850</v>
      </c>
      <c r="DXL1" s="286" t="s">
        <v>5851</v>
      </c>
      <c r="DXM1" s="286" t="s">
        <v>5852</v>
      </c>
      <c r="DXN1" s="286" t="s">
        <v>5853</v>
      </c>
      <c r="DXO1" s="286" t="s">
        <v>5854</v>
      </c>
      <c r="DXP1" s="286" t="s">
        <v>5855</v>
      </c>
      <c r="DXQ1" s="286" t="s">
        <v>5856</v>
      </c>
      <c r="DXR1" s="286" t="s">
        <v>5857</v>
      </c>
      <c r="DXS1" s="286" t="s">
        <v>5858</v>
      </c>
      <c r="DXT1" s="286" t="s">
        <v>5859</v>
      </c>
      <c r="DXU1" s="286" t="s">
        <v>5860</v>
      </c>
      <c r="DXV1" s="286" t="s">
        <v>5861</v>
      </c>
      <c r="DXW1" s="286" t="s">
        <v>5862</v>
      </c>
      <c r="DXX1" s="286" t="s">
        <v>5863</v>
      </c>
      <c r="DXY1" s="286" t="s">
        <v>5864</v>
      </c>
      <c r="DXZ1" s="286" t="s">
        <v>5865</v>
      </c>
      <c r="DYA1" s="286" t="s">
        <v>5866</v>
      </c>
      <c r="DYB1" s="286" t="s">
        <v>5867</v>
      </c>
      <c r="DYC1" s="286" t="s">
        <v>5868</v>
      </c>
      <c r="DYD1" s="286" t="s">
        <v>5869</v>
      </c>
      <c r="DYE1" s="286" t="s">
        <v>5870</v>
      </c>
      <c r="DYF1" s="286" t="s">
        <v>5871</v>
      </c>
      <c r="DYG1" s="286" t="s">
        <v>5872</v>
      </c>
      <c r="DYH1" s="286" t="s">
        <v>5873</v>
      </c>
      <c r="DYI1" s="286" t="s">
        <v>5874</v>
      </c>
      <c r="DYJ1" s="286" t="s">
        <v>5875</v>
      </c>
      <c r="DYK1" s="286" t="s">
        <v>5876</v>
      </c>
      <c r="DYL1" s="286" t="s">
        <v>5877</v>
      </c>
      <c r="DYM1" s="286" t="s">
        <v>5878</v>
      </c>
      <c r="DYN1" s="286" t="s">
        <v>5879</v>
      </c>
      <c r="DYO1" s="286" t="s">
        <v>5880</v>
      </c>
      <c r="DYP1" s="286" t="s">
        <v>5881</v>
      </c>
      <c r="DYQ1" s="286" t="s">
        <v>5882</v>
      </c>
      <c r="DYR1" s="286" t="s">
        <v>5883</v>
      </c>
      <c r="DYS1" s="286" t="s">
        <v>5884</v>
      </c>
      <c r="DYT1" s="286" t="s">
        <v>5885</v>
      </c>
      <c r="DYU1" s="286" t="s">
        <v>5886</v>
      </c>
      <c r="DYV1" s="286" t="s">
        <v>5887</v>
      </c>
      <c r="DYW1" s="286" t="s">
        <v>5888</v>
      </c>
      <c r="DYX1" s="286" t="s">
        <v>5889</v>
      </c>
      <c r="DYY1" s="286" t="s">
        <v>5890</v>
      </c>
      <c r="DYZ1" s="286" t="s">
        <v>5891</v>
      </c>
      <c r="DZA1" s="286" t="s">
        <v>5892</v>
      </c>
      <c r="DZB1" s="286" t="s">
        <v>5893</v>
      </c>
      <c r="DZC1" s="286" t="s">
        <v>5894</v>
      </c>
      <c r="DZD1" s="286" t="s">
        <v>5895</v>
      </c>
      <c r="DZE1" s="286" t="s">
        <v>5896</v>
      </c>
      <c r="DZF1" s="286" t="s">
        <v>5897</v>
      </c>
      <c r="DZG1" s="286" t="s">
        <v>5898</v>
      </c>
      <c r="DZH1" s="286" t="s">
        <v>5899</v>
      </c>
      <c r="DZI1" s="286" t="s">
        <v>5900</v>
      </c>
      <c r="DZJ1" s="286" t="s">
        <v>5901</v>
      </c>
      <c r="DZK1" s="286" t="s">
        <v>5902</v>
      </c>
      <c r="DZL1" s="286" t="s">
        <v>5903</v>
      </c>
      <c r="DZM1" s="286" t="s">
        <v>5904</v>
      </c>
      <c r="DZN1" s="286" t="s">
        <v>5905</v>
      </c>
      <c r="DZO1" s="286" t="s">
        <v>5906</v>
      </c>
      <c r="DZP1" s="286" t="s">
        <v>5907</v>
      </c>
      <c r="DZQ1" s="286" t="s">
        <v>5908</v>
      </c>
      <c r="DZR1" s="286" t="s">
        <v>5909</v>
      </c>
      <c r="DZS1" s="286" t="s">
        <v>5910</v>
      </c>
      <c r="DZT1" s="286" t="s">
        <v>5911</v>
      </c>
      <c r="DZU1" s="286" t="s">
        <v>5912</v>
      </c>
      <c r="DZV1" s="286" t="s">
        <v>5913</v>
      </c>
      <c r="DZW1" s="286" t="s">
        <v>5914</v>
      </c>
      <c r="DZX1" s="286" t="s">
        <v>5915</v>
      </c>
      <c r="DZY1" s="286" t="s">
        <v>5916</v>
      </c>
      <c r="DZZ1" s="286" t="s">
        <v>5917</v>
      </c>
      <c r="EAA1" s="286" t="s">
        <v>5918</v>
      </c>
      <c r="EAB1" s="286" t="s">
        <v>5919</v>
      </c>
      <c r="EAC1" s="286" t="s">
        <v>5920</v>
      </c>
      <c r="EAD1" s="286" t="s">
        <v>5921</v>
      </c>
      <c r="EAE1" s="286" t="s">
        <v>5922</v>
      </c>
      <c r="EAF1" s="286" t="s">
        <v>5923</v>
      </c>
      <c r="EAG1" s="286" t="s">
        <v>5924</v>
      </c>
      <c r="EAH1" s="286" t="s">
        <v>5925</v>
      </c>
      <c r="EAI1" s="286" t="s">
        <v>5926</v>
      </c>
      <c r="EAJ1" s="286" t="s">
        <v>5927</v>
      </c>
      <c r="EAK1" s="286" t="s">
        <v>5928</v>
      </c>
      <c r="EAL1" s="286" t="s">
        <v>5929</v>
      </c>
      <c r="EAM1" s="286" t="s">
        <v>5930</v>
      </c>
      <c r="EAN1" s="286" t="s">
        <v>5931</v>
      </c>
      <c r="EAO1" s="286" t="s">
        <v>5932</v>
      </c>
      <c r="EAP1" s="286" t="s">
        <v>5933</v>
      </c>
      <c r="EAQ1" s="286" t="s">
        <v>5934</v>
      </c>
      <c r="EAR1" s="286" t="s">
        <v>5935</v>
      </c>
      <c r="EAS1" s="286" t="s">
        <v>5936</v>
      </c>
      <c r="EAT1" s="286" t="s">
        <v>5937</v>
      </c>
      <c r="EAU1" s="286" t="s">
        <v>5938</v>
      </c>
      <c r="EAV1" s="286" t="s">
        <v>5939</v>
      </c>
      <c r="EAW1" s="286" t="s">
        <v>5940</v>
      </c>
      <c r="EAX1" s="286" t="s">
        <v>5941</v>
      </c>
      <c r="EAY1" s="286" t="s">
        <v>5942</v>
      </c>
      <c r="EAZ1" s="286" t="s">
        <v>5943</v>
      </c>
      <c r="EBA1" s="286" t="s">
        <v>5944</v>
      </c>
      <c r="EBB1" s="286" t="s">
        <v>5945</v>
      </c>
      <c r="EBC1" s="286" t="s">
        <v>5946</v>
      </c>
      <c r="EBD1" s="286" t="s">
        <v>5947</v>
      </c>
      <c r="EBE1" s="286" t="s">
        <v>5948</v>
      </c>
      <c r="EBF1" s="286" t="s">
        <v>5949</v>
      </c>
      <c r="EBG1" s="286" t="s">
        <v>5950</v>
      </c>
      <c r="EBH1" s="286" t="s">
        <v>5951</v>
      </c>
      <c r="EBI1" s="286" t="s">
        <v>5952</v>
      </c>
      <c r="EBJ1" s="286" t="s">
        <v>5953</v>
      </c>
      <c r="EBK1" s="286" t="s">
        <v>5954</v>
      </c>
      <c r="EBL1" s="286" t="s">
        <v>5955</v>
      </c>
      <c r="EBM1" s="286" t="s">
        <v>5956</v>
      </c>
      <c r="EBN1" s="286" t="s">
        <v>5957</v>
      </c>
      <c r="EBO1" s="286" t="s">
        <v>5958</v>
      </c>
      <c r="EBP1" s="286" t="s">
        <v>5959</v>
      </c>
      <c r="EBQ1" s="286" t="s">
        <v>5960</v>
      </c>
      <c r="EBR1" s="286" t="s">
        <v>5961</v>
      </c>
      <c r="EBS1" s="286" t="s">
        <v>5962</v>
      </c>
      <c r="EBT1" s="286" t="s">
        <v>5963</v>
      </c>
      <c r="EBU1" s="286" t="s">
        <v>5964</v>
      </c>
      <c r="EBV1" s="286" t="s">
        <v>5965</v>
      </c>
      <c r="EBW1" s="286" t="s">
        <v>5966</v>
      </c>
      <c r="EBX1" s="286" t="s">
        <v>5967</v>
      </c>
      <c r="EBY1" s="286" t="s">
        <v>5968</v>
      </c>
      <c r="EBZ1" s="286" t="s">
        <v>5969</v>
      </c>
      <c r="ECA1" s="286" t="s">
        <v>5970</v>
      </c>
      <c r="ECB1" s="286" t="s">
        <v>5971</v>
      </c>
      <c r="ECC1" s="286" t="s">
        <v>5972</v>
      </c>
      <c r="ECD1" s="286" t="s">
        <v>5973</v>
      </c>
      <c r="ECE1" s="286" t="s">
        <v>5974</v>
      </c>
      <c r="ECF1" s="286" t="s">
        <v>5975</v>
      </c>
      <c r="ECG1" s="286" t="s">
        <v>5976</v>
      </c>
      <c r="ECH1" s="286" t="s">
        <v>5977</v>
      </c>
      <c r="ECI1" s="286" t="s">
        <v>5978</v>
      </c>
      <c r="ECJ1" s="286" t="s">
        <v>5979</v>
      </c>
      <c r="ECK1" s="286" t="s">
        <v>5980</v>
      </c>
      <c r="ECL1" s="286" t="s">
        <v>5981</v>
      </c>
      <c r="ECM1" s="286" t="s">
        <v>5982</v>
      </c>
      <c r="ECN1" s="286" t="s">
        <v>5983</v>
      </c>
      <c r="ECO1" s="286" t="s">
        <v>5984</v>
      </c>
      <c r="ECP1" s="286" t="s">
        <v>5985</v>
      </c>
      <c r="ECQ1" s="286" t="s">
        <v>5986</v>
      </c>
      <c r="ECR1" s="286" t="s">
        <v>5987</v>
      </c>
      <c r="ECS1" s="286" t="s">
        <v>5988</v>
      </c>
      <c r="ECT1" s="286" t="s">
        <v>5989</v>
      </c>
      <c r="ECU1" s="286" t="s">
        <v>5990</v>
      </c>
      <c r="ECV1" s="286" t="s">
        <v>5991</v>
      </c>
      <c r="ECW1" s="286" t="s">
        <v>5992</v>
      </c>
      <c r="ECX1" s="286" t="s">
        <v>5993</v>
      </c>
      <c r="ECY1" s="286" t="s">
        <v>5994</v>
      </c>
      <c r="ECZ1" s="286" t="s">
        <v>5995</v>
      </c>
      <c r="EDA1" s="286" t="s">
        <v>5996</v>
      </c>
      <c r="EDB1" s="286" t="s">
        <v>5997</v>
      </c>
      <c r="EDC1" s="286" t="s">
        <v>5998</v>
      </c>
      <c r="EDD1" s="286" t="s">
        <v>5999</v>
      </c>
      <c r="EDE1" s="286" t="s">
        <v>6000</v>
      </c>
      <c r="EDF1" s="286" t="s">
        <v>6001</v>
      </c>
      <c r="EDG1" s="286" t="s">
        <v>6002</v>
      </c>
      <c r="EDH1" s="286" t="s">
        <v>6003</v>
      </c>
      <c r="EDI1" s="286" t="s">
        <v>6004</v>
      </c>
      <c r="EDJ1" s="286" t="s">
        <v>6005</v>
      </c>
      <c r="EDK1" s="286" t="s">
        <v>6006</v>
      </c>
      <c r="EDL1" s="286" t="s">
        <v>6007</v>
      </c>
      <c r="EDM1" s="286" t="s">
        <v>6008</v>
      </c>
      <c r="EDN1" s="286" t="s">
        <v>6009</v>
      </c>
      <c r="EDO1" s="286" t="s">
        <v>6010</v>
      </c>
      <c r="EDP1" s="286" t="s">
        <v>6011</v>
      </c>
      <c r="EDQ1" s="286" t="s">
        <v>6012</v>
      </c>
      <c r="EDR1" s="286" t="s">
        <v>6013</v>
      </c>
      <c r="EDS1" s="286" t="s">
        <v>6014</v>
      </c>
      <c r="EDT1" s="286" t="s">
        <v>6015</v>
      </c>
      <c r="EDU1" s="286" t="s">
        <v>6016</v>
      </c>
      <c r="EDV1" s="286" t="s">
        <v>6017</v>
      </c>
      <c r="EDW1" s="286" t="s">
        <v>6018</v>
      </c>
      <c r="EDX1" s="286" t="s">
        <v>6019</v>
      </c>
      <c r="EDY1" s="286" t="s">
        <v>6020</v>
      </c>
      <c r="EDZ1" s="286" t="s">
        <v>6021</v>
      </c>
      <c r="EEA1" s="286" t="s">
        <v>6022</v>
      </c>
      <c r="EEB1" s="286" t="s">
        <v>6023</v>
      </c>
      <c r="EEC1" s="286" t="s">
        <v>6024</v>
      </c>
      <c r="EED1" s="286" t="s">
        <v>6025</v>
      </c>
      <c r="EEE1" s="286" t="s">
        <v>6026</v>
      </c>
      <c r="EEF1" s="286" t="s">
        <v>6027</v>
      </c>
      <c r="EEG1" s="286" t="s">
        <v>6028</v>
      </c>
      <c r="EEH1" s="286" t="s">
        <v>6029</v>
      </c>
      <c r="EEI1" s="286" t="s">
        <v>6030</v>
      </c>
      <c r="EEJ1" s="286" t="s">
        <v>6031</v>
      </c>
      <c r="EEK1" s="286" t="s">
        <v>6032</v>
      </c>
      <c r="EEL1" s="286" t="s">
        <v>6033</v>
      </c>
      <c r="EEM1" s="286" t="s">
        <v>6034</v>
      </c>
      <c r="EEN1" s="286" t="s">
        <v>6035</v>
      </c>
      <c r="EEO1" s="286" t="s">
        <v>6036</v>
      </c>
      <c r="EEP1" s="286" t="s">
        <v>6037</v>
      </c>
      <c r="EEQ1" s="286" t="s">
        <v>6038</v>
      </c>
      <c r="EER1" s="286" t="s">
        <v>6039</v>
      </c>
      <c r="EES1" s="286" t="s">
        <v>6040</v>
      </c>
      <c r="EET1" s="286" t="s">
        <v>6041</v>
      </c>
      <c r="EEU1" s="286" t="s">
        <v>6042</v>
      </c>
      <c r="EEV1" s="286" t="s">
        <v>6043</v>
      </c>
      <c r="EEW1" s="286" t="s">
        <v>6044</v>
      </c>
      <c r="EEX1" s="286" t="s">
        <v>6045</v>
      </c>
      <c r="EEY1" s="286" t="s">
        <v>6046</v>
      </c>
      <c r="EEZ1" s="286" t="s">
        <v>6047</v>
      </c>
      <c r="EFA1" s="286" t="s">
        <v>6048</v>
      </c>
      <c r="EFB1" s="286" t="s">
        <v>6049</v>
      </c>
      <c r="EFC1" s="286" t="s">
        <v>6050</v>
      </c>
      <c r="EFD1" s="286" t="s">
        <v>6051</v>
      </c>
      <c r="EFE1" s="286" t="s">
        <v>6052</v>
      </c>
      <c r="EFF1" s="286" t="s">
        <v>6053</v>
      </c>
      <c r="EFG1" s="286" t="s">
        <v>6054</v>
      </c>
      <c r="EFH1" s="286" t="s">
        <v>6055</v>
      </c>
      <c r="EFI1" s="286" t="s">
        <v>6056</v>
      </c>
      <c r="EFJ1" s="286" t="s">
        <v>6057</v>
      </c>
      <c r="EFK1" s="286" t="s">
        <v>6058</v>
      </c>
      <c r="EFL1" s="286" t="s">
        <v>6059</v>
      </c>
      <c r="EFM1" s="286" t="s">
        <v>6060</v>
      </c>
      <c r="EFN1" s="286" t="s">
        <v>6061</v>
      </c>
      <c r="EFO1" s="286" t="s">
        <v>6062</v>
      </c>
      <c r="EFP1" s="286" t="s">
        <v>6063</v>
      </c>
      <c r="EFQ1" s="286" t="s">
        <v>6064</v>
      </c>
      <c r="EFR1" s="286" t="s">
        <v>6065</v>
      </c>
      <c r="EFS1" s="286" t="s">
        <v>6066</v>
      </c>
      <c r="EFT1" s="286" t="s">
        <v>6067</v>
      </c>
      <c r="EFU1" s="286" t="s">
        <v>6068</v>
      </c>
      <c r="EFV1" s="286" t="s">
        <v>6069</v>
      </c>
      <c r="EFW1" s="286" t="s">
        <v>6070</v>
      </c>
      <c r="EFX1" s="286" t="s">
        <v>6071</v>
      </c>
      <c r="EFY1" s="286" t="s">
        <v>6072</v>
      </c>
      <c r="EFZ1" s="286" t="s">
        <v>6073</v>
      </c>
      <c r="EGA1" s="286" t="s">
        <v>6074</v>
      </c>
      <c r="EGB1" s="286" t="s">
        <v>6075</v>
      </c>
      <c r="EGC1" s="286" t="s">
        <v>6076</v>
      </c>
      <c r="EGD1" s="286" t="s">
        <v>6077</v>
      </c>
      <c r="EGE1" s="286" t="s">
        <v>6078</v>
      </c>
      <c r="EGF1" s="286" t="s">
        <v>6079</v>
      </c>
      <c r="EGG1" s="286" t="s">
        <v>6080</v>
      </c>
      <c r="EGH1" s="286" t="s">
        <v>6081</v>
      </c>
      <c r="EGI1" s="286" t="s">
        <v>6082</v>
      </c>
      <c r="EGJ1" s="286" t="s">
        <v>6083</v>
      </c>
      <c r="EGK1" s="286" t="s">
        <v>6084</v>
      </c>
      <c r="EGL1" s="286" t="s">
        <v>6085</v>
      </c>
      <c r="EGM1" s="286" t="s">
        <v>6086</v>
      </c>
      <c r="EGN1" s="286" t="s">
        <v>6087</v>
      </c>
      <c r="EGO1" s="286" t="s">
        <v>6088</v>
      </c>
      <c r="EGP1" s="286" t="s">
        <v>6089</v>
      </c>
      <c r="EGQ1" s="286" t="s">
        <v>6090</v>
      </c>
      <c r="EGR1" s="286" t="s">
        <v>6091</v>
      </c>
      <c r="EGS1" s="286" t="s">
        <v>6092</v>
      </c>
      <c r="EGT1" s="286" t="s">
        <v>6093</v>
      </c>
      <c r="EGU1" s="286" t="s">
        <v>6094</v>
      </c>
      <c r="EGV1" s="286" t="s">
        <v>6095</v>
      </c>
      <c r="EGW1" s="286" t="s">
        <v>6096</v>
      </c>
      <c r="EGX1" s="286" t="s">
        <v>6097</v>
      </c>
      <c r="EGY1" s="286" t="s">
        <v>6098</v>
      </c>
      <c r="EGZ1" s="286" t="s">
        <v>6099</v>
      </c>
      <c r="EHA1" s="286" t="s">
        <v>6100</v>
      </c>
      <c r="EHB1" s="286" t="s">
        <v>6101</v>
      </c>
      <c r="EHC1" s="286" t="s">
        <v>6102</v>
      </c>
      <c r="EHD1" s="286" t="s">
        <v>6103</v>
      </c>
      <c r="EHE1" s="286" t="s">
        <v>6104</v>
      </c>
      <c r="EHF1" s="286" t="s">
        <v>6105</v>
      </c>
      <c r="EHG1" s="286" t="s">
        <v>6106</v>
      </c>
      <c r="EHH1" s="286" t="s">
        <v>6107</v>
      </c>
      <c r="EHI1" s="286" t="s">
        <v>6108</v>
      </c>
      <c r="EHJ1" s="286" t="s">
        <v>6109</v>
      </c>
      <c r="EHK1" s="286" t="s">
        <v>6110</v>
      </c>
      <c r="EHL1" s="286" t="s">
        <v>6111</v>
      </c>
      <c r="EHM1" s="286" t="s">
        <v>6112</v>
      </c>
      <c r="EHN1" s="286" t="s">
        <v>6113</v>
      </c>
      <c r="EHO1" s="286" t="s">
        <v>6114</v>
      </c>
      <c r="EHP1" s="286" t="s">
        <v>6115</v>
      </c>
      <c r="EHQ1" s="286" t="s">
        <v>6116</v>
      </c>
      <c r="EHR1" s="286" t="s">
        <v>6117</v>
      </c>
      <c r="EHS1" s="286" t="s">
        <v>6118</v>
      </c>
      <c r="EHT1" s="286" t="s">
        <v>6119</v>
      </c>
      <c r="EHU1" s="286" t="s">
        <v>6120</v>
      </c>
      <c r="EHV1" s="286" t="s">
        <v>6121</v>
      </c>
      <c r="EHW1" s="286" t="s">
        <v>6122</v>
      </c>
      <c r="EHX1" s="286" t="s">
        <v>6123</v>
      </c>
      <c r="EHY1" s="286" t="s">
        <v>6124</v>
      </c>
      <c r="EHZ1" s="286" t="s">
        <v>6125</v>
      </c>
      <c r="EIA1" s="286" t="s">
        <v>6126</v>
      </c>
      <c r="EIB1" s="286" t="s">
        <v>6127</v>
      </c>
      <c r="EIC1" s="286" t="s">
        <v>6128</v>
      </c>
      <c r="EID1" s="286" t="s">
        <v>6129</v>
      </c>
      <c r="EIE1" s="286" t="s">
        <v>6130</v>
      </c>
      <c r="EIF1" s="286" t="s">
        <v>6131</v>
      </c>
      <c r="EIG1" s="286" t="s">
        <v>6132</v>
      </c>
      <c r="EIH1" s="286" t="s">
        <v>6133</v>
      </c>
      <c r="EII1" s="286" t="s">
        <v>6134</v>
      </c>
      <c r="EIJ1" s="286" t="s">
        <v>6135</v>
      </c>
      <c r="EIK1" s="286" t="s">
        <v>6136</v>
      </c>
      <c r="EIL1" s="286" t="s">
        <v>6137</v>
      </c>
      <c r="EIM1" s="286" t="s">
        <v>6138</v>
      </c>
      <c r="EIN1" s="286" t="s">
        <v>6139</v>
      </c>
      <c r="EIO1" s="286" t="s">
        <v>6140</v>
      </c>
      <c r="EIP1" s="286" t="s">
        <v>6141</v>
      </c>
      <c r="EIQ1" s="286" t="s">
        <v>6142</v>
      </c>
      <c r="EIR1" s="286" t="s">
        <v>6143</v>
      </c>
      <c r="EIS1" s="286" t="s">
        <v>6144</v>
      </c>
      <c r="EIT1" s="286" t="s">
        <v>6145</v>
      </c>
      <c r="EIU1" s="286" t="s">
        <v>6146</v>
      </c>
      <c r="EIV1" s="286" t="s">
        <v>6147</v>
      </c>
      <c r="EIW1" s="286" t="s">
        <v>6148</v>
      </c>
      <c r="EIX1" s="286" t="s">
        <v>6149</v>
      </c>
      <c r="EIY1" s="286" t="s">
        <v>6150</v>
      </c>
      <c r="EIZ1" s="286" t="s">
        <v>6151</v>
      </c>
      <c r="EJA1" s="286" t="s">
        <v>6152</v>
      </c>
      <c r="EJB1" s="286" t="s">
        <v>6153</v>
      </c>
      <c r="EJC1" s="286" t="s">
        <v>6154</v>
      </c>
      <c r="EJD1" s="286" t="s">
        <v>6155</v>
      </c>
      <c r="EJE1" s="286" t="s">
        <v>6156</v>
      </c>
      <c r="EJF1" s="286" t="s">
        <v>6157</v>
      </c>
      <c r="EJG1" s="286" t="s">
        <v>6158</v>
      </c>
      <c r="EJH1" s="286" t="s">
        <v>6159</v>
      </c>
      <c r="EJI1" s="286" t="s">
        <v>6160</v>
      </c>
      <c r="EJJ1" s="286" t="s">
        <v>6161</v>
      </c>
      <c r="EJK1" s="286" t="s">
        <v>6162</v>
      </c>
      <c r="EJL1" s="286" t="s">
        <v>6163</v>
      </c>
      <c r="EJM1" s="286" t="s">
        <v>6164</v>
      </c>
      <c r="EJN1" s="286" t="s">
        <v>6165</v>
      </c>
      <c r="EJO1" s="286" t="s">
        <v>6166</v>
      </c>
      <c r="EJP1" s="286" t="s">
        <v>6167</v>
      </c>
      <c r="EJQ1" s="286" t="s">
        <v>6168</v>
      </c>
      <c r="EJR1" s="286" t="s">
        <v>6169</v>
      </c>
      <c r="EJS1" s="286" t="s">
        <v>6170</v>
      </c>
      <c r="EJT1" s="286" t="s">
        <v>6171</v>
      </c>
      <c r="EJU1" s="286" t="s">
        <v>6172</v>
      </c>
      <c r="EJV1" s="286" t="s">
        <v>6173</v>
      </c>
      <c r="EJW1" s="286" t="s">
        <v>6174</v>
      </c>
      <c r="EJX1" s="286" t="s">
        <v>6175</v>
      </c>
      <c r="EJY1" s="286" t="s">
        <v>6176</v>
      </c>
      <c r="EJZ1" s="286" t="s">
        <v>6177</v>
      </c>
      <c r="EKA1" s="286" t="s">
        <v>6178</v>
      </c>
      <c r="EKB1" s="286" t="s">
        <v>6179</v>
      </c>
      <c r="EKC1" s="286" t="s">
        <v>6180</v>
      </c>
      <c r="EKD1" s="286" t="s">
        <v>6181</v>
      </c>
      <c r="EKE1" s="286" t="s">
        <v>6182</v>
      </c>
      <c r="EKF1" s="286" t="s">
        <v>6183</v>
      </c>
      <c r="EKG1" s="286" t="s">
        <v>6184</v>
      </c>
      <c r="EKH1" s="286" t="s">
        <v>6185</v>
      </c>
      <c r="EKI1" s="286" t="s">
        <v>6186</v>
      </c>
      <c r="EKJ1" s="286" t="s">
        <v>6187</v>
      </c>
      <c r="EKK1" s="286" t="s">
        <v>6188</v>
      </c>
      <c r="EKL1" s="286" t="s">
        <v>6189</v>
      </c>
      <c r="EKM1" s="286" t="s">
        <v>6190</v>
      </c>
      <c r="EKN1" s="286" t="s">
        <v>6191</v>
      </c>
      <c r="EKO1" s="286" t="s">
        <v>6192</v>
      </c>
      <c r="EKP1" s="286" t="s">
        <v>6193</v>
      </c>
      <c r="EKQ1" s="286" t="s">
        <v>6194</v>
      </c>
      <c r="EKR1" s="286" t="s">
        <v>6195</v>
      </c>
      <c r="EKS1" s="286" t="s">
        <v>6196</v>
      </c>
      <c r="EKT1" s="286" t="s">
        <v>6197</v>
      </c>
      <c r="EKU1" s="286" t="s">
        <v>6198</v>
      </c>
      <c r="EKV1" s="286" t="s">
        <v>6199</v>
      </c>
      <c r="EKW1" s="286" t="s">
        <v>6200</v>
      </c>
      <c r="EKX1" s="286" t="s">
        <v>6201</v>
      </c>
      <c r="EKY1" s="286" t="s">
        <v>6202</v>
      </c>
      <c r="EKZ1" s="286" t="s">
        <v>6203</v>
      </c>
      <c r="ELA1" s="286" t="s">
        <v>6204</v>
      </c>
      <c r="ELB1" s="286" t="s">
        <v>6205</v>
      </c>
      <c r="ELC1" s="286" t="s">
        <v>6206</v>
      </c>
      <c r="ELD1" s="286" t="s">
        <v>6207</v>
      </c>
      <c r="ELE1" s="286" t="s">
        <v>6208</v>
      </c>
      <c r="ELF1" s="286" t="s">
        <v>6209</v>
      </c>
      <c r="ELG1" s="286" t="s">
        <v>6210</v>
      </c>
      <c r="ELH1" s="286" t="s">
        <v>6211</v>
      </c>
      <c r="ELI1" s="286" t="s">
        <v>6212</v>
      </c>
      <c r="ELJ1" s="286" t="s">
        <v>6213</v>
      </c>
      <c r="ELK1" s="286" t="s">
        <v>6214</v>
      </c>
      <c r="ELL1" s="286" t="s">
        <v>6215</v>
      </c>
      <c r="ELM1" s="286" t="s">
        <v>6216</v>
      </c>
      <c r="ELN1" s="286" t="s">
        <v>6217</v>
      </c>
      <c r="ELO1" s="286" t="s">
        <v>6218</v>
      </c>
      <c r="ELP1" s="286" t="s">
        <v>6219</v>
      </c>
      <c r="ELQ1" s="286" t="s">
        <v>6220</v>
      </c>
      <c r="ELR1" s="286" t="s">
        <v>6221</v>
      </c>
      <c r="ELS1" s="286" t="s">
        <v>6222</v>
      </c>
      <c r="ELT1" s="286" t="s">
        <v>6223</v>
      </c>
      <c r="ELU1" s="286" t="s">
        <v>6224</v>
      </c>
      <c r="ELV1" s="286" t="s">
        <v>6225</v>
      </c>
      <c r="ELW1" s="286" t="s">
        <v>6226</v>
      </c>
      <c r="ELX1" s="286" t="s">
        <v>6227</v>
      </c>
      <c r="ELY1" s="286" t="s">
        <v>6228</v>
      </c>
      <c r="ELZ1" s="286" t="s">
        <v>6229</v>
      </c>
      <c r="EMA1" s="286" t="s">
        <v>6230</v>
      </c>
      <c r="EMB1" s="286" t="s">
        <v>6231</v>
      </c>
      <c r="EMC1" s="286" t="s">
        <v>6232</v>
      </c>
      <c r="EMD1" s="286" t="s">
        <v>6233</v>
      </c>
      <c r="EME1" s="286" t="s">
        <v>6234</v>
      </c>
      <c r="EMF1" s="286" t="s">
        <v>6235</v>
      </c>
      <c r="EMG1" s="286" t="s">
        <v>6236</v>
      </c>
      <c r="EMH1" s="286" t="s">
        <v>6237</v>
      </c>
      <c r="EMI1" s="286" t="s">
        <v>6238</v>
      </c>
      <c r="EMJ1" s="286" t="s">
        <v>6239</v>
      </c>
      <c r="EMK1" s="286" t="s">
        <v>6240</v>
      </c>
      <c r="EML1" s="286" t="s">
        <v>6241</v>
      </c>
      <c r="EMM1" s="286" t="s">
        <v>6242</v>
      </c>
      <c r="EMN1" s="286" t="s">
        <v>6243</v>
      </c>
      <c r="EMO1" s="286" t="s">
        <v>6244</v>
      </c>
      <c r="EMP1" s="286" t="s">
        <v>6245</v>
      </c>
      <c r="EMQ1" s="286" t="s">
        <v>6246</v>
      </c>
      <c r="EMR1" s="286" t="s">
        <v>6247</v>
      </c>
      <c r="EMS1" s="286" t="s">
        <v>6248</v>
      </c>
      <c r="EMT1" s="286" t="s">
        <v>6249</v>
      </c>
      <c r="EMU1" s="286" t="s">
        <v>6250</v>
      </c>
      <c r="EMV1" s="286" t="s">
        <v>6251</v>
      </c>
      <c r="EMW1" s="286" t="s">
        <v>6252</v>
      </c>
      <c r="EMX1" s="286" t="s">
        <v>6253</v>
      </c>
      <c r="EMY1" s="286" t="s">
        <v>6254</v>
      </c>
      <c r="EMZ1" s="286" t="s">
        <v>6255</v>
      </c>
      <c r="ENA1" s="286" t="s">
        <v>6256</v>
      </c>
      <c r="ENB1" s="286" t="s">
        <v>6257</v>
      </c>
      <c r="ENC1" s="286" t="s">
        <v>6258</v>
      </c>
      <c r="END1" s="286" t="s">
        <v>6259</v>
      </c>
      <c r="ENE1" s="286" t="s">
        <v>6260</v>
      </c>
      <c r="ENF1" s="286" t="s">
        <v>6261</v>
      </c>
      <c r="ENG1" s="286" t="s">
        <v>6262</v>
      </c>
      <c r="ENH1" s="286" t="s">
        <v>6263</v>
      </c>
      <c r="ENI1" s="286" t="s">
        <v>6264</v>
      </c>
      <c r="ENJ1" s="286" t="s">
        <v>6265</v>
      </c>
      <c r="ENK1" s="286" t="s">
        <v>6266</v>
      </c>
      <c r="ENL1" s="286" t="s">
        <v>6267</v>
      </c>
      <c r="ENM1" s="286" t="s">
        <v>6268</v>
      </c>
      <c r="ENN1" s="286" t="s">
        <v>6269</v>
      </c>
      <c r="ENO1" s="286" t="s">
        <v>6270</v>
      </c>
      <c r="ENP1" s="286" t="s">
        <v>6271</v>
      </c>
      <c r="ENQ1" s="286" t="s">
        <v>6272</v>
      </c>
      <c r="ENR1" s="286" t="s">
        <v>6273</v>
      </c>
      <c r="ENS1" s="286" t="s">
        <v>6274</v>
      </c>
      <c r="ENT1" s="286" t="s">
        <v>6275</v>
      </c>
      <c r="ENU1" s="286" t="s">
        <v>6276</v>
      </c>
      <c r="ENV1" s="286" t="s">
        <v>6277</v>
      </c>
      <c r="ENW1" s="286" t="s">
        <v>6278</v>
      </c>
      <c r="ENX1" s="286" t="s">
        <v>6279</v>
      </c>
      <c r="ENY1" s="286" t="s">
        <v>6280</v>
      </c>
      <c r="ENZ1" s="286" t="s">
        <v>6281</v>
      </c>
      <c r="EOA1" s="286" t="s">
        <v>6282</v>
      </c>
      <c r="EOB1" s="286" t="s">
        <v>6283</v>
      </c>
      <c r="EOC1" s="286" t="s">
        <v>6284</v>
      </c>
      <c r="EOD1" s="286" t="s">
        <v>6285</v>
      </c>
      <c r="EOE1" s="286" t="s">
        <v>6286</v>
      </c>
      <c r="EOF1" s="286" t="s">
        <v>6287</v>
      </c>
      <c r="EOG1" s="286" t="s">
        <v>6288</v>
      </c>
      <c r="EOH1" s="286" t="s">
        <v>6289</v>
      </c>
      <c r="EOI1" s="286" t="s">
        <v>6290</v>
      </c>
      <c r="EOJ1" s="286" t="s">
        <v>6291</v>
      </c>
      <c r="EOK1" s="286" t="s">
        <v>6292</v>
      </c>
      <c r="EOL1" s="286" t="s">
        <v>6293</v>
      </c>
      <c r="EOM1" s="286" t="s">
        <v>6294</v>
      </c>
      <c r="EON1" s="286" t="s">
        <v>6295</v>
      </c>
      <c r="EOO1" s="286" t="s">
        <v>6296</v>
      </c>
      <c r="EOP1" s="286" t="s">
        <v>6297</v>
      </c>
      <c r="EOQ1" s="286" t="s">
        <v>6298</v>
      </c>
      <c r="EOR1" s="286" t="s">
        <v>6299</v>
      </c>
      <c r="EOS1" s="286" t="s">
        <v>6300</v>
      </c>
      <c r="EOT1" s="286" t="s">
        <v>6301</v>
      </c>
      <c r="EOU1" s="286" t="s">
        <v>6302</v>
      </c>
      <c r="EOV1" s="286" t="s">
        <v>6303</v>
      </c>
      <c r="EOW1" s="286" t="s">
        <v>6304</v>
      </c>
      <c r="EOX1" s="286" t="s">
        <v>6305</v>
      </c>
      <c r="EOY1" s="286" t="s">
        <v>6306</v>
      </c>
      <c r="EOZ1" s="286" t="s">
        <v>6307</v>
      </c>
      <c r="EPA1" s="286" t="s">
        <v>6308</v>
      </c>
      <c r="EPB1" s="286" t="s">
        <v>6309</v>
      </c>
      <c r="EPC1" s="286" t="s">
        <v>6310</v>
      </c>
      <c r="EPD1" s="286" t="s">
        <v>6311</v>
      </c>
      <c r="EPE1" s="286" t="s">
        <v>6312</v>
      </c>
      <c r="EPF1" s="286" t="s">
        <v>6313</v>
      </c>
      <c r="EPG1" s="286" t="s">
        <v>6314</v>
      </c>
      <c r="EPH1" s="286" t="s">
        <v>6315</v>
      </c>
      <c r="EPI1" s="286" t="s">
        <v>6316</v>
      </c>
      <c r="EPJ1" s="286" t="s">
        <v>6317</v>
      </c>
      <c r="EPK1" s="286" t="s">
        <v>6318</v>
      </c>
      <c r="EPL1" s="286" t="s">
        <v>6319</v>
      </c>
      <c r="EPM1" s="286" t="s">
        <v>6320</v>
      </c>
      <c r="EPN1" s="286" t="s">
        <v>6321</v>
      </c>
      <c r="EPO1" s="286" t="s">
        <v>6322</v>
      </c>
      <c r="EPP1" s="286" t="s">
        <v>6323</v>
      </c>
      <c r="EPQ1" s="286" t="s">
        <v>6324</v>
      </c>
      <c r="EPR1" s="286" t="s">
        <v>6325</v>
      </c>
      <c r="EPS1" s="286" t="s">
        <v>6326</v>
      </c>
      <c r="EPT1" s="286" t="s">
        <v>6327</v>
      </c>
      <c r="EPU1" s="286" t="s">
        <v>6328</v>
      </c>
      <c r="EPV1" s="286" t="s">
        <v>6329</v>
      </c>
      <c r="EPW1" s="286" t="s">
        <v>6330</v>
      </c>
      <c r="EPX1" s="286" t="s">
        <v>6331</v>
      </c>
      <c r="EPY1" s="286" t="s">
        <v>6332</v>
      </c>
      <c r="EPZ1" s="286" t="s">
        <v>6333</v>
      </c>
      <c r="EQA1" s="286" t="s">
        <v>6334</v>
      </c>
      <c r="EQB1" s="286" t="s">
        <v>6335</v>
      </c>
      <c r="EQC1" s="286" t="s">
        <v>6336</v>
      </c>
      <c r="EQD1" s="286" t="s">
        <v>6337</v>
      </c>
      <c r="EQE1" s="286" t="s">
        <v>6338</v>
      </c>
      <c r="EQF1" s="286" t="s">
        <v>6339</v>
      </c>
      <c r="EQG1" s="286" t="s">
        <v>6340</v>
      </c>
      <c r="EQH1" s="286" t="s">
        <v>6341</v>
      </c>
      <c r="EQI1" s="286" t="s">
        <v>6342</v>
      </c>
      <c r="EQJ1" s="286" t="s">
        <v>6343</v>
      </c>
      <c r="EQK1" s="286" t="s">
        <v>6344</v>
      </c>
      <c r="EQL1" s="286" t="s">
        <v>6345</v>
      </c>
      <c r="EQM1" s="286" t="s">
        <v>6346</v>
      </c>
      <c r="EQN1" s="286" t="s">
        <v>6347</v>
      </c>
      <c r="EQO1" s="286" t="s">
        <v>6348</v>
      </c>
      <c r="EQP1" s="286" t="s">
        <v>6349</v>
      </c>
      <c r="EQQ1" s="286" t="s">
        <v>6350</v>
      </c>
      <c r="EQR1" s="286" t="s">
        <v>6351</v>
      </c>
      <c r="EQS1" s="286" t="s">
        <v>6352</v>
      </c>
      <c r="EQT1" s="286" t="s">
        <v>6353</v>
      </c>
      <c r="EQU1" s="286" t="s">
        <v>6354</v>
      </c>
      <c r="EQV1" s="286" t="s">
        <v>6355</v>
      </c>
      <c r="EQW1" s="286" t="s">
        <v>6356</v>
      </c>
      <c r="EQX1" s="286" t="s">
        <v>6357</v>
      </c>
      <c r="EQY1" s="286" t="s">
        <v>6358</v>
      </c>
      <c r="EQZ1" s="286" t="s">
        <v>6359</v>
      </c>
      <c r="ERA1" s="286" t="s">
        <v>6360</v>
      </c>
      <c r="ERB1" s="286" t="s">
        <v>6361</v>
      </c>
      <c r="ERC1" s="286" t="s">
        <v>6362</v>
      </c>
      <c r="ERD1" s="286" t="s">
        <v>6363</v>
      </c>
      <c r="ERE1" s="286" t="s">
        <v>6364</v>
      </c>
      <c r="ERF1" s="286" t="s">
        <v>6365</v>
      </c>
      <c r="ERG1" s="286" t="s">
        <v>6366</v>
      </c>
      <c r="ERH1" s="286" t="s">
        <v>6367</v>
      </c>
      <c r="ERI1" s="286" t="s">
        <v>6368</v>
      </c>
      <c r="ERJ1" s="286" t="s">
        <v>6369</v>
      </c>
      <c r="ERK1" s="286" t="s">
        <v>6370</v>
      </c>
      <c r="ERL1" s="286" t="s">
        <v>6371</v>
      </c>
      <c r="ERM1" s="286" t="s">
        <v>6372</v>
      </c>
      <c r="ERN1" s="286" t="s">
        <v>6373</v>
      </c>
      <c r="ERO1" s="286" t="s">
        <v>6374</v>
      </c>
      <c r="ERP1" s="286" t="s">
        <v>6375</v>
      </c>
      <c r="ERQ1" s="286" t="s">
        <v>6376</v>
      </c>
      <c r="ERR1" s="286" t="s">
        <v>6377</v>
      </c>
      <c r="ERS1" s="286" t="s">
        <v>6378</v>
      </c>
      <c r="ERT1" s="286" t="s">
        <v>6379</v>
      </c>
      <c r="ERU1" s="286" t="s">
        <v>6380</v>
      </c>
      <c r="ERV1" s="286" t="s">
        <v>6381</v>
      </c>
      <c r="ERW1" s="286" t="s">
        <v>6382</v>
      </c>
      <c r="ERX1" s="286" t="s">
        <v>6383</v>
      </c>
      <c r="ERY1" s="286" t="s">
        <v>6384</v>
      </c>
      <c r="ERZ1" s="286" t="s">
        <v>6385</v>
      </c>
      <c r="ESA1" s="286" t="s">
        <v>6386</v>
      </c>
      <c r="ESB1" s="286" t="s">
        <v>6387</v>
      </c>
      <c r="ESC1" s="286" t="s">
        <v>6388</v>
      </c>
      <c r="ESD1" s="286" t="s">
        <v>6389</v>
      </c>
      <c r="ESE1" s="286" t="s">
        <v>6390</v>
      </c>
      <c r="ESF1" s="286" t="s">
        <v>6391</v>
      </c>
      <c r="ESG1" s="286" t="s">
        <v>6392</v>
      </c>
      <c r="ESH1" s="286" t="s">
        <v>6393</v>
      </c>
      <c r="ESI1" s="286" t="s">
        <v>6394</v>
      </c>
      <c r="ESJ1" s="286" t="s">
        <v>6395</v>
      </c>
      <c r="ESK1" s="286" t="s">
        <v>6396</v>
      </c>
      <c r="ESL1" s="286" t="s">
        <v>6397</v>
      </c>
      <c r="ESM1" s="286" t="s">
        <v>6398</v>
      </c>
      <c r="ESN1" s="286" t="s">
        <v>6399</v>
      </c>
      <c r="ESO1" s="286" t="s">
        <v>6400</v>
      </c>
      <c r="ESP1" s="286" t="s">
        <v>6401</v>
      </c>
      <c r="ESQ1" s="286" t="s">
        <v>6402</v>
      </c>
      <c r="ESR1" s="286" t="s">
        <v>6403</v>
      </c>
      <c r="ESS1" s="286" t="s">
        <v>6404</v>
      </c>
      <c r="EST1" s="286" t="s">
        <v>6405</v>
      </c>
      <c r="ESU1" s="286" t="s">
        <v>6406</v>
      </c>
      <c r="ESV1" s="286" t="s">
        <v>6407</v>
      </c>
      <c r="ESW1" s="286" t="s">
        <v>6408</v>
      </c>
      <c r="ESX1" s="286" t="s">
        <v>6409</v>
      </c>
      <c r="ESY1" s="286" t="s">
        <v>6410</v>
      </c>
      <c r="ESZ1" s="286" t="s">
        <v>6411</v>
      </c>
      <c r="ETA1" s="286" t="s">
        <v>6412</v>
      </c>
      <c r="ETB1" s="286" t="s">
        <v>6413</v>
      </c>
      <c r="ETC1" s="286" t="s">
        <v>6414</v>
      </c>
      <c r="ETD1" s="286" t="s">
        <v>6415</v>
      </c>
      <c r="ETE1" s="286" t="s">
        <v>6416</v>
      </c>
      <c r="ETF1" s="286" t="s">
        <v>6417</v>
      </c>
      <c r="ETG1" s="286" t="s">
        <v>6418</v>
      </c>
      <c r="ETH1" s="286" t="s">
        <v>6419</v>
      </c>
      <c r="ETI1" s="286" t="s">
        <v>6420</v>
      </c>
      <c r="ETJ1" s="286" t="s">
        <v>6421</v>
      </c>
      <c r="ETK1" s="286" t="s">
        <v>6422</v>
      </c>
      <c r="ETL1" s="286" t="s">
        <v>6423</v>
      </c>
      <c r="ETM1" s="286" t="s">
        <v>6424</v>
      </c>
      <c r="ETN1" s="286" t="s">
        <v>6425</v>
      </c>
      <c r="ETO1" s="286" t="s">
        <v>6426</v>
      </c>
      <c r="ETP1" s="286" t="s">
        <v>6427</v>
      </c>
      <c r="ETQ1" s="286" t="s">
        <v>6428</v>
      </c>
      <c r="ETR1" s="286" t="s">
        <v>6429</v>
      </c>
      <c r="ETS1" s="286" t="s">
        <v>6430</v>
      </c>
      <c r="ETT1" s="286" t="s">
        <v>6431</v>
      </c>
      <c r="ETU1" s="286" t="s">
        <v>6432</v>
      </c>
      <c r="ETV1" s="286" t="s">
        <v>6433</v>
      </c>
      <c r="ETW1" s="286" t="s">
        <v>6434</v>
      </c>
      <c r="ETX1" s="286" t="s">
        <v>6435</v>
      </c>
      <c r="ETY1" s="286" t="s">
        <v>6436</v>
      </c>
      <c r="ETZ1" s="286" t="s">
        <v>6437</v>
      </c>
      <c r="EUA1" s="286" t="s">
        <v>6438</v>
      </c>
      <c r="EUB1" s="286" t="s">
        <v>6439</v>
      </c>
      <c r="EUC1" s="286" t="s">
        <v>6440</v>
      </c>
      <c r="EUD1" s="286" t="s">
        <v>6441</v>
      </c>
      <c r="EUE1" s="286" t="s">
        <v>6442</v>
      </c>
      <c r="EUF1" s="286" t="s">
        <v>6443</v>
      </c>
      <c r="EUG1" s="286" t="s">
        <v>6444</v>
      </c>
      <c r="EUH1" s="286" t="s">
        <v>6445</v>
      </c>
      <c r="EUI1" s="286" t="s">
        <v>6446</v>
      </c>
      <c r="EUJ1" s="286" t="s">
        <v>6447</v>
      </c>
      <c r="EUK1" s="286" t="s">
        <v>6448</v>
      </c>
      <c r="EUL1" s="286" t="s">
        <v>6449</v>
      </c>
      <c r="EUM1" s="286" t="s">
        <v>6450</v>
      </c>
      <c r="EUN1" s="286" t="s">
        <v>6451</v>
      </c>
      <c r="EUO1" s="286" t="s">
        <v>6452</v>
      </c>
      <c r="EUP1" s="286" t="s">
        <v>6453</v>
      </c>
      <c r="EUQ1" s="286" t="s">
        <v>6454</v>
      </c>
      <c r="EUR1" s="286" t="s">
        <v>6455</v>
      </c>
      <c r="EUS1" s="286" t="s">
        <v>6456</v>
      </c>
      <c r="EUT1" s="286" t="s">
        <v>6457</v>
      </c>
      <c r="EUU1" s="286" t="s">
        <v>6458</v>
      </c>
      <c r="EUV1" s="286" t="s">
        <v>6459</v>
      </c>
      <c r="EUW1" s="286" t="s">
        <v>6460</v>
      </c>
      <c r="EUX1" s="286" t="s">
        <v>6461</v>
      </c>
      <c r="EUY1" s="286" t="s">
        <v>6462</v>
      </c>
      <c r="EUZ1" s="286" t="s">
        <v>6463</v>
      </c>
      <c r="EVA1" s="286" t="s">
        <v>6464</v>
      </c>
      <c r="EVB1" s="286" t="s">
        <v>6465</v>
      </c>
      <c r="EVC1" s="286" t="s">
        <v>6466</v>
      </c>
      <c r="EVD1" s="286" t="s">
        <v>6467</v>
      </c>
      <c r="EVE1" s="286" t="s">
        <v>6468</v>
      </c>
      <c r="EVF1" s="286" t="s">
        <v>6469</v>
      </c>
      <c r="EVG1" s="286" t="s">
        <v>6470</v>
      </c>
      <c r="EVH1" s="286" t="s">
        <v>6471</v>
      </c>
      <c r="EVI1" s="286" t="s">
        <v>6472</v>
      </c>
      <c r="EVJ1" s="286" t="s">
        <v>6473</v>
      </c>
      <c r="EVK1" s="286" t="s">
        <v>6474</v>
      </c>
      <c r="EVL1" s="286" t="s">
        <v>6475</v>
      </c>
      <c r="EVM1" s="286" t="s">
        <v>6476</v>
      </c>
      <c r="EVN1" s="286" t="s">
        <v>6477</v>
      </c>
      <c r="EVO1" s="286" t="s">
        <v>6478</v>
      </c>
      <c r="EVP1" s="286" t="s">
        <v>6479</v>
      </c>
      <c r="EVQ1" s="286" t="s">
        <v>6480</v>
      </c>
      <c r="EVR1" s="286" t="s">
        <v>6481</v>
      </c>
      <c r="EVS1" s="286" t="s">
        <v>6482</v>
      </c>
      <c r="EVT1" s="286" t="s">
        <v>6483</v>
      </c>
      <c r="EVU1" s="286" t="s">
        <v>6484</v>
      </c>
      <c r="EVV1" s="286" t="s">
        <v>6485</v>
      </c>
      <c r="EVW1" s="286" t="s">
        <v>6486</v>
      </c>
      <c r="EVX1" s="286" t="s">
        <v>6487</v>
      </c>
      <c r="EVY1" s="286" t="s">
        <v>6488</v>
      </c>
      <c r="EVZ1" s="286" t="s">
        <v>6489</v>
      </c>
      <c r="EWA1" s="286" t="s">
        <v>6490</v>
      </c>
      <c r="EWB1" s="286" t="s">
        <v>6491</v>
      </c>
      <c r="EWC1" s="286" t="s">
        <v>6492</v>
      </c>
      <c r="EWD1" s="286" t="s">
        <v>6493</v>
      </c>
      <c r="EWE1" s="286" t="s">
        <v>6494</v>
      </c>
      <c r="EWF1" s="286" t="s">
        <v>6495</v>
      </c>
      <c r="EWG1" s="286" t="s">
        <v>6496</v>
      </c>
      <c r="EWH1" s="286" t="s">
        <v>6497</v>
      </c>
      <c r="EWI1" s="286" t="s">
        <v>6498</v>
      </c>
      <c r="EWJ1" s="286" t="s">
        <v>6499</v>
      </c>
      <c r="EWK1" s="286" t="s">
        <v>6500</v>
      </c>
      <c r="EWL1" s="286" t="s">
        <v>6501</v>
      </c>
      <c r="EWM1" s="286" t="s">
        <v>6502</v>
      </c>
      <c r="EWN1" s="286" t="s">
        <v>6503</v>
      </c>
      <c r="EWO1" s="286" t="s">
        <v>6504</v>
      </c>
      <c r="EWP1" s="286" t="s">
        <v>6505</v>
      </c>
      <c r="EWQ1" s="286" t="s">
        <v>6506</v>
      </c>
      <c r="EWR1" s="286" t="s">
        <v>6507</v>
      </c>
      <c r="EWS1" s="286" t="s">
        <v>6508</v>
      </c>
      <c r="EWT1" s="286" t="s">
        <v>6509</v>
      </c>
      <c r="EWU1" s="286" t="s">
        <v>6510</v>
      </c>
      <c r="EWV1" s="286" t="s">
        <v>6511</v>
      </c>
      <c r="EWW1" s="286" t="s">
        <v>6512</v>
      </c>
      <c r="EWX1" s="286" t="s">
        <v>6513</v>
      </c>
      <c r="EWY1" s="286" t="s">
        <v>6514</v>
      </c>
      <c r="EWZ1" s="286" t="s">
        <v>6515</v>
      </c>
      <c r="EXA1" s="286" t="s">
        <v>6516</v>
      </c>
      <c r="EXB1" s="286" t="s">
        <v>6517</v>
      </c>
      <c r="EXC1" s="286" t="s">
        <v>6518</v>
      </c>
      <c r="EXD1" s="286" t="s">
        <v>6519</v>
      </c>
      <c r="EXE1" s="286" t="s">
        <v>6520</v>
      </c>
      <c r="EXF1" s="286" t="s">
        <v>6521</v>
      </c>
      <c r="EXG1" s="286" t="s">
        <v>6522</v>
      </c>
      <c r="EXH1" s="286" t="s">
        <v>6523</v>
      </c>
      <c r="EXI1" s="286" t="s">
        <v>6524</v>
      </c>
      <c r="EXJ1" s="286" t="s">
        <v>6525</v>
      </c>
      <c r="EXK1" s="286" t="s">
        <v>6526</v>
      </c>
      <c r="EXL1" s="286" t="s">
        <v>6527</v>
      </c>
      <c r="EXM1" s="286" t="s">
        <v>6528</v>
      </c>
      <c r="EXN1" s="286" t="s">
        <v>6529</v>
      </c>
      <c r="EXO1" s="286" t="s">
        <v>6530</v>
      </c>
      <c r="EXP1" s="286" t="s">
        <v>6531</v>
      </c>
      <c r="EXQ1" s="286" t="s">
        <v>6532</v>
      </c>
      <c r="EXR1" s="286" t="s">
        <v>6533</v>
      </c>
      <c r="EXS1" s="286" t="s">
        <v>6534</v>
      </c>
      <c r="EXT1" s="286" t="s">
        <v>6535</v>
      </c>
      <c r="EXU1" s="286" t="s">
        <v>6536</v>
      </c>
      <c r="EXV1" s="286" t="s">
        <v>6537</v>
      </c>
      <c r="EXW1" s="286" t="s">
        <v>6538</v>
      </c>
      <c r="EXX1" s="286" t="s">
        <v>6539</v>
      </c>
      <c r="EXY1" s="286" t="s">
        <v>6540</v>
      </c>
      <c r="EXZ1" s="286" t="s">
        <v>6541</v>
      </c>
      <c r="EYA1" s="286" t="s">
        <v>6542</v>
      </c>
      <c r="EYB1" s="286" t="s">
        <v>6543</v>
      </c>
      <c r="EYC1" s="286" t="s">
        <v>6544</v>
      </c>
      <c r="EYD1" s="286" t="s">
        <v>6545</v>
      </c>
      <c r="EYE1" s="286" t="s">
        <v>6546</v>
      </c>
      <c r="EYF1" s="286" t="s">
        <v>6547</v>
      </c>
      <c r="EYG1" s="286" t="s">
        <v>6548</v>
      </c>
      <c r="EYH1" s="286" t="s">
        <v>6549</v>
      </c>
      <c r="EYI1" s="286" t="s">
        <v>6550</v>
      </c>
      <c r="EYJ1" s="286" t="s">
        <v>6551</v>
      </c>
      <c r="EYK1" s="286" t="s">
        <v>6552</v>
      </c>
      <c r="EYL1" s="286" t="s">
        <v>6553</v>
      </c>
      <c r="EYM1" s="286" t="s">
        <v>6554</v>
      </c>
      <c r="EYN1" s="286" t="s">
        <v>6555</v>
      </c>
      <c r="EYO1" s="286" t="s">
        <v>6556</v>
      </c>
      <c r="EYP1" s="286" t="s">
        <v>6557</v>
      </c>
      <c r="EYQ1" s="286" t="s">
        <v>6558</v>
      </c>
      <c r="EYR1" s="286" t="s">
        <v>6559</v>
      </c>
      <c r="EYS1" s="286" t="s">
        <v>6560</v>
      </c>
      <c r="EYT1" s="286" t="s">
        <v>6561</v>
      </c>
      <c r="EYU1" s="286" t="s">
        <v>6562</v>
      </c>
      <c r="EYV1" s="286" t="s">
        <v>6563</v>
      </c>
      <c r="EYW1" s="286" t="s">
        <v>6564</v>
      </c>
      <c r="EYX1" s="286" t="s">
        <v>6565</v>
      </c>
      <c r="EYY1" s="286" t="s">
        <v>6566</v>
      </c>
      <c r="EYZ1" s="286" t="s">
        <v>6567</v>
      </c>
      <c r="EZA1" s="286" t="s">
        <v>6568</v>
      </c>
      <c r="EZB1" s="286" t="s">
        <v>6569</v>
      </c>
      <c r="EZC1" s="286" t="s">
        <v>6570</v>
      </c>
      <c r="EZD1" s="286" t="s">
        <v>6571</v>
      </c>
      <c r="EZE1" s="286" t="s">
        <v>6572</v>
      </c>
      <c r="EZF1" s="286" t="s">
        <v>6573</v>
      </c>
      <c r="EZG1" s="286" t="s">
        <v>6574</v>
      </c>
      <c r="EZH1" s="286" t="s">
        <v>6575</v>
      </c>
      <c r="EZI1" s="286" t="s">
        <v>6576</v>
      </c>
      <c r="EZJ1" s="286" t="s">
        <v>6577</v>
      </c>
      <c r="EZK1" s="286" t="s">
        <v>6578</v>
      </c>
      <c r="EZL1" s="286" t="s">
        <v>6579</v>
      </c>
      <c r="EZM1" s="286" t="s">
        <v>6580</v>
      </c>
      <c r="EZN1" s="286" t="s">
        <v>6581</v>
      </c>
      <c r="EZO1" s="286" t="s">
        <v>6582</v>
      </c>
      <c r="EZP1" s="286" t="s">
        <v>6583</v>
      </c>
      <c r="EZQ1" s="286" t="s">
        <v>6584</v>
      </c>
      <c r="EZR1" s="286" t="s">
        <v>6585</v>
      </c>
      <c r="EZS1" s="286" t="s">
        <v>6586</v>
      </c>
      <c r="EZT1" s="286" t="s">
        <v>6587</v>
      </c>
      <c r="EZU1" s="286" t="s">
        <v>6588</v>
      </c>
      <c r="EZV1" s="286" t="s">
        <v>6589</v>
      </c>
      <c r="EZW1" s="286" t="s">
        <v>6590</v>
      </c>
      <c r="EZX1" s="286" t="s">
        <v>6591</v>
      </c>
      <c r="EZY1" s="286" t="s">
        <v>6592</v>
      </c>
      <c r="EZZ1" s="286" t="s">
        <v>6593</v>
      </c>
      <c r="FAA1" s="286" t="s">
        <v>6594</v>
      </c>
      <c r="FAB1" s="286" t="s">
        <v>6595</v>
      </c>
      <c r="FAC1" s="286" t="s">
        <v>6596</v>
      </c>
      <c r="FAD1" s="286" t="s">
        <v>6597</v>
      </c>
      <c r="FAE1" s="286" t="s">
        <v>6598</v>
      </c>
      <c r="FAF1" s="286" t="s">
        <v>6599</v>
      </c>
      <c r="FAG1" s="286" t="s">
        <v>6600</v>
      </c>
      <c r="FAH1" s="286" t="s">
        <v>6601</v>
      </c>
      <c r="FAI1" s="286" t="s">
        <v>6602</v>
      </c>
      <c r="FAJ1" s="286" t="s">
        <v>6603</v>
      </c>
      <c r="FAK1" s="286" t="s">
        <v>6604</v>
      </c>
      <c r="FAL1" s="286" t="s">
        <v>6605</v>
      </c>
      <c r="FAM1" s="286" t="s">
        <v>6606</v>
      </c>
      <c r="FAN1" s="286" t="s">
        <v>6607</v>
      </c>
      <c r="FAO1" s="286" t="s">
        <v>6608</v>
      </c>
      <c r="FAP1" s="286" t="s">
        <v>6609</v>
      </c>
      <c r="FAQ1" s="286" t="s">
        <v>6610</v>
      </c>
      <c r="FAR1" s="286" t="s">
        <v>6611</v>
      </c>
      <c r="FAS1" s="286" t="s">
        <v>6612</v>
      </c>
      <c r="FAT1" s="286" t="s">
        <v>6613</v>
      </c>
      <c r="FAU1" s="286" t="s">
        <v>6614</v>
      </c>
      <c r="FAV1" s="286" t="s">
        <v>6615</v>
      </c>
      <c r="FAW1" s="286" t="s">
        <v>6616</v>
      </c>
      <c r="FAX1" s="286" t="s">
        <v>6617</v>
      </c>
      <c r="FAY1" s="286" t="s">
        <v>6618</v>
      </c>
      <c r="FAZ1" s="286" t="s">
        <v>6619</v>
      </c>
      <c r="FBA1" s="286" t="s">
        <v>6620</v>
      </c>
      <c r="FBB1" s="286" t="s">
        <v>6621</v>
      </c>
      <c r="FBC1" s="286" t="s">
        <v>6622</v>
      </c>
      <c r="FBD1" s="286" t="s">
        <v>6623</v>
      </c>
      <c r="FBE1" s="286" t="s">
        <v>6624</v>
      </c>
      <c r="FBF1" s="286" t="s">
        <v>6625</v>
      </c>
      <c r="FBG1" s="286" t="s">
        <v>6626</v>
      </c>
      <c r="FBH1" s="286" t="s">
        <v>6627</v>
      </c>
      <c r="FBI1" s="286" t="s">
        <v>6628</v>
      </c>
      <c r="FBJ1" s="286" t="s">
        <v>6629</v>
      </c>
      <c r="FBK1" s="286" t="s">
        <v>6630</v>
      </c>
      <c r="FBL1" s="286" t="s">
        <v>6631</v>
      </c>
      <c r="FBM1" s="286" t="s">
        <v>6632</v>
      </c>
      <c r="FBN1" s="286" t="s">
        <v>6633</v>
      </c>
      <c r="FBO1" s="286" t="s">
        <v>6634</v>
      </c>
      <c r="FBP1" s="286" t="s">
        <v>6635</v>
      </c>
      <c r="FBQ1" s="286" t="s">
        <v>6636</v>
      </c>
      <c r="FBR1" s="286" t="s">
        <v>6637</v>
      </c>
      <c r="FBS1" s="286" t="s">
        <v>6638</v>
      </c>
      <c r="FBT1" s="286" t="s">
        <v>6639</v>
      </c>
      <c r="FBU1" s="286" t="s">
        <v>6640</v>
      </c>
      <c r="FBV1" s="286" t="s">
        <v>6641</v>
      </c>
      <c r="FBW1" s="286" t="s">
        <v>6642</v>
      </c>
      <c r="FBX1" s="286" t="s">
        <v>6643</v>
      </c>
      <c r="FBY1" s="286" t="s">
        <v>6644</v>
      </c>
      <c r="FBZ1" s="286" t="s">
        <v>6645</v>
      </c>
      <c r="FCA1" s="286" t="s">
        <v>6646</v>
      </c>
      <c r="FCB1" s="286" t="s">
        <v>6647</v>
      </c>
      <c r="FCC1" s="286" t="s">
        <v>6648</v>
      </c>
      <c r="FCD1" s="286" t="s">
        <v>6649</v>
      </c>
      <c r="FCE1" s="286" t="s">
        <v>6650</v>
      </c>
      <c r="FCF1" s="286" t="s">
        <v>6651</v>
      </c>
      <c r="FCG1" s="286" t="s">
        <v>6652</v>
      </c>
      <c r="FCH1" s="286" t="s">
        <v>6653</v>
      </c>
      <c r="FCI1" s="286" t="s">
        <v>6654</v>
      </c>
      <c r="FCJ1" s="286" t="s">
        <v>6655</v>
      </c>
      <c r="FCK1" s="286" t="s">
        <v>6656</v>
      </c>
      <c r="FCL1" s="286" t="s">
        <v>6657</v>
      </c>
      <c r="FCM1" s="286" t="s">
        <v>6658</v>
      </c>
      <c r="FCN1" s="286" t="s">
        <v>6659</v>
      </c>
      <c r="FCO1" s="286" t="s">
        <v>6660</v>
      </c>
      <c r="FCP1" s="286" t="s">
        <v>6661</v>
      </c>
      <c r="FCQ1" s="286" t="s">
        <v>6662</v>
      </c>
      <c r="FCR1" s="286" t="s">
        <v>6663</v>
      </c>
      <c r="FCS1" s="286" t="s">
        <v>6664</v>
      </c>
      <c r="FCT1" s="286" t="s">
        <v>6665</v>
      </c>
      <c r="FCU1" s="286" t="s">
        <v>6666</v>
      </c>
      <c r="FCV1" s="286" t="s">
        <v>6667</v>
      </c>
      <c r="FCW1" s="286" t="s">
        <v>6668</v>
      </c>
      <c r="FCX1" s="286" t="s">
        <v>6669</v>
      </c>
      <c r="FCY1" s="286" t="s">
        <v>6670</v>
      </c>
      <c r="FCZ1" s="286" t="s">
        <v>6671</v>
      </c>
      <c r="FDA1" s="286" t="s">
        <v>6672</v>
      </c>
      <c r="FDB1" s="286" t="s">
        <v>6673</v>
      </c>
      <c r="FDC1" s="286" t="s">
        <v>6674</v>
      </c>
      <c r="FDD1" s="286" t="s">
        <v>6675</v>
      </c>
      <c r="FDE1" s="286" t="s">
        <v>6676</v>
      </c>
      <c r="FDF1" s="286" t="s">
        <v>6677</v>
      </c>
      <c r="FDG1" s="286" t="s">
        <v>6678</v>
      </c>
      <c r="FDH1" s="286" t="s">
        <v>6679</v>
      </c>
      <c r="FDI1" s="286" t="s">
        <v>6680</v>
      </c>
      <c r="FDJ1" s="286" t="s">
        <v>6681</v>
      </c>
      <c r="FDK1" s="286" t="s">
        <v>6682</v>
      </c>
      <c r="FDL1" s="286" t="s">
        <v>6683</v>
      </c>
      <c r="FDM1" s="286" t="s">
        <v>6684</v>
      </c>
      <c r="FDN1" s="286" t="s">
        <v>6685</v>
      </c>
      <c r="FDO1" s="286" t="s">
        <v>6686</v>
      </c>
      <c r="FDP1" s="286" t="s">
        <v>6687</v>
      </c>
      <c r="FDQ1" s="286" t="s">
        <v>6688</v>
      </c>
      <c r="FDR1" s="286" t="s">
        <v>6689</v>
      </c>
      <c r="FDS1" s="286" t="s">
        <v>6690</v>
      </c>
      <c r="FDT1" s="286" t="s">
        <v>6691</v>
      </c>
      <c r="FDU1" s="286" t="s">
        <v>6692</v>
      </c>
      <c r="FDV1" s="286" t="s">
        <v>6693</v>
      </c>
      <c r="FDW1" s="286" t="s">
        <v>6694</v>
      </c>
      <c r="FDX1" s="286" t="s">
        <v>6695</v>
      </c>
      <c r="FDY1" s="286" t="s">
        <v>6696</v>
      </c>
      <c r="FDZ1" s="286" t="s">
        <v>6697</v>
      </c>
      <c r="FEA1" s="286" t="s">
        <v>6698</v>
      </c>
      <c r="FEB1" s="286" t="s">
        <v>6699</v>
      </c>
      <c r="FEC1" s="286" t="s">
        <v>6700</v>
      </c>
      <c r="FED1" s="286" t="s">
        <v>6701</v>
      </c>
      <c r="FEE1" s="286" t="s">
        <v>6702</v>
      </c>
      <c r="FEF1" s="286" t="s">
        <v>6703</v>
      </c>
      <c r="FEG1" s="286" t="s">
        <v>6704</v>
      </c>
      <c r="FEH1" s="286" t="s">
        <v>6705</v>
      </c>
      <c r="FEI1" s="286" t="s">
        <v>6706</v>
      </c>
      <c r="FEJ1" s="286" t="s">
        <v>6707</v>
      </c>
      <c r="FEK1" s="286" t="s">
        <v>6708</v>
      </c>
      <c r="FEL1" s="286" t="s">
        <v>6709</v>
      </c>
      <c r="FEM1" s="286" t="s">
        <v>6710</v>
      </c>
      <c r="FEN1" s="286" t="s">
        <v>6711</v>
      </c>
      <c r="FEO1" s="286" t="s">
        <v>6712</v>
      </c>
      <c r="FEP1" s="286" t="s">
        <v>6713</v>
      </c>
      <c r="FEQ1" s="286" t="s">
        <v>6714</v>
      </c>
      <c r="FER1" s="286" t="s">
        <v>6715</v>
      </c>
      <c r="FES1" s="286" t="s">
        <v>6716</v>
      </c>
      <c r="FET1" s="286" t="s">
        <v>6717</v>
      </c>
      <c r="FEU1" s="286" t="s">
        <v>6718</v>
      </c>
      <c r="FEV1" s="286" t="s">
        <v>6719</v>
      </c>
      <c r="FEW1" s="286" t="s">
        <v>6720</v>
      </c>
      <c r="FEX1" s="286" t="s">
        <v>6721</v>
      </c>
      <c r="FEY1" s="286" t="s">
        <v>6722</v>
      </c>
      <c r="FEZ1" s="286" t="s">
        <v>6723</v>
      </c>
      <c r="FFA1" s="286" t="s">
        <v>6724</v>
      </c>
      <c r="FFB1" s="286" t="s">
        <v>6725</v>
      </c>
      <c r="FFC1" s="286" t="s">
        <v>6726</v>
      </c>
      <c r="FFD1" s="286" t="s">
        <v>6727</v>
      </c>
      <c r="FFE1" s="286" t="s">
        <v>6728</v>
      </c>
      <c r="FFF1" s="286" t="s">
        <v>6729</v>
      </c>
      <c r="FFG1" s="286" t="s">
        <v>6730</v>
      </c>
      <c r="FFH1" s="286" t="s">
        <v>6731</v>
      </c>
      <c r="FFI1" s="286" t="s">
        <v>6732</v>
      </c>
      <c r="FFJ1" s="286" t="s">
        <v>6733</v>
      </c>
      <c r="FFK1" s="286" t="s">
        <v>6734</v>
      </c>
      <c r="FFL1" s="286" t="s">
        <v>6735</v>
      </c>
      <c r="FFM1" s="286" t="s">
        <v>6736</v>
      </c>
      <c r="FFN1" s="286" t="s">
        <v>6737</v>
      </c>
      <c r="FFO1" s="286" t="s">
        <v>6738</v>
      </c>
      <c r="FFP1" s="286" t="s">
        <v>6739</v>
      </c>
      <c r="FFQ1" s="286" t="s">
        <v>6740</v>
      </c>
      <c r="FFR1" s="286" t="s">
        <v>6741</v>
      </c>
      <c r="FFS1" s="286" t="s">
        <v>6742</v>
      </c>
      <c r="FFT1" s="286" t="s">
        <v>6743</v>
      </c>
      <c r="FFU1" s="286" t="s">
        <v>6744</v>
      </c>
      <c r="FFV1" s="286" t="s">
        <v>6745</v>
      </c>
      <c r="FFW1" s="286" t="s">
        <v>6746</v>
      </c>
      <c r="FFX1" s="286" t="s">
        <v>6747</v>
      </c>
      <c r="FFY1" s="286" t="s">
        <v>6748</v>
      </c>
      <c r="FFZ1" s="286" t="s">
        <v>6749</v>
      </c>
      <c r="FGA1" s="286" t="s">
        <v>6750</v>
      </c>
      <c r="FGB1" s="286" t="s">
        <v>6751</v>
      </c>
      <c r="FGC1" s="286" t="s">
        <v>6752</v>
      </c>
      <c r="FGD1" s="286" t="s">
        <v>6753</v>
      </c>
      <c r="FGE1" s="286" t="s">
        <v>6754</v>
      </c>
      <c r="FGF1" s="286" t="s">
        <v>6755</v>
      </c>
      <c r="FGG1" s="286" t="s">
        <v>6756</v>
      </c>
      <c r="FGH1" s="286" t="s">
        <v>6757</v>
      </c>
      <c r="FGI1" s="286" t="s">
        <v>6758</v>
      </c>
      <c r="FGJ1" s="286" t="s">
        <v>6759</v>
      </c>
      <c r="FGK1" s="286" t="s">
        <v>6760</v>
      </c>
      <c r="FGL1" s="286" t="s">
        <v>6761</v>
      </c>
      <c r="FGM1" s="286" t="s">
        <v>6762</v>
      </c>
      <c r="FGN1" s="286" t="s">
        <v>6763</v>
      </c>
      <c r="FGO1" s="286" t="s">
        <v>6764</v>
      </c>
      <c r="FGP1" s="286" t="s">
        <v>6765</v>
      </c>
      <c r="FGQ1" s="286" t="s">
        <v>6766</v>
      </c>
      <c r="FGR1" s="286" t="s">
        <v>6767</v>
      </c>
      <c r="FGS1" s="286" t="s">
        <v>6768</v>
      </c>
      <c r="FGT1" s="286" t="s">
        <v>6769</v>
      </c>
      <c r="FGU1" s="286" t="s">
        <v>6770</v>
      </c>
      <c r="FGV1" s="286" t="s">
        <v>6771</v>
      </c>
      <c r="FGW1" s="286" t="s">
        <v>6772</v>
      </c>
      <c r="FGX1" s="286" t="s">
        <v>6773</v>
      </c>
      <c r="FGY1" s="286" t="s">
        <v>6774</v>
      </c>
      <c r="FGZ1" s="286" t="s">
        <v>6775</v>
      </c>
      <c r="FHA1" s="286" t="s">
        <v>6776</v>
      </c>
      <c r="FHB1" s="286" t="s">
        <v>6777</v>
      </c>
      <c r="FHC1" s="286" t="s">
        <v>6778</v>
      </c>
      <c r="FHD1" s="286" t="s">
        <v>6779</v>
      </c>
      <c r="FHE1" s="286" t="s">
        <v>6780</v>
      </c>
      <c r="FHF1" s="286" t="s">
        <v>6781</v>
      </c>
      <c r="FHG1" s="286" t="s">
        <v>6782</v>
      </c>
      <c r="FHH1" s="286" t="s">
        <v>6783</v>
      </c>
      <c r="FHI1" s="286" t="s">
        <v>6784</v>
      </c>
      <c r="FHJ1" s="286" t="s">
        <v>6785</v>
      </c>
      <c r="FHK1" s="286" t="s">
        <v>6786</v>
      </c>
      <c r="FHL1" s="286" t="s">
        <v>6787</v>
      </c>
      <c r="FHM1" s="286" t="s">
        <v>6788</v>
      </c>
      <c r="FHN1" s="286" t="s">
        <v>6789</v>
      </c>
      <c r="FHO1" s="286" t="s">
        <v>6790</v>
      </c>
      <c r="FHP1" s="286" t="s">
        <v>6791</v>
      </c>
      <c r="FHQ1" s="286" t="s">
        <v>6792</v>
      </c>
      <c r="FHR1" s="286" t="s">
        <v>6793</v>
      </c>
      <c r="FHS1" s="286" t="s">
        <v>6794</v>
      </c>
      <c r="FHT1" s="286" t="s">
        <v>6795</v>
      </c>
      <c r="FHU1" s="286" t="s">
        <v>6796</v>
      </c>
      <c r="FHV1" s="286" t="s">
        <v>6797</v>
      </c>
      <c r="FHW1" s="286" t="s">
        <v>6798</v>
      </c>
      <c r="FHX1" s="286" t="s">
        <v>6799</v>
      </c>
      <c r="FHY1" s="286" t="s">
        <v>6800</v>
      </c>
      <c r="FHZ1" s="286" t="s">
        <v>6801</v>
      </c>
      <c r="FIA1" s="286" t="s">
        <v>6802</v>
      </c>
      <c r="FIB1" s="286" t="s">
        <v>6803</v>
      </c>
      <c r="FIC1" s="286" t="s">
        <v>6804</v>
      </c>
      <c r="FID1" s="286" t="s">
        <v>6805</v>
      </c>
      <c r="FIE1" s="286" t="s">
        <v>6806</v>
      </c>
      <c r="FIF1" s="286" t="s">
        <v>6807</v>
      </c>
      <c r="FIG1" s="286" t="s">
        <v>6808</v>
      </c>
      <c r="FIH1" s="286" t="s">
        <v>6809</v>
      </c>
      <c r="FII1" s="286" t="s">
        <v>6810</v>
      </c>
      <c r="FIJ1" s="286" t="s">
        <v>6811</v>
      </c>
      <c r="FIK1" s="286" t="s">
        <v>6812</v>
      </c>
      <c r="FIL1" s="286" t="s">
        <v>6813</v>
      </c>
      <c r="FIM1" s="286" t="s">
        <v>6814</v>
      </c>
      <c r="FIN1" s="286" t="s">
        <v>6815</v>
      </c>
      <c r="FIO1" s="286" t="s">
        <v>6816</v>
      </c>
      <c r="FIP1" s="286" t="s">
        <v>6817</v>
      </c>
      <c r="FIQ1" s="286" t="s">
        <v>6818</v>
      </c>
      <c r="FIR1" s="286" t="s">
        <v>6819</v>
      </c>
      <c r="FIS1" s="286" t="s">
        <v>6820</v>
      </c>
      <c r="FIT1" s="286" t="s">
        <v>6821</v>
      </c>
      <c r="FIU1" s="286" t="s">
        <v>6822</v>
      </c>
      <c r="FIV1" s="286" t="s">
        <v>6823</v>
      </c>
      <c r="FIW1" s="286" t="s">
        <v>6824</v>
      </c>
      <c r="FIX1" s="286" t="s">
        <v>6825</v>
      </c>
      <c r="FIY1" s="286" t="s">
        <v>6826</v>
      </c>
      <c r="FIZ1" s="286" t="s">
        <v>6827</v>
      </c>
      <c r="FJA1" s="286" t="s">
        <v>6828</v>
      </c>
      <c r="FJB1" s="286" t="s">
        <v>6829</v>
      </c>
      <c r="FJC1" s="286" t="s">
        <v>6830</v>
      </c>
      <c r="FJD1" s="286" t="s">
        <v>6831</v>
      </c>
      <c r="FJE1" s="286" t="s">
        <v>6832</v>
      </c>
      <c r="FJF1" s="286" t="s">
        <v>6833</v>
      </c>
      <c r="FJG1" s="286" t="s">
        <v>6834</v>
      </c>
      <c r="FJH1" s="286" t="s">
        <v>6835</v>
      </c>
      <c r="FJI1" s="286" t="s">
        <v>6836</v>
      </c>
      <c r="FJJ1" s="286" t="s">
        <v>6837</v>
      </c>
      <c r="FJK1" s="286" t="s">
        <v>6838</v>
      </c>
      <c r="FJL1" s="286" t="s">
        <v>6839</v>
      </c>
      <c r="FJM1" s="286" t="s">
        <v>6840</v>
      </c>
      <c r="FJN1" s="286" t="s">
        <v>6841</v>
      </c>
      <c r="FJO1" s="286" t="s">
        <v>6842</v>
      </c>
      <c r="FJP1" s="286" t="s">
        <v>6843</v>
      </c>
      <c r="FJQ1" s="286" t="s">
        <v>6844</v>
      </c>
      <c r="FJR1" s="286" t="s">
        <v>6845</v>
      </c>
      <c r="FJS1" s="286" t="s">
        <v>6846</v>
      </c>
      <c r="FJT1" s="286" t="s">
        <v>6847</v>
      </c>
      <c r="FJU1" s="286" t="s">
        <v>6848</v>
      </c>
      <c r="FJV1" s="286" t="s">
        <v>6849</v>
      </c>
      <c r="FJW1" s="286" t="s">
        <v>6850</v>
      </c>
      <c r="FJX1" s="286" t="s">
        <v>6851</v>
      </c>
      <c r="FJY1" s="286" t="s">
        <v>6852</v>
      </c>
      <c r="FJZ1" s="286" t="s">
        <v>6853</v>
      </c>
      <c r="FKA1" s="286" t="s">
        <v>6854</v>
      </c>
      <c r="FKB1" s="286" t="s">
        <v>6855</v>
      </c>
      <c r="FKC1" s="286" t="s">
        <v>6856</v>
      </c>
      <c r="FKD1" s="286" t="s">
        <v>6857</v>
      </c>
      <c r="FKE1" s="286" t="s">
        <v>6858</v>
      </c>
      <c r="FKF1" s="286" t="s">
        <v>6859</v>
      </c>
      <c r="FKG1" s="286" t="s">
        <v>6860</v>
      </c>
      <c r="FKH1" s="286" t="s">
        <v>6861</v>
      </c>
      <c r="FKI1" s="286" t="s">
        <v>6862</v>
      </c>
      <c r="FKJ1" s="286" t="s">
        <v>6863</v>
      </c>
      <c r="FKK1" s="286" t="s">
        <v>6864</v>
      </c>
      <c r="FKL1" s="286" t="s">
        <v>6865</v>
      </c>
      <c r="FKM1" s="286" t="s">
        <v>6866</v>
      </c>
      <c r="FKN1" s="286" t="s">
        <v>6867</v>
      </c>
      <c r="FKO1" s="286" t="s">
        <v>6868</v>
      </c>
      <c r="FKP1" s="286" t="s">
        <v>6869</v>
      </c>
      <c r="FKQ1" s="286" t="s">
        <v>6870</v>
      </c>
      <c r="FKR1" s="286" t="s">
        <v>6871</v>
      </c>
      <c r="FKS1" s="286" t="s">
        <v>6872</v>
      </c>
      <c r="FKT1" s="286" t="s">
        <v>6873</v>
      </c>
      <c r="FKU1" s="286" t="s">
        <v>6874</v>
      </c>
      <c r="FKV1" s="286" t="s">
        <v>6875</v>
      </c>
      <c r="FKW1" s="286" t="s">
        <v>6876</v>
      </c>
      <c r="FKX1" s="286" t="s">
        <v>6877</v>
      </c>
      <c r="FKY1" s="286" t="s">
        <v>6878</v>
      </c>
      <c r="FKZ1" s="286" t="s">
        <v>6879</v>
      </c>
      <c r="FLA1" s="286" t="s">
        <v>6880</v>
      </c>
      <c r="FLB1" s="286" t="s">
        <v>6881</v>
      </c>
      <c r="FLC1" s="286" t="s">
        <v>6882</v>
      </c>
      <c r="FLD1" s="286" t="s">
        <v>6883</v>
      </c>
      <c r="FLE1" s="286" t="s">
        <v>6884</v>
      </c>
      <c r="FLF1" s="286" t="s">
        <v>6885</v>
      </c>
      <c r="FLG1" s="286" t="s">
        <v>6886</v>
      </c>
      <c r="FLH1" s="286" t="s">
        <v>6887</v>
      </c>
      <c r="FLI1" s="286" t="s">
        <v>6888</v>
      </c>
      <c r="FLJ1" s="286" t="s">
        <v>6889</v>
      </c>
      <c r="FLK1" s="286" t="s">
        <v>6890</v>
      </c>
      <c r="FLL1" s="286" t="s">
        <v>6891</v>
      </c>
      <c r="FLM1" s="286" t="s">
        <v>6892</v>
      </c>
      <c r="FLN1" s="286" t="s">
        <v>6893</v>
      </c>
      <c r="FLO1" s="286" t="s">
        <v>6894</v>
      </c>
      <c r="FLP1" s="286" t="s">
        <v>6895</v>
      </c>
      <c r="FLQ1" s="286" t="s">
        <v>6896</v>
      </c>
      <c r="FLR1" s="286" t="s">
        <v>6897</v>
      </c>
      <c r="FLS1" s="286" t="s">
        <v>6898</v>
      </c>
      <c r="FLT1" s="286" t="s">
        <v>6899</v>
      </c>
      <c r="FLU1" s="286" t="s">
        <v>6900</v>
      </c>
      <c r="FLV1" s="286" t="s">
        <v>6901</v>
      </c>
      <c r="FLW1" s="286" t="s">
        <v>6902</v>
      </c>
      <c r="FLX1" s="286" t="s">
        <v>6903</v>
      </c>
      <c r="FLY1" s="286" t="s">
        <v>6904</v>
      </c>
      <c r="FLZ1" s="286" t="s">
        <v>6905</v>
      </c>
      <c r="FMA1" s="286" t="s">
        <v>6906</v>
      </c>
      <c r="FMB1" s="286" t="s">
        <v>6907</v>
      </c>
      <c r="FMC1" s="286" t="s">
        <v>6908</v>
      </c>
      <c r="FMD1" s="286" t="s">
        <v>6909</v>
      </c>
      <c r="FME1" s="286" t="s">
        <v>6910</v>
      </c>
      <c r="FMF1" s="286" t="s">
        <v>6911</v>
      </c>
      <c r="FMG1" s="286" t="s">
        <v>6912</v>
      </c>
      <c r="FMH1" s="286" t="s">
        <v>6913</v>
      </c>
      <c r="FMI1" s="286" t="s">
        <v>6914</v>
      </c>
      <c r="FMJ1" s="286" t="s">
        <v>6915</v>
      </c>
      <c r="FMK1" s="286" t="s">
        <v>6916</v>
      </c>
      <c r="FML1" s="286" t="s">
        <v>6917</v>
      </c>
      <c r="FMM1" s="286" t="s">
        <v>6918</v>
      </c>
      <c r="FMN1" s="286" t="s">
        <v>6919</v>
      </c>
      <c r="FMO1" s="286" t="s">
        <v>6920</v>
      </c>
      <c r="FMP1" s="286" t="s">
        <v>6921</v>
      </c>
      <c r="FMQ1" s="286" t="s">
        <v>6922</v>
      </c>
      <c r="FMR1" s="286" t="s">
        <v>6923</v>
      </c>
      <c r="FMS1" s="286" t="s">
        <v>6924</v>
      </c>
      <c r="FMT1" s="286" t="s">
        <v>6925</v>
      </c>
      <c r="FMU1" s="286" t="s">
        <v>6926</v>
      </c>
      <c r="FMV1" s="286" t="s">
        <v>6927</v>
      </c>
      <c r="FMW1" s="286" t="s">
        <v>6928</v>
      </c>
      <c r="FMX1" s="286" t="s">
        <v>6929</v>
      </c>
      <c r="FMY1" s="286" t="s">
        <v>6930</v>
      </c>
      <c r="FMZ1" s="286" t="s">
        <v>6931</v>
      </c>
      <c r="FNA1" s="286" t="s">
        <v>6932</v>
      </c>
      <c r="FNB1" s="286" t="s">
        <v>6933</v>
      </c>
      <c r="FNC1" s="286" t="s">
        <v>6934</v>
      </c>
      <c r="FND1" s="286" t="s">
        <v>6935</v>
      </c>
      <c r="FNE1" s="286" t="s">
        <v>6936</v>
      </c>
      <c r="FNF1" s="286" t="s">
        <v>6937</v>
      </c>
      <c r="FNG1" s="286" t="s">
        <v>6938</v>
      </c>
      <c r="FNH1" s="286" t="s">
        <v>6939</v>
      </c>
      <c r="FNI1" s="286" t="s">
        <v>6940</v>
      </c>
      <c r="FNJ1" s="286" t="s">
        <v>6941</v>
      </c>
      <c r="FNK1" s="286" t="s">
        <v>6942</v>
      </c>
      <c r="FNL1" s="286" t="s">
        <v>6943</v>
      </c>
      <c r="FNM1" s="286" t="s">
        <v>6944</v>
      </c>
      <c r="FNN1" s="286" t="s">
        <v>6945</v>
      </c>
      <c r="FNO1" s="286" t="s">
        <v>6946</v>
      </c>
      <c r="FNP1" s="286" t="s">
        <v>6947</v>
      </c>
      <c r="FNQ1" s="286" t="s">
        <v>6948</v>
      </c>
      <c r="FNR1" s="286" t="s">
        <v>6949</v>
      </c>
      <c r="FNS1" s="286" t="s">
        <v>6950</v>
      </c>
      <c r="FNT1" s="286" t="s">
        <v>6951</v>
      </c>
      <c r="FNU1" s="286" t="s">
        <v>6952</v>
      </c>
      <c r="FNV1" s="286" t="s">
        <v>6953</v>
      </c>
      <c r="FNW1" s="286" t="s">
        <v>6954</v>
      </c>
      <c r="FNX1" s="286" t="s">
        <v>6955</v>
      </c>
      <c r="FNY1" s="286" t="s">
        <v>6956</v>
      </c>
      <c r="FNZ1" s="286" t="s">
        <v>6957</v>
      </c>
      <c r="FOA1" s="286" t="s">
        <v>6958</v>
      </c>
      <c r="FOB1" s="286" t="s">
        <v>6959</v>
      </c>
      <c r="FOC1" s="286" t="s">
        <v>6960</v>
      </c>
      <c r="FOD1" s="286" t="s">
        <v>6961</v>
      </c>
      <c r="FOE1" s="286" t="s">
        <v>6962</v>
      </c>
      <c r="FOF1" s="286" t="s">
        <v>6963</v>
      </c>
      <c r="FOG1" s="286" t="s">
        <v>6964</v>
      </c>
      <c r="FOH1" s="286" t="s">
        <v>6965</v>
      </c>
      <c r="FOI1" s="286" t="s">
        <v>6966</v>
      </c>
      <c r="FOJ1" s="286" t="s">
        <v>6967</v>
      </c>
      <c r="FOK1" s="286" t="s">
        <v>6968</v>
      </c>
      <c r="FOL1" s="286" t="s">
        <v>6969</v>
      </c>
      <c r="FOM1" s="286" t="s">
        <v>6970</v>
      </c>
      <c r="FON1" s="286" t="s">
        <v>6971</v>
      </c>
      <c r="FOO1" s="286" t="s">
        <v>6972</v>
      </c>
      <c r="FOP1" s="286" t="s">
        <v>6973</v>
      </c>
      <c r="FOQ1" s="286" t="s">
        <v>6974</v>
      </c>
      <c r="FOR1" s="286" t="s">
        <v>6975</v>
      </c>
      <c r="FOS1" s="286" t="s">
        <v>6976</v>
      </c>
      <c r="FOT1" s="286" t="s">
        <v>6977</v>
      </c>
      <c r="FOU1" s="286" t="s">
        <v>6978</v>
      </c>
      <c r="FOV1" s="286" t="s">
        <v>6979</v>
      </c>
      <c r="FOW1" s="286" t="s">
        <v>6980</v>
      </c>
      <c r="FOX1" s="286" t="s">
        <v>6981</v>
      </c>
      <c r="FOY1" s="286" t="s">
        <v>6982</v>
      </c>
      <c r="FOZ1" s="286" t="s">
        <v>6983</v>
      </c>
      <c r="FPA1" s="286" t="s">
        <v>6984</v>
      </c>
      <c r="FPB1" s="286" t="s">
        <v>6985</v>
      </c>
      <c r="FPC1" s="286" t="s">
        <v>6986</v>
      </c>
      <c r="FPD1" s="286" t="s">
        <v>6987</v>
      </c>
      <c r="FPE1" s="286" t="s">
        <v>6988</v>
      </c>
      <c r="FPF1" s="286" t="s">
        <v>6989</v>
      </c>
      <c r="FPG1" s="286" t="s">
        <v>6990</v>
      </c>
      <c r="FPH1" s="286" t="s">
        <v>6991</v>
      </c>
      <c r="FPI1" s="286" t="s">
        <v>6992</v>
      </c>
      <c r="FPJ1" s="286" t="s">
        <v>6993</v>
      </c>
      <c r="FPK1" s="286" t="s">
        <v>6994</v>
      </c>
      <c r="FPL1" s="286" t="s">
        <v>6995</v>
      </c>
      <c r="FPM1" s="286" t="s">
        <v>6996</v>
      </c>
      <c r="FPN1" s="286" t="s">
        <v>6997</v>
      </c>
      <c r="FPO1" s="286" t="s">
        <v>6998</v>
      </c>
      <c r="FPP1" s="286" t="s">
        <v>6999</v>
      </c>
      <c r="FPQ1" s="286" t="s">
        <v>7000</v>
      </c>
      <c r="FPR1" s="286" t="s">
        <v>7001</v>
      </c>
      <c r="FPS1" s="286" t="s">
        <v>7002</v>
      </c>
      <c r="FPT1" s="286" t="s">
        <v>7003</v>
      </c>
      <c r="FPU1" s="286" t="s">
        <v>7004</v>
      </c>
      <c r="FPV1" s="286" t="s">
        <v>7005</v>
      </c>
      <c r="FPW1" s="286" t="s">
        <v>7006</v>
      </c>
      <c r="FPX1" s="286" t="s">
        <v>7007</v>
      </c>
      <c r="FPY1" s="286" t="s">
        <v>7008</v>
      </c>
      <c r="FPZ1" s="286" t="s">
        <v>7009</v>
      </c>
      <c r="FQA1" s="286" t="s">
        <v>7010</v>
      </c>
      <c r="FQB1" s="286" t="s">
        <v>7011</v>
      </c>
      <c r="FQC1" s="286" t="s">
        <v>7012</v>
      </c>
      <c r="FQD1" s="286" t="s">
        <v>7013</v>
      </c>
      <c r="FQE1" s="286" t="s">
        <v>7014</v>
      </c>
      <c r="FQF1" s="286" t="s">
        <v>7015</v>
      </c>
      <c r="FQG1" s="286" t="s">
        <v>7016</v>
      </c>
      <c r="FQH1" s="286" t="s">
        <v>7017</v>
      </c>
      <c r="FQI1" s="286" t="s">
        <v>7018</v>
      </c>
      <c r="FQJ1" s="286" t="s">
        <v>7019</v>
      </c>
      <c r="FQK1" s="286" t="s">
        <v>7020</v>
      </c>
      <c r="FQL1" s="286" t="s">
        <v>7021</v>
      </c>
      <c r="FQM1" s="286" t="s">
        <v>7022</v>
      </c>
      <c r="FQN1" s="286" t="s">
        <v>7023</v>
      </c>
      <c r="FQO1" s="286" t="s">
        <v>7024</v>
      </c>
      <c r="FQP1" s="286" t="s">
        <v>7025</v>
      </c>
      <c r="FQQ1" s="286" t="s">
        <v>7026</v>
      </c>
      <c r="FQR1" s="286" t="s">
        <v>7027</v>
      </c>
      <c r="FQS1" s="286" t="s">
        <v>7028</v>
      </c>
      <c r="FQT1" s="286" t="s">
        <v>7029</v>
      </c>
      <c r="FQU1" s="286" t="s">
        <v>7030</v>
      </c>
      <c r="FQV1" s="286" t="s">
        <v>7031</v>
      </c>
      <c r="FQW1" s="286" t="s">
        <v>7032</v>
      </c>
      <c r="FQX1" s="286" t="s">
        <v>7033</v>
      </c>
      <c r="FQY1" s="286" t="s">
        <v>7034</v>
      </c>
      <c r="FQZ1" s="286" t="s">
        <v>7035</v>
      </c>
      <c r="FRA1" s="286" t="s">
        <v>7036</v>
      </c>
      <c r="FRB1" s="286" t="s">
        <v>7037</v>
      </c>
      <c r="FRC1" s="286" t="s">
        <v>7038</v>
      </c>
      <c r="FRD1" s="286" t="s">
        <v>7039</v>
      </c>
      <c r="FRE1" s="286" t="s">
        <v>7040</v>
      </c>
      <c r="FRF1" s="286" t="s">
        <v>7041</v>
      </c>
      <c r="FRG1" s="286" t="s">
        <v>7042</v>
      </c>
      <c r="FRH1" s="286" t="s">
        <v>7043</v>
      </c>
      <c r="FRI1" s="286" t="s">
        <v>7044</v>
      </c>
      <c r="FRJ1" s="286" t="s">
        <v>7045</v>
      </c>
      <c r="FRK1" s="286" t="s">
        <v>7046</v>
      </c>
      <c r="FRL1" s="286" t="s">
        <v>7047</v>
      </c>
      <c r="FRM1" s="286" t="s">
        <v>7048</v>
      </c>
      <c r="FRN1" s="286" t="s">
        <v>7049</v>
      </c>
      <c r="FRO1" s="286" t="s">
        <v>7050</v>
      </c>
      <c r="FRP1" s="286" t="s">
        <v>7051</v>
      </c>
      <c r="FRQ1" s="286" t="s">
        <v>7052</v>
      </c>
      <c r="FRR1" s="286" t="s">
        <v>7053</v>
      </c>
      <c r="FRS1" s="286" t="s">
        <v>7054</v>
      </c>
      <c r="FRT1" s="286" t="s">
        <v>7055</v>
      </c>
      <c r="FRU1" s="286" t="s">
        <v>7056</v>
      </c>
      <c r="FRV1" s="286" t="s">
        <v>7057</v>
      </c>
      <c r="FRW1" s="286" t="s">
        <v>7058</v>
      </c>
      <c r="FRX1" s="286" t="s">
        <v>7059</v>
      </c>
      <c r="FRY1" s="286" t="s">
        <v>7060</v>
      </c>
      <c r="FRZ1" s="286" t="s">
        <v>7061</v>
      </c>
      <c r="FSA1" s="286" t="s">
        <v>7062</v>
      </c>
      <c r="FSB1" s="286" t="s">
        <v>7063</v>
      </c>
      <c r="FSC1" s="286" t="s">
        <v>7064</v>
      </c>
      <c r="FSD1" s="286" t="s">
        <v>7065</v>
      </c>
      <c r="FSE1" s="286" t="s">
        <v>7066</v>
      </c>
      <c r="FSF1" s="286" t="s">
        <v>7067</v>
      </c>
      <c r="FSG1" s="286" t="s">
        <v>7068</v>
      </c>
      <c r="FSH1" s="286" t="s">
        <v>7069</v>
      </c>
      <c r="FSI1" s="286" t="s">
        <v>7070</v>
      </c>
      <c r="FSJ1" s="286" t="s">
        <v>7071</v>
      </c>
      <c r="FSK1" s="286" t="s">
        <v>7072</v>
      </c>
      <c r="FSL1" s="286" t="s">
        <v>7073</v>
      </c>
      <c r="FSM1" s="286" t="s">
        <v>7074</v>
      </c>
      <c r="FSN1" s="286" t="s">
        <v>7075</v>
      </c>
      <c r="FSO1" s="286" t="s">
        <v>7076</v>
      </c>
      <c r="FSP1" s="286" t="s">
        <v>7077</v>
      </c>
      <c r="FSQ1" s="286" t="s">
        <v>7078</v>
      </c>
      <c r="FSR1" s="286" t="s">
        <v>7079</v>
      </c>
      <c r="FSS1" s="286" t="s">
        <v>7080</v>
      </c>
      <c r="FST1" s="286" t="s">
        <v>7081</v>
      </c>
      <c r="FSU1" s="286" t="s">
        <v>7082</v>
      </c>
      <c r="FSV1" s="286" t="s">
        <v>7083</v>
      </c>
      <c r="FSW1" s="286" t="s">
        <v>7084</v>
      </c>
      <c r="FSX1" s="286" t="s">
        <v>7085</v>
      </c>
      <c r="FSY1" s="286" t="s">
        <v>7086</v>
      </c>
      <c r="FSZ1" s="286" t="s">
        <v>7087</v>
      </c>
      <c r="FTA1" s="286" t="s">
        <v>7088</v>
      </c>
      <c r="FTB1" s="286" t="s">
        <v>7089</v>
      </c>
      <c r="FTC1" s="286" t="s">
        <v>7090</v>
      </c>
      <c r="FTD1" s="286" t="s">
        <v>7091</v>
      </c>
      <c r="FTE1" s="286" t="s">
        <v>7092</v>
      </c>
      <c r="FTF1" s="286" t="s">
        <v>7093</v>
      </c>
      <c r="FTG1" s="286" t="s">
        <v>7094</v>
      </c>
      <c r="FTH1" s="286" t="s">
        <v>7095</v>
      </c>
      <c r="FTI1" s="286" t="s">
        <v>7096</v>
      </c>
      <c r="FTJ1" s="286" t="s">
        <v>7097</v>
      </c>
      <c r="FTK1" s="286" t="s">
        <v>7098</v>
      </c>
      <c r="FTL1" s="286" t="s">
        <v>7099</v>
      </c>
      <c r="FTM1" s="286" t="s">
        <v>7100</v>
      </c>
      <c r="FTN1" s="286" t="s">
        <v>7101</v>
      </c>
      <c r="FTO1" s="286" t="s">
        <v>7102</v>
      </c>
      <c r="FTP1" s="286" t="s">
        <v>7103</v>
      </c>
      <c r="FTQ1" s="286" t="s">
        <v>7104</v>
      </c>
      <c r="FTR1" s="286" t="s">
        <v>7105</v>
      </c>
      <c r="FTS1" s="286" t="s">
        <v>7106</v>
      </c>
      <c r="FTT1" s="286" t="s">
        <v>7107</v>
      </c>
      <c r="FTU1" s="286" t="s">
        <v>7108</v>
      </c>
      <c r="FTV1" s="286" t="s">
        <v>7109</v>
      </c>
      <c r="FTW1" s="286" t="s">
        <v>7110</v>
      </c>
      <c r="FTX1" s="286" t="s">
        <v>7111</v>
      </c>
      <c r="FTY1" s="286" t="s">
        <v>7112</v>
      </c>
      <c r="FTZ1" s="286" t="s">
        <v>7113</v>
      </c>
      <c r="FUA1" s="286" t="s">
        <v>7114</v>
      </c>
      <c r="FUB1" s="286" t="s">
        <v>7115</v>
      </c>
      <c r="FUC1" s="286" t="s">
        <v>7116</v>
      </c>
      <c r="FUD1" s="286" t="s">
        <v>7117</v>
      </c>
      <c r="FUE1" s="286" t="s">
        <v>7118</v>
      </c>
      <c r="FUF1" s="286" t="s">
        <v>7119</v>
      </c>
      <c r="FUG1" s="286" t="s">
        <v>7120</v>
      </c>
      <c r="FUH1" s="286" t="s">
        <v>7121</v>
      </c>
      <c r="FUI1" s="286" t="s">
        <v>7122</v>
      </c>
      <c r="FUJ1" s="286" t="s">
        <v>7123</v>
      </c>
      <c r="FUK1" s="286" t="s">
        <v>7124</v>
      </c>
      <c r="FUL1" s="286" t="s">
        <v>7125</v>
      </c>
      <c r="FUM1" s="286" t="s">
        <v>7126</v>
      </c>
      <c r="FUN1" s="286" t="s">
        <v>7127</v>
      </c>
      <c r="FUO1" s="286" t="s">
        <v>7128</v>
      </c>
      <c r="FUP1" s="286" t="s">
        <v>7129</v>
      </c>
      <c r="FUQ1" s="286" t="s">
        <v>7130</v>
      </c>
      <c r="FUR1" s="286" t="s">
        <v>7131</v>
      </c>
      <c r="FUS1" s="286" t="s">
        <v>7132</v>
      </c>
      <c r="FUT1" s="286" t="s">
        <v>7133</v>
      </c>
      <c r="FUU1" s="286" t="s">
        <v>7134</v>
      </c>
      <c r="FUV1" s="286" t="s">
        <v>7135</v>
      </c>
      <c r="FUW1" s="286" t="s">
        <v>7136</v>
      </c>
      <c r="FUX1" s="286" t="s">
        <v>7137</v>
      </c>
      <c r="FUY1" s="286" t="s">
        <v>7138</v>
      </c>
      <c r="FUZ1" s="286" t="s">
        <v>7139</v>
      </c>
      <c r="FVA1" s="286" t="s">
        <v>7140</v>
      </c>
      <c r="FVB1" s="286" t="s">
        <v>7141</v>
      </c>
      <c r="FVC1" s="286" t="s">
        <v>7142</v>
      </c>
      <c r="FVD1" s="286" t="s">
        <v>7143</v>
      </c>
      <c r="FVE1" s="286" t="s">
        <v>7144</v>
      </c>
      <c r="FVF1" s="286" t="s">
        <v>7145</v>
      </c>
      <c r="FVG1" s="286" t="s">
        <v>7146</v>
      </c>
      <c r="FVH1" s="286" t="s">
        <v>7147</v>
      </c>
      <c r="FVI1" s="286" t="s">
        <v>7148</v>
      </c>
      <c r="FVJ1" s="286" t="s">
        <v>7149</v>
      </c>
      <c r="FVK1" s="286" t="s">
        <v>7150</v>
      </c>
      <c r="FVL1" s="286" t="s">
        <v>7151</v>
      </c>
      <c r="FVM1" s="286" t="s">
        <v>7152</v>
      </c>
      <c r="FVN1" s="286" t="s">
        <v>7153</v>
      </c>
      <c r="FVO1" s="286" t="s">
        <v>7154</v>
      </c>
      <c r="FVP1" s="286" t="s">
        <v>7155</v>
      </c>
      <c r="FVQ1" s="286" t="s">
        <v>7156</v>
      </c>
      <c r="FVR1" s="286" t="s">
        <v>7157</v>
      </c>
      <c r="FVS1" s="286" t="s">
        <v>7158</v>
      </c>
      <c r="FVT1" s="286" t="s">
        <v>7159</v>
      </c>
      <c r="FVU1" s="286" t="s">
        <v>7160</v>
      </c>
      <c r="FVV1" s="286" t="s">
        <v>7161</v>
      </c>
      <c r="FVW1" s="286" t="s">
        <v>7162</v>
      </c>
      <c r="FVX1" s="286" t="s">
        <v>7163</v>
      </c>
      <c r="FVY1" s="286" t="s">
        <v>7164</v>
      </c>
      <c r="FVZ1" s="286" t="s">
        <v>7165</v>
      </c>
      <c r="FWA1" s="286" t="s">
        <v>7166</v>
      </c>
      <c r="FWB1" s="286" t="s">
        <v>7167</v>
      </c>
      <c r="FWC1" s="286" t="s">
        <v>7168</v>
      </c>
      <c r="FWD1" s="286" t="s">
        <v>7169</v>
      </c>
      <c r="FWE1" s="286" t="s">
        <v>7170</v>
      </c>
      <c r="FWF1" s="286" t="s">
        <v>7171</v>
      </c>
      <c r="FWG1" s="286" t="s">
        <v>7172</v>
      </c>
      <c r="FWH1" s="286" t="s">
        <v>7173</v>
      </c>
      <c r="FWI1" s="286" t="s">
        <v>7174</v>
      </c>
      <c r="FWJ1" s="286" t="s">
        <v>7175</v>
      </c>
      <c r="FWK1" s="286" t="s">
        <v>7176</v>
      </c>
      <c r="FWL1" s="286" t="s">
        <v>7177</v>
      </c>
      <c r="FWM1" s="286" t="s">
        <v>7178</v>
      </c>
      <c r="FWN1" s="286" t="s">
        <v>7179</v>
      </c>
      <c r="FWO1" s="286" t="s">
        <v>7180</v>
      </c>
      <c r="FWP1" s="286" t="s">
        <v>7181</v>
      </c>
      <c r="FWQ1" s="286" t="s">
        <v>7182</v>
      </c>
      <c r="FWR1" s="286" t="s">
        <v>7183</v>
      </c>
      <c r="FWS1" s="286" t="s">
        <v>7184</v>
      </c>
      <c r="FWT1" s="286" t="s">
        <v>7185</v>
      </c>
      <c r="FWU1" s="286" t="s">
        <v>7186</v>
      </c>
      <c r="FWV1" s="286" t="s">
        <v>7187</v>
      </c>
      <c r="FWW1" s="286" t="s">
        <v>7188</v>
      </c>
      <c r="FWX1" s="286" t="s">
        <v>7189</v>
      </c>
      <c r="FWY1" s="286" t="s">
        <v>7190</v>
      </c>
      <c r="FWZ1" s="286" t="s">
        <v>7191</v>
      </c>
      <c r="FXA1" s="286" t="s">
        <v>7192</v>
      </c>
      <c r="FXB1" s="286" t="s">
        <v>7193</v>
      </c>
      <c r="FXC1" s="286" t="s">
        <v>7194</v>
      </c>
      <c r="FXD1" s="286" t="s">
        <v>7195</v>
      </c>
      <c r="FXE1" s="286" t="s">
        <v>7196</v>
      </c>
      <c r="FXF1" s="286" t="s">
        <v>7197</v>
      </c>
      <c r="FXG1" s="286" t="s">
        <v>7198</v>
      </c>
      <c r="FXH1" s="286" t="s">
        <v>7199</v>
      </c>
      <c r="FXI1" s="286" t="s">
        <v>7200</v>
      </c>
      <c r="FXJ1" s="286" t="s">
        <v>7201</v>
      </c>
      <c r="FXK1" s="286" t="s">
        <v>7202</v>
      </c>
      <c r="FXL1" s="286" t="s">
        <v>7203</v>
      </c>
      <c r="FXM1" s="286" t="s">
        <v>7204</v>
      </c>
      <c r="FXN1" s="286" t="s">
        <v>7205</v>
      </c>
      <c r="FXO1" s="286" t="s">
        <v>7206</v>
      </c>
      <c r="FXP1" s="286" t="s">
        <v>7207</v>
      </c>
      <c r="FXQ1" s="286" t="s">
        <v>7208</v>
      </c>
      <c r="FXR1" s="286" t="s">
        <v>7209</v>
      </c>
      <c r="FXS1" s="286" t="s">
        <v>7210</v>
      </c>
      <c r="FXT1" s="286" t="s">
        <v>7211</v>
      </c>
      <c r="FXU1" s="286" t="s">
        <v>7212</v>
      </c>
      <c r="FXV1" s="286" t="s">
        <v>7213</v>
      </c>
      <c r="FXW1" s="286" t="s">
        <v>7214</v>
      </c>
      <c r="FXX1" s="286" t="s">
        <v>7215</v>
      </c>
      <c r="FXY1" s="286" t="s">
        <v>7216</v>
      </c>
      <c r="FXZ1" s="286" t="s">
        <v>7217</v>
      </c>
      <c r="FYA1" s="286" t="s">
        <v>7218</v>
      </c>
      <c r="FYB1" s="286" t="s">
        <v>7219</v>
      </c>
      <c r="FYC1" s="286" t="s">
        <v>7220</v>
      </c>
      <c r="FYD1" s="286" t="s">
        <v>7221</v>
      </c>
      <c r="FYE1" s="286" t="s">
        <v>7222</v>
      </c>
      <c r="FYF1" s="286" t="s">
        <v>7223</v>
      </c>
      <c r="FYG1" s="286" t="s">
        <v>7224</v>
      </c>
      <c r="FYH1" s="286" t="s">
        <v>7225</v>
      </c>
      <c r="FYI1" s="286" t="s">
        <v>7226</v>
      </c>
      <c r="FYJ1" s="286" t="s">
        <v>7227</v>
      </c>
      <c r="FYK1" s="286" t="s">
        <v>7228</v>
      </c>
      <c r="FYL1" s="286" t="s">
        <v>7229</v>
      </c>
      <c r="FYM1" s="286" t="s">
        <v>7230</v>
      </c>
      <c r="FYN1" s="286" t="s">
        <v>7231</v>
      </c>
      <c r="FYO1" s="286" t="s">
        <v>7232</v>
      </c>
      <c r="FYP1" s="286" t="s">
        <v>7233</v>
      </c>
      <c r="FYQ1" s="286" t="s">
        <v>7234</v>
      </c>
      <c r="FYR1" s="286" t="s">
        <v>7235</v>
      </c>
      <c r="FYS1" s="286" t="s">
        <v>7236</v>
      </c>
      <c r="FYT1" s="286" t="s">
        <v>7237</v>
      </c>
      <c r="FYU1" s="286" t="s">
        <v>7238</v>
      </c>
      <c r="FYV1" s="286" t="s">
        <v>7239</v>
      </c>
      <c r="FYW1" s="286" t="s">
        <v>7240</v>
      </c>
      <c r="FYX1" s="286" t="s">
        <v>7241</v>
      </c>
      <c r="FYY1" s="286" t="s">
        <v>7242</v>
      </c>
      <c r="FYZ1" s="286" t="s">
        <v>7243</v>
      </c>
      <c r="FZA1" s="286" t="s">
        <v>7244</v>
      </c>
      <c r="FZB1" s="286" t="s">
        <v>7245</v>
      </c>
      <c r="FZC1" s="286" t="s">
        <v>7246</v>
      </c>
      <c r="FZD1" s="286" t="s">
        <v>7247</v>
      </c>
      <c r="FZE1" s="286" t="s">
        <v>7248</v>
      </c>
      <c r="FZF1" s="286" t="s">
        <v>7249</v>
      </c>
      <c r="FZG1" s="286" t="s">
        <v>7250</v>
      </c>
      <c r="FZH1" s="286" t="s">
        <v>7251</v>
      </c>
      <c r="FZI1" s="286" t="s">
        <v>7252</v>
      </c>
      <c r="FZJ1" s="286" t="s">
        <v>7253</v>
      </c>
      <c r="FZK1" s="286" t="s">
        <v>7254</v>
      </c>
      <c r="FZL1" s="286" t="s">
        <v>7255</v>
      </c>
      <c r="FZM1" s="286" t="s">
        <v>7256</v>
      </c>
      <c r="FZN1" s="286" t="s">
        <v>7257</v>
      </c>
      <c r="FZO1" s="286" t="s">
        <v>7258</v>
      </c>
      <c r="FZP1" s="286" t="s">
        <v>7259</v>
      </c>
      <c r="FZQ1" s="286" t="s">
        <v>7260</v>
      </c>
      <c r="FZR1" s="286" t="s">
        <v>7261</v>
      </c>
      <c r="FZS1" s="286" t="s">
        <v>7262</v>
      </c>
      <c r="FZT1" s="286" t="s">
        <v>7263</v>
      </c>
      <c r="FZU1" s="286" t="s">
        <v>7264</v>
      </c>
      <c r="FZV1" s="286" t="s">
        <v>7265</v>
      </c>
      <c r="FZW1" s="286" t="s">
        <v>7266</v>
      </c>
      <c r="FZX1" s="286" t="s">
        <v>7267</v>
      </c>
      <c r="FZY1" s="286" t="s">
        <v>7268</v>
      </c>
      <c r="FZZ1" s="286" t="s">
        <v>7269</v>
      </c>
      <c r="GAA1" s="286" t="s">
        <v>7270</v>
      </c>
      <c r="GAB1" s="286" t="s">
        <v>7271</v>
      </c>
      <c r="GAC1" s="286" t="s">
        <v>7272</v>
      </c>
      <c r="GAD1" s="286" t="s">
        <v>7273</v>
      </c>
      <c r="GAE1" s="286" t="s">
        <v>7274</v>
      </c>
      <c r="GAF1" s="286" t="s">
        <v>7275</v>
      </c>
      <c r="GAG1" s="286" t="s">
        <v>7276</v>
      </c>
      <c r="GAH1" s="286" t="s">
        <v>7277</v>
      </c>
      <c r="GAI1" s="286" t="s">
        <v>7278</v>
      </c>
      <c r="GAJ1" s="286" t="s">
        <v>7279</v>
      </c>
      <c r="GAK1" s="286" t="s">
        <v>7280</v>
      </c>
      <c r="GAL1" s="286" t="s">
        <v>7281</v>
      </c>
      <c r="GAM1" s="286" t="s">
        <v>7282</v>
      </c>
      <c r="GAN1" s="286" t="s">
        <v>7283</v>
      </c>
      <c r="GAO1" s="286" t="s">
        <v>7284</v>
      </c>
      <c r="GAP1" s="286" t="s">
        <v>7285</v>
      </c>
      <c r="GAQ1" s="286" t="s">
        <v>7286</v>
      </c>
      <c r="GAR1" s="286" t="s">
        <v>7287</v>
      </c>
      <c r="GAS1" s="286" t="s">
        <v>7288</v>
      </c>
      <c r="GAT1" s="286" t="s">
        <v>7289</v>
      </c>
      <c r="GAU1" s="286" t="s">
        <v>7290</v>
      </c>
      <c r="GAV1" s="286" t="s">
        <v>7291</v>
      </c>
      <c r="GAW1" s="286" t="s">
        <v>7292</v>
      </c>
      <c r="GAX1" s="286" t="s">
        <v>7293</v>
      </c>
      <c r="GAY1" s="286" t="s">
        <v>7294</v>
      </c>
      <c r="GAZ1" s="286" t="s">
        <v>7295</v>
      </c>
      <c r="GBA1" s="286" t="s">
        <v>7296</v>
      </c>
      <c r="GBB1" s="286" t="s">
        <v>7297</v>
      </c>
      <c r="GBC1" s="286" t="s">
        <v>7298</v>
      </c>
      <c r="GBD1" s="286" t="s">
        <v>7299</v>
      </c>
      <c r="GBE1" s="286" t="s">
        <v>7300</v>
      </c>
      <c r="GBF1" s="286" t="s">
        <v>7301</v>
      </c>
      <c r="GBG1" s="286" t="s">
        <v>7302</v>
      </c>
      <c r="GBH1" s="286" t="s">
        <v>7303</v>
      </c>
      <c r="GBI1" s="286" t="s">
        <v>7304</v>
      </c>
      <c r="GBJ1" s="286" t="s">
        <v>7305</v>
      </c>
      <c r="GBK1" s="286" t="s">
        <v>7306</v>
      </c>
      <c r="GBL1" s="286" t="s">
        <v>7307</v>
      </c>
      <c r="GBM1" s="286" t="s">
        <v>7308</v>
      </c>
      <c r="GBN1" s="286" t="s">
        <v>7309</v>
      </c>
      <c r="GBO1" s="286" t="s">
        <v>7310</v>
      </c>
      <c r="GBP1" s="286" t="s">
        <v>7311</v>
      </c>
      <c r="GBQ1" s="286" t="s">
        <v>7312</v>
      </c>
      <c r="GBR1" s="286" t="s">
        <v>7313</v>
      </c>
      <c r="GBS1" s="286" t="s">
        <v>7314</v>
      </c>
      <c r="GBT1" s="286" t="s">
        <v>7315</v>
      </c>
      <c r="GBU1" s="286" t="s">
        <v>7316</v>
      </c>
      <c r="GBV1" s="286" t="s">
        <v>7317</v>
      </c>
      <c r="GBW1" s="286" t="s">
        <v>7318</v>
      </c>
      <c r="GBX1" s="286" t="s">
        <v>7319</v>
      </c>
      <c r="GBY1" s="286" t="s">
        <v>7320</v>
      </c>
      <c r="GBZ1" s="286" t="s">
        <v>7321</v>
      </c>
      <c r="GCA1" s="286" t="s">
        <v>7322</v>
      </c>
      <c r="GCB1" s="286" t="s">
        <v>7323</v>
      </c>
      <c r="GCC1" s="286" t="s">
        <v>7324</v>
      </c>
      <c r="GCD1" s="286" t="s">
        <v>7325</v>
      </c>
      <c r="GCE1" s="286" t="s">
        <v>7326</v>
      </c>
      <c r="GCF1" s="286" t="s">
        <v>7327</v>
      </c>
      <c r="GCG1" s="286" t="s">
        <v>7328</v>
      </c>
      <c r="GCH1" s="286" t="s">
        <v>7329</v>
      </c>
      <c r="GCI1" s="286" t="s">
        <v>7330</v>
      </c>
      <c r="GCJ1" s="286" t="s">
        <v>7331</v>
      </c>
      <c r="GCK1" s="286" t="s">
        <v>7332</v>
      </c>
      <c r="GCL1" s="286" t="s">
        <v>7333</v>
      </c>
      <c r="GCM1" s="286" t="s">
        <v>7334</v>
      </c>
      <c r="GCN1" s="286" t="s">
        <v>7335</v>
      </c>
      <c r="GCO1" s="286" t="s">
        <v>7336</v>
      </c>
      <c r="GCP1" s="286" t="s">
        <v>7337</v>
      </c>
      <c r="GCQ1" s="286" t="s">
        <v>7338</v>
      </c>
      <c r="GCR1" s="286" t="s">
        <v>7339</v>
      </c>
      <c r="GCS1" s="286" t="s">
        <v>7340</v>
      </c>
      <c r="GCT1" s="286" t="s">
        <v>7341</v>
      </c>
      <c r="GCU1" s="286" t="s">
        <v>7342</v>
      </c>
      <c r="GCV1" s="286" t="s">
        <v>7343</v>
      </c>
      <c r="GCW1" s="286" t="s">
        <v>7344</v>
      </c>
      <c r="GCX1" s="286" t="s">
        <v>7345</v>
      </c>
      <c r="GCY1" s="286" t="s">
        <v>7346</v>
      </c>
      <c r="GCZ1" s="286" t="s">
        <v>7347</v>
      </c>
      <c r="GDA1" s="286" t="s">
        <v>7348</v>
      </c>
      <c r="GDB1" s="286" t="s">
        <v>7349</v>
      </c>
      <c r="GDC1" s="286" t="s">
        <v>7350</v>
      </c>
      <c r="GDD1" s="286" t="s">
        <v>7351</v>
      </c>
      <c r="GDE1" s="286" t="s">
        <v>7352</v>
      </c>
      <c r="GDF1" s="286" t="s">
        <v>7353</v>
      </c>
      <c r="GDG1" s="286" t="s">
        <v>7354</v>
      </c>
      <c r="GDH1" s="286" t="s">
        <v>7355</v>
      </c>
      <c r="GDI1" s="286" t="s">
        <v>7356</v>
      </c>
      <c r="GDJ1" s="286" t="s">
        <v>7357</v>
      </c>
      <c r="GDK1" s="286" t="s">
        <v>7358</v>
      </c>
      <c r="GDL1" s="286" t="s">
        <v>7359</v>
      </c>
      <c r="GDM1" s="286" t="s">
        <v>7360</v>
      </c>
      <c r="GDN1" s="286" t="s">
        <v>7361</v>
      </c>
      <c r="GDO1" s="286" t="s">
        <v>7362</v>
      </c>
      <c r="GDP1" s="286" t="s">
        <v>7363</v>
      </c>
      <c r="GDQ1" s="286" t="s">
        <v>7364</v>
      </c>
      <c r="GDR1" s="286" t="s">
        <v>7365</v>
      </c>
      <c r="GDS1" s="286" t="s">
        <v>7366</v>
      </c>
      <c r="GDT1" s="286" t="s">
        <v>7367</v>
      </c>
      <c r="GDU1" s="286" t="s">
        <v>7368</v>
      </c>
      <c r="GDV1" s="286" t="s">
        <v>7369</v>
      </c>
      <c r="GDW1" s="286" t="s">
        <v>7370</v>
      </c>
      <c r="GDX1" s="286" t="s">
        <v>7371</v>
      </c>
      <c r="GDY1" s="286" t="s">
        <v>7372</v>
      </c>
      <c r="GDZ1" s="286" t="s">
        <v>7373</v>
      </c>
      <c r="GEA1" s="286" t="s">
        <v>7374</v>
      </c>
      <c r="GEB1" s="286" t="s">
        <v>7375</v>
      </c>
      <c r="GEC1" s="286" t="s">
        <v>7376</v>
      </c>
      <c r="GED1" s="286" t="s">
        <v>7377</v>
      </c>
      <c r="GEE1" s="286" t="s">
        <v>7378</v>
      </c>
      <c r="GEF1" s="286" t="s">
        <v>7379</v>
      </c>
      <c r="GEG1" s="286" t="s">
        <v>7380</v>
      </c>
      <c r="GEH1" s="286" t="s">
        <v>7381</v>
      </c>
      <c r="GEI1" s="286" t="s">
        <v>7382</v>
      </c>
      <c r="GEJ1" s="286" t="s">
        <v>7383</v>
      </c>
      <c r="GEK1" s="286" t="s">
        <v>7384</v>
      </c>
      <c r="GEL1" s="286" t="s">
        <v>7385</v>
      </c>
      <c r="GEM1" s="286" t="s">
        <v>7386</v>
      </c>
      <c r="GEN1" s="286" t="s">
        <v>7387</v>
      </c>
      <c r="GEO1" s="286" t="s">
        <v>7388</v>
      </c>
      <c r="GEP1" s="286" t="s">
        <v>7389</v>
      </c>
      <c r="GEQ1" s="286" t="s">
        <v>7390</v>
      </c>
      <c r="GER1" s="286" t="s">
        <v>7391</v>
      </c>
      <c r="GES1" s="286" t="s">
        <v>7392</v>
      </c>
      <c r="GET1" s="286" t="s">
        <v>7393</v>
      </c>
      <c r="GEU1" s="286" t="s">
        <v>7394</v>
      </c>
      <c r="GEV1" s="286" t="s">
        <v>7395</v>
      </c>
      <c r="GEW1" s="286" t="s">
        <v>7396</v>
      </c>
      <c r="GEX1" s="286" t="s">
        <v>7397</v>
      </c>
      <c r="GEY1" s="286" t="s">
        <v>7398</v>
      </c>
      <c r="GEZ1" s="286" t="s">
        <v>7399</v>
      </c>
      <c r="GFA1" s="286" t="s">
        <v>7400</v>
      </c>
      <c r="GFB1" s="286" t="s">
        <v>7401</v>
      </c>
      <c r="GFC1" s="286" t="s">
        <v>7402</v>
      </c>
      <c r="GFD1" s="286" t="s">
        <v>7403</v>
      </c>
      <c r="GFE1" s="286" t="s">
        <v>7404</v>
      </c>
      <c r="GFF1" s="286" t="s">
        <v>7405</v>
      </c>
      <c r="GFG1" s="286" t="s">
        <v>7406</v>
      </c>
      <c r="GFH1" s="286" t="s">
        <v>7407</v>
      </c>
      <c r="GFI1" s="286" t="s">
        <v>7408</v>
      </c>
      <c r="GFJ1" s="286" t="s">
        <v>7409</v>
      </c>
      <c r="GFK1" s="286" t="s">
        <v>7410</v>
      </c>
      <c r="GFL1" s="286" t="s">
        <v>7411</v>
      </c>
      <c r="GFM1" s="286" t="s">
        <v>7412</v>
      </c>
      <c r="GFN1" s="286" t="s">
        <v>7413</v>
      </c>
      <c r="GFO1" s="286" t="s">
        <v>7414</v>
      </c>
      <c r="GFP1" s="286" t="s">
        <v>7415</v>
      </c>
      <c r="GFQ1" s="286" t="s">
        <v>7416</v>
      </c>
      <c r="GFR1" s="286" t="s">
        <v>7417</v>
      </c>
      <c r="GFS1" s="286" t="s">
        <v>7418</v>
      </c>
      <c r="GFT1" s="286" t="s">
        <v>7419</v>
      </c>
      <c r="GFU1" s="286" t="s">
        <v>7420</v>
      </c>
      <c r="GFV1" s="286" t="s">
        <v>7421</v>
      </c>
      <c r="GFW1" s="286" t="s">
        <v>7422</v>
      </c>
      <c r="GFX1" s="286" t="s">
        <v>7423</v>
      </c>
      <c r="GFY1" s="286" t="s">
        <v>7424</v>
      </c>
      <c r="GFZ1" s="286" t="s">
        <v>7425</v>
      </c>
      <c r="GGA1" s="286" t="s">
        <v>7426</v>
      </c>
      <c r="GGB1" s="286" t="s">
        <v>7427</v>
      </c>
      <c r="GGC1" s="286" t="s">
        <v>7428</v>
      </c>
      <c r="GGD1" s="286" t="s">
        <v>7429</v>
      </c>
      <c r="GGE1" s="286" t="s">
        <v>7430</v>
      </c>
      <c r="GGF1" s="286" t="s">
        <v>7431</v>
      </c>
      <c r="GGG1" s="286" t="s">
        <v>7432</v>
      </c>
      <c r="GGH1" s="286" t="s">
        <v>7433</v>
      </c>
      <c r="GGI1" s="286" t="s">
        <v>7434</v>
      </c>
      <c r="GGJ1" s="286" t="s">
        <v>7435</v>
      </c>
      <c r="GGK1" s="286" t="s">
        <v>7436</v>
      </c>
      <c r="GGL1" s="286" t="s">
        <v>7437</v>
      </c>
      <c r="GGM1" s="286" t="s">
        <v>7438</v>
      </c>
      <c r="GGN1" s="286" t="s">
        <v>7439</v>
      </c>
      <c r="GGO1" s="286" t="s">
        <v>7440</v>
      </c>
      <c r="GGP1" s="286" t="s">
        <v>7441</v>
      </c>
      <c r="GGQ1" s="286" t="s">
        <v>7442</v>
      </c>
      <c r="GGR1" s="286" t="s">
        <v>7443</v>
      </c>
      <c r="GGS1" s="286" t="s">
        <v>7444</v>
      </c>
      <c r="GGT1" s="286" t="s">
        <v>7445</v>
      </c>
      <c r="GGU1" s="286" t="s">
        <v>7446</v>
      </c>
      <c r="GGV1" s="286" t="s">
        <v>7447</v>
      </c>
      <c r="GGW1" s="286" t="s">
        <v>7448</v>
      </c>
      <c r="GGX1" s="286" t="s">
        <v>7449</v>
      </c>
      <c r="GGY1" s="286" t="s">
        <v>7450</v>
      </c>
      <c r="GGZ1" s="286" t="s">
        <v>7451</v>
      </c>
      <c r="GHA1" s="286" t="s">
        <v>7452</v>
      </c>
      <c r="GHB1" s="286" t="s">
        <v>7453</v>
      </c>
      <c r="GHC1" s="286" t="s">
        <v>7454</v>
      </c>
      <c r="GHD1" s="286" t="s">
        <v>7455</v>
      </c>
      <c r="GHE1" s="286" t="s">
        <v>7456</v>
      </c>
      <c r="GHF1" s="286" t="s">
        <v>7457</v>
      </c>
      <c r="GHG1" s="286" t="s">
        <v>7458</v>
      </c>
      <c r="GHH1" s="286" t="s">
        <v>7459</v>
      </c>
      <c r="GHI1" s="286" t="s">
        <v>7460</v>
      </c>
      <c r="GHJ1" s="286" t="s">
        <v>7461</v>
      </c>
      <c r="GHK1" s="286" t="s">
        <v>7462</v>
      </c>
      <c r="GHL1" s="286" t="s">
        <v>7463</v>
      </c>
      <c r="GHM1" s="286" t="s">
        <v>7464</v>
      </c>
      <c r="GHN1" s="286" t="s">
        <v>7465</v>
      </c>
      <c r="GHO1" s="286" t="s">
        <v>7466</v>
      </c>
      <c r="GHP1" s="286" t="s">
        <v>7467</v>
      </c>
      <c r="GHQ1" s="286" t="s">
        <v>7468</v>
      </c>
      <c r="GHR1" s="286" t="s">
        <v>7469</v>
      </c>
      <c r="GHS1" s="286" t="s">
        <v>7470</v>
      </c>
      <c r="GHT1" s="286" t="s">
        <v>7471</v>
      </c>
      <c r="GHU1" s="286" t="s">
        <v>7472</v>
      </c>
      <c r="GHV1" s="286" t="s">
        <v>7473</v>
      </c>
      <c r="GHW1" s="286" t="s">
        <v>7474</v>
      </c>
      <c r="GHX1" s="286" t="s">
        <v>7475</v>
      </c>
      <c r="GHY1" s="286" t="s">
        <v>7476</v>
      </c>
      <c r="GHZ1" s="286" t="s">
        <v>7477</v>
      </c>
      <c r="GIA1" s="286" t="s">
        <v>7478</v>
      </c>
      <c r="GIB1" s="286" t="s">
        <v>7479</v>
      </c>
      <c r="GIC1" s="286" t="s">
        <v>7480</v>
      </c>
      <c r="GID1" s="286" t="s">
        <v>7481</v>
      </c>
      <c r="GIE1" s="286" t="s">
        <v>7482</v>
      </c>
      <c r="GIF1" s="286" t="s">
        <v>7483</v>
      </c>
      <c r="GIG1" s="286" t="s">
        <v>7484</v>
      </c>
      <c r="GIH1" s="286" t="s">
        <v>7485</v>
      </c>
      <c r="GII1" s="286" t="s">
        <v>7486</v>
      </c>
      <c r="GIJ1" s="286" t="s">
        <v>7487</v>
      </c>
      <c r="GIK1" s="286" t="s">
        <v>7488</v>
      </c>
      <c r="GIL1" s="286" t="s">
        <v>7489</v>
      </c>
      <c r="GIM1" s="286" t="s">
        <v>7490</v>
      </c>
      <c r="GIN1" s="286" t="s">
        <v>7491</v>
      </c>
      <c r="GIO1" s="286" t="s">
        <v>7492</v>
      </c>
      <c r="GIP1" s="286" t="s">
        <v>7493</v>
      </c>
      <c r="GIQ1" s="286" t="s">
        <v>7494</v>
      </c>
      <c r="GIR1" s="286" t="s">
        <v>7495</v>
      </c>
      <c r="GIS1" s="286" t="s">
        <v>7496</v>
      </c>
      <c r="GIT1" s="286" t="s">
        <v>7497</v>
      </c>
      <c r="GIU1" s="286" t="s">
        <v>7498</v>
      </c>
      <c r="GIV1" s="286" t="s">
        <v>7499</v>
      </c>
      <c r="GIW1" s="286" t="s">
        <v>7500</v>
      </c>
      <c r="GIX1" s="286" t="s">
        <v>7501</v>
      </c>
      <c r="GIY1" s="286" t="s">
        <v>7502</v>
      </c>
      <c r="GIZ1" s="286" t="s">
        <v>7503</v>
      </c>
      <c r="GJA1" s="286" t="s">
        <v>7504</v>
      </c>
      <c r="GJB1" s="286" t="s">
        <v>7505</v>
      </c>
      <c r="GJC1" s="286" t="s">
        <v>7506</v>
      </c>
      <c r="GJD1" s="286" t="s">
        <v>7507</v>
      </c>
      <c r="GJE1" s="286" t="s">
        <v>7508</v>
      </c>
      <c r="GJF1" s="286" t="s">
        <v>7509</v>
      </c>
      <c r="GJG1" s="286" t="s">
        <v>7510</v>
      </c>
      <c r="GJH1" s="286" t="s">
        <v>7511</v>
      </c>
      <c r="GJI1" s="286" t="s">
        <v>7512</v>
      </c>
      <c r="GJJ1" s="286" t="s">
        <v>7513</v>
      </c>
      <c r="GJK1" s="286" t="s">
        <v>7514</v>
      </c>
      <c r="GJL1" s="286" t="s">
        <v>7515</v>
      </c>
      <c r="GJM1" s="286" t="s">
        <v>7516</v>
      </c>
      <c r="GJN1" s="286" t="s">
        <v>7517</v>
      </c>
      <c r="GJO1" s="286" t="s">
        <v>7518</v>
      </c>
      <c r="GJP1" s="286" t="s">
        <v>7519</v>
      </c>
      <c r="GJQ1" s="286" t="s">
        <v>7520</v>
      </c>
      <c r="GJR1" s="286" t="s">
        <v>7521</v>
      </c>
      <c r="GJS1" s="286" t="s">
        <v>7522</v>
      </c>
      <c r="GJT1" s="286" t="s">
        <v>7523</v>
      </c>
      <c r="GJU1" s="286" t="s">
        <v>7524</v>
      </c>
      <c r="GJV1" s="286" t="s">
        <v>7525</v>
      </c>
      <c r="GJW1" s="286" t="s">
        <v>7526</v>
      </c>
      <c r="GJX1" s="286" t="s">
        <v>7527</v>
      </c>
      <c r="GJY1" s="286" t="s">
        <v>7528</v>
      </c>
      <c r="GJZ1" s="286" t="s">
        <v>7529</v>
      </c>
      <c r="GKA1" s="286" t="s">
        <v>7530</v>
      </c>
      <c r="GKB1" s="286" t="s">
        <v>7531</v>
      </c>
      <c r="GKC1" s="286" t="s">
        <v>7532</v>
      </c>
      <c r="GKD1" s="286" t="s">
        <v>7533</v>
      </c>
      <c r="GKE1" s="286" t="s">
        <v>7534</v>
      </c>
      <c r="GKF1" s="286" t="s">
        <v>7535</v>
      </c>
      <c r="GKG1" s="286" t="s">
        <v>7536</v>
      </c>
      <c r="GKH1" s="286" t="s">
        <v>7537</v>
      </c>
      <c r="GKI1" s="286" t="s">
        <v>7538</v>
      </c>
      <c r="GKJ1" s="286" t="s">
        <v>7539</v>
      </c>
      <c r="GKK1" s="286" t="s">
        <v>7540</v>
      </c>
      <c r="GKL1" s="286" t="s">
        <v>7541</v>
      </c>
      <c r="GKM1" s="286" t="s">
        <v>7542</v>
      </c>
      <c r="GKN1" s="286" t="s">
        <v>7543</v>
      </c>
      <c r="GKO1" s="286" t="s">
        <v>7544</v>
      </c>
      <c r="GKP1" s="286" t="s">
        <v>7545</v>
      </c>
      <c r="GKQ1" s="286" t="s">
        <v>7546</v>
      </c>
      <c r="GKR1" s="286" t="s">
        <v>7547</v>
      </c>
      <c r="GKS1" s="286" t="s">
        <v>7548</v>
      </c>
      <c r="GKT1" s="286" t="s">
        <v>7549</v>
      </c>
      <c r="GKU1" s="286" t="s">
        <v>7550</v>
      </c>
      <c r="GKV1" s="286" t="s">
        <v>7551</v>
      </c>
      <c r="GKW1" s="286" t="s">
        <v>7552</v>
      </c>
      <c r="GKX1" s="286" t="s">
        <v>7553</v>
      </c>
      <c r="GKY1" s="286" t="s">
        <v>7554</v>
      </c>
      <c r="GKZ1" s="286" t="s">
        <v>7555</v>
      </c>
      <c r="GLA1" s="286" t="s">
        <v>7556</v>
      </c>
      <c r="GLB1" s="286" t="s">
        <v>7557</v>
      </c>
      <c r="GLC1" s="286" t="s">
        <v>7558</v>
      </c>
      <c r="GLD1" s="286" t="s">
        <v>7559</v>
      </c>
      <c r="GLE1" s="286" t="s">
        <v>7560</v>
      </c>
      <c r="GLF1" s="286" t="s">
        <v>7561</v>
      </c>
      <c r="GLG1" s="286" t="s">
        <v>7562</v>
      </c>
      <c r="GLH1" s="286" t="s">
        <v>7563</v>
      </c>
      <c r="GLI1" s="286" t="s">
        <v>7564</v>
      </c>
      <c r="GLJ1" s="286" t="s">
        <v>7565</v>
      </c>
      <c r="GLK1" s="286" t="s">
        <v>7566</v>
      </c>
      <c r="GLL1" s="286" t="s">
        <v>7567</v>
      </c>
      <c r="GLM1" s="286" t="s">
        <v>7568</v>
      </c>
      <c r="GLN1" s="286" t="s">
        <v>7569</v>
      </c>
      <c r="GLO1" s="286" t="s">
        <v>7570</v>
      </c>
      <c r="GLP1" s="286" t="s">
        <v>7571</v>
      </c>
      <c r="GLQ1" s="286" t="s">
        <v>7572</v>
      </c>
      <c r="GLR1" s="286" t="s">
        <v>7573</v>
      </c>
      <c r="GLS1" s="286" t="s">
        <v>7574</v>
      </c>
      <c r="GLT1" s="286" t="s">
        <v>7575</v>
      </c>
      <c r="GLU1" s="286" t="s">
        <v>7576</v>
      </c>
      <c r="GLV1" s="286" t="s">
        <v>7577</v>
      </c>
      <c r="GLW1" s="286" t="s">
        <v>7578</v>
      </c>
      <c r="GLX1" s="286" t="s">
        <v>7579</v>
      </c>
      <c r="GLY1" s="286" t="s">
        <v>7580</v>
      </c>
      <c r="GLZ1" s="286" t="s">
        <v>7581</v>
      </c>
      <c r="GMA1" s="286" t="s">
        <v>7582</v>
      </c>
      <c r="GMB1" s="286" t="s">
        <v>7583</v>
      </c>
      <c r="GMC1" s="286" t="s">
        <v>7584</v>
      </c>
      <c r="GMD1" s="286" t="s">
        <v>7585</v>
      </c>
      <c r="GME1" s="286" t="s">
        <v>7586</v>
      </c>
      <c r="GMF1" s="286" t="s">
        <v>7587</v>
      </c>
      <c r="GMG1" s="286" t="s">
        <v>7588</v>
      </c>
      <c r="GMH1" s="286" t="s">
        <v>7589</v>
      </c>
      <c r="GMI1" s="286" t="s">
        <v>7590</v>
      </c>
      <c r="GMJ1" s="286" t="s">
        <v>7591</v>
      </c>
      <c r="GMK1" s="286" t="s">
        <v>7592</v>
      </c>
      <c r="GML1" s="286" t="s">
        <v>7593</v>
      </c>
      <c r="GMM1" s="286" t="s">
        <v>7594</v>
      </c>
      <c r="GMN1" s="286" t="s">
        <v>7595</v>
      </c>
      <c r="GMO1" s="286" t="s">
        <v>7596</v>
      </c>
      <c r="GMP1" s="286" t="s">
        <v>7597</v>
      </c>
      <c r="GMQ1" s="286" t="s">
        <v>7598</v>
      </c>
      <c r="GMR1" s="286" t="s">
        <v>7599</v>
      </c>
      <c r="GMS1" s="286" t="s">
        <v>7600</v>
      </c>
      <c r="GMT1" s="286" t="s">
        <v>7601</v>
      </c>
      <c r="GMU1" s="286" t="s">
        <v>7602</v>
      </c>
      <c r="GMV1" s="286" t="s">
        <v>7603</v>
      </c>
      <c r="GMW1" s="286" t="s">
        <v>7604</v>
      </c>
      <c r="GMX1" s="286" t="s">
        <v>7605</v>
      </c>
      <c r="GMY1" s="286" t="s">
        <v>7606</v>
      </c>
      <c r="GMZ1" s="286" t="s">
        <v>7607</v>
      </c>
      <c r="GNA1" s="286" t="s">
        <v>7608</v>
      </c>
      <c r="GNB1" s="286" t="s">
        <v>7609</v>
      </c>
      <c r="GNC1" s="286" t="s">
        <v>7610</v>
      </c>
      <c r="GND1" s="286" t="s">
        <v>7611</v>
      </c>
      <c r="GNE1" s="286" t="s">
        <v>7612</v>
      </c>
      <c r="GNF1" s="286" t="s">
        <v>7613</v>
      </c>
      <c r="GNG1" s="286" t="s">
        <v>7614</v>
      </c>
      <c r="GNH1" s="286" t="s">
        <v>7615</v>
      </c>
      <c r="GNI1" s="286" t="s">
        <v>7616</v>
      </c>
      <c r="GNJ1" s="286" t="s">
        <v>7617</v>
      </c>
      <c r="GNK1" s="286" t="s">
        <v>7618</v>
      </c>
      <c r="GNL1" s="286" t="s">
        <v>7619</v>
      </c>
      <c r="GNM1" s="286" t="s">
        <v>7620</v>
      </c>
      <c r="GNN1" s="286" t="s">
        <v>7621</v>
      </c>
      <c r="GNO1" s="286" t="s">
        <v>7622</v>
      </c>
      <c r="GNP1" s="286" t="s">
        <v>7623</v>
      </c>
      <c r="GNQ1" s="286" t="s">
        <v>7624</v>
      </c>
      <c r="GNR1" s="286" t="s">
        <v>7625</v>
      </c>
      <c r="GNS1" s="286" t="s">
        <v>7626</v>
      </c>
      <c r="GNT1" s="286" t="s">
        <v>7627</v>
      </c>
      <c r="GNU1" s="286" t="s">
        <v>7628</v>
      </c>
      <c r="GNV1" s="286" t="s">
        <v>7629</v>
      </c>
      <c r="GNW1" s="286" t="s">
        <v>7630</v>
      </c>
      <c r="GNX1" s="286" t="s">
        <v>7631</v>
      </c>
      <c r="GNY1" s="286" t="s">
        <v>7632</v>
      </c>
      <c r="GNZ1" s="286" t="s">
        <v>7633</v>
      </c>
      <c r="GOA1" s="286" t="s">
        <v>7634</v>
      </c>
      <c r="GOB1" s="286" t="s">
        <v>7635</v>
      </c>
      <c r="GOC1" s="286" t="s">
        <v>7636</v>
      </c>
      <c r="GOD1" s="286" t="s">
        <v>7637</v>
      </c>
      <c r="GOE1" s="286" t="s">
        <v>7638</v>
      </c>
      <c r="GOF1" s="286" t="s">
        <v>7639</v>
      </c>
      <c r="GOG1" s="286" t="s">
        <v>7640</v>
      </c>
      <c r="GOH1" s="286" t="s">
        <v>7641</v>
      </c>
      <c r="GOI1" s="286" t="s">
        <v>7642</v>
      </c>
      <c r="GOJ1" s="286" t="s">
        <v>7643</v>
      </c>
      <c r="GOK1" s="286" t="s">
        <v>7644</v>
      </c>
      <c r="GOL1" s="286" t="s">
        <v>7645</v>
      </c>
      <c r="GOM1" s="286" t="s">
        <v>7646</v>
      </c>
      <c r="GON1" s="286" t="s">
        <v>7647</v>
      </c>
      <c r="GOO1" s="286" t="s">
        <v>7648</v>
      </c>
      <c r="GOP1" s="286" t="s">
        <v>7649</v>
      </c>
      <c r="GOQ1" s="286" t="s">
        <v>7650</v>
      </c>
      <c r="GOR1" s="286" t="s">
        <v>7651</v>
      </c>
      <c r="GOS1" s="286" t="s">
        <v>7652</v>
      </c>
      <c r="GOT1" s="286" t="s">
        <v>7653</v>
      </c>
      <c r="GOU1" s="286" t="s">
        <v>7654</v>
      </c>
      <c r="GOV1" s="286" t="s">
        <v>7655</v>
      </c>
      <c r="GOW1" s="286" t="s">
        <v>7656</v>
      </c>
      <c r="GOX1" s="286" t="s">
        <v>7657</v>
      </c>
      <c r="GOY1" s="286" t="s">
        <v>7658</v>
      </c>
      <c r="GOZ1" s="286" t="s">
        <v>7659</v>
      </c>
      <c r="GPA1" s="286" t="s">
        <v>7660</v>
      </c>
      <c r="GPB1" s="286" t="s">
        <v>7661</v>
      </c>
      <c r="GPC1" s="286" t="s">
        <v>7662</v>
      </c>
      <c r="GPD1" s="286" t="s">
        <v>7663</v>
      </c>
      <c r="GPE1" s="286" t="s">
        <v>7664</v>
      </c>
      <c r="GPF1" s="286" t="s">
        <v>7665</v>
      </c>
      <c r="GPG1" s="286" t="s">
        <v>7666</v>
      </c>
      <c r="GPH1" s="286" t="s">
        <v>7667</v>
      </c>
      <c r="GPI1" s="286" t="s">
        <v>7668</v>
      </c>
      <c r="GPJ1" s="286" t="s">
        <v>7669</v>
      </c>
      <c r="GPK1" s="286" t="s">
        <v>7670</v>
      </c>
      <c r="GPL1" s="286" t="s">
        <v>7671</v>
      </c>
      <c r="GPM1" s="286" t="s">
        <v>7672</v>
      </c>
      <c r="GPN1" s="286" t="s">
        <v>7673</v>
      </c>
      <c r="GPO1" s="286" t="s">
        <v>7674</v>
      </c>
      <c r="GPP1" s="286" t="s">
        <v>7675</v>
      </c>
      <c r="GPQ1" s="286" t="s">
        <v>7676</v>
      </c>
      <c r="GPR1" s="286" t="s">
        <v>7677</v>
      </c>
      <c r="GPS1" s="286" t="s">
        <v>7678</v>
      </c>
      <c r="GPT1" s="286" t="s">
        <v>7679</v>
      </c>
      <c r="GPU1" s="286" t="s">
        <v>7680</v>
      </c>
      <c r="GPV1" s="286" t="s">
        <v>7681</v>
      </c>
      <c r="GPW1" s="286" t="s">
        <v>7682</v>
      </c>
      <c r="GPX1" s="286" t="s">
        <v>7683</v>
      </c>
      <c r="GPY1" s="286" t="s">
        <v>7684</v>
      </c>
      <c r="GPZ1" s="286" t="s">
        <v>7685</v>
      </c>
      <c r="GQA1" s="286" t="s">
        <v>7686</v>
      </c>
      <c r="GQB1" s="286" t="s">
        <v>7687</v>
      </c>
      <c r="GQC1" s="286" t="s">
        <v>7688</v>
      </c>
      <c r="GQD1" s="286" t="s">
        <v>7689</v>
      </c>
      <c r="GQE1" s="286" t="s">
        <v>7690</v>
      </c>
      <c r="GQF1" s="286" t="s">
        <v>7691</v>
      </c>
      <c r="GQG1" s="286" t="s">
        <v>7692</v>
      </c>
      <c r="GQH1" s="286" t="s">
        <v>7693</v>
      </c>
      <c r="GQI1" s="286" t="s">
        <v>7694</v>
      </c>
      <c r="GQJ1" s="286" t="s">
        <v>7695</v>
      </c>
      <c r="GQK1" s="286" t="s">
        <v>7696</v>
      </c>
      <c r="GQL1" s="286" t="s">
        <v>7697</v>
      </c>
      <c r="GQM1" s="286" t="s">
        <v>7698</v>
      </c>
      <c r="GQN1" s="286" t="s">
        <v>7699</v>
      </c>
      <c r="GQO1" s="286" t="s">
        <v>7700</v>
      </c>
      <c r="GQP1" s="286" t="s">
        <v>7701</v>
      </c>
      <c r="GQQ1" s="286" t="s">
        <v>7702</v>
      </c>
      <c r="GQR1" s="286" t="s">
        <v>7703</v>
      </c>
      <c r="GQS1" s="286" t="s">
        <v>7704</v>
      </c>
      <c r="GQT1" s="286" t="s">
        <v>7705</v>
      </c>
      <c r="GQU1" s="286" t="s">
        <v>7706</v>
      </c>
      <c r="GQV1" s="286" t="s">
        <v>7707</v>
      </c>
      <c r="GQW1" s="286" t="s">
        <v>7708</v>
      </c>
      <c r="GQX1" s="286" t="s">
        <v>7709</v>
      </c>
      <c r="GQY1" s="286" t="s">
        <v>7710</v>
      </c>
      <c r="GQZ1" s="286" t="s">
        <v>7711</v>
      </c>
      <c r="GRA1" s="286" t="s">
        <v>7712</v>
      </c>
      <c r="GRB1" s="286" t="s">
        <v>7713</v>
      </c>
      <c r="GRC1" s="286" t="s">
        <v>7714</v>
      </c>
      <c r="GRD1" s="286" t="s">
        <v>7715</v>
      </c>
      <c r="GRE1" s="286" t="s">
        <v>7716</v>
      </c>
      <c r="GRF1" s="286" t="s">
        <v>7717</v>
      </c>
      <c r="GRG1" s="286" t="s">
        <v>7718</v>
      </c>
      <c r="GRH1" s="286" t="s">
        <v>7719</v>
      </c>
      <c r="GRI1" s="286" t="s">
        <v>7720</v>
      </c>
      <c r="GRJ1" s="286" t="s">
        <v>7721</v>
      </c>
      <c r="GRK1" s="286" t="s">
        <v>7722</v>
      </c>
      <c r="GRL1" s="286" t="s">
        <v>7723</v>
      </c>
      <c r="GRM1" s="286" t="s">
        <v>7724</v>
      </c>
      <c r="GRN1" s="286" t="s">
        <v>7725</v>
      </c>
      <c r="GRO1" s="286" t="s">
        <v>7726</v>
      </c>
      <c r="GRP1" s="286" t="s">
        <v>7727</v>
      </c>
      <c r="GRQ1" s="286" t="s">
        <v>7728</v>
      </c>
      <c r="GRR1" s="286" t="s">
        <v>7729</v>
      </c>
      <c r="GRS1" s="286" t="s">
        <v>7730</v>
      </c>
      <c r="GRT1" s="286" t="s">
        <v>7731</v>
      </c>
      <c r="GRU1" s="286" t="s">
        <v>7732</v>
      </c>
      <c r="GRV1" s="286" t="s">
        <v>7733</v>
      </c>
      <c r="GRW1" s="286" t="s">
        <v>7734</v>
      </c>
      <c r="GRX1" s="286" t="s">
        <v>7735</v>
      </c>
      <c r="GRY1" s="286" t="s">
        <v>7736</v>
      </c>
      <c r="GRZ1" s="286" t="s">
        <v>7737</v>
      </c>
      <c r="GSA1" s="286" t="s">
        <v>7738</v>
      </c>
      <c r="GSB1" s="286" t="s">
        <v>7739</v>
      </c>
      <c r="GSC1" s="286" t="s">
        <v>7740</v>
      </c>
      <c r="GSD1" s="286" t="s">
        <v>7741</v>
      </c>
      <c r="GSE1" s="286" t="s">
        <v>7742</v>
      </c>
      <c r="GSF1" s="286" t="s">
        <v>7743</v>
      </c>
      <c r="GSG1" s="286" t="s">
        <v>7744</v>
      </c>
      <c r="GSH1" s="286" t="s">
        <v>7745</v>
      </c>
      <c r="GSI1" s="286" t="s">
        <v>7746</v>
      </c>
      <c r="GSJ1" s="286" t="s">
        <v>7747</v>
      </c>
      <c r="GSK1" s="286" t="s">
        <v>7748</v>
      </c>
      <c r="GSL1" s="286" t="s">
        <v>7749</v>
      </c>
      <c r="GSM1" s="286" t="s">
        <v>7750</v>
      </c>
      <c r="GSN1" s="286" t="s">
        <v>7751</v>
      </c>
      <c r="GSO1" s="286" t="s">
        <v>7752</v>
      </c>
      <c r="GSP1" s="286" t="s">
        <v>7753</v>
      </c>
      <c r="GSQ1" s="286" t="s">
        <v>7754</v>
      </c>
      <c r="GSR1" s="286" t="s">
        <v>7755</v>
      </c>
      <c r="GSS1" s="286" t="s">
        <v>7756</v>
      </c>
      <c r="GST1" s="286" t="s">
        <v>7757</v>
      </c>
      <c r="GSU1" s="286" t="s">
        <v>7758</v>
      </c>
      <c r="GSV1" s="286" t="s">
        <v>7759</v>
      </c>
      <c r="GSW1" s="286" t="s">
        <v>7760</v>
      </c>
      <c r="GSX1" s="286" t="s">
        <v>7761</v>
      </c>
      <c r="GSY1" s="286" t="s">
        <v>7762</v>
      </c>
      <c r="GSZ1" s="286" t="s">
        <v>7763</v>
      </c>
      <c r="GTA1" s="286" t="s">
        <v>7764</v>
      </c>
      <c r="GTB1" s="286" t="s">
        <v>7765</v>
      </c>
      <c r="GTC1" s="286" t="s">
        <v>7766</v>
      </c>
      <c r="GTD1" s="286" t="s">
        <v>7767</v>
      </c>
      <c r="GTE1" s="286" t="s">
        <v>7768</v>
      </c>
      <c r="GTF1" s="286" t="s">
        <v>7769</v>
      </c>
      <c r="GTG1" s="286" t="s">
        <v>7770</v>
      </c>
      <c r="GTH1" s="286" t="s">
        <v>7771</v>
      </c>
      <c r="GTI1" s="286" t="s">
        <v>7772</v>
      </c>
      <c r="GTJ1" s="286" t="s">
        <v>7773</v>
      </c>
      <c r="GTK1" s="286" t="s">
        <v>7774</v>
      </c>
      <c r="GTL1" s="286" t="s">
        <v>7775</v>
      </c>
      <c r="GTM1" s="286" t="s">
        <v>7776</v>
      </c>
      <c r="GTN1" s="286" t="s">
        <v>7777</v>
      </c>
      <c r="GTO1" s="286" t="s">
        <v>7778</v>
      </c>
      <c r="GTP1" s="286" t="s">
        <v>7779</v>
      </c>
      <c r="GTQ1" s="286" t="s">
        <v>7780</v>
      </c>
      <c r="GTR1" s="286" t="s">
        <v>7781</v>
      </c>
      <c r="GTS1" s="286" t="s">
        <v>7782</v>
      </c>
      <c r="GTT1" s="286" t="s">
        <v>7783</v>
      </c>
      <c r="GTU1" s="286" t="s">
        <v>7784</v>
      </c>
      <c r="GTV1" s="286" t="s">
        <v>7785</v>
      </c>
      <c r="GTW1" s="286" t="s">
        <v>7786</v>
      </c>
      <c r="GTX1" s="286" t="s">
        <v>7787</v>
      </c>
      <c r="GTY1" s="286" t="s">
        <v>7788</v>
      </c>
      <c r="GTZ1" s="286" t="s">
        <v>7789</v>
      </c>
      <c r="GUA1" s="286" t="s">
        <v>7790</v>
      </c>
      <c r="GUB1" s="286" t="s">
        <v>7791</v>
      </c>
      <c r="GUC1" s="286" t="s">
        <v>7792</v>
      </c>
      <c r="GUD1" s="286" t="s">
        <v>7793</v>
      </c>
      <c r="GUE1" s="286" t="s">
        <v>7794</v>
      </c>
      <c r="GUF1" s="286" t="s">
        <v>7795</v>
      </c>
      <c r="GUG1" s="286" t="s">
        <v>7796</v>
      </c>
      <c r="GUH1" s="286" t="s">
        <v>7797</v>
      </c>
      <c r="GUI1" s="286" t="s">
        <v>7798</v>
      </c>
      <c r="GUJ1" s="286" t="s">
        <v>7799</v>
      </c>
      <c r="GUK1" s="286" t="s">
        <v>7800</v>
      </c>
      <c r="GUL1" s="286" t="s">
        <v>7801</v>
      </c>
      <c r="GUM1" s="286" t="s">
        <v>7802</v>
      </c>
      <c r="GUN1" s="286" t="s">
        <v>7803</v>
      </c>
      <c r="GUO1" s="286" t="s">
        <v>7804</v>
      </c>
      <c r="GUP1" s="286" t="s">
        <v>7805</v>
      </c>
      <c r="GUQ1" s="286" t="s">
        <v>7806</v>
      </c>
      <c r="GUR1" s="286" t="s">
        <v>7807</v>
      </c>
      <c r="GUS1" s="286" t="s">
        <v>7808</v>
      </c>
      <c r="GUT1" s="286" t="s">
        <v>7809</v>
      </c>
      <c r="GUU1" s="286" t="s">
        <v>7810</v>
      </c>
      <c r="GUV1" s="286" t="s">
        <v>7811</v>
      </c>
      <c r="GUW1" s="286" t="s">
        <v>7812</v>
      </c>
      <c r="GUX1" s="286" t="s">
        <v>7813</v>
      </c>
      <c r="GUY1" s="286" t="s">
        <v>7814</v>
      </c>
      <c r="GUZ1" s="286" t="s">
        <v>7815</v>
      </c>
      <c r="GVA1" s="286" t="s">
        <v>7816</v>
      </c>
      <c r="GVB1" s="286" t="s">
        <v>7817</v>
      </c>
      <c r="GVC1" s="286" t="s">
        <v>7818</v>
      </c>
      <c r="GVD1" s="286" t="s">
        <v>7819</v>
      </c>
      <c r="GVE1" s="286" t="s">
        <v>7820</v>
      </c>
      <c r="GVF1" s="286" t="s">
        <v>7821</v>
      </c>
      <c r="GVG1" s="286" t="s">
        <v>7822</v>
      </c>
      <c r="GVH1" s="286" t="s">
        <v>7823</v>
      </c>
      <c r="GVI1" s="286" t="s">
        <v>7824</v>
      </c>
      <c r="GVJ1" s="286" t="s">
        <v>7825</v>
      </c>
      <c r="GVK1" s="286" t="s">
        <v>7826</v>
      </c>
      <c r="GVL1" s="286" t="s">
        <v>7827</v>
      </c>
      <c r="GVM1" s="286" t="s">
        <v>7828</v>
      </c>
      <c r="GVN1" s="286" t="s">
        <v>7829</v>
      </c>
      <c r="GVO1" s="286" t="s">
        <v>7830</v>
      </c>
      <c r="GVP1" s="286" t="s">
        <v>7831</v>
      </c>
      <c r="GVQ1" s="286" t="s">
        <v>7832</v>
      </c>
      <c r="GVR1" s="286" t="s">
        <v>7833</v>
      </c>
      <c r="GVS1" s="286" t="s">
        <v>7834</v>
      </c>
      <c r="GVT1" s="286" t="s">
        <v>7835</v>
      </c>
      <c r="GVU1" s="286" t="s">
        <v>7836</v>
      </c>
      <c r="GVV1" s="286" t="s">
        <v>7837</v>
      </c>
      <c r="GVW1" s="286" t="s">
        <v>7838</v>
      </c>
      <c r="GVX1" s="286" t="s">
        <v>7839</v>
      </c>
      <c r="GVY1" s="286" t="s">
        <v>7840</v>
      </c>
      <c r="GVZ1" s="286" t="s">
        <v>7841</v>
      </c>
      <c r="GWA1" s="286" t="s">
        <v>7842</v>
      </c>
      <c r="GWB1" s="286" t="s">
        <v>7843</v>
      </c>
      <c r="GWC1" s="286" t="s">
        <v>7844</v>
      </c>
      <c r="GWD1" s="286" t="s">
        <v>7845</v>
      </c>
      <c r="GWE1" s="286" t="s">
        <v>7846</v>
      </c>
      <c r="GWF1" s="286" t="s">
        <v>7847</v>
      </c>
      <c r="GWG1" s="286" t="s">
        <v>7848</v>
      </c>
      <c r="GWH1" s="286" t="s">
        <v>7849</v>
      </c>
      <c r="GWI1" s="286" t="s">
        <v>7850</v>
      </c>
      <c r="GWJ1" s="286" t="s">
        <v>7851</v>
      </c>
      <c r="GWK1" s="286" t="s">
        <v>7852</v>
      </c>
      <c r="GWL1" s="286" t="s">
        <v>7853</v>
      </c>
      <c r="GWM1" s="286" t="s">
        <v>7854</v>
      </c>
      <c r="GWN1" s="286" t="s">
        <v>7855</v>
      </c>
      <c r="GWO1" s="286" t="s">
        <v>7856</v>
      </c>
      <c r="GWP1" s="286" t="s">
        <v>7857</v>
      </c>
      <c r="GWQ1" s="286" t="s">
        <v>7858</v>
      </c>
      <c r="GWR1" s="286" t="s">
        <v>7859</v>
      </c>
      <c r="GWS1" s="286" t="s">
        <v>7860</v>
      </c>
      <c r="GWT1" s="286" t="s">
        <v>7861</v>
      </c>
      <c r="GWU1" s="286" t="s">
        <v>7862</v>
      </c>
      <c r="GWV1" s="286" t="s">
        <v>7863</v>
      </c>
      <c r="GWW1" s="286" t="s">
        <v>7864</v>
      </c>
      <c r="GWX1" s="286" t="s">
        <v>7865</v>
      </c>
      <c r="GWY1" s="286" t="s">
        <v>7866</v>
      </c>
      <c r="GWZ1" s="286" t="s">
        <v>7867</v>
      </c>
      <c r="GXA1" s="286" t="s">
        <v>7868</v>
      </c>
      <c r="GXB1" s="286" t="s">
        <v>7869</v>
      </c>
      <c r="GXC1" s="286" t="s">
        <v>7870</v>
      </c>
      <c r="GXD1" s="286" t="s">
        <v>7871</v>
      </c>
      <c r="GXE1" s="286" t="s">
        <v>7872</v>
      </c>
      <c r="GXF1" s="286" t="s">
        <v>7873</v>
      </c>
      <c r="GXG1" s="286" t="s">
        <v>7874</v>
      </c>
      <c r="GXH1" s="286" t="s">
        <v>7875</v>
      </c>
      <c r="GXI1" s="286" t="s">
        <v>7876</v>
      </c>
      <c r="GXJ1" s="286" t="s">
        <v>7877</v>
      </c>
      <c r="GXK1" s="286" t="s">
        <v>7878</v>
      </c>
      <c r="GXL1" s="286" t="s">
        <v>7879</v>
      </c>
      <c r="GXM1" s="286" t="s">
        <v>7880</v>
      </c>
      <c r="GXN1" s="286" t="s">
        <v>7881</v>
      </c>
      <c r="GXO1" s="286" t="s">
        <v>7882</v>
      </c>
      <c r="GXP1" s="286" t="s">
        <v>7883</v>
      </c>
      <c r="GXQ1" s="286" t="s">
        <v>7884</v>
      </c>
      <c r="GXR1" s="286" t="s">
        <v>7885</v>
      </c>
      <c r="GXS1" s="286" t="s">
        <v>7886</v>
      </c>
      <c r="GXT1" s="286" t="s">
        <v>7887</v>
      </c>
      <c r="GXU1" s="286" t="s">
        <v>7888</v>
      </c>
      <c r="GXV1" s="286" t="s">
        <v>7889</v>
      </c>
      <c r="GXW1" s="286" t="s">
        <v>7890</v>
      </c>
      <c r="GXX1" s="286" t="s">
        <v>7891</v>
      </c>
      <c r="GXY1" s="286" t="s">
        <v>7892</v>
      </c>
      <c r="GXZ1" s="286" t="s">
        <v>7893</v>
      </c>
      <c r="GYA1" s="286" t="s">
        <v>7894</v>
      </c>
      <c r="GYB1" s="286" t="s">
        <v>7895</v>
      </c>
      <c r="GYC1" s="286" t="s">
        <v>7896</v>
      </c>
      <c r="GYD1" s="286" t="s">
        <v>7897</v>
      </c>
      <c r="GYE1" s="286" t="s">
        <v>7898</v>
      </c>
      <c r="GYF1" s="286" t="s">
        <v>7899</v>
      </c>
      <c r="GYG1" s="286" t="s">
        <v>7900</v>
      </c>
      <c r="GYH1" s="286" t="s">
        <v>7901</v>
      </c>
      <c r="GYI1" s="286" t="s">
        <v>7902</v>
      </c>
      <c r="GYJ1" s="286" t="s">
        <v>7903</v>
      </c>
      <c r="GYK1" s="286" t="s">
        <v>7904</v>
      </c>
      <c r="GYL1" s="286" t="s">
        <v>7905</v>
      </c>
      <c r="GYM1" s="286" t="s">
        <v>7906</v>
      </c>
      <c r="GYN1" s="286" t="s">
        <v>7907</v>
      </c>
      <c r="GYO1" s="286" t="s">
        <v>7908</v>
      </c>
      <c r="GYP1" s="286" t="s">
        <v>7909</v>
      </c>
      <c r="GYQ1" s="286" t="s">
        <v>7910</v>
      </c>
      <c r="GYR1" s="286" t="s">
        <v>7911</v>
      </c>
      <c r="GYS1" s="286" t="s">
        <v>7912</v>
      </c>
      <c r="GYT1" s="286" t="s">
        <v>7913</v>
      </c>
      <c r="GYU1" s="286" t="s">
        <v>7914</v>
      </c>
      <c r="GYV1" s="286" t="s">
        <v>7915</v>
      </c>
      <c r="GYW1" s="286" t="s">
        <v>7916</v>
      </c>
      <c r="GYX1" s="286" t="s">
        <v>7917</v>
      </c>
      <c r="GYY1" s="286" t="s">
        <v>7918</v>
      </c>
      <c r="GYZ1" s="286" t="s">
        <v>7919</v>
      </c>
      <c r="GZA1" s="286" t="s">
        <v>7920</v>
      </c>
      <c r="GZB1" s="286" t="s">
        <v>7921</v>
      </c>
      <c r="GZC1" s="286" t="s">
        <v>7922</v>
      </c>
      <c r="GZD1" s="286" t="s">
        <v>7923</v>
      </c>
      <c r="GZE1" s="286" t="s">
        <v>7924</v>
      </c>
      <c r="GZF1" s="286" t="s">
        <v>7925</v>
      </c>
      <c r="GZG1" s="286" t="s">
        <v>7926</v>
      </c>
      <c r="GZH1" s="286" t="s">
        <v>7927</v>
      </c>
      <c r="GZI1" s="286" t="s">
        <v>7928</v>
      </c>
      <c r="GZJ1" s="286" t="s">
        <v>7929</v>
      </c>
      <c r="GZK1" s="286" t="s">
        <v>7930</v>
      </c>
      <c r="GZL1" s="286" t="s">
        <v>7931</v>
      </c>
      <c r="GZM1" s="286" t="s">
        <v>7932</v>
      </c>
      <c r="GZN1" s="286" t="s">
        <v>7933</v>
      </c>
      <c r="GZO1" s="286" t="s">
        <v>7934</v>
      </c>
      <c r="GZP1" s="286" t="s">
        <v>7935</v>
      </c>
      <c r="GZQ1" s="286" t="s">
        <v>7936</v>
      </c>
      <c r="GZR1" s="286" t="s">
        <v>7937</v>
      </c>
      <c r="GZS1" s="286" t="s">
        <v>7938</v>
      </c>
      <c r="GZT1" s="286" t="s">
        <v>7939</v>
      </c>
      <c r="GZU1" s="286" t="s">
        <v>7940</v>
      </c>
      <c r="GZV1" s="286" t="s">
        <v>7941</v>
      </c>
      <c r="GZW1" s="286" t="s">
        <v>7942</v>
      </c>
      <c r="GZX1" s="286" t="s">
        <v>7943</v>
      </c>
      <c r="GZY1" s="286" t="s">
        <v>7944</v>
      </c>
      <c r="GZZ1" s="286" t="s">
        <v>7945</v>
      </c>
      <c r="HAA1" s="286" t="s">
        <v>7946</v>
      </c>
      <c r="HAB1" s="286" t="s">
        <v>7947</v>
      </c>
      <c r="HAC1" s="286" t="s">
        <v>7948</v>
      </c>
      <c r="HAD1" s="286" t="s">
        <v>7949</v>
      </c>
      <c r="HAE1" s="286" t="s">
        <v>7950</v>
      </c>
      <c r="HAF1" s="286" t="s">
        <v>7951</v>
      </c>
      <c r="HAG1" s="286" t="s">
        <v>7952</v>
      </c>
      <c r="HAH1" s="286" t="s">
        <v>7953</v>
      </c>
      <c r="HAI1" s="286" t="s">
        <v>7954</v>
      </c>
      <c r="HAJ1" s="286" t="s">
        <v>7955</v>
      </c>
      <c r="HAK1" s="286" t="s">
        <v>7956</v>
      </c>
      <c r="HAL1" s="286" t="s">
        <v>7957</v>
      </c>
      <c r="HAM1" s="286" t="s">
        <v>7958</v>
      </c>
      <c r="HAN1" s="286" t="s">
        <v>7959</v>
      </c>
      <c r="HAO1" s="286" t="s">
        <v>7960</v>
      </c>
      <c r="HAP1" s="286" t="s">
        <v>7961</v>
      </c>
      <c r="HAQ1" s="286" t="s">
        <v>7962</v>
      </c>
      <c r="HAR1" s="286" t="s">
        <v>7963</v>
      </c>
      <c r="HAS1" s="286" t="s">
        <v>7964</v>
      </c>
      <c r="HAT1" s="286" t="s">
        <v>7965</v>
      </c>
      <c r="HAU1" s="286" t="s">
        <v>7966</v>
      </c>
      <c r="HAV1" s="286" t="s">
        <v>7967</v>
      </c>
      <c r="HAW1" s="286" t="s">
        <v>7968</v>
      </c>
      <c r="HAX1" s="286" t="s">
        <v>7969</v>
      </c>
      <c r="HAY1" s="286" t="s">
        <v>7970</v>
      </c>
      <c r="HAZ1" s="286" t="s">
        <v>7971</v>
      </c>
      <c r="HBA1" s="286" t="s">
        <v>7972</v>
      </c>
      <c r="HBB1" s="286" t="s">
        <v>7973</v>
      </c>
      <c r="HBC1" s="286" t="s">
        <v>7974</v>
      </c>
      <c r="HBD1" s="286" t="s">
        <v>7975</v>
      </c>
      <c r="HBE1" s="286" t="s">
        <v>7976</v>
      </c>
      <c r="HBF1" s="286" t="s">
        <v>7977</v>
      </c>
      <c r="HBG1" s="286" t="s">
        <v>7978</v>
      </c>
      <c r="HBH1" s="286" t="s">
        <v>7979</v>
      </c>
      <c r="HBI1" s="286" t="s">
        <v>7980</v>
      </c>
      <c r="HBJ1" s="286" t="s">
        <v>7981</v>
      </c>
      <c r="HBK1" s="286" t="s">
        <v>7982</v>
      </c>
      <c r="HBL1" s="286" t="s">
        <v>7983</v>
      </c>
      <c r="HBM1" s="286" t="s">
        <v>7984</v>
      </c>
      <c r="HBN1" s="286" t="s">
        <v>7985</v>
      </c>
      <c r="HBO1" s="286" t="s">
        <v>7986</v>
      </c>
      <c r="HBP1" s="286" t="s">
        <v>7987</v>
      </c>
      <c r="HBQ1" s="286" t="s">
        <v>7988</v>
      </c>
      <c r="HBR1" s="286" t="s">
        <v>7989</v>
      </c>
      <c r="HBS1" s="286" t="s">
        <v>7990</v>
      </c>
      <c r="HBT1" s="286" t="s">
        <v>7991</v>
      </c>
      <c r="HBU1" s="286" t="s">
        <v>7992</v>
      </c>
      <c r="HBV1" s="286" t="s">
        <v>7993</v>
      </c>
      <c r="HBW1" s="286" t="s">
        <v>7994</v>
      </c>
      <c r="HBX1" s="286" t="s">
        <v>7995</v>
      </c>
      <c r="HBY1" s="286" t="s">
        <v>7996</v>
      </c>
      <c r="HBZ1" s="286" t="s">
        <v>7997</v>
      </c>
      <c r="HCA1" s="286" t="s">
        <v>7998</v>
      </c>
      <c r="HCB1" s="286" t="s">
        <v>7999</v>
      </c>
      <c r="HCC1" s="286" t="s">
        <v>8000</v>
      </c>
      <c r="HCD1" s="286" t="s">
        <v>8001</v>
      </c>
      <c r="HCE1" s="286" t="s">
        <v>8002</v>
      </c>
      <c r="HCF1" s="286" t="s">
        <v>8003</v>
      </c>
      <c r="HCG1" s="286" t="s">
        <v>8004</v>
      </c>
      <c r="HCH1" s="286" t="s">
        <v>8005</v>
      </c>
      <c r="HCI1" s="286" t="s">
        <v>8006</v>
      </c>
      <c r="HCJ1" s="286" t="s">
        <v>8007</v>
      </c>
      <c r="HCK1" s="286" t="s">
        <v>8008</v>
      </c>
      <c r="HCL1" s="286" t="s">
        <v>8009</v>
      </c>
      <c r="HCM1" s="286" t="s">
        <v>8010</v>
      </c>
      <c r="HCN1" s="286" t="s">
        <v>8011</v>
      </c>
      <c r="HCO1" s="286" t="s">
        <v>8012</v>
      </c>
      <c r="HCP1" s="286" t="s">
        <v>8013</v>
      </c>
      <c r="HCQ1" s="286" t="s">
        <v>8014</v>
      </c>
      <c r="HCR1" s="286" t="s">
        <v>8015</v>
      </c>
      <c r="HCS1" s="286" t="s">
        <v>8016</v>
      </c>
      <c r="HCT1" s="286" t="s">
        <v>8017</v>
      </c>
      <c r="HCU1" s="286" t="s">
        <v>8018</v>
      </c>
      <c r="HCV1" s="286" t="s">
        <v>8019</v>
      </c>
      <c r="HCW1" s="286" t="s">
        <v>8020</v>
      </c>
      <c r="HCX1" s="286" t="s">
        <v>8021</v>
      </c>
      <c r="HCY1" s="286" t="s">
        <v>8022</v>
      </c>
      <c r="HCZ1" s="286" t="s">
        <v>8023</v>
      </c>
      <c r="HDA1" s="286" t="s">
        <v>8024</v>
      </c>
      <c r="HDB1" s="286" t="s">
        <v>8025</v>
      </c>
      <c r="HDC1" s="286" t="s">
        <v>8026</v>
      </c>
      <c r="HDD1" s="286" t="s">
        <v>8027</v>
      </c>
      <c r="HDE1" s="286" t="s">
        <v>8028</v>
      </c>
      <c r="HDF1" s="286" t="s">
        <v>8029</v>
      </c>
      <c r="HDG1" s="286" t="s">
        <v>8030</v>
      </c>
      <c r="HDH1" s="286" t="s">
        <v>8031</v>
      </c>
      <c r="HDI1" s="286" t="s">
        <v>8032</v>
      </c>
      <c r="HDJ1" s="286" t="s">
        <v>8033</v>
      </c>
      <c r="HDK1" s="286" t="s">
        <v>8034</v>
      </c>
      <c r="HDL1" s="286" t="s">
        <v>8035</v>
      </c>
      <c r="HDM1" s="286" t="s">
        <v>8036</v>
      </c>
      <c r="HDN1" s="286" t="s">
        <v>8037</v>
      </c>
      <c r="HDO1" s="286" t="s">
        <v>8038</v>
      </c>
      <c r="HDP1" s="286" t="s">
        <v>8039</v>
      </c>
      <c r="HDQ1" s="286" t="s">
        <v>8040</v>
      </c>
      <c r="HDR1" s="286" t="s">
        <v>8041</v>
      </c>
      <c r="HDS1" s="286" t="s">
        <v>8042</v>
      </c>
      <c r="HDT1" s="286" t="s">
        <v>8043</v>
      </c>
      <c r="HDU1" s="286" t="s">
        <v>8044</v>
      </c>
      <c r="HDV1" s="286" t="s">
        <v>8045</v>
      </c>
      <c r="HDW1" s="286" t="s">
        <v>8046</v>
      </c>
      <c r="HDX1" s="286" t="s">
        <v>8047</v>
      </c>
      <c r="HDY1" s="286" t="s">
        <v>8048</v>
      </c>
      <c r="HDZ1" s="286" t="s">
        <v>8049</v>
      </c>
      <c r="HEA1" s="286" t="s">
        <v>8050</v>
      </c>
      <c r="HEB1" s="286" t="s">
        <v>8051</v>
      </c>
      <c r="HEC1" s="286" t="s">
        <v>8052</v>
      </c>
      <c r="HED1" s="286" t="s">
        <v>8053</v>
      </c>
      <c r="HEE1" s="286" t="s">
        <v>8054</v>
      </c>
      <c r="HEF1" s="286" t="s">
        <v>8055</v>
      </c>
      <c r="HEG1" s="286" t="s">
        <v>8056</v>
      </c>
      <c r="HEH1" s="286" t="s">
        <v>8057</v>
      </c>
      <c r="HEI1" s="286" t="s">
        <v>8058</v>
      </c>
      <c r="HEJ1" s="286" t="s">
        <v>8059</v>
      </c>
      <c r="HEK1" s="286" t="s">
        <v>8060</v>
      </c>
      <c r="HEL1" s="286" t="s">
        <v>8061</v>
      </c>
      <c r="HEM1" s="286" t="s">
        <v>8062</v>
      </c>
      <c r="HEN1" s="286" t="s">
        <v>8063</v>
      </c>
      <c r="HEO1" s="286" t="s">
        <v>8064</v>
      </c>
      <c r="HEP1" s="286" t="s">
        <v>8065</v>
      </c>
      <c r="HEQ1" s="286" t="s">
        <v>8066</v>
      </c>
      <c r="HER1" s="286" t="s">
        <v>8067</v>
      </c>
      <c r="HES1" s="286" t="s">
        <v>8068</v>
      </c>
      <c r="HET1" s="286" t="s">
        <v>8069</v>
      </c>
      <c r="HEU1" s="286" t="s">
        <v>8070</v>
      </c>
      <c r="HEV1" s="286" t="s">
        <v>8071</v>
      </c>
      <c r="HEW1" s="286" t="s">
        <v>8072</v>
      </c>
      <c r="HEX1" s="286" t="s">
        <v>8073</v>
      </c>
      <c r="HEY1" s="286" t="s">
        <v>8074</v>
      </c>
      <c r="HEZ1" s="286" t="s">
        <v>8075</v>
      </c>
      <c r="HFA1" s="286" t="s">
        <v>8076</v>
      </c>
      <c r="HFB1" s="286" t="s">
        <v>8077</v>
      </c>
      <c r="HFC1" s="286" t="s">
        <v>8078</v>
      </c>
      <c r="HFD1" s="286" t="s">
        <v>8079</v>
      </c>
      <c r="HFE1" s="286" t="s">
        <v>8080</v>
      </c>
      <c r="HFF1" s="286" t="s">
        <v>8081</v>
      </c>
      <c r="HFG1" s="286" t="s">
        <v>8082</v>
      </c>
      <c r="HFH1" s="286" t="s">
        <v>8083</v>
      </c>
      <c r="HFI1" s="286" t="s">
        <v>8084</v>
      </c>
      <c r="HFJ1" s="286" t="s">
        <v>8085</v>
      </c>
      <c r="HFK1" s="286" t="s">
        <v>8086</v>
      </c>
      <c r="HFL1" s="286" t="s">
        <v>8087</v>
      </c>
      <c r="HFM1" s="286" t="s">
        <v>8088</v>
      </c>
      <c r="HFN1" s="286" t="s">
        <v>8089</v>
      </c>
      <c r="HFO1" s="286" t="s">
        <v>8090</v>
      </c>
      <c r="HFP1" s="286" t="s">
        <v>8091</v>
      </c>
      <c r="HFQ1" s="286" t="s">
        <v>8092</v>
      </c>
      <c r="HFR1" s="286" t="s">
        <v>8093</v>
      </c>
      <c r="HFS1" s="286" t="s">
        <v>8094</v>
      </c>
      <c r="HFT1" s="286" t="s">
        <v>8095</v>
      </c>
      <c r="HFU1" s="286" t="s">
        <v>8096</v>
      </c>
      <c r="HFV1" s="286" t="s">
        <v>8097</v>
      </c>
      <c r="HFW1" s="286" t="s">
        <v>8098</v>
      </c>
      <c r="HFX1" s="286" t="s">
        <v>8099</v>
      </c>
      <c r="HFY1" s="286" t="s">
        <v>8100</v>
      </c>
      <c r="HFZ1" s="286" t="s">
        <v>8101</v>
      </c>
      <c r="HGA1" s="286" t="s">
        <v>8102</v>
      </c>
      <c r="HGB1" s="286" t="s">
        <v>8103</v>
      </c>
      <c r="HGC1" s="286" t="s">
        <v>8104</v>
      </c>
      <c r="HGD1" s="286" t="s">
        <v>8105</v>
      </c>
      <c r="HGE1" s="286" t="s">
        <v>8106</v>
      </c>
      <c r="HGF1" s="286" t="s">
        <v>8107</v>
      </c>
      <c r="HGG1" s="286" t="s">
        <v>8108</v>
      </c>
      <c r="HGH1" s="286" t="s">
        <v>8109</v>
      </c>
      <c r="HGI1" s="286" t="s">
        <v>8110</v>
      </c>
      <c r="HGJ1" s="286" t="s">
        <v>8111</v>
      </c>
      <c r="HGK1" s="286" t="s">
        <v>8112</v>
      </c>
      <c r="HGL1" s="286" t="s">
        <v>8113</v>
      </c>
      <c r="HGM1" s="286" t="s">
        <v>8114</v>
      </c>
      <c r="HGN1" s="286" t="s">
        <v>8115</v>
      </c>
      <c r="HGO1" s="286" t="s">
        <v>8116</v>
      </c>
      <c r="HGP1" s="286" t="s">
        <v>8117</v>
      </c>
      <c r="HGQ1" s="286" t="s">
        <v>8118</v>
      </c>
      <c r="HGR1" s="286" t="s">
        <v>8119</v>
      </c>
      <c r="HGS1" s="286" t="s">
        <v>8120</v>
      </c>
      <c r="HGT1" s="286" t="s">
        <v>8121</v>
      </c>
      <c r="HGU1" s="286" t="s">
        <v>8122</v>
      </c>
      <c r="HGV1" s="286" t="s">
        <v>8123</v>
      </c>
      <c r="HGW1" s="286" t="s">
        <v>8124</v>
      </c>
      <c r="HGX1" s="286" t="s">
        <v>8125</v>
      </c>
      <c r="HGY1" s="286" t="s">
        <v>8126</v>
      </c>
      <c r="HGZ1" s="286" t="s">
        <v>8127</v>
      </c>
      <c r="HHA1" s="286" t="s">
        <v>8128</v>
      </c>
      <c r="HHB1" s="286" t="s">
        <v>8129</v>
      </c>
      <c r="HHC1" s="286" t="s">
        <v>8130</v>
      </c>
      <c r="HHD1" s="286" t="s">
        <v>8131</v>
      </c>
      <c r="HHE1" s="286" t="s">
        <v>8132</v>
      </c>
      <c r="HHF1" s="286" t="s">
        <v>8133</v>
      </c>
      <c r="HHG1" s="286" t="s">
        <v>8134</v>
      </c>
      <c r="HHH1" s="286" t="s">
        <v>8135</v>
      </c>
      <c r="HHI1" s="286" t="s">
        <v>8136</v>
      </c>
      <c r="HHJ1" s="286" t="s">
        <v>8137</v>
      </c>
      <c r="HHK1" s="286" t="s">
        <v>8138</v>
      </c>
      <c r="HHL1" s="286" t="s">
        <v>8139</v>
      </c>
      <c r="HHM1" s="286" t="s">
        <v>8140</v>
      </c>
      <c r="HHN1" s="286" t="s">
        <v>8141</v>
      </c>
      <c r="HHO1" s="286" t="s">
        <v>8142</v>
      </c>
      <c r="HHP1" s="286" t="s">
        <v>8143</v>
      </c>
      <c r="HHQ1" s="286" t="s">
        <v>8144</v>
      </c>
      <c r="HHR1" s="286" t="s">
        <v>8145</v>
      </c>
      <c r="HHS1" s="286" t="s">
        <v>8146</v>
      </c>
      <c r="HHT1" s="286" t="s">
        <v>8147</v>
      </c>
      <c r="HHU1" s="286" t="s">
        <v>8148</v>
      </c>
      <c r="HHV1" s="286" t="s">
        <v>8149</v>
      </c>
      <c r="HHW1" s="286" t="s">
        <v>8150</v>
      </c>
      <c r="HHX1" s="286" t="s">
        <v>8151</v>
      </c>
      <c r="HHY1" s="286" t="s">
        <v>8152</v>
      </c>
      <c r="HHZ1" s="286" t="s">
        <v>8153</v>
      </c>
      <c r="HIA1" s="286" t="s">
        <v>8154</v>
      </c>
      <c r="HIB1" s="286" t="s">
        <v>8155</v>
      </c>
      <c r="HIC1" s="286" t="s">
        <v>8156</v>
      </c>
      <c r="HID1" s="286" t="s">
        <v>8157</v>
      </c>
      <c r="HIE1" s="286" t="s">
        <v>8158</v>
      </c>
      <c r="HIF1" s="286" t="s">
        <v>8159</v>
      </c>
      <c r="HIG1" s="286" t="s">
        <v>8160</v>
      </c>
      <c r="HIH1" s="286" t="s">
        <v>8161</v>
      </c>
      <c r="HII1" s="286" t="s">
        <v>8162</v>
      </c>
      <c r="HIJ1" s="286" t="s">
        <v>8163</v>
      </c>
      <c r="HIK1" s="286" t="s">
        <v>8164</v>
      </c>
      <c r="HIL1" s="286" t="s">
        <v>8165</v>
      </c>
      <c r="HIM1" s="286" t="s">
        <v>8166</v>
      </c>
      <c r="HIN1" s="286" t="s">
        <v>8167</v>
      </c>
      <c r="HIO1" s="286" t="s">
        <v>8168</v>
      </c>
      <c r="HIP1" s="286" t="s">
        <v>8169</v>
      </c>
      <c r="HIQ1" s="286" t="s">
        <v>8170</v>
      </c>
      <c r="HIR1" s="286" t="s">
        <v>8171</v>
      </c>
      <c r="HIS1" s="286" t="s">
        <v>8172</v>
      </c>
      <c r="HIT1" s="286" t="s">
        <v>8173</v>
      </c>
      <c r="HIU1" s="286" t="s">
        <v>8174</v>
      </c>
      <c r="HIV1" s="286" t="s">
        <v>8175</v>
      </c>
      <c r="HIW1" s="286" t="s">
        <v>8176</v>
      </c>
      <c r="HIX1" s="286" t="s">
        <v>8177</v>
      </c>
      <c r="HIY1" s="286" t="s">
        <v>8178</v>
      </c>
      <c r="HIZ1" s="286" t="s">
        <v>8179</v>
      </c>
      <c r="HJA1" s="286" t="s">
        <v>8180</v>
      </c>
      <c r="HJB1" s="286" t="s">
        <v>8181</v>
      </c>
      <c r="HJC1" s="286" t="s">
        <v>8182</v>
      </c>
      <c r="HJD1" s="286" t="s">
        <v>8183</v>
      </c>
      <c r="HJE1" s="286" t="s">
        <v>8184</v>
      </c>
      <c r="HJF1" s="286" t="s">
        <v>8185</v>
      </c>
      <c r="HJG1" s="286" t="s">
        <v>8186</v>
      </c>
      <c r="HJH1" s="286" t="s">
        <v>8187</v>
      </c>
      <c r="HJI1" s="286" t="s">
        <v>8188</v>
      </c>
      <c r="HJJ1" s="286" t="s">
        <v>8189</v>
      </c>
      <c r="HJK1" s="286" t="s">
        <v>8190</v>
      </c>
      <c r="HJL1" s="286" t="s">
        <v>8191</v>
      </c>
      <c r="HJM1" s="286" t="s">
        <v>8192</v>
      </c>
      <c r="HJN1" s="286" t="s">
        <v>8193</v>
      </c>
      <c r="HJO1" s="286" t="s">
        <v>8194</v>
      </c>
      <c r="HJP1" s="286" t="s">
        <v>8195</v>
      </c>
      <c r="HJQ1" s="286" t="s">
        <v>8196</v>
      </c>
      <c r="HJR1" s="286" t="s">
        <v>8197</v>
      </c>
      <c r="HJS1" s="286" t="s">
        <v>8198</v>
      </c>
      <c r="HJT1" s="286" t="s">
        <v>8199</v>
      </c>
      <c r="HJU1" s="286" t="s">
        <v>8200</v>
      </c>
      <c r="HJV1" s="286" t="s">
        <v>8201</v>
      </c>
      <c r="HJW1" s="286" t="s">
        <v>8202</v>
      </c>
      <c r="HJX1" s="286" t="s">
        <v>8203</v>
      </c>
      <c r="HJY1" s="286" t="s">
        <v>8204</v>
      </c>
      <c r="HJZ1" s="286" t="s">
        <v>8205</v>
      </c>
      <c r="HKA1" s="286" t="s">
        <v>8206</v>
      </c>
      <c r="HKB1" s="286" t="s">
        <v>8207</v>
      </c>
      <c r="HKC1" s="286" t="s">
        <v>8208</v>
      </c>
      <c r="HKD1" s="286" t="s">
        <v>8209</v>
      </c>
      <c r="HKE1" s="286" t="s">
        <v>8210</v>
      </c>
      <c r="HKF1" s="286" t="s">
        <v>8211</v>
      </c>
      <c r="HKG1" s="286" t="s">
        <v>8212</v>
      </c>
      <c r="HKH1" s="286" t="s">
        <v>8213</v>
      </c>
      <c r="HKI1" s="286" t="s">
        <v>8214</v>
      </c>
      <c r="HKJ1" s="286" t="s">
        <v>8215</v>
      </c>
      <c r="HKK1" s="286" t="s">
        <v>8216</v>
      </c>
      <c r="HKL1" s="286" t="s">
        <v>8217</v>
      </c>
      <c r="HKM1" s="286" t="s">
        <v>8218</v>
      </c>
      <c r="HKN1" s="286" t="s">
        <v>8219</v>
      </c>
      <c r="HKO1" s="286" t="s">
        <v>8220</v>
      </c>
      <c r="HKP1" s="286" t="s">
        <v>8221</v>
      </c>
      <c r="HKQ1" s="286" t="s">
        <v>8222</v>
      </c>
      <c r="HKR1" s="286" t="s">
        <v>8223</v>
      </c>
      <c r="HKS1" s="286" t="s">
        <v>8224</v>
      </c>
      <c r="HKT1" s="286" t="s">
        <v>8225</v>
      </c>
      <c r="HKU1" s="286" t="s">
        <v>8226</v>
      </c>
      <c r="HKV1" s="286" t="s">
        <v>8227</v>
      </c>
      <c r="HKW1" s="286" t="s">
        <v>8228</v>
      </c>
      <c r="HKX1" s="286" t="s">
        <v>8229</v>
      </c>
      <c r="HKY1" s="286" t="s">
        <v>8230</v>
      </c>
      <c r="HKZ1" s="286" t="s">
        <v>8231</v>
      </c>
      <c r="HLA1" s="286" t="s">
        <v>8232</v>
      </c>
      <c r="HLB1" s="286" t="s">
        <v>8233</v>
      </c>
      <c r="HLC1" s="286" t="s">
        <v>8234</v>
      </c>
      <c r="HLD1" s="286" t="s">
        <v>8235</v>
      </c>
      <c r="HLE1" s="286" t="s">
        <v>8236</v>
      </c>
      <c r="HLF1" s="286" t="s">
        <v>8237</v>
      </c>
      <c r="HLG1" s="286" t="s">
        <v>8238</v>
      </c>
      <c r="HLH1" s="286" t="s">
        <v>8239</v>
      </c>
      <c r="HLI1" s="286" t="s">
        <v>8240</v>
      </c>
      <c r="HLJ1" s="286" t="s">
        <v>8241</v>
      </c>
      <c r="HLK1" s="286" t="s">
        <v>8242</v>
      </c>
      <c r="HLL1" s="286" t="s">
        <v>8243</v>
      </c>
      <c r="HLM1" s="286" t="s">
        <v>8244</v>
      </c>
      <c r="HLN1" s="286" t="s">
        <v>8245</v>
      </c>
      <c r="HLO1" s="286" t="s">
        <v>8246</v>
      </c>
      <c r="HLP1" s="286" t="s">
        <v>8247</v>
      </c>
      <c r="HLQ1" s="286" t="s">
        <v>8248</v>
      </c>
      <c r="HLR1" s="286" t="s">
        <v>8249</v>
      </c>
      <c r="HLS1" s="286" t="s">
        <v>8250</v>
      </c>
      <c r="HLT1" s="286" t="s">
        <v>8251</v>
      </c>
      <c r="HLU1" s="286" t="s">
        <v>8252</v>
      </c>
      <c r="HLV1" s="286" t="s">
        <v>8253</v>
      </c>
      <c r="HLW1" s="286" t="s">
        <v>8254</v>
      </c>
      <c r="HLX1" s="286" t="s">
        <v>8255</v>
      </c>
      <c r="HLY1" s="286" t="s">
        <v>8256</v>
      </c>
      <c r="HLZ1" s="286" t="s">
        <v>8257</v>
      </c>
      <c r="HMA1" s="286" t="s">
        <v>8258</v>
      </c>
      <c r="HMB1" s="286" t="s">
        <v>8259</v>
      </c>
      <c r="HMC1" s="286" t="s">
        <v>8260</v>
      </c>
      <c r="HMD1" s="286" t="s">
        <v>8261</v>
      </c>
      <c r="HME1" s="286" t="s">
        <v>8262</v>
      </c>
      <c r="HMF1" s="286" t="s">
        <v>8263</v>
      </c>
      <c r="HMG1" s="286" t="s">
        <v>8264</v>
      </c>
      <c r="HMH1" s="286" t="s">
        <v>8265</v>
      </c>
      <c r="HMI1" s="286" t="s">
        <v>8266</v>
      </c>
      <c r="HMJ1" s="286" t="s">
        <v>8267</v>
      </c>
      <c r="HMK1" s="286" t="s">
        <v>8268</v>
      </c>
      <c r="HML1" s="286" t="s">
        <v>8269</v>
      </c>
      <c r="HMM1" s="286" t="s">
        <v>8270</v>
      </c>
      <c r="HMN1" s="286" t="s">
        <v>8271</v>
      </c>
      <c r="HMO1" s="286" t="s">
        <v>8272</v>
      </c>
      <c r="HMP1" s="286" t="s">
        <v>8273</v>
      </c>
      <c r="HMQ1" s="286" t="s">
        <v>8274</v>
      </c>
      <c r="HMR1" s="286" t="s">
        <v>8275</v>
      </c>
      <c r="HMS1" s="286" t="s">
        <v>8276</v>
      </c>
      <c r="HMT1" s="286" t="s">
        <v>8277</v>
      </c>
      <c r="HMU1" s="286" t="s">
        <v>8278</v>
      </c>
      <c r="HMV1" s="286" t="s">
        <v>8279</v>
      </c>
      <c r="HMW1" s="286" t="s">
        <v>8280</v>
      </c>
      <c r="HMX1" s="286" t="s">
        <v>8281</v>
      </c>
      <c r="HMY1" s="286" t="s">
        <v>8282</v>
      </c>
      <c r="HMZ1" s="286" t="s">
        <v>8283</v>
      </c>
      <c r="HNA1" s="286" t="s">
        <v>8284</v>
      </c>
      <c r="HNB1" s="286" t="s">
        <v>8285</v>
      </c>
      <c r="HNC1" s="286" t="s">
        <v>8286</v>
      </c>
      <c r="HND1" s="286" t="s">
        <v>8287</v>
      </c>
      <c r="HNE1" s="286" t="s">
        <v>8288</v>
      </c>
      <c r="HNF1" s="286" t="s">
        <v>8289</v>
      </c>
      <c r="HNG1" s="286" t="s">
        <v>8290</v>
      </c>
      <c r="HNH1" s="286" t="s">
        <v>8291</v>
      </c>
      <c r="HNI1" s="286" t="s">
        <v>8292</v>
      </c>
      <c r="HNJ1" s="286" t="s">
        <v>8293</v>
      </c>
      <c r="HNK1" s="286" t="s">
        <v>8294</v>
      </c>
      <c r="HNL1" s="286" t="s">
        <v>8295</v>
      </c>
      <c r="HNM1" s="286" t="s">
        <v>8296</v>
      </c>
      <c r="HNN1" s="286" t="s">
        <v>8297</v>
      </c>
      <c r="HNO1" s="286" t="s">
        <v>8298</v>
      </c>
      <c r="HNP1" s="286" t="s">
        <v>8299</v>
      </c>
      <c r="HNQ1" s="286" t="s">
        <v>8300</v>
      </c>
      <c r="HNR1" s="286" t="s">
        <v>8301</v>
      </c>
      <c r="HNS1" s="286" t="s">
        <v>8302</v>
      </c>
      <c r="HNT1" s="286" t="s">
        <v>8303</v>
      </c>
      <c r="HNU1" s="286" t="s">
        <v>8304</v>
      </c>
      <c r="HNV1" s="286" t="s">
        <v>8305</v>
      </c>
      <c r="HNW1" s="286" t="s">
        <v>8306</v>
      </c>
      <c r="HNX1" s="286" t="s">
        <v>8307</v>
      </c>
      <c r="HNY1" s="286" t="s">
        <v>8308</v>
      </c>
      <c r="HNZ1" s="286" t="s">
        <v>8309</v>
      </c>
      <c r="HOA1" s="286" t="s">
        <v>8310</v>
      </c>
      <c r="HOB1" s="286" t="s">
        <v>8311</v>
      </c>
      <c r="HOC1" s="286" t="s">
        <v>8312</v>
      </c>
      <c r="HOD1" s="286" t="s">
        <v>8313</v>
      </c>
      <c r="HOE1" s="286" t="s">
        <v>8314</v>
      </c>
      <c r="HOF1" s="286" t="s">
        <v>8315</v>
      </c>
      <c r="HOG1" s="286" t="s">
        <v>8316</v>
      </c>
      <c r="HOH1" s="286" t="s">
        <v>8317</v>
      </c>
      <c r="HOI1" s="286" t="s">
        <v>8318</v>
      </c>
      <c r="HOJ1" s="286" t="s">
        <v>8319</v>
      </c>
      <c r="HOK1" s="286" t="s">
        <v>8320</v>
      </c>
      <c r="HOL1" s="286" t="s">
        <v>8321</v>
      </c>
      <c r="HOM1" s="286" t="s">
        <v>8322</v>
      </c>
      <c r="HON1" s="286" t="s">
        <v>8323</v>
      </c>
      <c r="HOO1" s="286" t="s">
        <v>8324</v>
      </c>
      <c r="HOP1" s="286" t="s">
        <v>8325</v>
      </c>
      <c r="HOQ1" s="286" t="s">
        <v>8326</v>
      </c>
      <c r="HOR1" s="286" t="s">
        <v>8327</v>
      </c>
      <c r="HOS1" s="286" t="s">
        <v>8328</v>
      </c>
      <c r="HOT1" s="286" t="s">
        <v>8329</v>
      </c>
      <c r="HOU1" s="286" t="s">
        <v>8330</v>
      </c>
      <c r="HOV1" s="286" t="s">
        <v>8331</v>
      </c>
      <c r="HOW1" s="286" t="s">
        <v>8332</v>
      </c>
      <c r="HOX1" s="286" t="s">
        <v>8333</v>
      </c>
      <c r="HOY1" s="286" t="s">
        <v>8334</v>
      </c>
      <c r="HOZ1" s="286" t="s">
        <v>8335</v>
      </c>
      <c r="HPA1" s="286" t="s">
        <v>8336</v>
      </c>
      <c r="HPB1" s="286" t="s">
        <v>8337</v>
      </c>
      <c r="HPC1" s="286" t="s">
        <v>8338</v>
      </c>
      <c r="HPD1" s="286" t="s">
        <v>8339</v>
      </c>
      <c r="HPE1" s="286" t="s">
        <v>8340</v>
      </c>
      <c r="HPF1" s="286" t="s">
        <v>8341</v>
      </c>
      <c r="HPG1" s="286" t="s">
        <v>8342</v>
      </c>
      <c r="HPH1" s="286" t="s">
        <v>8343</v>
      </c>
      <c r="HPI1" s="286" t="s">
        <v>8344</v>
      </c>
      <c r="HPJ1" s="286" t="s">
        <v>8345</v>
      </c>
      <c r="HPK1" s="286" t="s">
        <v>8346</v>
      </c>
      <c r="HPL1" s="286" t="s">
        <v>8347</v>
      </c>
      <c r="HPM1" s="286" t="s">
        <v>8348</v>
      </c>
      <c r="HPN1" s="286" t="s">
        <v>8349</v>
      </c>
      <c r="HPO1" s="286" t="s">
        <v>8350</v>
      </c>
      <c r="HPP1" s="286" t="s">
        <v>8351</v>
      </c>
      <c r="HPQ1" s="286" t="s">
        <v>8352</v>
      </c>
      <c r="HPR1" s="286" t="s">
        <v>8353</v>
      </c>
      <c r="HPS1" s="286" t="s">
        <v>8354</v>
      </c>
      <c r="HPT1" s="286" t="s">
        <v>8355</v>
      </c>
      <c r="HPU1" s="286" t="s">
        <v>8356</v>
      </c>
      <c r="HPV1" s="286" t="s">
        <v>8357</v>
      </c>
      <c r="HPW1" s="286" t="s">
        <v>8358</v>
      </c>
      <c r="HPX1" s="286" t="s">
        <v>8359</v>
      </c>
      <c r="HPY1" s="286" t="s">
        <v>8360</v>
      </c>
      <c r="HPZ1" s="286" t="s">
        <v>8361</v>
      </c>
      <c r="HQA1" s="286" t="s">
        <v>8362</v>
      </c>
      <c r="HQB1" s="286" t="s">
        <v>8363</v>
      </c>
      <c r="HQC1" s="286" t="s">
        <v>8364</v>
      </c>
      <c r="HQD1" s="286" t="s">
        <v>8365</v>
      </c>
      <c r="HQE1" s="286" t="s">
        <v>8366</v>
      </c>
      <c r="HQF1" s="286" t="s">
        <v>8367</v>
      </c>
      <c r="HQG1" s="286" t="s">
        <v>8368</v>
      </c>
      <c r="HQH1" s="286" t="s">
        <v>8369</v>
      </c>
      <c r="HQI1" s="286" t="s">
        <v>8370</v>
      </c>
      <c r="HQJ1" s="286" t="s">
        <v>8371</v>
      </c>
      <c r="HQK1" s="286" t="s">
        <v>8372</v>
      </c>
      <c r="HQL1" s="286" t="s">
        <v>8373</v>
      </c>
      <c r="HQM1" s="286" t="s">
        <v>8374</v>
      </c>
      <c r="HQN1" s="286" t="s">
        <v>8375</v>
      </c>
      <c r="HQO1" s="286" t="s">
        <v>8376</v>
      </c>
      <c r="HQP1" s="286" t="s">
        <v>8377</v>
      </c>
      <c r="HQQ1" s="286" t="s">
        <v>8378</v>
      </c>
      <c r="HQR1" s="286" t="s">
        <v>8379</v>
      </c>
      <c r="HQS1" s="286" t="s">
        <v>8380</v>
      </c>
      <c r="HQT1" s="286" t="s">
        <v>8381</v>
      </c>
      <c r="HQU1" s="286" t="s">
        <v>8382</v>
      </c>
      <c r="HQV1" s="286" t="s">
        <v>8383</v>
      </c>
      <c r="HQW1" s="286" t="s">
        <v>8384</v>
      </c>
      <c r="HQX1" s="286" t="s">
        <v>8385</v>
      </c>
      <c r="HQY1" s="286" t="s">
        <v>8386</v>
      </c>
      <c r="HQZ1" s="286" t="s">
        <v>8387</v>
      </c>
      <c r="HRA1" s="286" t="s">
        <v>8388</v>
      </c>
      <c r="HRB1" s="286" t="s">
        <v>8389</v>
      </c>
      <c r="HRC1" s="286" t="s">
        <v>8390</v>
      </c>
      <c r="HRD1" s="286" t="s">
        <v>8391</v>
      </c>
      <c r="HRE1" s="286" t="s">
        <v>8392</v>
      </c>
      <c r="HRF1" s="286" t="s">
        <v>8393</v>
      </c>
      <c r="HRG1" s="286" t="s">
        <v>8394</v>
      </c>
      <c r="HRH1" s="286" t="s">
        <v>8395</v>
      </c>
      <c r="HRI1" s="286" t="s">
        <v>8396</v>
      </c>
      <c r="HRJ1" s="286" t="s">
        <v>8397</v>
      </c>
      <c r="HRK1" s="286" t="s">
        <v>8398</v>
      </c>
      <c r="HRL1" s="286" t="s">
        <v>8399</v>
      </c>
      <c r="HRM1" s="286" t="s">
        <v>8400</v>
      </c>
      <c r="HRN1" s="286" t="s">
        <v>8401</v>
      </c>
      <c r="HRO1" s="286" t="s">
        <v>8402</v>
      </c>
      <c r="HRP1" s="286" t="s">
        <v>8403</v>
      </c>
      <c r="HRQ1" s="286" t="s">
        <v>8404</v>
      </c>
      <c r="HRR1" s="286" t="s">
        <v>8405</v>
      </c>
      <c r="HRS1" s="286" t="s">
        <v>8406</v>
      </c>
      <c r="HRT1" s="286" t="s">
        <v>8407</v>
      </c>
      <c r="HRU1" s="286" t="s">
        <v>8408</v>
      </c>
      <c r="HRV1" s="286" t="s">
        <v>8409</v>
      </c>
      <c r="HRW1" s="286" t="s">
        <v>8410</v>
      </c>
      <c r="HRX1" s="286" t="s">
        <v>8411</v>
      </c>
      <c r="HRY1" s="286" t="s">
        <v>8412</v>
      </c>
      <c r="HRZ1" s="286" t="s">
        <v>8413</v>
      </c>
      <c r="HSA1" s="286" t="s">
        <v>8414</v>
      </c>
      <c r="HSB1" s="286" t="s">
        <v>8415</v>
      </c>
      <c r="HSC1" s="286" t="s">
        <v>8416</v>
      </c>
      <c r="HSD1" s="286" t="s">
        <v>8417</v>
      </c>
      <c r="HSE1" s="286" t="s">
        <v>8418</v>
      </c>
      <c r="HSF1" s="286" t="s">
        <v>8419</v>
      </c>
      <c r="HSG1" s="286" t="s">
        <v>8420</v>
      </c>
      <c r="HSH1" s="286" t="s">
        <v>8421</v>
      </c>
      <c r="HSI1" s="286" t="s">
        <v>8422</v>
      </c>
      <c r="HSJ1" s="286" t="s">
        <v>8423</v>
      </c>
      <c r="HSK1" s="286" t="s">
        <v>8424</v>
      </c>
      <c r="HSL1" s="286" t="s">
        <v>8425</v>
      </c>
      <c r="HSM1" s="286" t="s">
        <v>8426</v>
      </c>
      <c r="HSN1" s="286" t="s">
        <v>8427</v>
      </c>
      <c r="HSO1" s="286" t="s">
        <v>8428</v>
      </c>
      <c r="HSP1" s="286" t="s">
        <v>8429</v>
      </c>
      <c r="HSQ1" s="286" t="s">
        <v>8430</v>
      </c>
      <c r="HSR1" s="286" t="s">
        <v>8431</v>
      </c>
      <c r="HSS1" s="286" t="s">
        <v>8432</v>
      </c>
      <c r="HST1" s="286" t="s">
        <v>8433</v>
      </c>
      <c r="HSU1" s="286" t="s">
        <v>8434</v>
      </c>
      <c r="HSV1" s="286" t="s">
        <v>8435</v>
      </c>
      <c r="HSW1" s="286" t="s">
        <v>8436</v>
      </c>
      <c r="HSX1" s="286" t="s">
        <v>8437</v>
      </c>
      <c r="HSY1" s="286" t="s">
        <v>8438</v>
      </c>
      <c r="HSZ1" s="286" t="s">
        <v>8439</v>
      </c>
      <c r="HTA1" s="286" t="s">
        <v>8440</v>
      </c>
      <c r="HTB1" s="286" t="s">
        <v>8441</v>
      </c>
      <c r="HTC1" s="286" t="s">
        <v>8442</v>
      </c>
      <c r="HTD1" s="286" t="s">
        <v>8443</v>
      </c>
      <c r="HTE1" s="286" t="s">
        <v>8444</v>
      </c>
      <c r="HTF1" s="286" t="s">
        <v>8445</v>
      </c>
      <c r="HTG1" s="286" t="s">
        <v>8446</v>
      </c>
      <c r="HTH1" s="286" t="s">
        <v>8447</v>
      </c>
      <c r="HTI1" s="286" t="s">
        <v>8448</v>
      </c>
      <c r="HTJ1" s="286" t="s">
        <v>8449</v>
      </c>
      <c r="HTK1" s="286" t="s">
        <v>8450</v>
      </c>
      <c r="HTL1" s="286" t="s">
        <v>8451</v>
      </c>
      <c r="HTM1" s="286" t="s">
        <v>8452</v>
      </c>
      <c r="HTN1" s="286" t="s">
        <v>8453</v>
      </c>
      <c r="HTO1" s="286" t="s">
        <v>8454</v>
      </c>
      <c r="HTP1" s="286" t="s">
        <v>8455</v>
      </c>
      <c r="HTQ1" s="286" t="s">
        <v>8456</v>
      </c>
      <c r="HTR1" s="286" t="s">
        <v>8457</v>
      </c>
      <c r="HTS1" s="286" t="s">
        <v>8458</v>
      </c>
      <c r="HTT1" s="286" t="s">
        <v>8459</v>
      </c>
      <c r="HTU1" s="286" t="s">
        <v>8460</v>
      </c>
      <c r="HTV1" s="286" t="s">
        <v>8461</v>
      </c>
      <c r="HTW1" s="286" t="s">
        <v>8462</v>
      </c>
      <c r="HTX1" s="286" t="s">
        <v>8463</v>
      </c>
      <c r="HTY1" s="286" t="s">
        <v>8464</v>
      </c>
      <c r="HTZ1" s="286" t="s">
        <v>8465</v>
      </c>
      <c r="HUA1" s="286" t="s">
        <v>8466</v>
      </c>
      <c r="HUB1" s="286" t="s">
        <v>8467</v>
      </c>
      <c r="HUC1" s="286" t="s">
        <v>8468</v>
      </c>
      <c r="HUD1" s="286" t="s">
        <v>8469</v>
      </c>
      <c r="HUE1" s="286" t="s">
        <v>8470</v>
      </c>
      <c r="HUF1" s="286" t="s">
        <v>8471</v>
      </c>
      <c r="HUG1" s="286" t="s">
        <v>8472</v>
      </c>
      <c r="HUH1" s="286" t="s">
        <v>8473</v>
      </c>
      <c r="HUI1" s="286" t="s">
        <v>8474</v>
      </c>
      <c r="HUJ1" s="286" t="s">
        <v>8475</v>
      </c>
      <c r="HUK1" s="286" t="s">
        <v>8476</v>
      </c>
      <c r="HUL1" s="286" t="s">
        <v>8477</v>
      </c>
      <c r="HUM1" s="286" t="s">
        <v>8478</v>
      </c>
      <c r="HUN1" s="286" t="s">
        <v>8479</v>
      </c>
      <c r="HUO1" s="286" t="s">
        <v>8480</v>
      </c>
      <c r="HUP1" s="286" t="s">
        <v>8481</v>
      </c>
      <c r="HUQ1" s="286" t="s">
        <v>8482</v>
      </c>
      <c r="HUR1" s="286" t="s">
        <v>8483</v>
      </c>
      <c r="HUS1" s="286" t="s">
        <v>8484</v>
      </c>
      <c r="HUT1" s="286" t="s">
        <v>8485</v>
      </c>
      <c r="HUU1" s="286" t="s">
        <v>8486</v>
      </c>
      <c r="HUV1" s="286" t="s">
        <v>8487</v>
      </c>
      <c r="HUW1" s="286" t="s">
        <v>8488</v>
      </c>
      <c r="HUX1" s="286" t="s">
        <v>8489</v>
      </c>
      <c r="HUY1" s="286" t="s">
        <v>8490</v>
      </c>
      <c r="HUZ1" s="286" t="s">
        <v>8491</v>
      </c>
      <c r="HVA1" s="286" t="s">
        <v>8492</v>
      </c>
      <c r="HVB1" s="286" t="s">
        <v>8493</v>
      </c>
      <c r="HVC1" s="286" t="s">
        <v>8494</v>
      </c>
      <c r="HVD1" s="286" t="s">
        <v>8495</v>
      </c>
      <c r="HVE1" s="286" t="s">
        <v>8496</v>
      </c>
      <c r="HVF1" s="286" t="s">
        <v>8497</v>
      </c>
      <c r="HVG1" s="286" t="s">
        <v>8498</v>
      </c>
      <c r="HVH1" s="286" t="s">
        <v>8499</v>
      </c>
      <c r="HVI1" s="286" t="s">
        <v>8500</v>
      </c>
      <c r="HVJ1" s="286" t="s">
        <v>8501</v>
      </c>
      <c r="HVK1" s="286" t="s">
        <v>8502</v>
      </c>
      <c r="HVL1" s="286" t="s">
        <v>8503</v>
      </c>
      <c r="HVM1" s="286" t="s">
        <v>8504</v>
      </c>
      <c r="HVN1" s="286" t="s">
        <v>8505</v>
      </c>
      <c r="HVO1" s="286" t="s">
        <v>8506</v>
      </c>
      <c r="HVP1" s="286" t="s">
        <v>8507</v>
      </c>
      <c r="HVQ1" s="286" t="s">
        <v>8508</v>
      </c>
      <c r="HVR1" s="286" t="s">
        <v>8509</v>
      </c>
      <c r="HVS1" s="286" t="s">
        <v>8510</v>
      </c>
      <c r="HVT1" s="286" t="s">
        <v>8511</v>
      </c>
      <c r="HVU1" s="286" t="s">
        <v>8512</v>
      </c>
      <c r="HVV1" s="286" t="s">
        <v>8513</v>
      </c>
      <c r="HVW1" s="286" t="s">
        <v>8514</v>
      </c>
      <c r="HVX1" s="286" t="s">
        <v>8515</v>
      </c>
      <c r="HVY1" s="286" t="s">
        <v>8516</v>
      </c>
      <c r="HVZ1" s="286" t="s">
        <v>8517</v>
      </c>
      <c r="HWA1" s="286" t="s">
        <v>8518</v>
      </c>
      <c r="HWB1" s="286" t="s">
        <v>8519</v>
      </c>
      <c r="HWC1" s="286" t="s">
        <v>8520</v>
      </c>
      <c r="HWD1" s="286" t="s">
        <v>8521</v>
      </c>
      <c r="HWE1" s="286" t="s">
        <v>8522</v>
      </c>
      <c r="HWF1" s="286" t="s">
        <v>8523</v>
      </c>
      <c r="HWG1" s="286" t="s">
        <v>8524</v>
      </c>
      <c r="HWH1" s="286" t="s">
        <v>8525</v>
      </c>
      <c r="HWI1" s="286" t="s">
        <v>8526</v>
      </c>
      <c r="HWJ1" s="286" t="s">
        <v>8527</v>
      </c>
      <c r="HWK1" s="286" t="s">
        <v>8528</v>
      </c>
      <c r="HWL1" s="286" t="s">
        <v>8529</v>
      </c>
      <c r="HWM1" s="286" t="s">
        <v>8530</v>
      </c>
      <c r="HWN1" s="286" t="s">
        <v>8531</v>
      </c>
      <c r="HWO1" s="286" t="s">
        <v>8532</v>
      </c>
      <c r="HWP1" s="286" t="s">
        <v>8533</v>
      </c>
      <c r="HWQ1" s="286" t="s">
        <v>8534</v>
      </c>
      <c r="HWR1" s="286" t="s">
        <v>8535</v>
      </c>
      <c r="HWS1" s="286" t="s">
        <v>8536</v>
      </c>
      <c r="HWT1" s="286" t="s">
        <v>8537</v>
      </c>
      <c r="HWU1" s="286" t="s">
        <v>8538</v>
      </c>
      <c r="HWV1" s="286" t="s">
        <v>8539</v>
      </c>
      <c r="HWW1" s="286" t="s">
        <v>8540</v>
      </c>
      <c r="HWX1" s="286" t="s">
        <v>8541</v>
      </c>
      <c r="HWY1" s="286" t="s">
        <v>8542</v>
      </c>
      <c r="HWZ1" s="286" t="s">
        <v>8543</v>
      </c>
      <c r="HXA1" s="286" t="s">
        <v>8544</v>
      </c>
      <c r="HXB1" s="286" t="s">
        <v>8545</v>
      </c>
      <c r="HXC1" s="286" t="s">
        <v>8546</v>
      </c>
      <c r="HXD1" s="286" t="s">
        <v>8547</v>
      </c>
      <c r="HXE1" s="286" t="s">
        <v>8548</v>
      </c>
      <c r="HXF1" s="286" t="s">
        <v>8549</v>
      </c>
      <c r="HXG1" s="286" t="s">
        <v>8550</v>
      </c>
      <c r="HXH1" s="286" t="s">
        <v>8551</v>
      </c>
      <c r="HXI1" s="286" t="s">
        <v>8552</v>
      </c>
      <c r="HXJ1" s="286" t="s">
        <v>8553</v>
      </c>
      <c r="HXK1" s="286" t="s">
        <v>8554</v>
      </c>
      <c r="HXL1" s="286" t="s">
        <v>8555</v>
      </c>
      <c r="HXM1" s="286" t="s">
        <v>8556</v>
      </c>
      <c r="HXN1" s="286" t="s">
        <v>8557</v>
      </c>
      <c r="HXO1" s="286" t="s">
        <v>8558</v>
      </c>
      <c r="HXP1" s="286" t="s">
        <v>8559</v>
      </c>
      <c r="HXQ1" s="286" t="s">
        <v>8560</v>
      </c>
      <c r="HXR1" s="286" t="s">
        <v>8561</v>
      </c>
      <c r="HXS1" s="286" t="s">
        <v>8562</v>
      </c>
      <c r="HXT1" s="286" t="s">
        <v>8563</v>
      </c>
      <c r="HXU1" s="286" t="s">
        <v>8564</v>
      </c>
      <c r="HXV1" s="286" t="s">
        <v>8565</v>
      </c>
      <c r="HXW1" s="286" t="s">
        <v>8566</v>
      </c>
      <c r="HXX1" s="286" t="s">
        <v>8567</v>
      </c>
      <c r="HXY1" s="286" t="s">
        <v>8568</v>
      </c>
      <c r="HXZ1" s="286" t="s">
        <v>8569</v>
      </c>
      <c r="HYA1" s="286" t="s">
        <v>8570</v>
      </c>
      <c r="HYB1" s="286" t="s">
        <v>8571</v>
      </c>
      <c r="HYC1" s="286" t="s">
        <v>8572</v>
      </c>
      <c r="HYD1" s="286" t="s">
        <v>8573</v>
      </c>
      <c r="HYE1" s="286" t="s">
        <v>8574</v>
      </c>
      <c r="HYF1" s="286" t="s">
        <v>8575</v>
      </c>
      <c r="HYG1" s="286" t="s">
        <v>8576</v>
      </c>
      <c r="HYH1" s="286" t="s">
        <v>8577</v>
      </c>
      <c r="HYI1" s="286" t="s">
        <v>8578</v>
      </c>
      <c r="HYJ1" s="286" t="s">
        <v>8579</v>
      </c>
      <c r="HYK1" s="286" t="s">
        <v>8580</v>
      </c>
      <c r="HYL1" s="286" t="s">
        <v>8581</v>
      </c>
      <c r="HYM1" s="286" t="s">
        <v>8582</v>
      </c>
      <c r="HYN1" s="286" t="s">
        <v>8583</v>
      </c>
      <c r="HYO1" s="286" t="s">
        <v>8584</v>
      </c>
      <c r="HYP1" s="286" t="s">
        <v>8585</v>
      </c>
      <c r="HYQ1" s="286" t="s">
        <v>8586</v>
      </c>
      <c r="HYR1" s="286" t="s">
        <v>8587</v>
      </c>
      <c r="HYS1" s="286" t="s">
        <v>8588</v>
      </c>
      <c r="HYT1" s="286" t="s">
        <v>8589</v>
      </c>
      <c r="HYU1" s="286" t="s">
        <v>8590</v>
      </c>
      <c r="HYV1" s="286" t="s">
        <v>8591</v>
      </c>
      <c r="HYW1" s="286" t="s">
        <v>8592</v>
      </c>
      <c r="HYX1" s="286" t="s">
        <v>8593</v>
      </c>
      <c r="HYY1" s="286" t="s">
        <v>8594</v>
      </c>
      <c r="HYZ1" s="286" t="s">
        <v>8595</v>
      </c>
      <c r="HZA1" s="286" t="s">
        <v>8596</v>
      </c>
      <c r="HZB1" s="286" t="s">
        <v>8597</v>
      </c>
      <c r="HZC1" s="286" t="s">
        <v>8598</v>
      </c>
      <c r="HZD1" s="286" t="s">
        <v>8599</v>
      </c>
      <c r="HZE1" s="286" t="s">
        <v>8600</v>
      </c>
      <c r="HZF1" s="286" t="s">
        <v>8601</v>
      </c>
      <c r="HZG1" s="286" t="s">
        <v>8602</v>
      </c>
      <c r="HZH1" s="286" t="s">
        <v>8603</v>
      </c>
      <c r="HZI1" s="286" t="s">
        <v>8604</v>
      </c>
      <c r="HZJ1" s="286" t="s">
        <v>8605</v>
      </c>
      <c r="HZK1" s="286" t="s">
        <v>8606</v>
      </c>
      <c r="HZL1" s="286" t="s">
        <v>8607</v>
      </c>
      <c r="HZM1" s="286" t="s">
        <v>8608</v>
      </c>
      <c r="HZN1" s="286" t="s">
        <v>8609</v>
      </c>
      <c r="HZO1" s="286" t="s">
        <v>8610</v>
      </c>
      <c r="HZP1" s="286" t="s">
        <v>8611</v>
      </c>
      <c r="HZQ1" s="286" t="s">
        <v>8612</v>
      </c>
      <c r="HZR1" s="286" t="s">
        <v>8613</v>
      </c>
      <c r="HZS1" s="286" t="s">
        <v>8614</v>
      </c>
      <c r="HZT1" s="286" t="s">
        <v>8615</v>
      </c>
      <c r="HZU1" s="286" t="s">
        <v>8616</v>
      </c>
      <c r="HZV1" s="286" t="s">
        <v>8617</v>
      </c>
      <c r="HZW1" s="286" t="s">
        <v>8618</v>
      </c>
      <c r="HZX1" s="286" t="s">
        <v>8619</v>
      </c>
      <c r="HZY1" s="286" t="s">
        <v>8620</v>
      </c>
      <c r="HZZ1" s="286" t="s">
        <v>8621</v>
      </c>
      <c r="IAA1" s="286" t="s">
        <v>8622</v>
      </c>
      <c r="IAB1" s="286" t="s">
        <v>8623</v>
      </c>
      <c r="IAC1" s="286" t="s">
        <v>8624</v>
      </c>
      <c r="IAD1" s="286" t="s">
        <v>8625</v>
      </c>
      <c r="IAE1" s="286" t="s">
        <v>8626</v>
      </c>
      <c r="IAF1" s="286" t="s">
        <v>8627</v>
      </c>
      <c r="IAG1" s="286" t="s">
        <v>8628</v>
      </c>
      <c r="IAH1" s="286" t="s">
        <v>8629</v>
      </c>
      <c r="IAI1" s="286" t="s">
        <v>8630</v>
      </c>
      <c r="IAJ1" s="286" t="s">
        <v>8631</v>
      </c>
      <c r="IAK1" s="286" t="s">
        <v>8632</v>
      </c>
      <c r="IAL1" s="286" t="s">
        <v>8633</v>
      </c>
      <c r="IAM1" s="286" t="s">
        <v>8634</v>
      </c>
      <c r="IAN1" s="286" t="s">
        <v>8635</v>
      </c>
      <c r="IAO1" s="286" t="s">
        <v>8636</v>
      </c>
      <c r="IAP1" s="286" t="s">
        <v>8637</v>
      </c>
      <c r="IAQ1" s="286" t="s">
        <v>8638</v>
      </c>
      <c r="IAR1" s="286" t="s">
        <v>8639</v>
      </c>
      <c r="IAS1" s="286" t="s">
        <v>8640</v>
      </c>
      <c r="IAT1" s="286" t="s">
        <v>8641</v>
      </c>
      <c r="IAU1" s="286" t="s">
        <v>8642</v>
      </c>
      <c r="IAV1" s="286" t="s">
        <v>8643</v>
      </c>
      <c r="IAW1" s="286" t="s">
        <v>8644</v>
      </c>
      <c r="IAX1" s="286" t="s">
        <v>8645</v>
      </c>
      <c r="IAY1" s="286" t="s">
        <v>8646</v>
      </c>
      <c r="IAZ1" s="286" t="s">
        <v>8647</v>
      </c>
      <c r="IBA1" s="286" t="s">
        <v>8648</v>
      </c>
      <c r="IBB1" s="286" t="s">
        <v>8649</v>
      </c>
      <c r="IBC1" s="286" t="s">
        <v>8650</v>
      </c>
      <c r="IBD1" s="286" t="s">
        <v>8651</v>
      </c>
      <c r="IBE1" s="286" t="s">
        <v>8652</v>
      </c>
      <c r="IBF1" s="286" t="s">
        <v>8653</v>
      </c>
      <c r="IBG1" s="286" t="s">
        <v>8654</v>
      </c>
      <c r="IBH1" s="286" t="s">
        <v>8655</v>
      </c>
      <c r="IBI1" s="286" t="s">
        <v>8656</v>
      </c>
      <c r="IBJ1" s="286" t="s">
        <v>8657</v>
      </c>
      <c r="IBK1" s="286" t="s">
        <v>8658</v>
      </c>
      <c r="IBL1" s="286" t="s">
        <v>8659</v>
      </c>
      <c r="IBM1" s="286" t="s">
        <v>8660</v>
      </c>
      <c r="IBN1" s="286" t="s">
        <v>8661</v>
      </c>
      <c r="IBO1" s="286" t="s">
        <v>8662</v>
      </c>
      <c r="IBP1" s="286" t="s">
        <v>8663</v>
      </c>
      <c r="IBQ1" s="286" t="s">
        <v>8664</v>
      </c>
      <c r="IBR1" s="286" t="s">
        <v>8665</v>
      </c>
      <c r="IBS1" s="286" t="s">
        <v>8666</v>
      </c>
      <c r="IBT1" s="286" t="s">
        <v>8667</v>
      </c>
      <c r="IBU1" s="286" t="s">
        <v>8668</v>
      </c>
      <c r="IBV1" s="286" t="s">
        <v>8669</v>
      </c>
      <c r="IBW1" s="286" t="s">
        <v>8670</v>
      </c>
      <c r="IBX1" s="286" t="s">
        <v>8671</v>
      </c>
      <c r="IBY1" s="286" t="s">
        <v>8672</v>
      </c>
      <c r="IBZ1" s="286" t="s">
        <v>8673</v>
      </c>
      <c r="ICA1" s="286" t="s">
        <v>8674</v>
      </c>
      <c r="ICB1" s="286" t="s">
        <v>8675</v>
      </c>
      <c r="ICC1" s="286" t="s">
        <v>8676</v>
      </c>
      <c r="ICD1" s="286" t="s">
        <v>8677</v>
      </c>
      <c r="ICE1" s="286" t="s">
        <v>8678</v>
      </c>
      <c r="ICF1" s="286" t="s">
        <v>8679</v>
      </c>
      <c r="ICG1" s="286" t="s">
        <v>8680</v>
      </c>
      <c r="ICH1" s="286" t="s">
        <v>8681</v>
      </c>
      <c r="ICI1" s="286" t="s">
        <v>8682</v>
      </c>
      <c r="ICJ1" s="286" t="s">
        <v>8683</v>
      </c>
      <c r="ICK1" s="286" t="s">
        <v>8684</v>
      </c>
      <c r="ICL1" s="286" t="s">
        <v>8685</v>
      </c>
      <c r="ICM1" s="286" t="s">
        <v>8686</v>
      </c>
      <c r="ICN1" s="286" t="s">
        <v>8687</v>
      </c>
      <c r="ICO1" s="286" t="s">
        <v>8688</v>
      </c>
      <c r="ICP1" s="286" t="s">
        <v>8689</v>
      </c>
      <c r="ICQ1" s="286" t="s">
        <v>8690</v>
      </c>
      <c r="ICR1" s="286" t="s">
        <v>8691</v>
      </c>
      <c r="ICS1" s="286" t="s">
        <v>8692</v>
      </c>
      <c r="ICT1" s="286" t="s">
        <v>8693</v>
      </c>
      <c r="ICU1" s="286" t="s">
        <v>8694</v>
      </c>
      <c r="ICV1" s="286" t="s">
        <v>8695</v>
      </c>
      <c r="ICW1" s="286" t="s">
        <v>8696</v>
      </c>
      <c r="ICX1" s="286" t="s">
        <v>8697</v>
      </c>
      <c r="ICY1" s="286" t="s">
        <v>8698</v>
      </c>
      <c r="ICZ1" s="286" t="s">
        <v>8699</v>
      </c>
      <c r="IDA1" s="286" t="s">
        <v>8700</v>
      </c>
      <c r="IDB1" s="286" t="s">
        <v>8701</v>
      </c>
      <c r="IDC1" s="286" t="s">
        <v>8702</v>
      </c>
      <c r="IDD1" s="286" t="s">
        <v>8703</v>
      </c>
      <c r="IDE1" s="286" t="s">
        <v>8704</v>
      </c>
      <c r="IDF1" s="286" t="s">
        <v>8705</v>
      </c>
      <c r="IDG1" s="286" t="s">
        <v>8706</v>
      </c>
      <c r="IDH1" s="286" t="s">
        <v>8707</v>
      </c>
      <c r="IDI1" s="286" t="s">
        <v>8708</v>
      </c>
      <c r="IDJ1" s="286" t="s">
        <v>8709</v>
      </c>
      <c r="IDK1" s="286" t="s">
        <v>8710</v>
      </c>
      <c r="IDL1" s="286" t="s">
        <v>8711</v>
      </c>
      <c r="IDM1" s="286" t="s">
        <v>8712</v>
      </c>
      <c r="IDN1" s="286" t="s">
        <v>8713</v>
      </c>
      <c r="IDO1" s="286" t="s">
        <v>8714</v>
      </c>
      <c r="IDP1" s="286" t="s">
        <v>8715</v>
      </c>
      <c r="IDQ1" s="286" t="s">
        <v>8716</v>
      </c>
      <c r="IDR1" s="286" t="s">
        <v>8717</v>
      </c>
      <c r="IDS1" s="286" t="s">
        <v>8718</v>
      </c>
      <c r="IDT1" s="286" t="s">
        <v>8719</v>
      </c>
      <c r="IDU1" s="286" t="s">
        <v>8720</v>
      </c>
      <c r="IDV1" s="286" t="s">
        <v>8721</v>
      </c>
      <c r="IDW1" s="286" t="s">
        <v>8722</v>
      </c>
      <c r="IDX1" s="286" t="s">
        <v>8723</v>
      </c>
      <c r="IDY1" s="286" t="s">
        <v>8724</v>
      </c>
      <c r="IDZ1" s="286" t="s">
        <v>8725</v>
      </c>
      <c r="IEA1" s="286" t="s">
        <v>8726</v>
      </c>
      <c r="IEB1" s="286" t="s">
        <v>8727</v>
      </c>
      <c r="IEC1" s="286" t="s">
        <v>8728</v>
      </c>
      <c r="IED1" s="286" t="s">
        <v>8729</v>
      </c>
      <c r="IEE1" s="286" t="s">
        <v>8730</v>
      </c>
      <c r="IEF1" s="286" t="s">
        <v>8731</v>
      </c>
      <c r="IEG1" s="286" t="s">
        <v>8732</v>
      </c>
      <c r="IEH1" s="286" t="s">
        <v>8733</v>
      </c>
      <c r="IEI1" s="286" t="s">
        <v>8734</v>
      </c>
      <c r="IEJ1" s="286" t="s">
        <v>8735</v>
      </c>
      <c r="IEK1" s="286" t="s">
        <v>8736</v>
      </c>
      <c r="IEL1" s="286" t="s">
        <v>8737</v>
      </c>
      <c r="IEM1" s="286" t="s">
        <v>8738</v>
      </c>
      <c r="IEN1" s="286" t="s">
        <v>8739</v>
      </c>
      <c r="IEO1" s="286" t="s">
        <v>8740</v>
      </c>
      <c r="IEP1" s="286" t="s">
        <v>8741</v>
      </c>
      <c r="IEQ1" s="286" t="s">
        <v>8742</v>
      </c>
      <c r="IER1" s="286" t="s">
        <v>8743</v>
      </c>
      <c r="IES1" s="286" t="s">
        <v>8744</v>
      </c>
      <c r="IET1" s="286" t="s">
        <v>8745</v>
      </c>
      <c r="IEU1" s="286" t="s">
        <v>8746</v>
      </c>
      <c r="IEV1" s="286" t="s">
        <v>8747</v>
      </c>
      <c r="IEW1" s="286" t="s">
        <v>8748</v>
      </c>
      <c r="IEX1" s="286" t="s">
        <v>8749</v>
      </c>
      <c r="IEY1" s="286" t="s">
        <v>8750</v>
      </c>
      <c r="IEZ1" s="286" t="s">
        <v>8751</v>
      </c>
      <c r="IFA1" s="286" t="s">
        <v>8752</v>
      </c>
      <c r="IFB1" s="286" t="s">
        <v>8753</v>
      </c>
      <c r="IFC1" s="286" t="s">
        <v>8754</v>
      </c>
      <c r="IFD1" s="286" t="s">
        <v>8755</v>
      </c>
      <c r="IFE1" s="286" t="s">
        <v>8756</v>
      </c>
      <c r="IFF1" s="286" t="s">
        <v>8757</v>
      </c>
      <c r="IFG1" s="286" t="s">
        <v>8758</v>
      </c>
      <c r="IFH1" s="286" t="s">
        <v>8759</v>
      </c>
      <c r="IFI1" s="286" t="s">
        <v>8760</v>
      </c>
      <c r="IFJ1" s="286" t="s">
        <v>8761</v>
      </c>
      <c r="IFK1" s="286" t="s">
        <v>8762</v>
      </c>
      <c r="IFL1" s="286" t="s">
        <v>8763</v>
      </c>
      <c r="IFM1" s="286" t="s">
        <v>8764</v>
      </c>
      <c r="IFN1" s="286" t="s">
        <v>8765</v>
      </c>
      <c r="IFO1" s="286" t="s">
        <v>8766</v>
      </c>
      <c r="IFP1" s="286" t="s">
        <v>8767</v>
      </c>
      <c r="IFQ1" s="286" t="s">
        <v>8768</v>
      </c>
      <c r="IFR1" s="286" t="s">
        <v>8769</v>
      </c>
      <c r="IFS1" s="286" t="s">
        <v>8770</v>
      </c>
      <c r="IFT1" s="286" t="s">
        <v>8771</v>
      </c>
      <c r="IFU1" s="286" t="s">
        <v>8772</v>
      </c>
      <c r="IFV1" s="286" t="s">
        <v>8773</v>
      </c>
      <c r="IFW1" s="286" t="s">
        <v>8774</v>
      </c>
      <c r="IFX1" s="286" t="s">
        <v>8775</v>
      </c>
      <c r="IFY1" s="286" t="s">
        <v>8776</v>
      </c>
      <c r="IFZ1" s="286" t="s">
        <v>8777</v>
      </c>
      <c r="IGA1" s="286" t="s">
        <v>8778</v>
      </c>
      <c r="IGB1" s="286" t="s">
        <v>8779</v>
      </c>
      <c r="IGC1" s="286" t="s">
        <v>8780</v>
      </c>
      <c r="IGD1" s="286" t="s">
        <v>8781</v>
      </c>
      <c r="IGE1" s="286" t="s">
        <v>8782</v>
      </c>
      <c r="IGF1" s="286" t="s">
        <v>8783</v>
      </c>
      <c r="IGG1" s="286" t="s">
        <v>8784</v>
      </c>
      <c r="IGH1" s="286" t="s">
        <v>8785</v>
      </c>
      <c r="IGI1" s="286" t="s">
        <v>8786</v>
      </c>
      <c r="IGJ1" s="286" t="s">
        <v>8787</v>
      </c>
      <c r="IGK1" s="286" t="s">
        <v>8788</v>
      </c>
      <c r="IGL1" s="286" t="s">
        <v>8789</v>
      </c>
      <c r="IGM1" s="286" t="s">
        <v>8790</v>
      </c>
      <c r="IGN1" s="286" t="s">
        <v>8791</v>
      </c>
      <c r="IGO1" s="286" t="s">
        <v>8792</v>
      </c>
      <c r="IGP1" s="286" t="s">
        <v>8793</v>
      </c>
      <c r="IGQ1" s="286" t="s">
        <v>8794</v>
      </c>
      <c r="IGR1" s="286" t="s">
        <v>8795</v>
      </c>
      <c r="IGS1" s="286" t="s">
        <v>8796</v>
      </c>
      <c r="IGT1" s="286" t="s">
        <v>8797</v>
      </c>
      <c r="IGU1" s="286" t="s">
        <v>8798</v>
      </c>
      <c r="IGV1" s="286" t="s">
        <v>8799</v>
      </c>
      <c r="IGW1" s="286" t="s">
        <v>8800</v>
      </c>
      <c r="IGX1" s="286" t="s">
        <v>8801</v>
      </c>
      <c r="IGY1" s="286" t="s">
        <v>8802</v>
      </c>
      <c r="IGZ1" s="286" t="s">
        <v>8803</v>
      </c>
      <c r="IHA1" s="286" t="s">
        <v>8804</v>
      </c>
      <c r="IHB1" s="286" t="s">
        <v>8805</v>
      </c>
      <c r="IHC1" s="286" t="s">
        <v>8806</v>
      </c>
      <c r="IHD1" s="286" t="s">
        <v>8807</v>
      </c>
      <c r="IHE1" s="286" t="s">
        <v>8808</v>
      </c>
      <c r="IHF1" s="286" t="s">
        <v>8809</v>
      </c>
      <c r="IHG1" s="286" t="s">
        <v>8810</v>
      </c>
      <c r="IHH1" s="286" t="s">
        <v>8811</v>
      </c>
      <c r="IHI1" s="286" t="s">
        <v>8812</v>
      </c>
      <c r="IHJ1" s="286" t="s">
        <v>8813</v>
      </c>
      <c r="IHK1" s="286" t="s">
        <v>8814</v>
      </c>
      <c r="IHL1" s="286" t="s">
        <v>8815</v>
      </c>
      <c r="IHM1" s="286" t="s">
        <v>8816</v>
      </c>
      <c r="IHN1" s="286" t="s">
        <v>8817</v>
      </c>
      <c r="IHO1" s="286" t="s">
        <v>8818</v>
      </c>
      <c r="IHP1" s="286" t="s">
        <v>8819</v>
      </c>
      <c r="IHQ1" s="286" t="s">
        <v>8820</v>
      </c>
      <c r="IHR1" s="286" t="s">
        <v>8821</v>
      </c>
      <c r="IHS1" s="286" t="s">
        <v>8822</v>
      </c>
      <c r="IHT1" s="286" t="s">
        <v>8823</v>
      </c>
      <c r="IHU1" s="286" t="s">
        <v>8824</v>
      </c>
      <c r="IHV1" s="286" t="s">
        <v>8825</v>
      </c>
      <c r="IHW1" s="286" t="s">
        <v>8826</v>
      </c>
      <c r="IHX1" s="286" t="s">
        <v>8827</v>
      </c>
      <c r="IHY1" s="286" t="s">
        <v>8828</v>
      </c>
      <c r="IHZ1" s="286" t="s">
        <v>8829</v>
      </c>
      <c r="IIA1" s="286" t="s">
        <v>8830</v>
      </c>
      <c r="IIB1" s="286" t="s">
        <v>8831</v>
      </c>
      <c r="IIC1" s="286" t="s">
        <v>8832</v>
      </c>
      <c r="IID1" s="286" t="s">
        <v>8833</v>
      </c>
      <c r="IIE1" s="286" t="s">
        <v>8834</v>
      </c>
      <c r="IIF1" s="286" t="s">
        <v>8835</v>
      </c>
      <c r="IIG1" s="286" t="s">
        <v>8836</v>
      </c>
      <c r="IIH1" s="286" t="s">
        <v>8837</v>
      </c>
      <c r="III1" s="286" t="s">
        <v>8838</v>
      </c>
      <c r="IIJ1" s="286" t="s">
        <v>8839</v>
      </c>
      <c r="IIK1" s="286" t="s">
        <v>8840</v>
      </c>
      <c r="IIL1" s="286" t="s">
        <v>8841</v>
      </c>
      <c r="IIM1" s="286" t="s">
        <v>8842</v>
      </c>
      <c r="IIN1" s="286" t="s">
        <v>8843</v>
      </c>
      <c r="IIO1" s="286" t="s">
        <v>8844</v>
      </c>
      <c r="IIP1" s="286" t="s">
        <v>8845</v>
      </c>
      <c r="IIQ1" s="286" t="s">
        <v>8846</v>
      </c>
      <c r="IIR1" s="286" t="s">
        <v>8847</v>
      </c>
      <c r="IIS1" s="286" t="s">
        <v>8848</v>
      </c>
      <c r="IIT1" s="286" t="s">
        <v>8849</v>
      </c>
      <c r="IIU1" s="286" t="s">
        <v>8850</v>
      </c>
      <c r="IIV1" s="286" t="s">
        <v>8851</v>
      </c>
      <c r="IIW1" s="286" t="s">
        <v>8852</v>
      </c>
      <c r="IIX1" s="286" t="s">
        <v>8853</v>
      </c>
      <c r="IIY1" s="286" t="s">
        <v>8854</v>
      </c>
      <c r="IIZ1" s="286" t="s">
        <v>8855</v>
      </c>
      <c r="IJA1" s="286" t="s">
        <v>8856</v>
      </c>
      <c r="IJB1" s="286" t="s">
        <v>8857</v>
      </c>
      <c r="IJC1" s="286" t="s">
        <v>8858</v>
      </c>
      <c r="IJD1" s="286" t="s">
        <v>8859</v>
      </c>
      <c r="IJE1" s="286" t="s">
        <v>8860</v>
      </c>
      <c r="IJF1" s="286" t="s">
        <v>8861</v>
      </c>
      <c r="IJG1" s="286" t="s">
        <v>8862</v>
      </c>
      <c r="IJH1" s="286" t="s">
        <v>8863</v>
      </c>
      <c r="IJI1" s="286" t="s">
        <v>8864</v>
      </c>
      <c r="IJJ1" s="286" t="s">
        <v>8865</v>
      </c>
      <c r="IJK1" s="286" t="s">
        <v>8866</v>
      </c>
      <c r="IJL1" s="286" t="s">
        <v>8867</v>
      </c>
      <c r="IJM1" s="286" t="s">
        <v>8868</v>
      </c>
      <c r="IJN1" s="286" t="s">
        <v>8869</v>
      </c>
      <c r="IJO1" s="286" t="s">
        <v>8870</v>
      </c>
      <c r="IJP1" s="286" t="s">
        <v>8871</v>
      </c>
      <c r="IJQ1" s="286" t="s">
        <v>8872</v>
      </c>
      <c r="IJR1" s="286" t="s">
        <v>8873</v>
      </c>
      <c r="IJS1" s="286" t="s">
        <v>8874</v>
      </c>
      <c r="IJT1" s="286" t="s">
        <v>8875</v>
      </c>
      <c r="IJU1" s="286" t="s">
        <v>8876</v>
      </c>
      <c r="IJV1" s="286" t="s">
        <v>8877</v>
      </c>
      <c r="IJW1" s="286" t="s">
        <v>8878</v>
      </c>
      <c r="IJX1" s="286" t="s">
        <v>8879</v>
      </c>
      <c r="IJY1" s="286" t="s">
        <v>8880</v>
      </c>
      <c r="IJZ1" s="286" t="s">
        <v>8881</v>
      </c>
      <c r="IKA1" s="286" t="s">
        <v>8882</v>
      </c>
      <c r="IKB1" s="286" t="s">
        <v>8883</v>
      </c>
      <c r="IKC1" s="286" t="s">
        <v>8884</v>
      </c>
      <c r="IKD1" s="286" t="s">
        <v>8885</v>
      </c>
      <c r="IKE1" s="286" t="s">
        <v>8886</v>
      </c>
      <c r="IKF1" s="286" t="s">
        <v>8887</v>
      </c>
      <c r="IKG1" s="286" t="s">
        <v>8888</v>
      </c>
      <c r="IKH1" s="286" t="s">
        <v>8889</v>
      </c>
      <c r="IKI1" s="286" t="s">
        <v>8890</v>
      </c>
      <c r="IKJ1" s="286" t="s">
        <v>8891</v>
      </c>
      <c r="IKK1" s="286" t="s">
        <v>8892</v>
      </c>
      <c r="IKL1" s="286" t="s">
        <v>8893</v>
      </c>
      <c r="IKM1" s="286" t="s">
        <v>8894</v>
      </c>
      <c r="IKN1" s="286" t="s">
        <v>8895</v>
      </c>
      <c r="IKO1" s="286" t="s">
        <v>8896</v>
      </c>
      <c r="IKP1" s="286" t="s">
        <v>8897</v>
      </c>
      <c r="IKQ1" s="286" t="s">
        <v>8898</v>
      </c>
      <c r="IKR1" s="286" t="s">
        <v>8899</v>
      </c>
      <c r="IKS1" s="286" t="s">
        <v>8900</v>
      </c>
      <c r="IKT1" s="286" t="s">
        <v>8901</v>
      </c>
      <c r="IKU1" s="286" t="s">
        <v>8902</v>
      </c>
      <c r="IKV1" s="286" t="s">
        <v>8903</v>
      </c>
      <c r="IKW1" s="286" t="s">
        <v>8904</v>
      </c>
      <c r="IKX1" s="286" t="s">
        <v>8905</v>
      </c>
      <c r="IKY1" s="286" t="s">
        <v>8906</v>
      </c>
      <c r="IKZ1" s="286" t="s">
        <v>8907</v>
      </c>
      <c r="ILA1" s="286" t="s">
        <v>8908</v>
      </c>
      <c r="ILB1" s="286" t="s">
        <v>8909</v>
      </c>
      <c r="ILC1" s="286" t="s">
        <v>8910</v>
      </c>
      <c r="ILD1" s="286" t="s">
        <v>8911</v>
      </c>
      <c r="ILE1" s="286" t="s">
        <v>8912</v>
      </c>
      <c r="ILF1" s="286" t="s">
        <v>8913</v>
      </c>
      <c r="ILG1" s="286" t="s">
        <v>8914</v>
      </c>
      <c r="ILH1" s="286" t="s">
        <v>8915</v>
      </c>
      <c r="ILI1" s="286" t="s">
        <v>8916</v>
      </c>
      <c r="ILJ1" s="286" t="s">
        <v>8917</v>
      </c>
      <c r="ILK1" s="286" t="s">
        <v>8918</v>
      </c>
      <c r="ILL1" s="286" t="s">
        <v>8919</v>
      </c>
      <c r="ILM1" s="286" t="s">
        <v>8920</v>
      </c>
      <c r="ILN1" s="286" t="s">
        <v>8921</v>
      </c>
      <c r="ILO1" s="286" t="s">
        <v>8922</v>
      </c>
      <c r="ILP1" s="286" t="s">
        <v>8923</v>
      </c>
      <c r="ILQ1" s="286" t="s">
        <v>8924</v>
      </c>
      <c r="ILR1" s="286" t="s">
        <v>8925</v>
      </c>
      <c r="ILS1" s="286" t="s">
        <v>8926</v>
      </c>
      <c r="ILT1" s="286" t="s">
        <v>8927</v>
      </c>
      <c r="ILU1" s="286" t="s">
        <v>8928</v>
      </c>
      <c r="ILV1" s="286" t="s">
        <v>8929</v>
      </c>
      <c r="ILW1" s="286" t="s">
        <v>8930</v>
      </c>
      <c r="ILX1" s="286" t="s">
        <v>8931</v>
      </c>
      <c r="ILY1" s="286" t="s">
        <v>8932</v>
      </c>
      <c r="ILZ1" s="286" t="s">
        <v>8933</v>
      </c>
      <c r="IMA1" s="286" t="s">
        <v>8934</v>
      </c>
      <c r="IMB1" s="286" t="s">
        <v>8935</v>
      </c>
      <c r="IMC1" s="286" t="s">
        <v>8936</v>
      </c>
      <c r="IMD1" s="286" t="s">
        <v>8937</v>
      </c>
      <c r="IME1" s="286" t="s">
        <v>8938</v>
      </c>
      <c r="IMF1" s="286" t="s">
        <v>8939</v>
      </c>
      <c r="IMG1" s="286" t="s">
        <v>8940</v>
      </c>
      <c r="IMH1" s="286" t="s">
        <v>8941</v>
      </c>
      <c r="IMI1" s="286" t="s">
        <v>8942</v>
      </c>
      <c r="IMJ1" s="286" t="s">
        <v>8943</v>
      </c>
      <c r="IMK1" s="286" t="s">
        <v>8944</v>
      </c>
      <c r="IML1" s="286" t="s">
        <v>8945</v>
      </c>
      <c r="IMM1" s="286" t="s">
        <v>8946</v>
      </c>
      <c r="IMN1" s="286" t="s">
        <v>8947</v>
      </c>
      <c r="IMO1" s="286" t="s">
        <v>8948</v>
      </c>
      <c r="IMP1" s="286" t="s">
        <v>8949</v>
      </c>
      <c r="IMQ1" s="286" t="s">
        <v>8950</v>
      </c>
      <c r="IMR1" s="286" t="s">
        <v>8951</v>
      </c>
      <c r="IMS1" s="286" t="s">
        <v>8952</v>
      </c>
      <c r="IMT1" s="286" t="s">
        <v>8953</v>
      </c>
      <c r="IMU1" s="286" t="s">
        <v>8954</v>
      </c>
      <c r="IMV1" s="286" t="s">
        <v>8955</v>
      </c>
      <c r="IMW1" s="286" t="s">
        <v>8956</v>
      </c>
      <c r="IMX1" s="286" t="s">
        <v>8957</v>
      </c>
      <c r="IMY1" s="286" t="s">
        <v>8958</v>
      </c>
      <c r="IMZ1" s="286" t="s">
        <v>8959</v>
      </c>
      <c r="INA1" s="286" t="s">
        <v>8960</v>
      </c>
      <c r="INB1" s="286" t="s">
        <v>8961</v>
      </c>
      <c r="INC1" s="286" t="s">
        <v>8962</v>
      </c>
      <c r="IND1" s="286" t="s">
        <v>8963</v>
      </c>
      <c r="INE1" s="286" t="s">
        <v>8964</v>
      </c>
      <c r="INF1" s="286" t="s">
        <v>8965</v>
      </c>
      <c r="ING1" s="286" t="s">
        <v>8966</v>
      </c>
      <c r="INH1" s="286" t="s">
        <v>8967</v>
      </c>
      <c r="INI1" s="286" t="s">
        <v>8968</v>
      </c>
      <c r="INJ1" s="286" t="s">
        <v>8969</v>
      </c>
      <c r="INK1" s="286" t="s">
        <v>8970</v>
      </c>
      <c r="INL1" s="286" t="s">
        <v>8971</v>
      </c>
      <c r="INM1" s="286" t="s">
        <v>8972</v>
      </c>
      <c r="INN1" s="286" t="s">
        <v>8973</v>
      </c>
      <c r="INO1" s="286" t="s">
        <v>8974</v>
      </c>
      <c r="INP1" s="286" t="s">
        <v>8975</v>
      </c>
      <c r="INQ1" s="286" t="s">
        <v>8976</v>
      </c>
      <c r="INR1" s="286" t="s">
        <v>8977</v>
      </c>
      <c r="INS1" s="286" t="s">
        <v>8978</v>
      </c>
      <c r="INT1" s="286" t="s">
        <v>8979</v>
      </c>
      <c r="INU1" s="286" t="s">
        <v>8980</v>
      </c>
      <c r="INV1" s="286" t="s">
        <v>8981</v>
      </c>
      <c r="INW1" s="286" t="s">
        <v>8982</v>
      </c>
      <c r="INX1" s="286" t="s">
        <v>8983</v>
      </c>
      <c r="INY1" s="286" t="s">
        <v>8984</v>
      </c>
      <c r="INZ1" s="286" t="s">
        <v>8985</v>
      </c>
      <c r="IOA1" s="286" t="s">
        <v>8986</v>
      </c>
      <c r="IOB1" s="286" t="s">
        <v>8987</v>
      </c>
      <c r="IOC1" s="286" t="s">
        <v>8988</v>
      </c>
      <c r="IOD1" s="286" t="s">
        <v>8989</v>
      </c>
      <c r="IOE1" s="286" t="s">
        <v>8990</v>
      </c>
      <c r="IOF1" s="286" t="s">
        <v>8991</v>
      </c>
      <c r="IOG1" s="286" t="s">
        <v>8992</v>
      </c>
      <c r="IOH1" s="286" t="s">
        <v>8993</v>
      </c>
      <c r="IOI1" s="286" t="s">
        <v>8994</v>
      </c>
      <c r="IOJ1" s="286" t="s">
        <v>8995</v>
      </c>
      <c r="IOK1" s="286" t="s">
        <v>8996</v>
      </c>
      <c r="IOL1" s="286" t="s">
        <v>8997</v>
      </c>
      <c r="IOM1" s="286" t="s">
        <v>8998</v>
      </c>
      <c r="ION1" s="286" t="s">
        <v>8999</v>
      </c>
      <c r="IOO1" s="286" t="s">
        <v>9000</v>
      </c>
      <c r="IOP1" s="286" t="s">
        <v>9001</v>
      </c>
      <c r="IOQ1" s="286" t="s">
        <v>9002</v>
      </c>
      <c r="IOR1" s="286" t="s">
        <v>9003</v>
      </c>
      <c r="IOS1" s="286" t="s">
        <v>9004</v>
      </c>
      <c r="IOT1" s="286" t="s">
        <v>9005</v>
      </c>
      <c r="IOU1" s="286" t="s">
        <v>9006</v>
      </c>
      <c r="IOV1" s="286" t="s">
        <v>9007</v>
      </c>
      <c r="IOW1" s="286" t="s">
        <v>9008</v>
      </c>
      <c r="IOX1" s="286" t="s">
        <v>9009</v>
      </c>
      <c r="IOY1" s="286" t="s">
        <v>9010</v>
      </c>
      <c r="IOZ1" s="286" t="s">
        <v>9011</v>
      </c>
      <c r="IPA1" s="286" t="s">
        <v>9012</v>
      </c>
      <c r="IPB1" s="286" t="s">
        <v>9013</v>
      </c>
      <c r="IPC1" s="286" t="s">
        <v>9014</v>
      </c>
      <c r="IPD1" s="286" t="s">
        <v>9015</v>
      </c>
      <c r="IPE1" s="286" t="s">
        <v>9016</v>
      </c>
      <c r="IPF1" s="286" t="s">
        <v>9017</v>
      </c>
      <c r="IPG1" s="286" t="s">
        <v>9018</v>
      </c>
      <c r="IPH1" s="286" t="s">
        <v>9019</v>
      </c>
      <c r="IPI1" s="286" t="s">
        <v>9020</v>
      </c>
      <c r="IPJ1" s="286" t="s">
        <v>9021</v>
      </c>
      <c r="IPK1" s="286" t="s">
        <v>9022</v>
      </c>
      <c r="IPL1" s="286" t="s">
        <v>9023</v>
      </c>
      <c r="IPM1" s="286" t="s">
        <v>9024</v>
      </c>
      <c r="IPN1" s="286" t="s">
        <v>9025</v>
      </c>
      <c r="IPO1" s="286" t="s">
        <v>9026</v>
      </c>
      <c r="IPP1" s="286" t="s">
        <v>9027</v>
      </c>
      <c r="IPQ1" s="286" t="s">
        <v>9028</v>
      </c>
      <c r="IPR1" s="286" t="s">
        <v>9029</v>
      </c>
      <c r="IPS1" s="286" t="s">
        <v>9030</v>
      </c>
      <c r="IPT1" s="286" t="s">
        <v>9031</v>
      </c>
      <c r="IPU1" s="286" t="s">
        <v>9032</v>
      </c>
      <c r="IPV1" s="286" t="s">
        <v>9033</v>
      </c>
      <c r="IPW1" s="286" t="s">
        <v>9034</v>
      </c>
      <c r="IPX1" s="286" t="s">
        <v>9035</v>
      </c>
      <c r="IPY1" s="286" t="s">
        <v>9036</v>
      </c>
      <c r="IPZ1" s="286" t="s">
        <v>9037</v>
      </c>
      <c r="IQA1" s="286" t="s">
        <v>9038</v>
      </c>
      <c r="IQB1" s="286" t="s">
        <v>9039</v>
      </c>
      <c r="IQC1" s="286" t="s">
        <v>9040</v>
      </c>
      <c r="IQD1" s="286" t="s">
        <v>9041</v>
      </c>
      <c r="IQE1" s="286" t="s">
        <v>9042</v>
      </c>
      <c r="IQF1" s="286" t="s">
        <v>9043</v>
      </c>
      <c r="IQG1" s="286" t="s">
        <v>9044</v>
      </c>
      <c r="IQH1" s="286" t="s">
        <v>9045</v>
      </c>
      <c r="IQI1" s="286" t="s">
        <v>9046</v>
      </c>
      <c r="IQJ1" s="286" t="s">
        <v>9047</v>
      </c>
      <c r="IQK1" s="286" t="s">
        <v>9048</v>
      </c>
      <c r="IQL1" s="286" t="s">
        <v>9049</v>
      </c>
      <c r="IQM1" s="286" t="s">
        <v>9050</v>
      </c>
      <c r="IQN1" s="286" t="s">
        <v>9051</v>
      </c>
      <c r="IQO1" s="286" t="s">
        <v>9052</v>
      </c>
      <c r="IQP1" s="286" t="s">
        <v>9053</v>
      </c>
      <c r="IQQ1" s="286" t="s">
        <v>9054</v>
      </c>
      <c r="IQR1" s="286" t="s">
        <v>9055</v>
      </c>
      <c r="IQS1" s="286" t="s">
        <v>9056</v>
      </c>
      <c r="IQT1" s="286" t="s">
        <v>9057</v>
      </c>
      <c r="IQU1" s="286" t="s">
        <v>9058</v>
      </c>
      <c r="IQV1" s="286" t="s">
        <v>9059</v>
      </c>
      <c r="IQW1" s="286" t="s">
        <v>9060</v>
      </c>
      <c r="IQX1" s="286" t="s">
        <v>9061</v>
      </c>
      <c r="IQY1" s="286" t="s">
        <v>9062</v>
      </c>
      <c r="IQZ1" s="286" t="s">
        <v>9063</v>
      </c>
      <c r="IRA1" s="286" t="s">
        <v>9064</v>
      </c>
      <c r="IRB1" s="286" t="s">
        <v>9065</v>
      </c>
      <c r="IRC1" s="286" t="s">
        <v>9066</v>
      </c>
      <c r="IRD1" s="286" t="s">
        <v>9067</v>
      </c>
      <c r="IRE1" s="286" t="s">
        <v>9068</v>
      </c>
      <c r="IRF1" s="286" t="s">
        <v>9069</v>
      </c>
      <c r="IRG1" s="286" t="s">
        <v>9070</v>
      </c>
      <c r="IRH1" s="286" t="s">
        <v>9071</v>
      </c>
      <c r="IRI1" s="286" t="s">
        <v>9072</v>
      </c>
      <c r="IRJ1" s="286" t="s">
        <v>9073</v>
      </c>
      <c r="IRK1" s="286" t="s">
        <v>9074</v>
      </c>
      <c r="IRL1" s="286" t="s">
        <v>9075</v>
      </c>
      <c r="IRM1" s="286" t="s">
        <v>9076</v>
      </c>
      <c r="IRN1" s="286" t="s">
        <v>9077</v>
      </c>
      <c r="IRO1" s="286" t="s">
        <v>9078</v>
      </c>
      <c r="IRP1" s="286" t="s">
        <v>9079</v>
      </c>
      <c r="IRQ1" s="286" t="s">
        <v>9080</v>
      </c>
      <c r="IRR1" s="286" t="s">
        <v>9081</v>
      </c>
      <c r="IRS1" s="286" t="s">
        <v>9082</v>
      </c>
      <c r="IRT1" s="286" t="s">
        <v>9083</v>
      </c>
      <c r="IRU1" s="286" t="s">
        <v>9084</v>
      </c>
      <c r="IRV1" s="286" t="s">
        <v>9085</v>
      </c>
      <c r="IRW1" s="286" t="s">
        <v>9086</v>
      </c>
      <c r="IRX1" s="286" t="s">
        <v>9087</v>
      </c>
      <c r="IRY1" s="286" t="s">
        <v>9088</v>
      </c>
      <c r="IRZ1" s="286" t="s">
        <v>9089</v>
      </c>
      <c r="ISA1" s="286" t="s">
        <v>9090</v>
      </c>
      <c r="ISB1" s="286" t="s">
        <v>9091</v>
      </c>
      <c r="ISC1" s="286" t="s">
        <v>9092</v>
      </c>
      <c r="ISD1" s="286" t="s">
        <v>9093</v>
      </c>
      <c r="ISE1" s="286" t="s">
        <v>9094</v>
      </c>
      <c r="ISF1" s="286" t="s">
        <v>9095</v>
      </c>
      <c r="ISG1" s="286" t="s">
        <v>9096</v>
      </c>
      <c r="ISH1" s="286" t="s">
        <v>9097</v>
      </c>
      <c r="ISI1" s="286" t="s">
        <v>9098</v>
      </c>
      <c r="ISJ1" s="286" t="s">
        <v>9099</v>
      </c>
      <c r="ISK1" s="286" t="s">
        <v>9100</v>
      </c>
      <c r="ISL1" s="286" t="s">
        <v>9101</v>
      </c>
      <c r="ISM1" s="286" t="s">
        <v>9102</v>
      </c>
      <c r="ISN1" s="286" t="s">
        <v>9103</v>
      </c>
      <c r="ISO1" s="286" t="s">
        <v>9104</v>
      </c>
      <c r="ISP1" s="286" t="s">
        <v>9105</v>
      </c>
      <c r="ISQ1" s="286" t="s">
        <v>9106</v>
      </c>
      <c r="ISR1" s="286" t="s">
        <v>9107</v>
      </c>
      <c r="ISS1" s="286" t="s">
        <v>9108</v>
      </c>
      <c r="IST1" s="286" t="s">
        <v>9109</v>
      </c>
      <c r="ISU1" s="286" t="s">
        <v>9110</v>
      </c>
      <c r="ISV1" s="286" t="s">
        <v>9111</v>
      </c>
      <c r="ISW1" s="286" t="s">
        <v>9112</v>
      </c>
      <c r="ISX1" s="286" t="s">
        <v>9113</v>
      </c>
      <c r="ISY1" s="286" t="s">
        <v>9114</v>
      </c>
      <c r="ISZ1" s="286" t="s">
        <v>9115</v>
      </c>
      <c r="ITA1" s="286" t="s">
        <v>9116</v>
      </c>
      <c r="ITB1" s="286" t="s">
        <v>9117</v>
      </c>
      <c r="ITC1" s="286" t="s">
        <v>9118</v>
      </c>
      <c r="ITD1" s="286" t="s">
        <v>9119</v>
      </c>
      <c r="ITE1" s="286" t="s">
        <v>9120</v>
      </c>
      <c r="ITF1" s="286" t="s">
        <v>9121</v>
      </c>
      <c r="ITG1" s="286" t="s">
        <v>9122</v>
      </c>
      <c r="ITH1" s="286" t="s">
        <v>9123</v>
      </c>
      <c r="ITI1" s="286" t="s">
        <v>9124</v>
      </c>
      <c r="ITJ1" s="286" t="s">
        <v>9125</v>
      </c>
      <c r="ITK1" s="286" t="s">
        <v>9126</v>
      </c>
      <c r="ITL1" s="286" t="s">
        <v>9127</v>
      </c>
      <c r="ITM1" s="286" t="s">
        <v>9128</v>
      </c>
      <c r="ITN1" s="286" t="s">
        <v>9129</v>
      </c>
      <c r="ITO1" s="286" t="s">
        <v>9130</v>
      </c>
      <c r="ITP1" s="286" t="s">
        <v>9131</v>
      </c>
      <c r="ITQ1" s="286" t="s">
        <v>9132</v>
      </c>
      <c r="ITR1" s="286" t="s">
        <v>9133</v>
      </c>
      <c r="ITS1" s="286" t="s">
        <v>9134</v>
      </c>
      <c r="ITT1" s="286" t="s">
        <v>9135</v>
      </c>
      <c r="ITU1" s="286" t="s">
        <v>9136</v>
      </c>
      <c r="ITV1" s="286" t="s">
        <v>9137</v>
      </c>
      <c r="ITW1" s="286" t="s">
        <v>9138</v>
      </c>
      <c r="ITX1" s="286" t="s">
        <v>9139</v>
      </c>
      <c r="ITY1" s="286" t="s">
        <v>9140</v>
      </c>
      <c r="ITZ1" s="286" t="s">
        <v>9141</v>
      </c>
      <c r="IUA1" s="286" t="s">
        <v>9142</v>
      </c>
      <c r="IUB1" s="286" t="s">
        <v>9143</v>
      </c>
      <c r="IUC1" s="286" t="s">
        <v>9144</v>
      </c>
      <c r="IUD1" s="286" t="s">
        <v>9145</v>
      </c>
      <c r="IUE1" s="286" t="s">
        <v>9146</v>
      </c>
      <c r="IUF1" s="286" t="s">
        <v>9147</v>
      </c>
      <c r="IUG1" s="286" t="s">
        <v>9148</v>
      </c>
      <c r="IUH1" s="286" t="s">
        <v>9149</v>
      </c>
      <c r="IUI1" s="286" t="s">
        <v>9150</v>
      </c>
      <c r="IUJ1" s="286" t="s">
        <v>9151</v>
      </c>
      <c r="IUK1" s="286" t="s">
        <v>9152</v>
      </c>
      <c r="IUL1" s="286" t="s">
        <v>9153</v>
      </c>
      <c r="IUM1" s="286" t="s">
        <v>9154</v>
      </c>
      <c r="IUN1" s="286" t="s">
        <v>9155</v>
      </c>
      <c r="IUO1" s="286" t="s">
        <v>9156</v>
      </c>
      <c r="IUP1" s="286" t="s">
        <v>9157</v>
      </c>
      <c r="IUQ1" s="286" t="s">
        <v>9158</v>
      </c>
      <c r="IUR1" s="286" t="s">
        <v>9159</v>
      </c>
      <c r="IUS1" s="286" t="s">
        <v>9160</v>
      </c>
      <c r="IUT1" s="286" t="s">
        <v>9161</v>
      </c>
      <c r="IUU1" s="286" t="s">
        <v>9162</v>
      </c>
      <c r="IUV1" s="286" t="s">
        <v>9163</v>
      </c>
      <c r="IUW1" s="286" t="s">
        <v>9164</v>
      </c>
      <c r="IUX1" s="286" t="s">
        <v>9165</v>
      </c>
      <c r="IUY1" s="286" t="s">
        <v>9166</v>
      </c>
      <c r="IUZ1" s="286" t="s">
        <v>9167</v>
      </c>
      <c r="IVA1" s="286" t="s">
        <v>9168</v>
      </c>
      <c r="IVB1" s="286" t="s">
        <v>9169</v>
      </c>
      <c r="IVC1" s="286" t="s">
        <v>9170</v>
      </c>
      <c r="IVD1" s="286" t="s">
        <v>9171</v>
      </c>
      <c r="IVE1" s="286" t="s">
        <v>9172</v>
      </c>
      <c r="IVF1" s="286" t="s">
        <v>9173</v>
      </c>
      <c r="IVG1" s="286" t="s">
        <v>9174</v>
      </c>
      <c r="IVH1" s="286" t="s">
        <v>9175</v>
      </c>
      <c r="IVI1" s="286" t="s">
        <v>9176</v>
      </c>
      <c r="IVJ1" s="286" t="s">
        <v>9177</v>
      </c>
      <c r="IVK1" s="286" t="s">
        <v>9178</v>
      </c>
      <c r="IVL1" s="286" t="s">
        <v>9179</v>
      </c>
      <c r="IVM1" s="286" t="s">
        <v>9180</v>
      </c>
      <c r="IVN1" s="286" t="s">
        <v>9181</v>
      </c>
      <c r="IVO1" s="286" t="s">
        <v>9182</v>
      </c>
      <c r="IVP1" s="286" t="s">
        <v>9183</v>
      </c>
      <c r="IVQ1" s="286" t="s">
        <v>9184</v>
      </c>
      <c r="IVR1" s="286" t="s">
        <v>9185</v>
      </c>
      <c r="IVS1" s="286" t="s">
        <v>9186</v>
      </c>
      <c r="IVT1" s="286" t="s">
        <v>9187</v>
      </c>
      <c r="IVU1" s="286" t="s">
        <v>9188</v>
      </c>
      <c r="IVV1" s="286" t="s">
        <v>9189</v>
      </c>
      <c r="IVW1" s="286" t="s">
        <v>9190</v>
      </c>
      <c r="IVX1" s="286" t="s">
        <v>9191</v>
      </c>
      <c r="IVY1" s="286" t="s">
        <v>9192</v>
      </c>
      <c r="IVZ1" s="286" t="s">
        <v>9193</v>
      </c>
      <c r="IWA1" s="286" t="s">
        <v>9194</v>
      </c>
      <c r="IWB1" s="286" t="s">
        <v>9195</v>
      </c>
      <c r="IWC1" s="286" t="s">
        <v>9196</v>
      </c>
      <c r="IWD1" s="286" t="s">
        <v>9197</v>
      </c>
      <c r="IWE1" s="286" t="s">
        <v>9198</v>
      </c>
      <c r="IWF1" s="286" t="s">
        <v>9199</v>
      </c>
      <c r="IWG1" s="286" t="s">
        <v>9200</v>
      </c>
      <c r="IWH1" s="286" t="s">
        <v>9201</v>
      </c>
      <c r="IWI1" s="286" t="s">
        <v>9202</v>
      </c>
      <c r="IWJ1" s="286" t="s">
        <v>9203</v>
      </c>
      <c r="IWK1" s="286" t="s">
        <v>9204</v>
      </c>
      <c r="IWL1" s="286" t="s">
        <v>9205</v>
      </c>
      <c r="IWM1" s="286" t="s">
        <v>9206</v>
      </c>
      <c r="IWN1" s="286" t="s">
        <v>9207</v>
      </c>
      <c r="IWO1" s="286" t="s">
        <v>9208</v>
      </c>
      <c r="IWP1" s="286" t="s">
        <v>9209</v>
      </c>
      <c r="IWQ1" s="286" t="s">
        <v>9210</v>
      </c>
      <c r="IWR1" s="286" t="s">
        <v>9211</v>
      </c>
      <c r="IWS1" s="286" t="s">
        <v>9212</v>
      </c>
      <c r="IWT1" s="286" t="s">
        <v>9213</v>
      </c>
      <c r="IWU1" s="286" t="s">
        <v>9214</v>
      </c>
      <c r="IWV1" s="286" t="s">
        <v>9215</v>
      </c>
      <c r="IWW1" s="286" t="s">
        <v>9216</v>
      </c>
      <c r="IWX1" s="286" t="s">
        <v>9217</v>
      </c>
      <c r="IWY1" s="286" t="s">
        <v>9218</v>
      </c>
      <c r="IWZ1" s="286" t="s">
        <v>9219</v>
      </c>
      <c r="IXA1" s="286" t="s">
        <v>9220</v>
      </c>
      <c r="IXB1" s="286" t="s">
        <v>9221</v>
      </c>
      <c r="IXC1" s="286" t="s">
        <v>9222</v>
      </c>
      <c r="IXD1" s="286" t="s">
        <v>9223</v>
      </c>
      <c r="IXE1" s="286" t="s">
        <v>9224</v>
      </c>
      <c r="IXF1" s="286" t="s">
        <v>9225</v>
      </c>
      <c r="IXG1" s="286" t="s">
        <v>9226</v>
      </c>
      <c r="IXH1" s="286" t="s">
        <v>9227</v>
      </c>
      <c r="IXI1" s="286" t="s">
        <v>9228</v>
      </c>
      <c r="IXJ1" s="286" t="s">
        <v>9229</v>
      </c>
      <c r="IXK1" s="286" t="s">
        <v>9230</v>
      </c>
      <c r="IXL1" s="286" t="s">
        <v>9231</v>
      </c>
      <c r="IXM1" s="286" t="s">
        <v>9232</v>
      </c>
      <c r="IXN1" s="286" t="s">
        <v>9233</v>
      </c>
      <c r="IXO1" s="286" t="s">
        <v>9234</v>
      </c>
      <c r="IXP1" s="286" t="s">
        <v>9235</v>
      </c>
      <c r="IXQ1" s="286" t="s">
        <v>9236</v>
      </c>
      <c r="IXR1" s="286" t="s">
        <v>9237</v>
      </c>
      <c r="IXS1" s="286" t="s">
        <v>9238</v>
      </c>
      <c r="IXT1" s="286" t="s">
        <v>9239</v>
      </c>
      <c r="IXU1" s="286" t="s">
        <v>9240</v>
      </c>
      <c r="IXV1" s="286" t="s">
        <v>9241</v>
      </c>
      <c r="IXW1" s="286" t="s">
        <v>9242</v>
      </c>
      <c r="IXX1" s="286" t="s">
        <v>9243</v>
      </c>
      <c r="IXY1" s="286" t="s">
        <v>9244</v>
      </c>
      <c r="IXZ1" s="286" t="s">
        <v>9245</v>
      </c>
      <c r="IYA1" s="286" t="s">
        <v>9246</v>
      </c>
      <c r="IYB1" s="286" t="s">
        <v>9247</v>
      </c>
      <c r="IYC1" s="286" t="s">
        <v>9248</v>
      </c>
      <c r="IYD1" s="286" t="s">
        <v>9249</v>
      </c>
      <c r="IYE1" s="286" t="s">
        <v>9250</v>
      </c>
      <c r="IYF1" s="286" t="s">
        <v>9251</v>
      </c>
      <c r="IYG1" s="286" t="s">
        <v>9252</v>
      </c>
      <c r="IYH1" s="286" t="s">
        <v>9253</v>
      </c>
      <c r="IYI1" s="286" t="s">
        <v>9254</v>
      </c>
      <c r="IYJ1" s="286" t="s">
        <v>9255</v>
      </c>
      <c r="IYK1" s="286" t="s">
        <v>9256</v>
      </c>
      <c r="IYL1" s="286" t="s">
        <v>9257</v>
      </c>
      <c r="IYM1" s="286" t="s">
        <v>9258</v>
      </c>
      <c r="IYN1" s="286" t="s">
        <v>9259</v>
      </c>
      <c r="IYO1" s="286" t="s">
        <v>9260</v>
      </c>
      <c r="IYP1" s="286" t="s">
        <v>9261</v>
      </c>
      <c r="IYQ1" s="286" t="s">
        <v>9262</v>
      </c>
      <c r="IYR1" s="286" t="s">
        <v>9263</v>
      </c>
      <c r="IYS1" s="286" t="s">
        <v>9264</v>
      </c>
      <c r="IYT1" s="286" t="s">
        <v>9265</v>
      </c>
      <c r="IYU1" s="286" t="s">
        <v>9266</v>
      </c>
      <c r="IYV1" s="286" t="s">
        <v>9267</v>
      </c>
      <c r="IYW1" s="286" t="s">
        <v>9268</v>
      </c>
      <c r="IYX1" s="286" t="s">
        <v>9269</v>
      </c>
      <c r="IYY1" s="286" t="s">
        <v>9270</v>
      </c>
      <c r="IYZ1" s="286" t="s">
        <v>9271</v>
      </c>
      <c r="IZA1" s="286" t="s">
        <v>9272</v>
      </c>
      <c r="IZB1" s="286" t="s">
        <v>9273</v>
      </c>
      <c r="IZC1" s="286" t="s">
        <v>9274</v>
      </c>
      <c r="IZD1" s="286" t="s">
        <v>9275</v>
      </c>
      <c r="IZE1" s="286" t="s">
        <v>9276</v>
      </c>
      <c r="IZF1" s="286" t="s">
        <v>9277</v>
      </c>
      <c r="IZG1" s="286" t="s">
        <v>9278</v>
      </c>
      <c r="IZH1" s="286" t="s">
        <v>9279</v>
      </c>
      <c r="IZI1" s="286" t="s">
        <v>9280</v>
      </c>
      <c r="IZJ1" s="286" t="s">
        <v>9281</v>
      </c>
      <c r="IZK1" s="286" t="s">
        <v>9282</v>
      </c>
      <c r="IZL1" s="286" t="s">
        <v>9283</v>
      </c>
      <c r="IZM1" s="286" t="s">
        <v>9284</v>
      </c>
      <c r="IZN1" s="286" t="s">
        <v>9285</v>
      </c>
      <c r="IZO1" s="286" t="s">
        <v>9286</v>
      </c>
      <c r="IZP1" s="286" t="s">
        <v>9287</v>
      </c>
      <c r="IZQ1" s="286" t="s">
        <v>9288</v>
      </c>
      <c r="IZR1" s="286" t="s">
        <v>9289</v>
      </c>
      <c r="IZS1" s="286" t="s">
        <v>9290</v>
      </c>
      <c r="IZT1" s="286" t="s">
        <v>9291</v>
      </c>
      <c r="IZU1" s="286" t="s">
        <v>9292</v>
      </c>
      <c r="IZV1" s="286" t="s">
        <v>9293</v>
      </c>
      <c r="IZW1" s="286" t="s">
        <v>9294</v>
      </c>
      <c r="IZX1" s="286" t="s">
        <v>9295</v>
      </c>
      <c r="IZY1" s="286" t="s">
        <v>9296</v>
      </c>
      <c r="IZZ1" s="286" t="s">
        <v>9297</v>
      </c>
      <c r="JAA1" s="286" t="s">
        <v>9298</v>
      </c>
      <c r="JAB1" s="286" t="s">
        <v>9299</v>
      </c>
      <c r="JAC1" s="286" t="s">
        <v>9300</v>
      </c>
      <c r="JAD1" s="286" t="s">
        <v>9301</v>
      </c>
      <c r="JAE1" s="286" t="s">
        <v>9302</v>
      </c>
      <c r="JAF1" s="286" t="s">
        <v>9303</v>
      </c>
      <c r="JAG1" s="286" t="s">
        <v>9304</v>
      </c>
      <c r="JAH1" s="286" t="s">
        <v>9305</v>
      </c>
      <c r="JAI1" s="286" t="s">
        <v>9306</v>
      </c>
      <c r="JAJ1" s="286" t="s">
        <v>9307</v>
      </c>
      <c r="JAK1" s="286" t="s">
        <v>9308</v>
      </c>
      <c r="JAL1" s="286" t="s">
        <v>9309</v>
      </c>
      <c r="JAM1" s="286" t="s">
        <v>9310</v>
      </c>
      <c r="JAN1" s="286" t="s">
        <v>9311</v>
      </c>
      <c r="JAO1" s="286" t="s">
        <v>9312</v>
      </c>
      <c r="JAP1" s="286" t="s">
        <v>9313</v>
      </c>
      <c r="JAQ1" s="286" t="s">
        <v>9314</v>
      </c>
      <c r="JAR1" s="286" t="s">
        <v>9315</v>
      </c>
      <c r="JAS1" s="286" t="s">
        <v>9316</v>
      </c>
      <c r="JAT1" s="286" t="s">
        <v>9317</v>
      </c>
      <c r="JAU1" s="286" t="s">
        <v>9318</v>
      </c>
      <c r="JAV1" s="286" t="s">
        <v>9319</v>
      </c>
      <c r="JAW1" s="286" t="s">
        <v>9320</v>
      </c>
      <c r="JAX1" s="286" t="s">
        <v>9321</v>
      </c>
      <c r="JAY1" s="286" t="s">
        <v>9322</v>
      </c>
      <c r="JAZ1" s="286" t="s">
        <v>9323</v>
      </c>
      <c r="JBA1" s="286" t="s">
        <v>9324</v>
      </c>
      <c r="JBB1" s="286" t="s">
        <v>9325</v>
      </c>
      <c r="JBC1" s="286" t="s">
        <v>9326</v>
      </c>
      <c r="JBD1" s="286" t="s">
        <v>9327</v>
      </c>
      <c r="JBE1" s="286" t="s">
        <v>9328</v>
      </c>
      <c r="JBF1" s="286" t="s">
        <v>9329</v>
      </c>
      <c r="JBG1" s="286" t="s">
        <v>9330</v>
      </c>
      <c r="JBH1" s="286" t="s">
        <v>9331</v>
      </c>
      <c r="JBI1" s="286" t="s">
        <v>9332</v>
      </c>
      <c r="JBJ1" s="286" t="s">
        <v>9333</v>
      </c>
      <c r="JBK1" s="286" t="s">
        <v>9334</v>
      </c>
      <c r="JBL1" s="286" t="s">
        <v>9335</v>
      </c>
      <c r="JBM1" s="286" t="s">
        <v>9336</v>
      </c>
      <c r="JBN1" s="286" t="s">
        <v>9337</v>
      </c>
      <c r="JBO1" s="286" t="s">
        <v>9338</v>
      </c>
      <c r="JBP1" s="286" t="s">
        <v>9339</v>
      </c>
      <c r="JBQ1" s="286" t="s">
        <v>9340</v>
      </c>
      <c r="JBR1" s="286" t="s">
        <v>9341</v>
      </c>
      <c r="JBS1" s="286" t="s">
        <v>9342</v>
      </c>
      <c r="JBT1" s="286" t="s">
        <v>9343</v>
      </c>
      <c r="JBU1" s="286" t="s">
        <v>9344</v>
      </c>
      <c r="JBV1" s="286" t="s">
        <v>9345</v>
      </c>
      <c r="JBW1" s="286" t="s">
        <v>9346</v>
      </c>
      <c r="JBX1" s="286" t="s">
        <v>9347</v>
      </c>
      <c r="JBY1" s="286" t="s">
        <v>9348</v>
      </c>
      <c r="JBZ1" s="286" t="s">
        <v>9349</v>
      </c>
      <c r="JCA1" s="286" t="s">
        <v>9350</v>
      </c>
      <c r="JCB1" s="286" t="s">
        <v>9351</v>
      </c>
      <c r="JCC1" s="286" t="s">
        <v>9352</v>
      </c>
      <c r="JCD1" s="286" t="s">
        <v>9353</v>
      </c>
      <c r="JCE1" s="286" t="s">
        <v>9354</v>
      </c>
      <c r="JCF1" s="286" t="s">
        <v>9355</v>
      </c>
      <c r="JCG1" s="286" t="s">
        <v>9356</v>
      </c>
      <c r="JCH1" s="286" t="s">
        <v>9357</v>
      </c>
      <c r="JCI1" s="286" t="s">
        <v>9358</v>
      </c>
      <c r="JCJ1" s="286" t="s">
        <v>9359</v>
      </c>
      <c r="JCK1" s="286" t="s">
        <v>9360</v>
      </c>
      <c r="JCL1" s="286" t="s">
        <v>9361</v>
      </c>
      <c r="JCM1" s="286" t="s">
        <v>9362</v>
      </c>
      <c r="JCN1" s="286" t="s">
        <v>9363</v>
      </c>
      <c r="JCO1" s="286" t="s">
        <v>9364</v>
      </c>
      <c r="JCP1" s="286" t="s">
        <v>9365</v>
      </c>
      <c r="JCQ1" s="286" t="s">
        <v>9366</v>
      </c>
      <c r="JCR1" s="286" t="s">
        <v>9367</v>
      </c>
      <c r="JCS1" s="286" t="s">
        <v>9368</v>
      </c>
      <c r="JCT1" s="286" t="s">
        <v>9369</v>
      </c>
      <c r="JCU1" s="286" t="s">
        <v>9370</v>
      </c>
      <c r="JCV1" s="286" t="s">
        <v>9371</v>
      </c>
      <c r="JCW1" s="286" t="s">
        <v>9372</v>
      </c>
      <c r="JCX1" s="286" t="s">
        <v>9373</v>
      </c>
      <c r="JCY1" s="286" t="s">
        <v>9374</v>
      </c>
      <c r="JCZ1" s="286" t="s">
        <v>9375</v>
      </c>
      <c r="JDA1" s="286" t="s">
        <v>9376</v>
      </c>
      <c r="JDB1" s="286" t="s">
        <v>9377</v>
      </c>
      <c r="JDC1" s="286" t="s">
        <v>9378</v>
      </c>
      <c r="JDD1" s="286" t="s">
        <v>9379</v>
      </c>
      <c r="JDE1" s="286" t="s">
        <v>9380</v>
      </c>
      <c r="JDF1" s="286" t="s">
        <v>9381</v>
      </c>
      <c r="JDG1" s="286" t="s">
        <v>9382</v>
      </c>
      <c r="JDH1" s="286" t="s">
        <v>9383</v>
      </c>
      <c r="JDI1" s="286" t="s">
        <v>9384</v>
      </c>
      <c r="JDJ1" s="286" t="s">
        <v>9385</v>
      </c>
      <c r="JDK1" s="286" t="s">
        <v>9386</v>
      </c>
      <c r="JDL1" s="286" t="s">
        <v>9387</v>
      </c>
      <c r="JDM1" s="286" t="s">
        <v>9388</v>
      </c>
      <c r="JDN1" s="286" t="s">
        <v>9389</v>
      </c>
      <c r="JDO1" s="286" t="s">
        <v>9390</v>
      </c>
      <c r="JDP1" s="286" t="s">
        <v>9391</v>
      </c>
      <c r="JDQ1" s="286" t="s">
        <v>9392</v>
      </c>
      <c r="JDR1" s="286" t="s">
        <v>9393</v>
      </c>
      <c r="JDS1" s="286" t="s">
        <v>9394</v>
      </c>
      <c r="JDT1" s="286" t="s">
        <v>9395</v>
      </c>
      <c r="JDU1" s="286" t="s">
        <v>9396</v>
      </c>
      <c r="JDV1" s="286" t="s">
        <v>9397</v>
      </c>
      <c r="JDW1" s="286" t="s">
        <v>9398</v>
      </c>
      <c r="JDX1" s="286" t="s">
        <v>9399</v>
      </c>
      <c r="JDY1" s="286" t="s">
        <v>9400</v>
      </c>
      <c r="JDZ1" s="286" t="s">
        <v>9401</v>
      </c>
      <c r="JEA1" s="286" t="s">
        <v>9402</v>
      </c>
      <c r="JEB1" s="286" t="s">
        <v>9403</v>
      </c>
      <c r="JEC1" s="286" t="s">
        <v>9404</v>
      </c>
      <c r="JED1" s="286" t="s">
        <v>9405</v>
      </c>
      <c r="JEE1" s="286" t="s">
        <v>9406</v>
      </c>
      <c r="JEF1" s="286" t="s">
        <v>9407</v>
      </c>
      <c r="JEG1" s="286" t="s">
        <v>9408</v>
      </c>
      <c r="JEH1" s="286" t="s">
        <v>9409</v>
      </c>
      <c r="JEI1" s="286" t="s">
        <v>9410</v>
      </c>
      <c r="JEJ1" s="286" t="s">
        <v>9411</v>
      </c>
      <c r="JEK1" s="286" t="s">
        <v>9412</v>
      </c>
      <c r="JEL1" s="286" t="s">
        <v>9413</v>
      </c>
      <c r="JEM1" s="286" t="s">
        <v>9414</v>
      </c>
      <c r="JEN1" s="286" t="s">
        <v>9415</v>
      </c>
      <c r="JEO1" s="286" t="s">
        <v>9416</v>
      </c>
      <c r="JEP1" s="286" t="s">
        <v>9417</v>
      </c>
      <c r="JEQ1" s="286" t="s">
        <v>9418</v>
      </c>
      <c r="JER1" s="286" t="s">
        <v>9419</v>
      </c>
      <c r="JES1" s="286" t="s">
        <v>9420</v>
      </c>
      <c r="JET1" s="286" t="s">
        <v>9421</v>
      </c>
      <c r="JEU1" s="286" t="s">
        <v>9422</v>
      </c>
      <c r="JEV1" s="286" t="s">
        <v>9423</v>
      </c>
      <c r="JEW1" s="286" t="s">
        <v>9424</v>
      </c>
      <c r="JEX1" s="286" t="s">
        <v>9425</v>
      </c>
      <c r="JEY1" s="286" t="s">
        <v>9426</v>
      </c>
      <c r="JEZ1" s="286" t="s">
        <v>9427</v>
      </c>
      <c r="JFA1" s="286" t="s">
        <v>9428</v>
      </c>
      <c r="JFB1" s="286" t="s">
        <v>9429</v>
      </c>
      <c r="JFC1" s="286" t="s">
        <v>9430</v>
      </c>
      <c r="JFD1" s="286" t="s">
        <v>9431</v>
      </c>
      <c r="JFE1" s="286" t="s">
        <v>9432</v>
      </c>
      <c r="JFF1" s="286" t="s">
        <v>9433</v>
      </c>
      <c r="JFG1" s="286" t="s">
        <v>9434</v>
      </c>
      <c r="JFH1" s="286" t="s">
        <v>9435</v>
      </c>
      <c r="JFI1" s="286" t="s">
        <v>9436</v>
      </c>
      <c r="JFJ1" s="286" t="s">
        <v>9437</v>
      </c>
      <c r="JFK1" s="286" t="s">
        <v>9438</v>
      </c>
      <c r="JFL1" s="286" t="s">
        <v>9439</v>
      </c>
      <c r="JFM1" s="286" t="s">
        <v>9440</v>
      </c>
      <c r="JFN1" s="286" t="s">
        <v>9441</v>
      </c>
      <c r="JFO1" s="286" t="s">
        <v>9442</v>
      </c>
      <c r="JFP1" s="286" t="s">
        <v>9443</v>
      </c>
      <c r="JFQ1" s="286" t="s">
        <v>9444</v>
      </c>
      <c r="JFR1" s="286" t="s">
        <v>9445</v>
      </c>
      <c r="JFS1" s="286" t="s">
        <v>9446</v>
      </c>
      <c r="JFT1" s="286" t="s">
        <v>9447</v>
      </c>
      <c r="JFU1" s="286" t="s">
        <v>9448</v>
      </c>
      <c r="JFV1" s="286" t="s">
        <v>9449</v>
      </c>
      <c r="JFW1" s="286" t="s">
        <v>9450</v>
      </c>
      <c r="JFX1" s="286" t="s">
        <v>9451</v>
      </c>
      <c r="JFY1" s="286" t="s">
        <v>9452</v>
      </c>
      <c r="JFZ1" s="286" t="s">
        <v>9453</v>
      </c>
      <c r="JGA1" s="286" t="s">
        <v>9454</v>
      </c>
      <c r="JGB1" s="286" t="s">
        <v>9455</v>
      </c>
      <c r="JGC1" s="286" t="s">
        <v>9456</v>
      </c>
      <c r="JGD1" s="286" t="s">
        <v>9457</v>
      </c>
      <c r="JGE1" s="286" t="s">
        <v>9458</v>
      </c>
      <c r="JGF1" s="286" t="s">
        <v>9459</v>
      </c>
      <c r="JGG1" s="286" t="s">
        <v>9460</v>
      </c>
      <c r="JGH1" s="286" t="s">
        <v>9461</v>
      </c>
      <c r="JGI1" s="286" t="s">
        <v>9462</v>
      </c>
      <c r="JGJ1" s="286" t="s">
        <v>9463</v>
      </c>
      <c r="JGK1" s="286" t="s">
        <v>9464</v>
      </c>
      <c r="JGL1" s="286" t="s">
        <v>9465</v>
      </c>
      <c r="JGM1" s="286" t="s">
        <v>9466</v>
      </c>
      <c r="JGN1" s="286" t="s">
        <v>9467</v>
      </c>
      <c r="JGO1" s="286" t="s">
        <v>9468</v>
      </c>
      <c r="JGP1" s="286" t="s">
        <v>9469</v>
      </c>
      <c r="JGQ1" s="286" t="s">
        <v>9470</v>
      </c>
      <c r="JGR1" s="286" t="s">
        <v>9471</v>
      </c>
      <c r="JGS1" s="286" t="s">
        <v>9472</v>
      </c>
      <c r="JGT1" s="286" t="s">
        <v>9473</v>
      </c>
      <c r="JGU1" s="286" t="s">
        <v>9474</v>
      </c>
      <c r="JGV1" s="286" t="s">
        <v>9475</v>
      </c>
      <c r="JGW1" s="286" t="s">
        <v>9476</v>
      </c>
      <c r="JGX1" s="286" t="s">
        <v>9477</v>
      </c>
      <c r="JGY1" s="286" t="s">
        <v>9478</v>
      </c>
      <c r="JGZ1" s="286" t="s">
        <v>9479</v>
      </c>
      <c r="JHA1" s="286" t="s">
        <v>9480</v>
      </c>
      <c r="JHB1" s="286" t="s">
        <v>9481</v>
      </c>
      <c r="JHC1" s="286" t="s">
        <v>9482</v>
      </c>
      <c r="JHD1" s="286" t="s">
        <v>9483</v>
      </c>
      <c r="JHE1" s="286" t="s">
        <v>9484</v>
      </c>
      <c r="JHF1" s="286" t="s">
        <v>9485</v>
      </c>
      <c r="JHG1" s="286" t="s">
        <v>9486</v>
      </c>
      <c r="JHH1" s="286" t="s">
        <v>9487</v>
      </c>
      <c r="JHI1" s="286" t="s">
        <v>9488</v>
      </c>
      <c r="JHJ1" s="286" t="s">
        <v>9489</v>
      </c>
      <c r="JHK1" s="286" t="s">
        <v>9490</v>
      </c>
      <c r="JHL1" s="286" t="s">
        <v>9491</v>
      </c>
      <c r="JHM1" s="286" t="s">
        <v>9492</v>
      </c>
      <c r="JHN1" s="286" t="s">
        <v>9493</v>
      </c>
      <c r="JHO1" s="286" t="s">
        <v>9494</v>
      </c>
      <c r="JHP1" s="286" t="s">
        <v>9495</v>
      </c>
      <c r="JHQ1" s="286" t="s">
        <v>9496</v>
      </c>
      <c r="JHR1" s="286" t="s">
        <v>9497</v>
      </c>
      <c r="JHS1" s="286" t="s">
        <v>9498</v>
      </c>
      <c r="JHT1" s="286" t="s">
        <v>9499</v>
      </c>
      <c r="JHU1" s="286" t="s">
        <v>9500</v>
      </c>
      <c r="JHV1" s="286" t="s">
        <v>9501</v>
      </c>
      <c r="JHW1" s="286" t="s">
        <v>9502</v>
      </c>
      <c r="JHX1" s="286" t="s">
        <v>9503</v>
      </c>
      <c r="JHY1" s="286" t="s">
        <v>9504</v>
      </c>
      <c r="JHZ1" s="286" t="s">
        <v>9505</v>
      </c>
      <c r="JIA1" s="286" t="s">
        <v>9506</v>
      </c>
      <c r="JIB1" s="286" t="s">
        <v>9507</v>
      </c>
      <c r="JIC1" s="286" t="s">
        <v>9508</v>
      </c>
      <c r="JID1" s="286" t="s">
        <v>9509</v>
      </c>
      <c r="JIE1" s="286" t="s">
        <v>9510</v>
      </c>
      <c r="JIF1" s="286" t="s">
        <v>9511</v>
      </c>
      <c r="JIG1" s="286" t="s">
        <v>9512</v>
      </c>
      <c r="JIH1" s="286" t="s">
        <v>9513</v>
      </c>
      <c r="JII1" s="286" t="s">
        <v>9514</v>
      </c>
      <c r="JIJ1" s="286" t="s">
        <v>9515</v>
      </c>
      <c r="JIK1" s="286" t="s">
        <v>9516</v>
      </c>
      <c r="JIL1" s="286" t="s">
        <v>9517</v>
      </c>
      <c r="JIM1" s="286" t="s">
        <v>9518</v>
      </c>
      <c r="JIN1" s="286" t="s">
        <v>9519</v>
      </c>
      <c r="JIO1" s="286" t="s">
        <v>9520</v>
      </c>
      <c r="JIP1" s="286" t="s">
        <v>9521</v>
      </c>
      <c r="JIQ1" s="286" t="s">
        <v>9522</v>
      </c>
      <c r="JIR1" s="286" t="s">
        <v>9523</v>
      </c>
      <c r="JIS1" s="286" t="s">
        <v>9524</v>
      </c>
      <c r="JIT1" s="286" t="s">
        <v>9525</v>
      </c>
      <c r="JIU1" s="286" t="s">
        <v>9526</v>
      </c>
      <c r="JIV1" s="286" t="s">
        <v>9527</v>
      </c>
      <c r="JIW1" s="286" t="s">
        <v>9528</v>
      </c>
      <c r="JIX1" s="286" t="s">
        <v>9529</v>
      </c>
      <c r="JIY1" s="286" t="s">
        <v>9530</v>
      </c>
      <c r="JIZ1" s="286" t="s">
        <v>9531</v>
      </c>
      <c r="JJA1" s="286" t="s">
        <v>9532</v>
      </c>
      <c r="JJB1" s="286" t="s">
        <v>9533</v>
      </c>
      <c r="JJC1" s="286" t="s">
        <v>9534</v>
      </c>
      <c r="JJD1" s="286" t="s">
        <v>9535</v>
      </c>
      <c r="JJE1" s="286" t="s">
        <v>9536</v>
      </c>
      <c r="JJF1" s="286" t="s">
        <v>9537</v>
      </c>
      <c r="JJG1" s="286" t="s">
        <v>9538</v>
      </c>
      <c r="JJH1" s="286" t="s">
        <v>9539</v>
      </c>
      <c r="JJI1" s="286" t="s">
        <v>9540</v>
      </c>
      <c r="JJJ1" s="286" t="s">
        <v>9541</v>
      </c>
      <c r="JJK1" s="286" t="s">
        <v>9542</v>
      </c>
      <c r="JJL1" s="286" t="s">
        <v>9543</v>
      </c>
      <c r="JJM1" s="286" t="s">
        <v>9544</v>
      </c>
      <c r="JJN1" s="286" t="s">
        <v>9545</v>
      </c>
      <c r="JJO1" s="286" t="s">
        <v>9546</v>
      </c>
      <c r="JJP1" s="286" t="s">
        <v>9547</v>
      </c>
      <c r="JJQ1" s="286" t="s">
        <v>9548</v>
      </c>
      <c r="JJR1" s="286" t="s">
        <v>9549</v>
      </c>
      <c r="JJS1" s="286" t="s">
        <v>9550</v>
      </c>
      <c r="JJT1" s="286" t="s">
        <v>9551</v>
      </c>
      <c r="JJU1" s="286" t="s">
        <v>9552</v>
      </c>
      <c r="JJV1" s="286" t="s">
        <v>9553</v>
      </c>
      <c r="JJW1" s="286" t="s">
        <v>9554</v>
      </c>
      <c r="JJX1" s="286" t="s">
        <v>9555</v>
      </c>
      <c r="JJY1" s="286" t="s">
        <v>9556</v>
      </c>
      <c r="JJZ1" s="286" t="s">
        <v>9557</v>
      </c>
      <c r="JKA1" s="286" t="s">
        <v>9558</v>
      </c>
      <c r="JKB1" s="286" t="s">
        <v>9559</v>
      </c>
      <c r="JKC1" s="286" t="s">
        <v>9560</v>
      </c>
      <c r="JKD1" s="286" t="s">
        <v>9561</v>
      </c>
      <c r="JKE1" s="286" t="s">
        <v>9562</v>
      </c>
      <c r="JKF1" s="286" t="s">
        <v>9563</v>
      </c>
      <c r="JKG1" s="286" t="s">
        <v>9564</v>
      </c>
      <c r="JKH1" s="286" t="s">
        <v>9565</v>
      </c>
      <c r="JKI1" s="286" t="s">
        <v>9566</v>
      </c>
      <c r="JKJ1" s="286" t="s">
        <v>9567</v>
      </c>
      <c r="JKK1" s="286" t="s">
        <v>9568</v>
      </c>
      <c r="JKL1" s="286" t="s">
        <v>9569</v>
      </c>
      <c r="JKM1" s="286" t="s">
        <v>9570</v>
      </c>
      <c r="JKN1" s="286" t="s">
        <v>9571</v>
      </c>
      <c r="JKO1" s="286" t="s">
        <v>9572</v>
      </c>
      <c r="JKP1" s="286" t="s">
        <v>9573</v>
      </c>
      <c r="JKQ1" s="286" t="s">
        <v>9574</v>
      </c>
      <c r="JKR1" s="286" t="s">
        <v>9575</v>
      </c>
      <c r="JKS1" s="286" t="s">
        <v>9576</v>
      </c>
      <c r="JKT1" s="286" t="s">
        <v>9577</v>
      </c>
      <c r="JKU1" s="286" t="s">
        <v>9578</v>
      </c>
      <c r="JKV1" s="286" t="s">
        <v>9579</v>
      </c>
      <c r="JKW1" s="286" t="s">
        <v>9580</v>
      </c>
      <c r="JKX1" s="286" t="s">
        <v>9581</v>
      </c>
      <c r="JKY1" s="286" t="s">
        <v>9582</v>
      </c>
      <c r="JKZ1" s="286" t="s">
        <v>9583</v>
      </c>
      <c r="JLA1" s="286" t="s">
        <v>9584</v>
      </c>
      <c r="JLB1" s="286" t="s">
        <v>9585</v>
      </c>
      <c r="JLC1" s="286" t="s">
        <v>9586</v>
      </c>
      <c r="JLD1" s="286" t="s">
        <v>9587</v>
      </c>
      <c r="JLE1" s="286" t="s">
        <v>9588</v>
      </c>
      <c r="JLF1" s="286" t="s">
        <v>9589</v>
      </c>
      <c r="JLG1" s="286" t="s">
        <v>9590</v>
      </c>
      <c r="JLH1" s="286" t="s">
        <v>9591</v>
      </c>
      <c r="JLI1" s="286" t="s">
        <v>9592</v>
      </c>
      <c r="JLJ1" s="286" t="s">
        <v>9593</v>
      </c>
      <c r="JLK1" s="286" t="s">
        <v>9594</v>
      </c>
      <c r="JLL1" s="286" t="s">
        <v>9595</v>
      </c>
      <c r="JLM1" s="286" t="s">
        <v>9596</v>
      </c>
      <c r="JLN1" s="286" t="s">
        <v>9597</v>
      </c>
      <c r="JLO1" s="286" t="s">
        <v>9598</v>
      </c>
      <c r="JLP1" s="286" t="s">
        <v>9599</v>
      </c>
      <c r="JLQ1" s="286" t="s">
        <v>9600</v>
      </c>
      <c r="JLR1" s="286" t="s">
        <v>9601</v>
      </c>
      <c r="JLS1" s="286" t="s">
        <v>9602</v>
      </c>
      <c r="JLT1" s="286" t="s">
        <v>9603</v>
      </c>
      <c r="JLU1" s="286" t="s">
        <v>9604</v>
      </c>
      <c r="JLV1" s="286" t="s">
        <v>9605</v>
      </c>
      <c r="JLW1" s="286" t="s">
        <v>9606</v>
      </c>
      <c r="JLX1" s="286" t="s">
        <v>9607</v>
      </c>
      <c r="JLY1" s="286" t="s">
        <v>9608</v>
      </c>
      <c r="JLZ1" s="286" t="s">
        <v>9609</v>
      </c>
      <c r="JMA1" s="286" t="s">
        <v>9610</v>
      </c>
      <c r="JMB1" s="286" t="s">
        <v>9611</v>
      </c>
      <c r="JMC1" s="286" t="s">
        <v>9612</v>
      </c>
      <c r="JMD1" s="286" t="s">
        <v>9613</v>
      </c>
      <c r="JME1" s="286" t="s">
        <v>9614</v>
      </c>
      <c r="JMF1" s="286" t="s">
        <v>9615</v>
      </c>
      <c r="JMG1" s="286" t="s">
        <v>9616</v>
      </c>
      <c r="JMH1" s="286" t="s">
        <v>9617</v>
      </c>
      <c r="JMI1" s="286" t="s">
        <v>9618</v>
      </c>
      <c r="JMJ1" s="286" t="s">
        <v>9619</v>
      </c>
      <c r="JMK1" s="286" t="s">
        <v>9620</v>
      </c>
      <c r="JML1" s="286" t="s">
        <v>9621</v>
      </c>
      <c r="JMM1" s="286" t="s">
        <v>9622</v>
      </c>
      <c r="JMN1" s="286" t="s">
        <v>9623</v>
      </c>
      <c r="JMO1" s="286" t="s">
        <v>9624</v>
      </c>
      <c r="JMP1" s="286" t="s">
        <v>9625</v>
      </c>
      <c r="JMQ1" s="286" t="s">
        <v>9626</v>
      </c>
      <c r="JMR1" s="286" t="s">
        <v>9627</v>
      </c>
      <c r="JMS1" s="286" t="s">
        <v>9628</v>
      </c>
      <c r="JMT1" s="286" t="s">
        <v>9629</v>
      </c>
      <c r="JMU1" s="286" t="s">
        <v>9630</v>
      </c>
      <c r="JMV1" s="286" t="s">
        <v>9631</v>
      </c>
      <c r="JMW1" s="286" t="s">
        <v>9632</v>
      </c>
      <c r="JMX1" s="286" t="s">
        <v>9633</v>
      </c>
      <c r="JMY1" s="286" t="s">
        <v>9634</v>
      </c>
      <c r="JMZ1" s="286" t="s">
        <v>9635</v>
      </c>
      <c r="JNA1" s="286" t="s">
        <v>9636</v>
      </c>
      <c r="JNB1" s="286" t="s">
        <v>9637</v>
      </c>
      <c r="JNC1" s="286" t="s">
        <v>9638</v>
      </c>
      <c r="JND1" s="286" t="s">
        <v>9639</v>
      </c>
      <c r="JNE1" s="286" t="s">
        <v>9640</v>
      </c>
      <c r="JNF1" s="286" t="s">
        <v>9641</v>
      </c>
      <c r="JNG1" s="286" t="s">
        <v>9642</v>
      </c>
      <c r="JNH1" s="286" t="s">
        <v>9643</v>
      </c>
      <c r="JNI1" s="286" t="s">
        <v>9644</v>
      </c>
      <c r="JNJ1" s="286" t="s">
        <v>9645</v>
      </c>
      <c r="JNK1" s="286" t="s">
        <v>9646</v>
      </c>
      <c r="JNL1" s="286" t="s">
        <v>9647</v>
      </c>
      <c r="JNM1" s="286" t="s">
        <v>9648</v>
      </c>
      <c r="JNN1" s="286" t="s">
        <v>9649</v>
      </c>
      <c r="JNO1" s="286" t="s">
        <v>9650</v>
      </c>
      <c r="JNP1" s="286" t="s">
        <v>9651</v>
      </c>
      <c r="JNQ1" s="286" t="s">
        <v>9652</v>
      </c>
      <c r="JNR1" s="286" t="s">
        <v>9653</v>
      </c>
      <c r="JNS1" s="286" t="s">
        <v>9654</v>
      </c>
      <c r="JNT1" s="286" t="s">
        <v>9655</v>
      </c>
      <c r="JNU1" s="286" t="s">
        <v>9656</v>
      </c>
      <c r="JNV1" s="286" t="s">
        <v>9657</v>
      </c>
      <c r="JNW1" s="286" t="s">
        <v>9658</v>
      </c>
      <c r="JNX1" s="286" t="s">
        <v>9659</v>
      </c>
      <c r="JNY1" s="286" t="s">
        <v>9660</v>
      </c>
      <c r="JNZ1" s="286" t="s">
        <v>9661</v>
      </c>
      <c r="JOA1" s="286" t="s">
        <v>9662</v>
      </c>
      <c r="JOB1" s="286" t="s">
        <v>9663</v>
      </c>
      <c r="JOC1" s="286" t="s">
        <v>9664</v>
      </c>
      <c r="JOD1" s="286" t="s">
        <v>9665</v>
      </c>
      <c r="JOE1" s="286" t="s">
        <v>9666</v>
      </c>
      <c r="JOF1" s="286" t="s">
        <v>9667</v>
      </c>
      <c r="JOG1" s="286" t="s">
        <v>9668</v>
      </c>
      <c r="JOH1" s="286" t="s">
        <v>9669</v>
      </c>
      <c r="JOI1" s="286" t="s">
        <v>9670</v>
      </c>
      <c r="JOJ1" s="286" t="s">
        <v>9671</v>
      </c>
      <c r="JOK1" s="286" t="s">
        <v>9672</v>
      </c>
      <c r="JOL1" s="286" t="s">
        <v>9673</v>
      </c>
      <c r="JOM1" s="286" t="s">
        <v>9674</v>
      </c>
      <c r="JON1" s="286" t="s">
        <v>9675</v>
      </c>
      <c r="JOO1" s="286" t="s">
        <v>9676</v>
      </c>
      <c r="JOP1" s="286" t="s">
        <v>9677</v>
      </c>
      <c r="JOQ1" s="286" t="s">
        <v>9678</v>
      </c>
      <c r="JOR1" s="286" t="s">
        <v>9679</v>
      </c>
      <c r="JOS1" s="286" t="s">
        <v>9680</v>
      </c>
      <c r="JOT1" s="286" t="s">
        <v>9681</v>
      </c>
      <c r="JOU1" s="286" t="s">
        <v>9682</v>
      </c>
      <c r="JOV1" s="286" t="s">
        <v>9683</v>
      </c>
      <c r="JOW1" s="286" t="s">
        <v>9684</v>
      </c>
      <c r="JOX1" s="286" t="s">
        <v>9685</v>
      </c>
      <c r="JOY1" s="286" t="s">
        <v>9686</v>
      </c>
      <c r="JOZ1" s="286" t="s">
        <v>9687</v>
      </c>
      <c r="JPA1" s="286" t="s">
        <v>9688</v>
      </c>
      <c r="JPB1" s="286" t="s">
        <v>9689</v>
      </c>
      <c r="JPC1" s="286" t="s">
        <v>9690</v>
      </c>
      <c r="JPD1" s="286" t="s">
        <v>9691</v>
      </c>
      <c r="JPE1" s="286" t="s">
        <v>9692</v>
      </c>
      <c r="JPF1" s="286" t="s">
        <v>9693</v>
      </c>
      <c r="JPG1" s="286" t="s">
        <v>9694</v>
      </c>
      <c r="JPH1" s="286" t="s">
        <v>9695</v>
      </c>
      <c r="JPI1" s="286" t="s">
        <v>9696</v>
      </c>
      <c r="JPJ1" s="286" t="s">
        <v>9697</v>
      </c>
      <c r="JPK1" s="286" t="s">
        <v>9698</v>
      </c>
      <c r="JPL1" s="286" t="s">
        <v>9699</v>
      </c>
      <c r="JPM1" s="286" t="s">
        <v>9700</v>
      </c>
      <c r="JPN1" s="286" t="s">
        <v>9701</v>
      </c>
      <c r="JPO1" s="286" t="s">
        <v>9702</v>
      </c>
      <c r="JPP1" s="286" t="s">
        <v>9703</v>
      </c>
      <c r="JPQ1" s="286" t="s">
        <v>9704</v>
      </c>
      <c r="JPR1" s="286" t="s">
        <v>9705</v>
      </c>
      <c r="JPS1" s="286" t="s">
        <v>9706</v>
      </c>
      <c r="JPT1" s="286" t="s">
        <v>9707</v>
      </c>
      <c r="JPU1" s="286" t="s">
        <v>9708</v>
      </c>
      <c r="JPV1" s="286" t="s">
        <v>9709</v>
      </c>
      <c r="JPW1" s="286" t="s">
        <v>9710</v>
      </c>
      <c r="JPX1" s="286" t="s">
        <v>9711</v>
      </c>
      <c r="JPY1" s="286" t="s">
        <v>9712</v>
      </c>
      <c r="JPZ1" s="286" t="s">
        <v>9713</v>
      </c>
      <c r="JQA1" s="286" t="s">
        <v>9714</v>
      </c>
      <c r="JQB1" s="286" t="s">
        <v>9715</v>
      </c>
      <c r="JQC1" s="286" t="s">
        <v>9716</v>
      </c>
      <c r="JQD1" s="286" t="s">
        <v>9717</v>
      </c>
      <c r="JQE1" s="286" t="s">
        <v>9718</v>
      </c>
      <c r="JQF1" s="286" t="s">
        <v>9719</v>
      </c>
      <c r="JQG1" s="286" t="s">
        <v>9720</v>
      </c>
      <c r="JQH1" s="286" t="s">
        <v>9721</v>
      </c>
      <c r="JQI1" s="286" t="s">
        <v>9722</v>
      </c>
      <c r="JQJ1" s="286" t="s">
        <v>9723</v>
      </c>
      <c r="JQK1" s="286" t="s">
        <v>9724</v>
      </c>
      <c r="JQL1" s="286" t="s">
        <v>9725</v>
      </c>
      <c r="JQM1" s="286" t="s">
        <v>9726</v>
      </c>
      <c r="JQN1" s="286" t="s">
        <v>9727</v>
      </c>
      <c r="JQO1" s="286" t="s">
        <v>9728</v>
      </c>
      <c r="JQP1" s="286" t="s">
        <v>9729</v>
      </c>
      <c r="JQQ1" s="286" t="s">
        <v>9730</v>
      </c>
      <c r="JQR1" s="286" t="s">
        <v>9731</v>
      </c>
      <c r="JQS1" s="286" t="s">
        <v>9732</v>
      </c>
      <c r="JQT1" s="286" t="s">
        <v>9733</v>
      </c>
      <c r="JQU1" s="286" t="s">
        <v>9734</v>
      </c>
      <c r="JQV1" s="286" t="s">
        <v>9735</v>
      </c>
      <c r="JQW1" s="286" t="s">
        <v>9736</v>
      </c>
      <c r="JQX1" s="286" t="s">
        <v>9737</v>
      </c>
      <c r="JQY1" s="286" t="s">
        <v>9738</v>
      </c>
      <c r="JQZ1" s="286" t="s">
        <v>9739</v>
      </c>
      <c r="JRA1" s="286" t="s">
        <v>9740</v>
      </c>
      <c r="JRB1" s="286" t="s">
        <v>9741</v>
      </c>
      <c r="JRC1" s="286" t="s">
        <v>9742</v>
      </c>
      <c r="JRD1" s="286" t="s">
        <v>9743</v>
      </c>
      <c r="JRE1" s="286" t="s">
        <v>9744</v>
      </c>
      <c r="JRF1" s="286" t="s">
        <v>9745</v>
      </c>
      <c r="JRG1" s="286" t="s">
        <v>9746</v>
      </c>
      <c r="JRH1" s="286" t="s">
        <v>9747</v>
      </c>
      <c r="JRI1" s="286" t="s">
        <v>9748</v>
      </c>
      <c r="JRJ1" s="286" t="s">
        <v>9749</v>
      </c>
      <c r="JRK1" s="286" t="s">
        <v>9750</v>
      </c>
      <c r="JRL1" s="286" t="s">
        <v>9751</v>
      </c>
      <c r="JRM1" s="286" t="s">
        <v>9752</v>
      </c>
      <c r="JRN1" s="286" t="s">
        <v>9753</v>
      </c>
      <c r="JRO1" s="286" t="s">
        <v>9754</v>
      </c>
      <c r="JRP1" s="286" t="s">
        <v>9755</v>
      </c>
      <c r="JRQ1" s="286" t="s">
        <v>9756</v>
      </c>
      <c r="JRR1" s="286" t="s">
        <v>9757</v>
      </c>
      <c r="JRS1" s="286" t="s">
        <v>9758</v>
      </c>
      <c r="JRT1" s="286" t="s">
        <v>9759</v>
      </c>
      <c r="JRU1" s="286" t="s">
        <v>9760</v>
      </c>
      <c r="JRV1" s="286" t="s">
        <v>9761</v>
      </c>
      <c r="JRW1" s="286" t="s">
        <v>9762</v>
      </c>
      <c r="JRX1" s="286" t="s">
        <v>9763</v>
      </c>
      <c r="JRY1" s="286" t="s">
        <v>9764</v>
      </c>
      <c r="JRZ1" s="286" t="s">
        <v>9765</v>
      </c>
      <c r="JSA1" s="286" t="s">
        <v>9766</v>
      </c>
      <c r="JSB1" s="286" t="s">
        <v>9767</v>
      </c>
      <c r="JSC1" s="286" t="s">
        <v>9768</v>
      </c>
      <c r="JSD1" s="286" t="s">
        <v>9769</v>
      </c>
      <c r="JSE1" s="286" t="s">
        <v>9770</v>
      </c>
      <c r="JSF1" s="286" t="s">
        <v>9771</v>
      </c>
      <c r="JSG1" s="286" t="s">
        <v>9772</v>
      </c>
      <c r="JSH1" s="286" t="s">
        <v>9773</v>
      </c>
      <c r="JSI1" s="286" t="s">
        <v>9774</v>
      </c>
      <c r="JSJ1" s="286" t="s">
        <v>9775</v>
      </c>
      <c r="JSK1" s="286" t="s">
        <v>9776</v>
      </c>
      <c r="JSL1" s="286" t="s">
        <v>9777</v>
      </c>
      <c r="JSM1" s="286" t="s">
        <v>9778</v>
      </c>
      <c r="JSN1" s="286" t="s">
        <v>9779</v>
      </c>
      <c r="JSO1" s="286" t="s">
        <v>9780</v>
      </c>
      <c r="JSP1" s="286" t="s">
        <v>9781</v>
      </c>
      <c r="JSQ1" s="286" t="s">
        <v>9782</v>
      </c>
      <c r="JSR1" s="286" t="s">
        <v>9783</v>
      </c>
      <c r="JSS1" s="286" t="s">
        <v>9784</v>
      </c>
      <c r="JST1" s="286" t="s">
        <v>9785</v>
      </c>
      <c r="JSU1" s="286" t="s">
        <v>9786</v>
      </c>
      <c r="JSV1" s="286" t="s">
        <v>9787</v>
      </c>
      <c r="JSW1" s="286" t="s">
        <v>9788</v>
      </c>
      <c r="JSX1" s="286" t="s">
        <v>9789</v>
      </c>
      <c r="JSY1" s="286" t="s">
        <v>9790</v>
      </c>
      <c r="JSZ1" s="286" t="s">
        <v>9791</v>
      </c>
      <c r="JTA1" s="286" t="s">
        <v>9792</v>
      </c>
      <c r="JTB1" s="286" t="s">
        <v>9793</v>
      </c>
      <c r="JTC1" s="286" t="s">
        <v>9794</v>
      </c>
      <c r="JTD1" s="286" t="s">
        <v>9795</v>
      </c>
      <c r="JTE1" s="286" t="s">
        <v>9796</v>
      </c>
      <c r="JTF1" s="286" t="s">
        <v>9797</v>
      </c>
      <c r="JTG1" s="286" t="s">
        <v>9798</v>
      </c>
      <c r="JTH1" s="286" t="s">
        <v>9799</v>
      </c>
      <c r="JTI1" s="286" t="s">
        <v>9800</v>
      </c>
      <c r="JTJ1" s="286" t="s">
        <v>9801</v>
      </c>
      <c r="JTK1" s="286" t="s">
        <v>9802</v>
      </c>
      <c r="JTL1" s="286" t="s">
        <v>9803</v>
      </c>
      <c r="JTM1" s="286" t="s">
        <v>9804</v>
      </c>
      <c r="JTN1" s="286" t="s">
        <v>9805</v>
      </c>
      <c r="JTO1" s="286" t="s">
        <v>9806</v>
      </c>
      <c r="JTP1" s="286" t="s">
        <v>9807</v>
      </c>
      <c r="JTQ1" s="286" t="s">
        <v>9808</v>
      </c>
      <c r="JTR1" s="286" t="s">
        <v>9809</v>
      </c>
      <c r="JTS1" s="286" t="s">
        <v>9810</v>
      </c>
      <c r="JTT1" s="286" t="s">
        <v>9811</v>
      </c>
      <c r="JTU1" s="286" t="s">
        <v>9812</v>
      </c>
      <c r="JTV1" s="286" t="s">
        <v>9813</v>
      </c>
      <c r="JTW1" s="286" t="s">
        <v>9814</v>
      </c>
      <c r="JTX1" s="286" t="s">
        <v>9815</v>
      </c>
      <c r="JTY1" s="286" t="s">
        <v>9816</v>
      </c>
      <c r="JTZ1" s="286" t="s">
        <v>9817</v>
      </c>
      <c r="JUA1" s="286" t="s">
        <v>9818</v>
      </c>
      <c r="JUB1" s="286" t="s">
        <v>9819</v>
      </c>
      <c r="JUC1" s="286" t="s">
        <v>9820</v>
      </c>
      <c r="JUD1" s="286" t="s">
        <v>9821</v>
      </c>
      <c r="JUE1" s="286" t="s">
        <v>9822</v>
      </c>
      <c r="JUF1" s="286" t="s">
        <v>9823</v>
      </c>
      <c r="JUG1" s="286" t="s">
        <v>9824</v>
      </c>
      <c r="JUH1" s="286" t="s">
        <v>9825</v>
      </c>
      <c r="JUI1" s="286" t="s">
        <v>9826</v>
      </c>
      <c r="JUJ1" s="286" t="s">
        <v>9827</v>
      </c>
      <c r="JUK1" s="286" t="s">
        <v>9828</v>
      </c>
      <c r="JUL1" s="286" t="s">
        <v>9829</v>
      </c>
      <c r="JUM1" s="286" t="s">
        <v>9830</v>
      </c>
      <c r="JUN1" s="286" t="s">
        <v>9831</v>
      </c>
      <c r="JUO1" s="286" t="s">
        <v>9832</v>
      </c>
      <c r="JUP1" s="286" t="s">
        <v>9833</v>
      </c>
      <c r="JUQ1" s="286" t="s">
        <v>9834</v>
      </c>
      <c r="JUR1" s="286" t="s">
        <v>9835</v>
      </c>
      <c r="JUS1" s="286" t="s">
        <v>9836</v>
      </c>
      <c r="JUT1" s="286" t="s">
        <v>9837</v>
      </c>
      <c r="JUU1" s="286" t="s">
        <v>9838</v>
      </c>
      <c r="JUV1" s="286" t="s">
        <v>9839</v>
      </c>
      <c r="JUW1" s="286" t="s">
        <v>9840</v>
      </c>
      <c r="JUX1" s="286" t="s">
        <v>9841</v>
      </c>
      <c r="JUY1" s="286" t="s">
        <v>9842</v>
      </c>
      <c r="JUZ1" s="286" t="s">
        <v>9843</v>
      </c>
      <c r="JVA1" s="286" t="s">
        <v>9844</v>
      </c>
      <c r="JVB1" s="286" t="s">
        <v>9845</v>
      </c>
      <c r="JVC1" s="286" t="s">
        <v>9846</v>
      </c>
      <c r="JVD1" s="286" t="s">
        <v>9847</v>
      </c>
      <c r="JVE1" s="286" t="s">
        <v>9848</v>
      </c>
      <c r="JVF1" s="286" t="s">
        <v>9849</v>
      </c>
      <c r="JVG1" s="286" t="s">
        <v>9850</v>
      </c>
      <c r="JVH1" s="286" t="s">
        <v>9851</v>
      </c>
      <c r="JVI1" s="286" t="s">
        <v>9852</v>
      </c>
      <c r="JVJ1" s="286" t="s">
        <v>9853</v>
      </c>
      <c r="JVK1" s="286" t="s">
        <v>9854</v>
      </c>
      <c r="JVL1" s="286" t="s">
        <v>9855</v>
      </c>
      <c r="JVM1" s="286" t="s">
        <v>9856</v>
      </c>
      <c r="JVN1" s="286" t="s">
        <v>9857</v>
      </c>
      <c r="JVO1" s="286" t="s">
        <v>9858</v>
      </c>
      <c r="JVP1" s="286" t="s">
        <v>9859</v>
      </c>
      <c r="JVQ1" s="286" t="s">
        <v>9860</v>
      </c>
      <c r="JVR1" s="286" t="s">
        <v>9861</v>
      </c>
      <c r="JVS1" s="286" t="s">
        <v>9862</v>
      </c>
      <c r="JVT1" s="286" t="s">
        <v>9863</v>
      </c>
      <c r="JVU1" s="286" t="s">
        <v>9864</v>
      </c>
      <c r="JVV1" s="286" t="s">
        <v>9865</v>
      </c>
      <c r="JVW1" s="286" t="s">
        <v>9866</v>
      </c>
      <c r="JVX1" s="286" t="s">
        <v>9867</v>
      </c>
      <c r="JVY1" s="286" t="s">
        <v>9868</v>
      </c>
      <c r="JVZ1" s="286" t="s">
        <v>9869</v>
      </c>
      <c r="JWA1" s="286" t="s">
        <v>9870</v>
      </c>
      <c r="JWB1" s="286" t="s">
        <v>9871</v>
      </c>
      <c r="JWC1" s="286" t="s">
        <v>9872</v>
      </c>
      <c r="JWD1" s="286" t="s">
        <v>9873</v>
      </c>
      <c r="JWE1" s="286" t="s">
        <v>9874</v>
      </c>
      <c r="JWF1" s="286" t="s">
        <v>9875</v>
      </c>
      <c r="JWG1" s="286" t="s">
        <v>9876</v>
      </c>
      <c r="JWH1" s="286" t="s">
        <v>9877</v>
      </c>
      <c r="JWI1" s="286" t="s">
        <v>9878</v>
      </c>
      <c r="JWJ1" s="286" t="s">
        <v>9879</v>
      </c>
      <c r="JWK1" s="286" t="s">
        <v>9880</v>
      </c>
      <c r="JWL1" s="286" t="s">
        <v>9881</v>
      </c>
      <c r="JWM1" s="286" t="s">
        <v>9882</v>
      </c>
      <c r="JWN1" s="286" t="s">
        <v>9883</v>
      </c>
      <c r="JWO1" s="286" t="s">
        <v>9884</v>
      </c>
      <c r="JWP1" s="286" t="s">
        <v>9885</v>
      </c>
      <c r="JWQ1" s="286" t="s">
        <v>9886</v>
      </c>
      <c r="JWR1" s="286" t="s">
        <v>9887</v>
      </c>
      <c r="JWS1" s="286" t="s">
        <v>9888</v>
      </c>
      <c r="JWT1" s="286" t="s">
        <v>9889</v>
      </c>
      <c r="JWU1" s="286" t="s">
        <v>9890</v>
      </c>
      <c r="JWV1" s="286" t="s">
        <v>9891</v>
      </c>
      <c r="JWW1" s="286" t="s">
        <v>9892</v>
      </c>
      <c r="JWX1" s="286" t="s">
        <v>9893</v>
      </c>
      <c r="JWY1" s="286" t="s">
        <v>9894</v>
      </c>
      <c r="JWZ1" s="286" t="s">
        <v>9895</v>
      </c>
      <c r="JXA1" s="286" t="s">
        <v>9896</v>
      </c>
      <c r="JXB1" s="286" t="s">
        <v>9897</v>
      </c>
      <c r="JXC1" s="286" t="s">
        <v>9898</v>
      </c>
      <c r="JXD1" s="286" t="s">
        <v>9899</v>
      </c>
      <c r="JXE1" s="286" t="s">
        <v>9900</v>
      </c>
      <c r="JXF1" s="286" t="s">
        <v>9901</v>
      </c>
      <c r="JXG1" s="286" t="s">
        <v>9902</v>
      </c>
      <c r="JXH1" s="286" t="s">
        <v>9903</v>
      </c>
      <c r="JXI1" s="286" t="s">
        <v>9904</v>
      </c>
      <c r="JXJ1" s="286" t="s">
        <v>9905</v>
      </c>
      <c r="JXK1" s="286" t="s">
        <v>9906</v>
      </c>
      <c r="JXL1" s="286" t="s">
        <v>9907</v>
      </c>
      <c r="JXM1" s="286" t="s">
        <v>9908</v>
      </c>
      <c r="JXN1" s="286" t="s">
        <v>9909</v>
      </c>
      <c r="JXO1" s="286" t="s">
        <v>9910</v>
      </c>
      <c r="JXP1" s="286" t="s">
        <v>9911</v>
      </c>
      <c r="JXQ1" s="286" t="s">
        <v>9912</v>
      </c>
      <c r="JXR1" s="286" t="s">
        <v>9913</v>
      </c>
      <c r="JXS1" s="286" t="s">
        <v>9914</v>
      </c>
      <c r="JXT1" s="286" t="s">
        <v>9915</v>
      </c>
      <c r="JXU1" s="286" t="s">
        <v>9916</v>
      </c>
      <c r="JXV1" s="286" t="s">
        <v>9917</v>
      </c>
      <c r="JXW1" s="286" t="s">
        <v>9918</v>
      </c>
      <c r="JXX1" s="286" t="s">
        <v>9919</v>
      </c>
      <c r="JXY1" s="286" t="s">
        <v>9920</v>
      </c>
      <c r="JXZ1" s="286" t="s">
        <v>9921</v>
      </c>
      <c r="JYA1" s="286" t="s">
        <v>9922</v>
      </c>
      <c r="JYB1" s="286" t="s">
        <v>9923</v>
      </c>
      <c r="JYC1" s="286" t="s">
        <v>9924</v>
      </c>
      <c r="JYD1" s="286" t="s">
        <v>9925</v>
      </c>
      <c r="JYE1" s="286" t="s">
        <v>9926</v>
      </c>
      <c r="JYF1" s="286" t="s">
        <v>9927</v>
      </c>
      <c r="JYG1" s="286" t="s">
        <v>9928</v>
      </c>
      <c r="JYH1" s="286" t="s">
        <v>9929</v>
      </c>
      <c r="JYI1" s="286" t="s">
        <v>9930</v>
      </c>
      <c r="JYJ1" s="286" t="s">
        <v>9931</v>
      </c>
      <c r="JYK1" s="286" t="s">
        <v>9932</v>
      </c>
      <c r="JYL1" s="286" t="s">
        <v>9933</v>
      </c>
      <c r="JYM1" s="286" t="s">
        <v>9934</v>
      </c>
      <c r="JYN1" s="286" t="s">
        <v>9935</v>
      </c>
      <c r="JYO1" s="286" t="s">
        <v>9936</v>
      </c>
      <c r="JYP1" s="286" t="s">
        <v>9937</v>
      </c>
      <c r="JYQ1" s="286" t="s">
        <v>9938</v>
      </c>
      <c r="JYR1" s="286" t="s">
        <v>9939</v>
      </c>
      <c r="JYS1" s="286" t="s">
        <v>9940</v>
      </c>
      <c r="JYT1" s="286" t="s">
        <v>9941</v>
      </c>
      <c r="JYU1" s="286" t="s">
        <v>9942</v>
      </c>
      <c r="JYV1" s="286" t="s">
        <v>9943</v>
      </c>
      <c r="JYW1" s="286" t="s">
        <v>9944</v>
      </c>
      <c r="JYX1" s="286" t="s">
        <v>9945</v>
      </c>
      <c r="JYY1" s="286" t="s">
        <v>9946</v>
      </c>
      <c r="JYZ1" s="286" t="s">
        <v>9947</v>
      </c>
      <c r="JZA1" s="286" t="s">
        <v>9948</v>
      </c>
      <c r="JZB1" s="286" t="s">
        <v>9949</v>
      </c>
      <c r="JZC1" s="286" t="s">
        <v>9950</v>
      </c>
      <c r="JZD1" s="286" t="s">
        <v>9951</v>
      </c>
      <c r="JZE1" s="286" t="s">
        <v>9952</v>
      </c>
      <c r="JZF1" s="286" t="s">
        <v>9953</v>
      </c>
      <c r="JZG1" s="286" t="s">
        <v>9954</v>
      </c>
      <c r="JZH1" s="286" t="s">
        <v>9955</v>
      </c>
      <c r="JZI1" s="286" t="s">
        <v>9956</v>
      </c>
      <c r="JZJ1" s="286" t="s">
        <v>9957</v>
      </c>
      <c r="JZK1" s="286" t="s">
        <v>9958</v>
      </c>
      <c r="JZL1" s="286" t="s">
        <v>9959</v>
      </c>
      <c r="JZM1" s="286" t="s">
        <v>9960</v>
      </c>
      <c r="JZN1" s="286" t="s">
        <v>9961</v>
      </c>
      <c r="JZO1" s="286" t="s">
        <v>9962</v>
      </c>
      <c r="JZP1" s="286" t="s">
        <v>9963</v>
      </c>
      <c r="JZQ1" s="286" t="s">
        <v>9964</v>
      </c>
      <c r="JZR1" s="286" t="s">
        <v>9965</v>
      </c>
      <c r="JZS1" s="286" t="s">
        <v>9966</v>
      </c>
      <c r="JZT1" s="286" t="s">
        <v>9967</v>
      </c>
      <c r="JZU1" s="286" t="s">
        <v>9968</v>
      </c>
      <c r="JZV1" s="286" t="s">
        <v>9969</v>
      </c>
      <c r="JZW1" s="286" t="s">
        <v>9970</v>
      </c>
      <c r="JZX1" s="286" t="s">
        <v>9971</v>
      </c>
      <c r="JZY1" s="286" t="s">
        <v>9972</v>
      </c>
      <c r="JZZ1" s="286" t="s">
        <v>9973</v>
      </c>
      <c r="KAA1" s="286" t="s">
        <v>9974</v>
      </c>
      <c r="KAB1" s="286" t="s">
        <v>9975</v>
      </c>
      <c r="KAC1" s="286" t="s">
        <v>9976</v>
      </c>
      <c r="KAD1" s="286" t="s">
        <v>9977</v>
      </c>
      <c r="KAE1" s="286" t="s">
        <v>9978</v>
      </c>
      <c r="KAF1" s="286" t="s">
        <v>9979</v>
      </c>
      <c r="KAG1" s="286" t="s">
        <v>9980</v>
      </c>
      <c r="KAH1" s="286" t="s">
        <v>9981</v>
      </c>
      <c r="KAI1" s="286" t="s">
        <v>9982</v>
      </c>
      <c r="KAJ1" s="286" t="s">
        <v>9983</v>
      </c>
      <c r="KAK1" s="286" t="s">
        <v>9984</v>
      </c>
      <c r="KAL1" s="286" t="s">
        <v>9985</v>
      </c>
      <c r="KAM1" s="286" t="s">
        <v>9986</v>
      </c>
      <c r="KAN1" s="286" t="s">
        <v>9987</v>
      </c>
      <c r="KAO1" s="286" t="s">
        <v>9988</v>
      </c>
      <c r="KAP1" s="286" t="s">
        <v>9989</v>
      </c>
      <c r="KAQ1" s="286" t="s">
        <v>9990</v>
      </c>
      <c r="KAR1" s="286" t="s">
        <v>9991</v>
      </c>
      <c r="KAS1" s="286" t="s">
        <v>9992</v>
      </c>
      <c r="KAT1" s="286" t="s">
        <v>9993</v>
      </c>
      <c r="KAU1" s="286" t="s">
        <v>9994</v>
      </c>
      <c r="KAV1" s="286" t="s">
        <v>9995</v>
      </c>
      <c r="KAW1" s="286" t="s">
        <v>9996</v>
      </c>
      <c r="KAX1" s="286" t="s">
        <v>9997</v>
      </c>
      <c r="KAY1" s="286" t="s">
        <v>9998</v>
      </c>
      <c r="KAZ1" s="286" t="s">
        <v>9999</v>
      </c>
      <c r="KBA1" s="286" t="s">
        <v>10000</v>
      </c>
      <c r="KBB1" s="286" t="s">
        <v>10001</v>
      </c>
      <c r="KBC1" s="286" t="s">
        <v>10002</v>
      </c>
      <c r="KBD1" s="286" t="s">
        <v>10003</v>
      </c>
      <c r="KBE1" s="286" t="s">
        <v>10004</v>
      </c>
      <c r="KBF1" s="286" t="s">
        <v>10005</v>
      </c>
      <c r="KBG1" s="286" t="s">
        <v>10006</v>
      </c>
      <c r="KBH1" s="286" t="s">
        <v>10007</v>
      </c>
      <c r="KBI1" s="286" t="s">
        <v>10008</v>
      </c>
      <c r="KBJ1" s="286" t="s">
        <v>10009</v>
      </c>
      <c r="KBK1" s="286" t="s">
        <v>10010</v>
      </c>
      <c r="KBL1" s="286" t="s">
        <v>10011</v>
      </c>
      <c r="KBM1" s="286" t="s">
        <v>10012</v>
      </c>
      <c r="KBN1" s="286" t="s">
        <v>10013</v>
      </c>
      <c r="KBO1" s="286" t="s">
        <v>10014</v>
      </c>
      <c r="KBP1" s="286" t="s">
        <v>10015</v>
      </c>
      <c r="KBQ1" s="286" t="s">
        <v>10016</v>
      </c>
      <c r="KBR1" s="286" t="s">
        <v>10017</v>
      </c>
      <c r="KBS1" s="286" t="s">
        <v>10018</v>
      </c>
      <c r="KBT1" s="286" t="s">
        <v>10019</v>
      </c>
      <c r="KBU1" s="286" t="s">
        <v>10020</v>
      </c>
      <c r="KBV1" s="286" t="s">
        <v>10021</v>
      </c>
      <c r="KBW1" s="286" t="s">
        <v>10022</v>
      </c>
      <c r="KBX1" s="286" t="s">
        <v>10023</v>
      </c>
      <c r="KBY1" s="286" t="s">
        <v>10024</v>
      </c>
      <c r="KBZ1" s="286" t="s">
        <v>10025</v>
      </c>
      <c r="KCA1" s="286" t="s">
        <v>10026</v>
      </c>
      <c r="KCB1" s="286" t="s">
        <v>10027</v>
      </c>
      <c r="KCC1" s="286" t="s">
        <v>10028</v>
      </c>
      <c r="KCD1" s="286" t="s">
        <v>10029</v>
      </c>
      <c r="KCE1" s="286" t="s">
        <v>10030</v>
      </c>
      <c r="KCF1" s="286" t="s">
        <v>10031</v>
      </c>
      <c r="KCG1" s="286" t="s">
        <v>10032</v>
      </c>
      <c r="KCH1" s="286" t="s">
        <v>10033</v>
      </c>
      <c r="KCI1" s="286" t="s">
        <v>10034</v>
      </c>
      <c r="KCJ1" s="286" t="s">
        <v>10035</v>
      </c>
      <c r="KCK1" s="286" t="s">
        <v>10036</v>
      </c>
      <c r="KCL1" s="286" t="s">
        <v>10037</v>
      </c>
      <c r="KCM1" s="286" t="s">
        <v>10038</v>
      </c>
      <c r="KCN1" s="286" t="s">
        <v>10039</v>
      </c>
      <c r="KCO1" s="286" t="s">
        <v>10040</v>
      </c>
      <c r="KCP1" s="286" t="s">
        <v>10041</v>
      </c>
      <c r="KCQ1" s="286" t="s">
        <v>10042</v>
      </c>
      <c r="KCR1" s="286" t="s">
        <v>10043</v>
      </c>
      <c r="KCS1" s="286" t="s">
        <v>10044</v>
      </c>
      <c r="KCT1" s="286" t="s">
        <v>10045</v>
      </c>
      <c r="KCU1" s="286" t="s">
        <v>10046</v>
      </c>
      <c r="KCV1" s="286" t="s">
        <v>10047</v>
      </c>
      <c r="KCW1" s="286" t="s">
        <v>10048</v>
      </c>
      <c r="KCX1" s="286" t="s">
        <v>10049</v>
      </c>
      <c r="KCY1" s="286" t="s">
        <v>10050</v>
      </c>
      <c r="KCZ1" s="286" t="s">
        <v>10051</v>
      </c>
      <c r="KDA1" s="286" t="s">
        <v>10052</v>
      </c>
      <c r="KDB1" s="286" t="s">
        <v>10053</v>
      </c>
      <c r="KDC1" s="286" t="s">
        <v>10054</v>
      </c>
      <c r="KDD1" s="286" t="s">
        <v>10055</v>
      </c>
      <c r="KDE1" s="286" t="s">
        <v>10056</v>
      </c>
      <c r="KDF1" s="286" t="s">
        <v>10057</v>
      </c>
      <c r="KDG1" s="286" t="s">
        <v>10058</v>
      </c>
      <c r="KDH1" s="286" t="s">
        <v>10059</v>
      </c>
      <c r="KDI1" s="286" t="s">
        <v>10060</v>
      </c>
      <c r="KDJ1" s="286" t="s">
        <v>10061</v>
      </c>
      <c r="KDK1" s="286" t="s">
        <v>10062</v>
      </c>
      <c r="KDL1" s="286" t="s">
        <v>10063</v>
      </c>
      <c r="KDM1" s="286" t="s">
        <v>10064</v>
      </c>
      <c r="KDN1" s="286" t="s">
        <v>10065</v>
      </c>
      <c r="KDO1" s="286" t="s">
        <v>10066</v>
      </c>
      <c r="KDP1" s="286" t="s">
        <v>10067</v>
      </c>
      <c r="KDQ1" s="286" t="s">
        <v>10068</v>
      </c>
      <c r="KDR1" s="286" t="s">
        <v>10069</v>
      </c>
      <c r="KDS1" s="286" t="s">
        <v>10070</v>
      </c>
      <c r="KDT1" s="286" t="s">
        <v>10071</v>
      </c>
      <c r="KDU1" s="286" t="s">
        <v>10072</v>
      </c>
      <c r="KDV1" s="286" t="s">
        <v>10073</v>
      </c>
      <c r="KDW1" s="286" t="s">
        <v>10074</v>
      </c>
      <c r="KDX1" s="286" t="s">
        <v>10075</v>
      </c>
      <c r="KDY1" s="286" t="s">
        <v>10076</v>
      </c>
      <c r="KDZ1" s="286" t="s">
        <v>10077</v>
      </c>
      <c r="KEA1" s="286" t="s">
        <v>10078</v>
      </c>
      <c r="KEB1" s="286" t="s">
        <v>10079</v>
      </c>
      <c r="KEC1" s="286" t="s">
        <v>10080</v>
      </c>
      <c r="KED1" s="286" t="s">
        <v>10081</v>
      </c>
      <c r="KEE1" s="286" t="s">
        <v>10082</v>
      </c>
      <c r="KEF1" s="286" t="s">
        <v>10083</v>
      </c>
      <c r="KEG1" s="286" t="s">
        <v>10084</v>
      </c>
      <c r="KEH1" s="286" t="s">
        <v>10085</v>
      </c>
      <c r="KEI1" s="286" t="s">
        <v>10086</v>
      </c>
      <c r="KEJ1" s="286" t="s">
        <v>10087</v>
      </c>
      <c r="KEK1" s="286" t="s">
        <v>10088</v>
      </c>
      <c r="KEL1" s="286" t="s">
        <v>10089</v>
      </c>
      <c r="KEM1" s="286" t="s">
        <v>10090</v>
      </c>
      <c r="KEN1" s="286" t="s">
        <v>10091</v>
      </c>
      <c r="KEO1" s="286" t="s">
        <v>10092</v>
      </c>
      <c r="KEP1" s="286" t="s">
        <v>10093</v>
      </c>
      <c r="KEQ1" s="286" t="s">
        <v>10094</v>
      </c>
      <c r="KER1" s="286" t="s">
        <v>10095</v>
      </c>
      <c r="KES1" s="286" t="s">
        <v>10096</v>
      </c>
      <c r="KET1" s="286" t="s">
        <v>10097</v>
      </c>
      <c r="KEU1" s="286" t="s">
        <v>10098</v>
      </c>
      <c r="KEV1" s="286" t="s">
        <v>10099</v>
      </c>
      <c r="KEW1" s="286" t="s">
        <v>10100</v>
      </c>
      <c r="KEX1" s="286" t="s">
        <v>10101</v>
      </c>
      <c r="KEY1" s="286" t="s">
        <v>10102</v>
      </c>
      <c r="KEZ1" s="286" t="s">
        <v>10103</v>
      </c>
      <c r="KFA1" s="286" t="s">
        <v>10104</v>
      </c>
      <c r="KFB1" s="286" t="s">
        <v>10105</v>
      </c>
      <c r="KFC1" s="286" t="s">
        <v>10106</v>
      </c>
      <c r="KFD1" s="286" t="s">
        <v>10107</v>
      </c>
      <c r="KFE1" s="286" t="s">
        <v>10108</v>
      </c>
      <c r="KFF1" s="286" t="s">
        <v>10109</v>
      </c>
      <c r="KFG1" s="286" t="s">
        <v>10110</v>
      </c>
      <c r="KFH1" s="286" t="s">
        <v>10111</v>
      </c>
      <c r="KFI1" s="286" t="s">
        <v>10112</v>
      </c>
      <c r="KFJ1" s="286" t="s">
        <v>10113</v>
      </c>
      <c r="KFK1" s="286" t="s">
        <v>10114</v>
      </c>
      <c r="KFL1" s="286" t="s">
        <v>10115</v>
      </c>
      <c r="KFM1" s="286" t="s">
        <v>10116</v>
      </c>
      <c r="KFN1" s="286" t="s">
        <v>10117</v>
      </c>
      <c r="KFO1" s="286" t="s">
        <v>10118</v>
      </c>
      <c r="KFP1" s="286" t="s">
        <v>10119</v>
      </c>
      <c r="KFQ1" s="286" t="s">
        <v>10120</v>
      </c>
      <c r="KFR1" s="286" t="s">
        <v>10121</v>
      </c>
      <c r="KFS1" s="286" t="s">
        <v>10122</v>
      </c>
      <c r="KFT1" s="286" t="s">
        <v>10123</v>
      </c>
      <c r="KFU1" s="286" t="s">
        <v>10124</v>
      </c>
      <c r="KFV1" s="286" t="s">
        <v>10125</v>
      </c>
      <c r="KFW1" s="286" t="s">
        <v>10126</v>
      </c>
      <c r="KFX1" s="286" t="s">
        <v>10127</v>
      </c>
      <c r="KFY1" s="286" t="s">
        <v>10128</v>
      </c>
      <c r="KFZ1" s="286" t="s">
        <v>10129</v>
      </c>
      <c r="KGA1" s="286" t="s">
        <v>10130</v>
      </c>
      <c r="KGB1" s="286" t="s">
        <v>10131</v>
      </c>
      <c r="KGC1" s="286" t="s">
        <v>10132</v>
      </c>
      <c r="KGD1" s="286" t="s">
        <v>10133</v>
      </c>
      <c r="KGE1" s="286" t="s">
        <v>10134</v>
      </c>
      <c r="KGF1" s="286" t="s">
        <v>10135</v>
      </c>
      <c r="KGG1" s="286" t="s">
        <v>10136</v>
      </c>
      <c r="KGH1" s="286" t="s">
        <v>10137</v>
      </c>
      <c r="KGI1" s="286" t="s">
        <v>10138</v>
      </c>
      <c r="KGJ1" s="286" t="s">
        <v>10139</v>
      </c>
      <c r="KGK1" s="286" t="s">
        <v>10140</v>
      </c>
      <c r="KGL1" s="286" t="s">
        <v>10141</v>
      </c>
      <c r="KGM1" s="286" t="s">
        <v>10142</v>
      </c>
      <c r="KGN1" s="286" t="s">
        <v>10143</v>
      </c>
      <c r="KGO1" s="286" t="s">
        <v>10144</v>
      </c>
      <c r="KGP1" s="286" t="s">
        <v>10145</v>
      </c>
      <c r="KGQ1" s="286" t="s">
        <v>10146</v>
      </c>
      <c r="KGR1" s="286" t="s">
        <v>10147</v>
      </c>
      <c r="KGS1" s="286" t="s">
        <v>10148</v>
      </c>
      <c r="KGT1" s="286" t="s">
        <v>10149</v>
      </c>
      <c r="KGU1" s="286" t="s">
        <v>10150</v>
      </c>
      <c r="KGV1" s="286" t="s">
        <v>10151</v>
      </c>
      <c r="KGW1" s="286" t="s">
        <v>10152</v>
      </c>
      <c r="KGX1" s="286" t="s">
        <v>10153</v>
      </c>
      <c r="KGY1" s="286" t="s">
        <v>10154</v>
      </c>
      <c r="KGZ1" s="286" t="s">
        <v>10155</v>
      </c>
      <c r="KHA1" s="286" t="s">
        <v>10156</v>
      </c>
      <c r="KHB1" s="286" t="s">
        <v>10157</v>
      </c>
      <c r="KHC1" s="286" t="s">
        <v>10158</v>
      </c>
      <c r="KHD1" s="286" t="s">
        <v>10159</v>
      </c>
      <c r="KHE1" s="286" t="s">
        <v>10160</v>
      </c>
      <c r="KHF1" s="286" t="s">
        <v>10161</v>
      </c>
      <c r="KHG1" s="286" t="s">
        <v>10162</v>
      </c>
      <c r="KHH1" s="286" t="s">
        <v>10163</v>
      </c>
      <c r="KHI1" s="286" t="s">
        <v>10164</v>
      </c>
      <c r="KHJ1" s="286" t="s">
        <v>10165</v>
      </c>
      <c r="KHK1" s="286" t="s">
        <v>10166</v>
      </c>
      <c r="KHL1" s="286" t="s">
        <v>10167</v>
      </c>
      <c r="KHM1" s="286" t="s">
        <v>10168</v>
      </c>
      <c r="KHN1" s="286" t="s">
        <v>10169</v>
      </c>
      <c r="KHO1" s="286" t="s">
        <v>10170</v>
      </c>
      <c r="KHP1" s="286" t="s">
        <v>10171</v>
      </c>
      <c r="KHQ1" s="286" t="s">
        <v>10172</v>
      </c>
      <c r="KHR1" s="286" t="s">
        <v>10173</v>
      </c>
      <c r="KHS1" s="286" t="s">
        <v>10174</v>
      </c>
      <c r="KHT1" s="286" t="s">
        <v>10175</v>
      </c>
      <c r="KHU1" s="286" t="s">
        <v>10176</v>
      </c>
      <c r="KHV1" s="286" t="s">
        <v>10177</v>
      </c>
      <c r="KHW1" s="286" t="s">
        <v>10178</v>
      </c>
      <c r="KHX1" s="286" t="s">
        <v>10179</v>
      </c>
      <c r="KHY1" s="286" t="s">
        <v>10180</v>
      </c>
      <c r="KHZ1" s="286" t="s">
        <v>10181</v>
      </c>
      <c r="KIA1" s="286" t="s">
        <v>10182</v>
      </c>
      <c r="KIB1" s="286" t="s">
        <v>10183</v>
      </c>
      <c r="KIC1" s="286" t="s">
        <v>10184</v>
      </c>
      <c r="KID1" s="286" t="s">
        <v>10185</v>
      </c>
      <c r="KIE1" s="286" t="s">
        <v>10186</v>
      </c>
      <c r="KIF1" s="286" t="s">
        <v>10187</v>
      </c>
      <c r="KIG1" s="286" t="s">
        <v>10188</v>
      </c>
      <c r="KIH1" s="286" t="s">
        <v>10189</v>
      </c>
      <c r="KII1" s="286" t="s">
        <v>10190</v>
      </c>
      <c r="KIJ1" s="286" t="s">
        <v>10191</v>
      </c>
      <c r="KIK1" s="286" t="s">
        <v>10192</v>
      </c>
      <c r="KIL1" s="286" t="s">
        <v>10193</v>
      </c>
      <c r="KIM1" s="286" t="s">
        <v>10194</v>
      </c>
      <c r="KIN1" s="286" t="s">
        <v>10195</v>
      </c>
      <c r="KIO1" s="286" t="s">
        <v>10196</v>
      </c>
      <c r="KIP1" s="286" t="s">
        <v>10197</v>
      </c>
      <c r="KIQ1" s="286" t="s">
        <v>10198</v>
      </c>
      <c r="KIR1" s="286" t="s">
        <v>10199</v>
      </c>
      <c r="KIS1" s="286" t="s">
        <v>10200</v>
      </c>
      <c r="KIT1" s="286" t="s">
        <v>10201</v>
      </c>
      <c r="KIU1" s="286" t="s">
        <v>10202</v>
      </c>
      <c r="KIV1" s="286" t="s">
        <v>10203</v>
      </c>
      <c r="KIW1" s="286" t="s">
        <v>10204</v>
      </c>
      <c r="KIX1" s="286" t="s">
        <v>10205</v>
      </c>
      <c r="KIY1" s="286" t="s">
        <v>10206</v>
      </c>
      <c r="KIZ1" s="286" t="s">
        <v>10207</v>
      </c>
      <c r="KJA1" s="286" t="s">
        <v>10208</v>
      </c>
      <c r="KJB1" s="286" t="s">
        <v>10209</v>
      </c>
      <c r="KJC1" s="286" t="s">
        <v>10210</v>
      </c>
      <c r="KJD1" s="286" t="s">
        <v>10211</v>
      </c>
      <c r="KJE1" s="286" t="s">
        <v>10212</v>
      </c>
      <c r="KJF1" s="286" t="s">
        <v>10213</v>
      </c>
      <c r="KJG1" s="286" t="s">
        <v>10214</v>
      </c>
      <c r="KJH1" s="286" t="s">
        <v>10215</v>
      </c>
      <c r="KJI1" s="286" t="s">
        <v>10216</v>
      </c>
      <c r="KJJ1" s="286" t="s">
        <v>10217</v>
      </c>
      <c r="KJK1" s="286" t="s">
        <v>10218</v>
      </c>
      <c r="KJL1" s="286" t="s">
        <v>10219</v>
      </c>
      <c r="KJM1" s="286" t="s">
        <v>10220</v>
      </c>
      <c r="KJN1" s="286" t="s">
        <v>10221</v>
      </c>
      <c r="KJO1" s="286" t="s">
        <v>10222</v>
      </c>
      <c r="KJP1" s="286" t="s">
        <v>10223</v>
      </c>
      <c r="KJQ1" s="286" t="s">
        <v>10224</v>
      </c>
      <c r="KJR1" s="286" t="s">
        <v>10225</v>
      </c>
      <c r="KJS1" s="286" t="s">
        <v>10226</v>
      </c>
      <c r="KJT1" s="286" t="s">
        <v>10227</v>
      </c>
      <c r="KJU1" s="286" t="s">
        <v>10228</v>
      </c>
      <c r="KJV1" s="286" t="s">
        <v>10229</v>
      </c>
      <c r="KJW1" s="286" t="s">
        <v>10230</v>
      </c>
      <c r="KJX1" s="286" t="s">
        <v>10231</v>
      </c>
      <c r="KJY1" s="286" t="s">
        <v>10232</v>
      </c>
      <c r="KJZ1" s="286" t="s">
        <v>10233</v>
      </c>
      <c r="KKA1" s="286" t="s">
        <v>10234</v>
      </c>
      <c r="KKB1" s="286" t="s">
        <v>10235</v>
      </c>
      <c r="KKC1" s="286" t="s">
        <v>10236</v>
      </c>
      <c r="KKD1" s="286" t="s">
        <v>10237</v>
      </c>
      <c r="KKE1" s="286" t="s">
        <v>10238</v>
      </c>
      <c r="KKF1" s="286" t="s">
        <v>10239</v>
      </c>
      <c r="KKG1" s="286" t="s">
        <v>10240</v>
      </c>
      <c r="KKH1" s="286" t="s">
        <v>10241</v>
      </c>
      <c r="KKI1" s="286" t="s">
        <v>10242</v>
      </c>
      <c r="KKJ1" s="286" t="s">
        <v>10243</v>
      </c>
      <c r="KKK1" s="286" t="s">
        <v>10244</v>
      </c>
      <c r="KKL1" s="286" t="s">
        <v>10245</v>
      </c>
      <c r="KKM1" s="286" t="s">
        <v>10246</v>
      </c>
      <c r="KKN1" s="286" t="s">
        <v>10247</v>
      </c>
      <c r="KKO1" s="286" t="s">
        <v>10248</v>
      </c>
      <c r="KKP1" s="286" t="s">
        <v>10249</v>
      </c>
      <c r="KKQ1" s="286" t="s">
        <v>10250</v>
      </c>
      <c r="KKR1" s="286" t="s">
        <v>10251</v>
      </c>
      <c r="KKS1" s="286" t="s">
        <v>10252</v>
      </c>
      <c r="KKT1" s="286" t="s">
        <v>10253</v>
      </c>
      <c r="KKU1" s="286" t="s">
        <v>10254</v>
      </c>
      <c r="KKV1" s="286" t="s">
        <v>10255</v>
      </c>
      <c r="KKW1" s="286" t="s">
        <v>10256</v>
      </c>
      <c r="KKX1" s="286" t="s">
        <v>10257</v>
      </c>
      <c r="KKY1" s="286" t="s">
        <v>10258</v>
      </c>
      <c r="KKZ1" s="286" t="s">
        <v>10259</v>
      </c>
      <c r="KLA1" s="286" t="s">
        <v>10260</v>
      </c>
      <c r="KLB1" s="286" t="s">
        <v>10261</v>
      </c>
      <c r="KLC1" s="286" t="s">
        <v>10262</v>
      </c>
      <c r="KLD1" s="286" t="s">
        <v>10263</v>
      </c>
      <c r="KLE1" s="286" t="s">
        <v>10264</v>
      </c>
      <c r="KLF1" s="286" t="s">
        <v>10265</v>
      </c>
      <c r="KLG1" s="286" t="s">
        <v>10266</v>
      </c>
      <c r="KLH1" s="286" t="s">
        <v>10267</v>
      </c>
      <c r="KLI1" s="286" t="s">
        <v>10268</v>
      </c>
      <c r="KLJ1" s="286" t="s">
        <v>10269</v>
      </c>
      <c r="KLK1" s="286" t="s">
        <v>10270</v>
      </c>
      <c r="KLL1" s="286" t="s">
        <v>10271</v>
      </c>
      <c r="KLM1" s="286" t="s">
        <v>10272</v>
      </c>
      <c r="KLN1" s="286" t="s">
        <v>10273</v>
      </c>
      <c r="KLO1" s="286" t="s">
        <v>10274</v>
      </c>
      <c r="KLP1" s="286" t="s">
        <v>10275</v>
      </c>
      <c r="KLQ1" s="286" t="s">
        <v>10276</v>
      </c>
      <c r="KLR1" s="286" t="s">
        <v>10277</v>
      </c>
      <c r="KLS1" s="286" t="s">
        <v>10278</v>
      </c>
      <c r="KLT1" s="286" t="s">
        <v>10279</v>
      </c>
      <c r="KLU1" s="286" t="s">
        <v>10280</v>
      </c>
      <c r="KLV1" s="286" t="s">
        <v>10281</v>
      </c>
      <c r="KLW1" s="286" t="s">
        <v>10282</v>
      </c>
      <c r="KLX1" s="286" t="s">
        <v>10283</v>
      </c>
      <c r="KLY1" s="286" t="s">
        <v>10284</v>
      </c>
      <c r="KLZ1" s="286" t="s">
        <v>10285</v>
      </c>
      <c r="KMA1" s="286" t="s">
        <v>10286</v>
      </c>
      <c r="KMB1" s="286" t="s">
        <v>10287</v>
      </c>
      <c r="KMC1" s="286" t="s">
        <v>10288</v>
      </c>
      <c r="KMD1" s="286" t="s">
        <v>10289</v>
      </c>
      <c r="KME1" s="286" t="s">
        <v>10290</v>
      </c>
      <c r="KMF1" s="286" t="s">
        <v>10291</v>
      </c>
      <c r="KMG1" s="286" t="s">
        <v>10292</v>
      </c>
      <c r="KMH1" s="286" t="s">
        <v>10293</v>
      </c>
      <c r="KMI1" s="286" t="s">
        <v>10294</v>
      </c>
      <c r="KMJ1" s="286" t="s">
        <v>10295</v>
      </c>
      <c r="KMK1" s="286" t="s">
        <v>10296</v>
      </c>
      <c r="KML1" s="286" t="s">
        <v>10297</v>
      </c>
      <c r="KMM1" s="286" t="s">
        <v>10298</v>
      </c>
      <c r="KMN1" s="286" t="s">
        <v>10299</v>
      </c>
      <c r="KMO1" s="286" t="s">
        <v>10300</v>
      </c>
      <c r="KMP1" s="286" t="s">
        <v>10301</v>
      </c>
      <c r="KMQ1" s="286" t="s">
        <v>10302</v>
      </c>
      <c r="KMR1" s="286" t="s">
        <v>10303</v>
      </c>
      <c r="KMS1" s="286" t="s">
        <v>10304</v>
      </c>
      <c r="KMT1" s="286" t="s">
        <v>10305</v>
      </c>
      <c r="KMU1" s="286" t="s">
        <v>10306</v>
      </c>
      <c r="KMV1" s="286" t="s">
        <v>10307</v>
      </c>
      <c r="KMW1" s="286" t="s">
        <v>10308</v>
      </c>
      <c r="KMX1" s="286" t="s">
        <v>10309</v>
      </c>
      <c r="KMY1" s="286" t="s">
        <v>10310</v>
      </c>
      <c r="KMZ1" s="286" t="s">
        <v>10311</v>
      </c>
      <c r="KNA1" s="286" t="s">
        <v>10312</v>
      </c>
      <c r="KNB1" s="286" t="s">
        <v>10313</v>
      </c>
      <c r="KNC1" s="286" t="s">
        <v>10314</v>
      </c>
      <c r="KND1" s="286" t="s">
        <v>10315</v>
      </c>
      <c r="KNE1" s="286" t="s">
        <v>10316</v>
      </c>
      <c r="KNF1" s="286" t="s">
        <v>10317</v>
      </c>
      <c r="KNG1" s="286" t="s">
        <v>10318</v>
      </c>
      <c r="KNH1" s="286" t="s">
        <v>10319</v>
      </c>
      <c r="KNI1" s="286" t="s">
        <v>10320</v>
      </c>
      <c r="KNJ1" s="286" t="s">
        <v>10321</v>
      </c>
      <c r="KNK1" s="286" t="s">
        <v>10322</v>
      </c>
      <c r="KNL1" s="286" t="s">
        <v>10323</v>
      </c>
      <c r="KNM1" s="286" t="s">
        <v>10324</v>
      </c>
      <c r="KNN1" s="286" t="s">
        <v>10325</v>
      </c>
      <c r="KNO1" s="286" t="s">
        <v>10326</v>
      </c>
      <c r="KNP1" s="286" t="s">
        <v>10327</v>
      </c>
      <c r="KNQ1" s="286" t="s">
        <v>10328</v>
      </c>
      <c r="KNR1" s="286" t="s">
        <v>10329</v>
      </c>
      <c r="KNS1" s="286" t="s">
        <v>10330</v>
      </c>
      <c r="KNT1" s="286" t="s">
        <v>10331</v>
      </c>
      <c r="KNU1" s="286" t="s">
        <v>10332</v>
      </c>
      <c r="KNV1" s="286" t="s">
        <v>10333</v>
      </c>
      <c r="KNW1" s="286" t="s">
        <v>10334</v>
      </c>
      <c r="KNX1" s="286" t="s">
        <v>10335</v>
      </c>
      <c r="KNY1" s="286" t="s">
        <v>10336</v>
      </c>
      <c r="KNZ1" s="286" t="s">
        <v>10337</v>
      </c>
      <c r="KOA1" s="286" t="s">
        <v>10338</v>
      </c>
      <c r="KOB1" s="286" t="s">
        <v>10339</v>
      </c>
      <c r="KOC1" s="286" t="s">
        <v>10340</v>
      </c>
      <c r="KOD1" s="286" t="s">
        <v>10341</v>
      </c>
      <c r="KOE1" s="286" t="s">
        <v>10342</v>
      </c>
      <c r="KOF1" s="286" t="s">
        <v>10343</v>
      </c>
      <c r="KOG1" s="286" t="s">
        <v>10344</v>
      </c>
      <c r="KOH1" s="286" t="s">
        <v>10345</v>
      </c>
      <c r="KOI1" s="286" t="s">
        <v>10346</v>
      </c>
      <c r="KOJ1" s="286" t="s">
        <v>10347</v>
      </c>
      <c r="KOK1" s="286" t="s">
        <v>10348</v>
      </c>
      <c r="KOL1" s="286" t="s">
        <v>10349</v>
      </c>
      <c r="KOM1" s="286" t="s">
        <v>10350</v>
      </c>
      <c r="KON1" s="286" t="s">
        <v>10351</v>
      </c>
      <c r="KOO1" s="286" t="s">
        <v>10352</v>
      </c>
      <c r="KOP1" s="286" t="s">
        <v>10353</v>
      </c>
      <c r="KOQ1" s="286" t="s">
        <v>10354</v>
      </c>
      <c r="KOR1" s="286" t="s">
        <v>10355</v>
      </c>
      <c r="KOS1" s="286" t="s">
        <v>10356</v>
      </c>
      <c r="KOT1" s="286" t="s">
        <v>10357</v>
      </c>
      <c r="KOU1" s="286" t="s">
        <v>10358</v>
      </c>
      <c r="KOV1" s="286" t="s">
        <v>10359</v>
      </c>
      <c r="KOW1" s="286" t="s">
        <v>10360</v>
      </c>
      <c r="KOX1" s="286" t="s">
        <v>10361</v>
      </c>
      <c r="KOY1" s="286" t="s">
        <v>10362</v>
      </c>
      <c r="KOZ1" s="286" t="s">
        <v>10363</v>
      </c>
      <c r="KPA1" s="286" t="s">
        <v>10364</v>
      </c>
      <c r="KPB1" s="286" t="s">
        <v>10365</v>
      </c>
      <c r="KPC1" s="286" t="s">
        <v>10366</v>
      </c>
      <c r="KPD1" s="286" t="s">
        <v>10367</v>
      </c>
      <c r="KPE1" s="286" t="s">
        <v>10368</v>
      </c>
      <c r="KPF1" s="286" t="s">
        <v>10369</v>
      </c>
      <c r="KPG1" s="286" t="s">
        <v>10370</v>
      </c>
      <c r="KPH1" s="286" t="s">
        <v>10371</v>
      </c>
      <c r="KPI1" s="286" t="s">
        <v>10372</v>
      </c>
      <c r="KPJ1" s="286" t="s">
        <v>10373</v>
      </c>
      <c r="KPK1" s="286" t="s">
        <v>10374</v>
      </c>
      <c r="KPL1" s="286" t="s">
        <v>10375</v>
      </c>
      <c r="KPM1" s="286" t="s">
        <v>10376</v>
      </c>
      <c r="KPN1" s="286" t="s">
        <v>10377</v>
      </c>
      <c r="KPO1" s="286" t="s">
        <v>10378</v>
      </c>
      <c r="KPP1" s="286" t="s">
        <v>10379</v>
      </c>
      <c r="KPQ1" s="286" t="s">
        <v>10380</v>
      </c>
      <c r="KPR1" s="286" t="s">
        <v>10381</v>
      </c>
      <c r="KPS1" s="286" t="s">
        <v>10382</v>
      </c>
      <c r="KPT1" s="286" t="s">
        <v>10383</v>
      </c>
      <c r="KPU1" s="286" t="s">
        <v>10384</v>
      </c>
      <c r="KPV1" s="286" t="s">
        <v>10385</v>
      </c>
      <c r="KPW1" s="286" t="s">
        <v>10386</v>
      </c>
      <c r="KPX1" s="286" t="s">
        <v>10387</v>
      </c>
      <c r="KPY1" s="286" t="s">
        <v>10388</v>
      </c>
      <c r="KPZ1" s="286" t="s">
        <v>10389</v>
      </c>
      <c r="KQA1" s="286" t="s">
        <v>10390</v>
      </c>
      <c r="KQB1" s="286" t="s">
        <v>10391</v>
      </c>
      <c r="KQC1" s="286" t="s">
        <v>10392</v>
      </c>
      <c r="KQD1" s="286" t="s">
        <v>10393</v>
      </c>
      <c r="KQE1" s="286" t="s">
        <v>10394</v>
      </c>
      <c r="KQF1" s="286" t="s">
        <v>10395</v>
      </c>
      <c r="KQG1" s="286" t="s">
        <v>10396</v>
      </c>
      <c r="KQH1" s="286" t="s">
        <v>10397</v>
      </c>
      <c r="KQI1" s="286" t="s">
        <v>10398</v>
      </c>
      <c r="KQJ1" s="286" t="s">
        <v>10399</v>
      </c>
      <c r="KQK1" s="286" t="s">
        <v>10400</v>
      </c>
      <c r="KQL1" s="286" t="s">
        <v>10401</v>
      </c>
      <c r="KQM1" s="286" t="s">
        <v>10402</v>
      </c>
      <c r="KQN1" s="286" t="s">
        <v>10403</v>
      </c>
      <c r="KQO1" s="286" t="s">
        <v>10404</v>
      </c>
      <c r="KQP1" s="286" t="s">
        <v>10405</v>
      </c>
      <c r="KQQ1" s="286" t="s">
        <v>10406</v>
      </c>
      <c r="KQR1" s="286" t="s">
        <v>10407</v>
      </c>
      <c r="KQS1" s="286" t="s">
        <v>10408</v>
      </c>
      <c r="KQT1" s="286" t="s">
        <v>10409</v>
      </c>
      <c r="KQU1" s="286" t="s">
        <v>10410</v>
      </c>
      <c r="KQV1" s="286" t="s">
        <v>10411</v>
      </c>
      <c r="KQW1" s="286" t="s">
        <v>10412</v>
      </c>
      <c r="KQX1" s="286" t="s">
        <v>10413</v>
      </c>
      <c r="KQY1" s="286" t="s">
        <v>10414</v>
      </c>
      <c r="KQZ1" s="286" t="s">
        <v>10415</v>
      </c>
      <c r="KRA1" s="286" t="s">
        <v>10416</v>
      </c>
      <c r="KRB1" s="286" t="s">
        <v>10417</v>
      </c>
      <c r="KRC1" s="286" t="s">
        <v>10418</v>
      </c>
      <c r="KRD1" s="286" t="s">
        <v>10419</v>
      </c>
      <c r="KRE1" s="286" t="s">
        <v>10420</v>
      </c>
      <c r="KRF1" s="286" t="s">
        <v>10421</v>
      </c>
      <c r="KRG1" s="286" t="s">
        <v>10422</v>
      </c>
      <c r="KRH1" s="286" t="s">
        <v>10423</v>
      </c>
      <c r="KRI1" s="286" t="s">
        <v>10424</v>
      </c>
      <c r="KRJ1" s="286" t="s">
        <v>10425</v>
      </c>
      <c r="KRK1" s="286" t="s">
        <v>10426</v>
      </c>
      <c r="KRL1" s="286" t="s">
        <v>10427</v>
      </c>
      <c r="KRM1" s="286" t="s">
        <v>10428</v>
      </c>
      <c r="KRN1" s="286" t="s">
        <v>10429</v>
      </c>
      <c r="KRO1" s="286" t="s">
        <v>10430</v>
      </c>
      <c r="KRP1" s="286" t="s">
        <v>10431</v>
      </c>
      <c r="KRQ1" s="286" t="s">
        <v>10432</v>
      </c>
      <c r="KRR1" s="286" t="s">
        <v>10433</v>
      </c>
      <c r="KRS1" s="286" t="s">
        <v>10434</v>
      </c>
      <c r="KRT1" s="286" t="s">
        <v>10435</v>
      </c>
      <c r="KRU1" s="286" t="s">
        <v>10436</v>
      </c>
      <c r="KRV1" s="286" t="s">
        <v>10437</v>
      </c>
      <c r="KRW1" s="286" t="s">
        <v>10438</v>
      </c>
      <c r="KRX1" s="286" t="s">
        <v>10439</v>
      </c>
      <c r="KRY1" s="286" t="s">
        <v>10440</v>
      </c>
      <c r="KRZ1" s="286" t="s">
        <v>10441</v>
      </c>
      <c r="KSA1" s="286" t="s">
        <v>10442</v>
      </c>
      <c r="KSB1" s="286" t="s">
        <v>10443</v>
      </c>
      <c r="KSC1" s="286" t="s">
        <v>10444</v>
      </c>
      <c r="KSD1" s="286" t="s">
        <v>10445</v>
      </c>
      <c r="KSE1" s="286" t="s">
        <v>10446</v>
      </c>
      <c r="KSF1" s="286" t="s">
        <v>10447</v>
      </c>
      <c r="KSG1" s="286" t="s">
        <v>10448</v>
      </c>
      <c r="KSH1" s="286" t="s">
        <v>10449</v>
      </c>
      <c r="KSI1" s="286" t="s">
        <v>10450</v>
      </c>
      <c r="KSJ1" s="286" t="s">
        <v>10451</v>
      </c>
      <c r="KSK1" s="286" t="s">
        <v>10452</v>
      </c>
      <c r="KSL1" s="286" t="s">
        <v>10453</v>
      </c>
      <c r="KSM1" s="286" t="s">
        <v>10454</v>
      </c>
      <c r="KSN1" s="286" t="s">
        <v>10455</v>
      </c>
      <c r="KSO1" s="286" t="s">
        <v>10456</v>
      </c>
      <c r="KSP1" s="286" t="s">
        <v>10457</v>
      </c>
      <c r="KSQ1" s="286" t="s">
        <v>10458</v>
      </c>
      <c r="KSR1" s="286" t="s">
        <v>10459</v>
      </c>
      <c r="KSS1" s="286" t="s">
        <v>10460</v>
      </c>
      <c r="KST1" s="286" t="s">
        <v>10461</v>
      </c>
      <c r="KSU1" s="286" t="s">
        <v>10462</v>
      </c>
      <c r="KSV1" s="286" t="s">
        <v>10463</v>
      </c>
      <c r="KSW1" s="286" t="s">
        <v>10464</v>
      </c>
      <c r="KSX1" s="286" t="s">
        <v>10465</v>
      </c>
      <c r="KSY1" s="286" t="s">
        <v>10466</v>
      </c>
      <c r="KSZ1" s="286" t="s">
        <v>10467</v>
      </c>
      <c r="KTA1" s="286" t="s">
        <v>10468</v>
      </c>
      <c r="KTB1" s="286" t="s">
        <v>10469</v>
      </c>
      <c r="KTC1" s="286" t="s">
        <v>10470</v>
      </c>
      <c r="KTD1" s="286" t="s">
        <v>10471</v>
      </c>
      <c r="KTE1" s="286" t="s">
        <v>10472</v>
      </c>
      <c r="KTF1" s="286" t="s">
        <v>10473</v>
      </c>
      <c r="KTG1" s="286" t="s">
        <v>10474</v>
      </c>
      <c r="KTH1" s="286" t="s">
        <v>10475</v>
      </c>
      <c r="KTI1" s="286" t="s">
        <v>10476</v>
      </c>
      <c r="KTJ1" s="286" t="s">
        <v>10477</v>
      </c>
      <c r="KTK1" s="286" t="s">
        <v>10478</v>
      </c>
      <c r="KTL1" s="286" t="s">
        <v>10479</v>
      </c>
      <c r="KTM1" s="286" t="s">
        <v>10480</v>
      </c>
      <c r="KTN1" s="286" t="s">
        <v>10481</v>
      </c>
      <c r="KTO1" s="286" t="s">
        <v>10482</v>
      </c>
      <c r="KTP1" s="286" t="s">
        <v>10483</v>
      </c>
      <c r="KTQ1" s="286" t="s">
        <v>10484</v>
      </c>
      <c r="KTR1" s="286" t="s">
        <v>10485</v>
      </c>
      <c r="KTS1" s="286" t="s">
        <v>10486</v>
      </c>
      <c r="KTT1" s="286" t="s">
        <v>10487</v>
      </c>
      <c r="KTU1" s="286" t="s">
        <v>10488</v>
      </c>
      <c r="KTV1" s="286" t="s">
        <v>10489</v>
      </c>
      <c r="KTW1" s="286" t="s">
        <v>10490</v>
      </c>
      <c r="KTX1" s="286" t="s">
        <v>10491</v>
      </c>
      <c r="KTY1" s="286" t="s">
        <v>10492</v>
      </c>
      <c r="KTZ1" s="286" t="s">
        <v>10493</v>
      </c>
      <c r="KUA1" s="286" t="s">
        <v>10494</v>
      </c>
      <c r="KUB1" s="286" t="s">
        <v>10495</v>
      </c>
      <c r="KUC1" s="286" t="s">
        <v>10496</v>
      </c>
      <c r="KUD1" s="286" t="s">
        <v>10497</v>
      </c>
      <c r="KUE1" s="286" t="s">
        <v>10498</v>
      </c>
      <c r="KUF1" s="286" t="s">
        <v>10499</v>
      </c>
      <c r="KUG1" s="286" t="s">
        <v>10500</v>
      </c>
      <c r="KUH1" s="286" t="s">
        <v>10501</v>
      </c>
      <c r="KUI1" s="286" t="s">
        <v>10502</v>
      </c>
      <c r="KUJ1" s="286" t="s">
        <v>10503</v>
      </c>
      <c r="KUK1" s="286" t="s">
        <v>10504</v>
      </c>
      <c r="KUL1" s="286" t="s">
        <v>10505</v>
      </c>
      <c r="KUM1" s="286" t="s">
        <v>10506</v>
      </c>
      <c r="KUN1" s="286" t="s">
        <v>10507</v>
      </c>
      <c r="KUO1" s="286" t="s">
        <v>10508</v>
      </c>
      <c r="KUP1" s="286" t="s">
        <v>10509</v>
      </c>
      <c r="KUQ1" s="286" t="s">
        <v>10510</v>
      </c>
      <c r="KUR1" s="286" t="s">
        <v>10511</v>
      </c>
      <c r="KUS1" s="286" t="s">
        <v>10512</v>
      </c>
      <c r="KUT1" s="286" t="s">
        <v>10513</v>
      </c>
      <c r="KUU1" s="286" t="s">
        <v>10514</v>
      </c>
      <c r="KUV1" s="286" t="s">
        <v>10515</v>
      </c>
      <c r="KUW1" s="286" t="s">
        <v>10516</v>
      </c>
      <c r="KUX1" s="286" t="s">
        <v>10517</v>
      </c>
      <c r="KUY1" s="286" t="s">
        <v>10518</v>
      </c>
      <c r="KUZ1" s="286" t="s">
        <v>10519</v>
      </c>
      <c r="KVA1" s="286" t="s">
        <v>10520</v>
      </c>
      <c r="KVB1" s="286" t="s">
        <v>10521</v>
      </c>
      <c r="KVC1" s="286" t="s">
        <v>10522</v>
      </c>
      <c r="KVD1" s="286" t="s">
        <v>10523</v>
      </c>
      <c r="KVE1" s="286" t="s">
        <v>10524</v>
      </c>
      <c r="KVF1" s="286" t="s">
        <v>10525</v>
      </c>
      <c r="KVG1" s="286" t="s">
        <v>10526</v>
      </c>
      <c r="KVH1" s="286" t="s">
        <v>10527</v>
      </c>
      <c r="KVI1" s="286" t="s">
        <v>10528</v>
      </c>
      <c r="KVJ1" s="286" t="s">
        <v>10529</v>
      </c>
      <c r="KVK1" s="286" t="s">
        <v>10530</v>
      </c>
      <c r="KVL1" s="286" t="s">
        <v>10531</v>
      </c>
      <c r="KVM1" s="286" t="s">
        <v>10532</v>
      </c>
      <c r="KVN1" s="286" t="s">
        <v>10533</v>
      </c>
      <c r="KVO1" s="286" t="s">
        <v>10534</v>
      </c>
      <c r="KVP1" s="286" t="s">
        <v>10535</v>
      </c>
      <c r="KVQ1" s="286" t="s">
        <v>10536</v>
      </c>
      <c r="KVR1" s="286" t="s">
        <v>10537</v>
      </c>
      <c r="KVS1" s="286" t="s">
        <v>10538</v>
      </c>
      <c r="KVT1" s="286" t="s">
        <v>10539</v>
      </c>
      <c r="KVU1" s="286" t="s">
        <v>10540</v>
      </c>
      <c r="KVV1" s="286" t="s">
        <v>10541</v>
      </c>
      <c r="KVW1" s="286" t="s">
        <v>10542</v>
      </c>
      <c r="KVX1" s="286" t="s">
        <v>10543</v>
      </c>
      <c r="KVY1" s="286" t="s">
        <v>10544</v>
      </c>
      <c r="KVZ1" s="286" t="s">
        <v>10545</v>
      </c>
      <c r="KWA1" s="286" t="s">
        <v>10546</v>
      </c>
      <c r="KWB1" s="286" t="s">
        <v>10547</v>
      </c>
      <c r="KWC1" s="286" t="s">
        <v>10548</v>
      </c>
      <c r="KWD1" s="286" t="s">
        <v>10549</v>
      </c>
      <c r="KWE1" s="286" t="s">
        <v>10550</v>
      </c>
      <c r="KWF1" s="286" t="s">
        <v>10551</v>
      </c>
      <c r="KWG1" s="286" t="s">
        <v>10552</v>
      </c>
      <c r="KWH1" s="286" t="s">
        <v>10553</v>
      </c>
      <c r="KWI1" s="286" t="s">
        <v>10554</v>
      </c>
      <c r="KWJ1" s="286" t="s">
        <v>10555</v>
      </c>
      <c r="KWK1" s="286" t="s">
        <v>10556</v>
      </c>
      <c r="KWL1" s="286" t="s">
        <v>10557</v>
      </c>
      <c r="KWM1" s="286" t="s">
        <v>10558</v>
      </c>
      <c r="KWN1" s="286" t="s">
        <v>10559</v>
      </c>
      <c r="KWO1" s="286" t="s">
        <v>10560</v>
      </c>
      <c r="KWP1" s="286" t="s">
        <v>10561</v>
      </c>
      <c r="KWQ1" s="286" t="s">
        <v>10562</v>
      </c>
      <c r="KWR1" s="286" t="s">
        <v>10563</v>
      </c>
      <c r="KWS1" s="286" t="s">
        <v>10564</v>
      </c>
      <c r="KWT1" s="286" t="s">
        <v>10565</v>
      </c>
      <c r="KWU1" s="286" t="s">
        <v>10566</v>
      </c>
      <c r="KWV1" s="286" t="s">
        <v>10567</v>
      </c>
      <c r="KWW1" s="286" t="s">
        <v>10568</v>
      </c>
      <c r="KWX1" s="286" t="s">
        <v>10569</v>
      </c>
      <c r="KWY1" s="286" t="s">
        <v>10570</v>
      </c>
      <c r="KWZ1" s="286" t="s">
        <v>10571</v>
      </c>
      <c r="KXA1" s="286" t="s">
        <v>10572</v>
      </c>
      <c r="KXB1" s="286" t="s">
        <v>10573</v>
      </c>
      <c r="KXC1" s="286" t="s">
        <v>10574</v>
      </c>
      <c r="KXD1" s="286" t="s">
        <v>10575</v>
      </c>
      <c r="KXE1" s="286" t="s">
        <v>10576</v>
      </c>
      <c r="KXF1" s="286" t="s">
        <v>10577</v>
      </c>
      <c r="KXG1" s="286" t="s">
        <v>10578</v>
      </c>
      <c r="KXH1" s="286" t="s">
        <v>10579</v>
      </c>
      <c r="KXI1" s="286" t="s">
        <v>10580</v>
      </c>
      <c r="KXJ1" s="286" t="s">
        <v>10581</v>
      </c>
      <c r="KXK1" s="286" t="s">
        <v>10582</v>
      </c>
      <c r="KXL1" s="286" t="s">
        <v>10583</v>
      </c>
      <c r="KXM1" s="286" t="s">
        <v>10584</v>
      </c>
      <c r="KXN1" s="286" t="s">
        <v>10585</v>
      </c>
      <c r="KXO1" s="286" t="s">
        <v>10586</v>
      </c>
      <c r="KXP1" s="286" t="s">
        <v>10587</v>
      </c>
      <c r="KXQ1" s="286" t="s">
        <v>10588</v>
      </c>
      <c r="KXR1" s="286" t="s">
        <v>10589</v>
      </c>
      <c r="KXS1" s="286" t="s">
        <v>10590</v>
      </c>
      <c r="KXT1" s="286" t="s">
        <v>10591</v>
      </c>
      <c r="KXU1" s="286" t="s">
        <v>10592</v>
      </c>
      <c r="KXV1" s="286" t="s">
        <v>10593</v>
      </c>
      <c r="KXW1" s="286" t="s">
        <v>10594</v>
      </c>
      <c r="KXX1" s="286" t="s">
        <v>10595</v>
      </c>
      <c r="KXY1" s="286" t="s">
        <v>10596</v>
      </c>
      <c r="KXZ1" s="286" t="s">
        <v>10597</v>
      </c>
      <c r="KYA1" s="286" t="s">
        <v>10598</v>
      </c>
      <c r="KYB1" s="286" t="s">
        <v>10599</v>
      </c>
      <c r="KYC1" s="286" t="s">
        <v>10600</v>
      </c>
      <c r="KYD1" s="286" t="s">
        <v>10601</v>
      </c>
      <c r="KYE1" s="286" t="s">
        <v>10602</v>
      </c>
      <c r="KYF1" s="286" t="s">
        <v>10603</v>
      </c>
      <c r="KYG1" s="286" t="s">
        <v>10604</v>
      </c>
      <c r="KYH1" s="286" t="s">
        <v>10605</v>
      </c>
      <c r="KYI1" s="286" t="s">
        <v>10606</v>
      </c>
      <c r="KYJ1" s="286" t="s">
        <v>10607</v>
      </c>
      <c r="KYK1" s="286" t="s">
        <v>10608</v>
      </c>
      <c r="KYL1" s="286" t="s">
        <v>10609</v>
      </c>
      <c r="KYM1" s="286" t="s">
        <v>10610</v>
      </c>
      <c r="KYN1" s="286" t="s">
        <v>10611</v>
      </c>
      <c r="KYO1" s="286" t="s">
        <v>10612</v>
      </c>
      <c r="KYP1" s="286" t="s">
        <v>10613</v>
      </c>
      <c r="KYQ1" s="286" t="s">
        <v>10614</v>
      </c>
      <c r="KYR1" s="286" t="s">
        <v>10615</v>
      </c>
      <c r="KYS1" s="286" t="s">
        <v>10616</v>
      </c>
      <c r="KYT1" s="286" t="s">
        <v>10617</v>
      </c>
      <c r="KYU1" s="286" t="s">
        <v>10618</v>
      </c>
      <c r="KYV1" s="286" t="s">
        <v>10619</v>
      </c>
      <c r="KYW1" s="286" t="s">
        <v>10620</v>
      </c>
      <c r="KYX1" s="286" t="s">
        <v>10621</v>
      </c>
      <c r="KYY1" s="286" t="s">
        <v>10622</v>
      </c>
      <c r="KYZ1" s="286" t="s">
        <v>10623</v>
      </c>
      <c r="KZA1" s="286" t="s">
        <v>10624</v>
      </c>
      <c r="KZB1" s="286" t="s">
        <v>10625</v>
      </c>
      <c r="KZC1" s="286" t="s">
        <v>10626</v>
      </c>
      <c r="KZD1" s="286" t="s">
        <v>10627</v>
      </c>
      <c r="KZE1" s="286" t="s">
        <v>10628</v>
      </c>
      <c r="KZF1" s="286" t="s">
        <v>10629</v>
      </c>
      <c r="KZG1" s="286" t="s">
        <v>10630</v>
      </c>
      <c r="KZH1" s="286" t="s">
        <v>10631</v>
      </c>
      <c r="KZI1" s="286" t="s">
        <v>10632</v>
      </c>
      <c r="KZJ1" s="286" t="s">
        <v>10633</v>
      </c>
      <c r="KZK1" s="286" t="s">
        <v>10634</v>
      </c>
      <c r="KZL1" s="286" t="s">
        <v>10635</v>
      </c>
      <c r="KZM1" s="286" t="s">
        <v>10636</v>
      </c>
      <c r="KZN1" s="286" t="s">
        <v>10637</v>
      </c>
      <c r="KZO1" s="286" t="s">
        <v>10638</v>
      </c>
      <c r="KZP1" s="286" t="s">
        <v>10639</v>
      </c>
      <c r="KZQ1" s="286" t="s">
        <v>10640</v>
      </c>
      <c r="KZR1" s="286" t="s">
        <v>10641</v>
      </c>
      <c r="KZS1" s="286" t="s">
        <v>10642</v>
      </c>
      <c r="KZT1" s="286" t="s">
        <v>10643</v>
      </c>
      <c r="KZU1" s="286" t="s">
        <v>10644</v>
      </c>
      <c r="KZV1" s="286" t="s">
        <v>10645</v>
      </c>
      <c r="KZW1" s="286" t="s">
        <v>10646</v>
      </c>
      <c r="KZX1" s="286" t="s">
        <v>10647</v>
      </c>
      <c r="KZY1" s="286" t="s">
        <v>10648</v>
      </c>
      <c r="KZZ1" s="286" t="s">
        <v>10649</v>
      </c>
      <c r="LAA1" s="286" t="s">
        <v>10650</v>
      </c>
      <c r="LAB1" s="286" t="s">
        <v>10651</v>
      </c>
      <c r="LAC1" s="286" t="s">
        <v>10652</v>
      </c>
      <c r="LAD1" s="286" t="s">
        <v>10653</v>
      </c>
      <c r="LAE1" s="286" t="s">
        <v>10654</v>
      </c>
      <c r="LAF1" s="286" t="s">
        <v>10655</v>
      </c>
      <c r="LAG1" s="286" t="s">
        <v>10656</v>
      </c>
      <c r="LAH1" s="286" t="s">
        <v>10657</v>
      </c>
      <c r="LAI1" s="286" t="s">
        <v>10658</v>
      </c>
      <c r="LAJ1" s="286" t="s">
        <v>10659</v>
      </c>
      <c r="LAK1" s="286" t="s">
        <v>10660</v>
      </c>
      <c r="LAL1" s="286" t="s">
        <v>10661</v>
      </c>
      <c r="LAM1" s="286" t="s">
        <v>10662</v>
      </c>
      <c r="LAN1" s="286" t="s">
        <v>10663</v>
      </c>
      <c r="LAO1" s="286" t="s">
        <v>10664</v>
      </c>
      <c r="LAP1" s="286" t="s">
        <v>10665</v>
      </c>
      <c r="LAQ1" s="286" t="s">
        <v>10666</v>
      </c>
      <c r="LAR1" s="286" t="s">
        <v>10667</v>
      </c>
      <c r="LAS1" s="286" t="s">
        <v>10668</v>
      </c>
      <c r="LAT1" s="286" t="s">
        <v>10669</v>
      </c>
      <c r="LAU1" s="286" t="s">
        <v>10670</v>
      </c>
      <c r="LAV1" s="286" t="s">
        <v>10671</v>
      </c>
      <c r="LAW1" s="286" t="s">
        <v>10672</v>
      </c>
      <c r="LAX1" s="286" t="s">
        <v>10673</v>
      </c>
      <c r="LAY1" s="286" t="s">
        <v>10674</v>
      </c>
      <c r="LAZ1" s="286" t="s">
        <v>10675</v>
      </c>
      <c r="LBA1" s="286" t="s">
        <v>10676</v>
      </c>
      <c r="LBB1" s="286" t="s">
        <v>10677</v>
      </c>
      <c r="LBC1" s="286" t="s">
        <v>10678</v>
      </c>
      <c r="LBD1" s="286" t="s">
        <v>10679</v>
      </c>
      <c r="LBE1" s="286" t="s">
        <v>10680</v>
      </c>
      <c r="LBF1" s="286" t="s">
        <v>10681</v>
      </c>
      <c r="LBG1" s="286" t="s">
        <v>10682</v>
      </c>
      <c r="LBH1" s="286" t="s">
        <v>10683</v>
      </c>
      <c r="LBI1" s="286" t="s">
        <v>10684</v>
      </c>
      <c r="LBJ1" s="286" t="s">
        <v>10685</v>
      </c>
      <c r="LBK1" s="286" t="s">
        <v>10686</v>
      </c>
      <c r="LBL1" s="286" t="s">
        <v>10687</v>
      </c>
      <c r="LBM1" s="286" t="s">
        <v>10688</v>
      </c>
      <c r="LBN1" s="286" t="s">
        <v>10689</v>
      </c>
      <c r="LBO1" s="286" t="s">
        <v>10690</v>
      </c>
      <c r="LBP1" s="286" t="s">
        <v>10691</v>
      </c>
      <c r="LBQ1" s="286" t="s">
        <v>10692</v>
      </c>
      <c r="LBR1" s="286" t="s">
        <v>10693</v>
      </c>
      <c r="LBS1" s="286" t="s">
        <v>10694</v>
      </c>
      <c r="LBT1" s="286" t="s">
        <v>10695</v>
      </c>
      <c r="LBU1" s="286" t="s">
        <v>10696</v>
      </c>
      <c r="LBV1" s="286" t="s">
        <v>10697</v>
      </c>
      <c r="LBW1" s="286" t="s">
        <v>10698</v>
      </c>
      <c r="LBX1" s="286" t="s">
        <v>10699</v>
      </c>
      <c r="LBY1" s="286" t="s">
        <v>10700</v>
      </c>
      <c r="LBZ1" s="286" t="s">
        <v>10701</v>
      </c>
      <c r="LCA1" s="286" t="s">
        <v>10702</v>
      </c>
      <c r="LCB1" s="286" t="s">
        <v>10703</v>
      </c>
      <c r="LCC1" s="286" t="s">
        <v>10704</v>
      </c>
      <c r="LCD1" s="286" t="s">
        <v>10705</v>
      </c>
      <c r="LCE1" s="286" t="s">
        <v>10706</v>
      </c>
      <c r="LCF1" s="286" t="s">
        <v>10707</v>
      </c>
      <c r="LCG1" s="286" t="s">
        <v>10708</v>
      </c>
      <c r="LCH1" s="286" t="s">
        <v>10709</v>
      </c>
      <c r="LCI1" s="286" t="s">
        <v>10710</v>
      </c>
      <c r="LCJ1" s="286" t="s">
        <v>10711</v>
      </c>
      <c r="LCK1" s="286" t="s">
        <v>10712</v>
      </c>
      <c r="LCL1" s="286" t="s">
        <v>10713</v>
      </c>
      <c r="LCM1" s="286" t="s">
        <v>10714</v>
      </c>
      <c r="LCN1" s="286" t="s">
        <v>10715</v>
      </c>
      <c r="LCO1" s="286" t="s">
        <v>10716</v>
      </c>
      <c r="LCP1" s="286" t="s">
        <v>10717</v>
      </c>
      <c r="LCQ1" s="286" t="s">
        <v>10718</v>
      </c>
      <c r="LCR1" s="286" t="s">
        <v>10719</v>
      </c>
      <c r="LCS1" s="286" t="s">
        <v>10720</v>
      </c>
      <c r="LCT1" s="286" t="s">
        <v>10721</v>
      </c>
      <c r="LCU1" s="286" t="s">
        <v>10722</v>
      </c>
      <c r="LCV1" s="286" t="s">
        <v>10723</v>
      </c>
      <c r="LCW1" s="286" t="s">
        <v>10724</v>
      </c>
      <c r="LCX1" s="286" t="s">
        <v>10725</v>
      </c>
      <c r="LCY1" s="286" t="s">
        <v>10726</v>
      </c>
      <c r="LCZ1" s="286" t="s">
        <v>10727</v>
      </c>
      <c r="LDA1" s="286" t="s">
        <v>10728</v>
      </c>
      <c r="LDB1" s="286" t="s">
        <v>10729</v>
      </c>
      <c r="LDC1" s="286" t="s">
        <v>10730</v>
      </c>
      <c r="LDD1" s="286" t="s">
        <v>10731</v>
      </c>
      <c r="LDE1" s="286" t="s">
        <v>10732</v>
      </c>
      <c r="LDF1" s="286" t="s">
        <v>10733</v>
      </c>
      <c r="LDG1" s="286" t="s">
        <v>10734</v>
      </c>
      <c r="LDH1" s="286" t="s">
        <v>10735</v>
      </c>
      <c r="LDI1" s="286" t="s">
        <v>10736</v>
      </c>
      <c r="LDJ1" s="286" t="s">
        <v>10737</v>
      </c>
      <c r="LDK1" s="286" t="s">
        <v>10738</v>
      </c>
      <c r="LDL1" s="286" t="s">
        <v>10739</v>
      </c>
      <c r="LDM1" s="286" t="s">
        <v>10740</v>
      </c>
      <c r="LDN1" s="286" t="s">
        <v>10741</v>
      </c>
      <c r="LDO1" s="286" t="s">
        <v>10742</v>
      </c>
      <c r="LDP1" s="286" t="s">
        <v>10743</v>
      </c>
      <c r="LDQ1" s="286" t="s">
        <v>10744</v>
      </c>
      <c r="LDR1" s="286" t="s">
        <v>10745</v>
      </c>
      <c r="LDS1" s="286" t="s">
        <v>10746</v>
      </c>
      <c r="LDT1" s="286" t="s">
        <v>10747</v>
      </c>
      <c r="LDU1" s="286" t="s">
        <v>10748</v>
      </c>
      <c r="LDV1" s="286" t="s">
        <v>10749</v>
      </c>
      <c r="LDW1" s="286" t="s">
        <v>10750</v>
      </c>
      <c r="LDX1" s="286" t="s">
        <v>10751</v>
      </c>
      <c r="LDY1" s="286" t="s">
        <v>10752</v>
      </c>
      <c r="LDZ1" s="286" t="s">
        <v>10753</v>
      </c>
      <c r="LEA1" s="286" t="s">
        <v>10754</v>
      </c>
      <c r="LEB1" s="286" t="s">
        <v>10755</v>
      </c>
      <c r="LEC1" s="286" t="s">
        <v>10756</v>
      </c>
      <c r="LED1" s="286" t="s">
        <v>10757</v>
      </c>
      <c r="LEE1" s="286" t="s">
        <v>10758</v>
      </c>
      <c r="LEF1" s="286" t="s">
        <v>10759</v>
      </c>
      <c r="LEG1" s="286" t="s">
        <v>10760</v>
      </c>
      <c r="LEH1" s="286" t="s">
        <v>10761</v>
      </c>
      <c r="LEI1" s="286" t="s">
        <v>10762</v>
      </c>
      <c r="LEJ1" s="286" t="s">
        <v>10763</v>
      </c>
      <c r="LEK1" s="286" t="s">
        <v>10764</v>
      </c>
      <c r="LEL1" s="286" t="s">
        <v>10765</v>
      </c>
      <c r="LEM1" s="286" t="s">
        <v>10766</v>
      </c>
      <c r="LEN1" s="286" t="s">
        <v>10767</v>
      </c>
      <c r="LEO1" s="286" t="s">
        <v>10768</v>
      </c>
      <c r="LEP1" s="286" t="s">
        <v>10769</v>
      </c>
      <c r="LEQ1" s="286" t="s">
        <v>10770</v>
      </c>
      <c r="LER1" s="286" t="s">
        <v>10771</v>
      </c>
      <c r="LES1" s="286" t="s">
        <v>10772</v>
      </c>
      <c r="LET1" s="286" t="s">
        <v>10773</v>
      </c>
      <c r="LEU1" s="286" t="s">
        <v>10774</v>
      </c>
      <c r="LEV1" s="286" t="s">
        <v>10775</v>
      </c>
      <c r="LEW1" s="286" t="s">
        <v>10776</v>
      </c>
      <c r="LEX1" s="286" t="s">
        <v>10777</v>
      </c>
      <c r="LEY1" s="286" t="s">
        <v>10778</v>
      </c>
      <c r="LEZ1" s="286" t="s">
        <v>10779</v>
      </c>
      <c r="LFA1" s="286" t="s">
        <v>10780</v>
      </c>
      <c r="LFB1" s="286" t="s">
        <v>10781</v>
      </c>
      <c r="LFC1" s="286" t="s">
        <v>10782</v>
      </c>
      <c r="LFD1" s="286" t="s">
        <v>10783</v>
      </c>
      <c r="LFE1" s="286" t="s">
        <v>10784</v>
      </c>
      <c r="LFF1" s="286" t="s">
        <v>10785</v>
      </c>
      <c r="LFG1" s="286" t="s">
        <v>10786</v>
      </c>
      <c r="LFH1" s="286" t="s">
        <v>10787</v>
      </c>
      <c r="LFI1" s="286" t="s">
        <v>10788</v>
      </c>
      <c r="LFJ1" s="286" t="s">
        <v>10789</v>
      </c>
      <c r="LFK1" s="286" t="s">
        <v>10790</v>
      </c>
      <c r="LFL1" s="286" t="s">
        <v>10791</v>
      </c>
      <c r="LFM1" s="286" t="s">
        <v>10792</v>
      </c>
      <c r="LFN1" s="286" t="s">
        <v>10793</v>
      </c>
      <c r="LFO1" s="286" t="s">
        <v>10794</v>
      </c>
      <c r="LFP1" s="286" t="s">
        <v>10795</v>
      </c>
      <c r="LFQ1" s="286" t="s">
        <v>10796</v>
      </c>
      <c r="LFR1" s="286" t="s">
        <v>10797</v>
      </c>
      <c r="LFS1" s="286" t="s">
        <v>10798</v>
      </c>
      <c r="LFT1" s="286" t="s">
        <v>10799</v>
      </c>
      <c r="LFU1" s="286" t="s">
        <v>10800</v>
      </c>
      <c r="LFV1" s="286" t="s">
        <v>10801</v>
      </c>
      <c r="LFW1" s="286" t="s">
        <v>10802</v>
      </c>
      <c r="LFX1" s="286" t="s">
        <v>10803</v>
      </c>
      <c r="LFY1" s="286" t="s">
        <v>10804</v>
      </c>
      <c r="LFZ1" s="286" t="s">
        <v>10805</v>
      </c>
      <c r="LGA1" s="286" t="s">
        <v>10806</v>
      </c>
      <c r="LGB1" s="286" t="s">
        <v>10807</v>
      </c>
      <c r="LGC1" s="286" t="s">
        <v>10808</v>
      </c>
      <c r="LGD1" s="286" t="s">
        <v>10809</v>
      </c>
      <c r="LGE1" s="286" t="s">
        <v>10810</v>
      </c>
      <c r="LGF1" s="286" t="s">
        <v>10811</v>
      </c>
      <c r="LGG1" s="286" t="s">
        <v>10812</v>
      </c>
      <c r="LGH1" s="286" t="s">
        <v>10813</v>
      </c>
      <c r="LGI1" s="286" t="s">
        <v>10814</v>
      </c>
      <c r="LGJ1" s="286" t="s">
        <v>10815</v>
      </c>
      <c r="LGK1" s="286" t="s">
        <v>10816</v>
      </c>
      <c r="LGL1" s="286" t="s">
        <v>10817</v>
      </c>
      <c r="LGM1" s="286" t="s">
        <v>10818</v>
      </c>
      <c r="LGN1" s="286" t="s">
        <v>10819</v>
      </c>
      <c r="LGO1" s="286" t="s">
        <v>10820</v>
      </c>
      <c r="LGP1" s="286" t="s">
        <v>10821</v>
      </c>
      <c r="LGQ1" s="286" t="s">
        <v>10822</v>
      </c>
      <c r="LGR1" s="286" t="s">
        <v>10823</v>
      </c>
      <c r="LGS1" s="286" t="s">
        <v>10824</v>
      </c>
      <c r="LGT1" s="286" t="s">
        <v>10825</v>
      </c>
      <c r="LGU1" s="286" t="s">
        <v>10826</v>
      </c>
      <c r="LGV1" s="286" t="s">
        <v>10827</v>
      </c>
      <c r="LGW1" s="286" t="s">
        <v>10828</v>
      </c>
      <c r="LGX1" s="286" t="s">
        <v>10829</v>
      </c>
      <c r="LGY1" s="286" t="s">
        <v>10830</v>
      </c>
      <c r="LGZ1" s="286" t="s">
        <v>10831</v>
      </c>
      <c r="LHA1" s="286" t="s">
        <v>10832</v>
      </c>
      <c r="LHB1" s="286" t="s">
        <v>10833</v>
      </c>
      <c r="LHC1" s="286" t="s">
        <v>10834</v>
      </c>
      <c r="LHD1" s="286" t="s">
        <v>10835</v>
      </c>
      <c r="LHE1" s="286" t="s">
        <v>10836</v>
      </c>
      <c r="LHF1" s="286" t="s">
        <v>10837</v>
      </c>
      <c r="LHG1" s="286" t="s">
        <v>10838</v>
      </c>
      <c r="LHH1" s="286" t="s">
        <v>10839</v>
      </c>
      <c r="LHI1" s="286" t="s">
        <v>10840</v>
      </c>
      <c r="LHJ1" s="286" t="s">
        <v>10841</v>
      </c>
      <c r="LHK1" s="286" t="s">
        <v>10842</v>
      </c>
      <c r="LHL1" s="286" t="s">
        <v>10843</v>
      </c>
      <c r="LHM1" s="286" t="s">
        <v>10844</v>
      </c>
      <c r="LHN1" s="286" t="s">
        <v>10845</v>
      </c>
      <c r="LHO1" s="286" t="s">
        <v>10846</v>
      </c>
      <c r="LHP1" s="286" t="s">
        <v>10847</v>
      </c>
      <c r="LHQ1" s="286" t="s">
        <v>10848</v>
      </c>
      <c r="LHR1" s="286" t="s">
        <v>10849</v>
      </c>
      <c r="LHS1" s="286" t="s">
        <v>10850</v>
      </c>
      <c r="LHT1" s="286" t="s">
        <v>10851</v>
      </c>
      <c r="LHU1" s="286" t="s">
        <v>10852</v>
      </c>
      <c r="LHV1" s="286" t="s">
        <v>10853</v>
      </c>
      <c r="LHW1" s="286" t="s">
        <v>10854</v>
      </c>
      <c r="LHX1" s="286" t="s">
        <v>10855</v>
      </c>
      <c r="LHY1" s="286" t="s">
        <v>10856</v>
      </c>
      <c r="LHZ1" s="286" t="s">
        <v>10857</v>
      </c>
      <c r="LIA1" s="286" t="s">
        <v>10858</v>
      </c>
      <c r="LIB1" s="286" t="s">
        <v>10859</v>
      </c>
      <c r="LIC1" s="286" t="s">
        <v>10860</v>
      </c>
      <c r="LID1" s="286" t="s">
        <v>10861</v>
      </c>
      <c r="LIE1" s="286" t="s">
        <v>10862</v>
      </c>
      <c r="LIF1" s="286" t="s">
        <v>10863</v>
      </c>
      <c r="LIG1" s="286" t="s">
        <v>10864</v>
      </c>
      <c r="LIH1" s="286" t="s">
        <v>10865</v>
      </c>
      <c r="LII1" s="286" t="s">
        <v>10866</v>
      </c>
      <c r="LIJ1" s="286" t="s">
        <v>10867</v>
      </c>
      <c r="LIK1" s="286" t="s">
        <v>10868</v>
      </c>
      <c r="LIL1" s="286" t="s">
        <v>10869</v>
      </c>
      <c r="LIM1" s="286" t="s">
        <v>10870</v>
      </c>
      <c r="LIN1" s="286" t="s">
        <v>10871</v>
      </c>
      <c r="LIO1" s="286" t="s">
        <v>10872</v>
      </c>
      <c r="LIP1" s="286" t="s">
        <v>10873</v>
      </c>
      <c r="LIQ1" s="286" t="s">
        <v>10874</v>
      </c>
      <c r="LIR1" s="286" t="s">
        <v>10875</v>
      </c>
      <c r="LIS1" s="286" t="s">
        <v>10876</v>
      </c>
      <c r="LIT1" s="286" t="s">
        <v>10877</v>
      </c>
      <c r="LIU1" s="286" t="s">
        <v>10878</v>
      </c>
      <c r="LIV1" s="286" t="s">
        <v>10879</v>
      </c>
      <c r="LIW1" s="286" t="s">
        <v>10880</v>
      </c>
      <c r="LIX1" s="286" t="s">
        <v>10881</v>
      </c>
      <c r="LIY1" s="286" t="s">
        <v>10882</v>
      </c>
      <c r="LIZ1" s="286" t="s">
        <v>10883</v>
      </c>
      <c r="LJA1" s="286" t="s">
        <v>10884</v>
      </c>
      <c r="LJB1" s="286" t="s">
        <v>10885</v>
      </c>
      <c r="LJC1" s="286" t="s">
        <v>10886</v>
      </c>
      <c r="LJD1" s="286" t="s">
        <v>10887</v>
      </c>
      <c r="LJE1" s="286" t="s">
        <v>10888</v>
      </c>
      <c r="LJF1" s="286" t="s">
        <v>10889</v>
      </c>
      <c r="LJG1" s="286" t="s">
        <v>10890</v>
      </c>
      <c r="LJH1" s="286" t="s">
        <v>10891</v>
      </c>
      <c r="LJI1" s="286" t="s">
        <v>10892</v>
      </c>
      <c r="LJJ1" s="286" t="s">
        <v>10893</v>
      </c>
      <c r="LJK1" s="286" t="s">
        <v>10894</v>
      </c>
      <c r="LJL1" s="286" t="s">
        <v>10895</v>
      </c>
      <c r="LJM1" s="286" t="s">
        <v>10896</v>
      </c>
      <c r="LJN1" s="286" t="s">
        <v>10897</v>
      </c>
      <c r="LJO1" s="286" t="s">
        <v>10898</v>
      </c>
      <c r="LJP1" s="286" t="s">
        <v>10899</v>
      </c>
      <c r="LJQ1" s="286" t="s">
        <v>10900</v>
      </c>
      <c r="LJR1" s="286" t="s">
        <v>10901</v>
      </c>
      <c r="LJS1" s="286" t="s">
        <v>10902</v>
      </c>
      <c r="LJT1" s="286" t="s">
        <v>10903</v>
      </c>
      <c r="LJU1" s="286" t="s">
        <v>10904</v>
      </c>
      <c r="LJV1" s="286" t="s">
        <v>10905</v>
      </c>
      <c r="LJW1" s="286" t="s">
        <v>10906</v>
      </c>
      <c r="LJX1" s="286" t="s">
        <v>10907</v>
      </c>
      <c r="LJY1" s="286" t="s">
        <v>10908</v>
      </c>
      <c r="LJZ1" s="286" t="s">
        <v>10909</v>
      </c>
      <c r="LKA1" s="286" t="s">
        <v>10910</v>
      </c>
      <c r="LKB1" s="286" t="s">
        <v>10911</v>
      </c>
      <c r="LKC1" s="286" t="s">
        <v>10912</v>
      </c>
      <c r="LKD1" s="286" t="s">
        <v>10913</v>
      </c>
      <c r="LKE1" s="286" t="s">
        <v>10914</v>
      </c>
      <c r="LKF1" s="286" t="s">
        <v>10915</v>
      </c>
      <c r="LKG1" s="286" t="s">
        <v>10916</v>
      </c>
      <c r="LKH1" s="286" t="s">
        <v>10917</v>
      </c>
      <c r="LKI1" s="286" t="s">
        <v>10918</v>
      </c>
      <c r="LKJ1" s="286" t="s">
        <v>10919</v>
      </c>
      <c r="LKK1" s="286" t="s">
        <v>10920</v>
      </c>
      <c r="LKL1" s="286" t="s">
        <v>10921</v>
      </c>
      <c r="LKM1" s="286" t="s">
        <v>10922</v>
      </c>
      <c r="LKN1" s="286" t="s">
        <v>10923</v>
      </c>
      <c r="LKO1" s="286" t="s">
        <v>10924</v>
      </c>
      <c r="LKP1" s="286" t="s">
        <v>10925</v>
      </c>
      <c r="LKQ1" s="286" t="s">
        <v>10926</v>
      </c>
      <c r="LKR1" s="286" t="s">
        <v>10927</v>
      </c>
      <c r="LKS1" s="286" t="s">
        <v>10928</v>
      </c>
      <c r="LKT1" s="286" t="s">
        <v>10929</v>
      </c>
      <c r="LKU1" s="286" t="s">
        <v>10930</v>
      </c>
      <c r="LKV1" s="286" t="s">
        <v>10931</v>
      </c>
      <c r="LKW1" s="286" t="s">
        <v>10932</v>
      </c>
      <c r="LKX1" s="286" t="s">
        <v>10933</v>
      </c>
      <c r="LKY1" s="286" t="s">
        <v>10934</v>
      </c>
      <c r="LKZ1" s="286" t="s">
        <v>10935</v>
      </c>
      <c r="LLA1" s="286" t="s">
        <v>10936</v>
      </c>
      <c r="LLB1" s="286" t="s">
        <v>10937</v>
      </c>
      <c r="LLC1" s="286" t="s">
        <v>10938</v>
      </c>
      <c r="LLD1" s="286" t="s">
        <v>10939</v>
      </c>
      <c r="LLE1" s="286" t="s">
        <v>10940</v>
      </c>
      <c r="LLF1" s="286" t="s">
        <v>10941</v>
      </c>
      <c r="LLG1" s="286" t="s">
        <v>10942</v>
      </c>
      <c r="LLH1" s="286" t="s">
        <v>10943</v>
      </c>
      <c r="LLI1" s="286" t="s">
        <v>10944</v>
      </c>
      <c r="LLJ1" s="286" t="s">
        <v>10945</v>
      </c>
      <c r="LLK1" s="286" t="s">
        <v>10946</v>
      </c>
      <c r="LLL1" s="286" t="s">
        <v>10947</v>
      </c>
      <c r="LLM1" s="286" t="s">
        <v>10948</v>
      </c>
      <c r="LLN1" s="286" t="s">
        <v>10949</v>
      </c>
      <c r="LLO1" s="286" t="s">
        <v>10950</v>
      </c>
      <c r="LLP1" s="286" t="s">
        <v>10951</v>
      </c>
      <c r="LLQ1" s="286" t="s">
        <v>10952</v>
      </c>
      <c r="LLR1" s="286" t="s">
        <v>10953</v>
      </c>
      <c r="LLS1" s="286" t="s">
        <v>10954</v>
      </c>
      <c r="LLT1" s="286" t="s">
        <v>10955</v>
      </c>
      <c r="LLU1" s="286" t="s">
        <v>10956</v>
      </c>
      <c r="LLV1" s="286" t="s">
        <v>10957</v>
      </c>
      <c r="LLW1" s="286" t="s">
        <v>10958</v>
      </c>
      <c r="LLX1" s="286" t="s">
        <v>10959</v>
      </c>
      <c r="LLY1" s="286" t="s">
        <v>10960</v>
      </c>
      <c r="LLZ1" s="286" t="s">
        <v>10961</v>
      </c>
      <c r="LMA1" s="286" t="s">
        <v>10962</v>
      </c>
      <c r="LMB1" s="286" t="s">
        <v>10963</v>
      </c>
      <c r="LMC1" s="286" t="s">
        <v>10964</v>
      </c>
      <c r="LMD1" s="286" t="s">
        <v>10965</v>
      </c>
      <c r="LME1" s="286" t="s">
        <v>10966</v>
      </c>
      <c r="LMF1" s="286" t="s">
        <v>10967</v>
      </c>
      <c r="LMG1" s="286" t="s">
        <v>10968</v>
      </c>
      <c r="LMH1" s="286" t="s">
        <v>10969</v>
      </c>
      <c r="LMI1" s="286" t="s">
        <v>10970</v>
      </c>
      <c r="LMJ1" s="286" t="s">
        <v>10971</v>
      </c>
      <c r="LMK1" s="286" t="s">
        <v>10972</v>
      </c>
      <c r="LML1" s="286" t="s">
        <v>10973</v>
      </c>
      <c r="LMM1" s="286" t="s">
        <v>10974</v>
      </c>
      <c r="LMN1" s="286" t="s">
        <v>10975</v>
      </c>
      <c r="LMO1" s="286" t="s">
        <v>10976</v>
      </c>
      <c r="LMP1" s="286" t="s">
        <v>10977</v>
      </c>
      <c r="LMQ1" s="286" t="s">
        <v>10978</v>
      </c>
      <c r="LMR1" s="286" t="s">
        <v>10979</v>
      </c>
      <c r="LMS1" s="286" t="s">
        <v>10980</v>
      </c>
      <c r="LMT1" s="286" t="s">
        <v>10981</v>
      </c>
      <c r="LMU1" s="286" t="s">
        <v>10982</v>
      </c>
      <c r="LMV1" s="286" t="s">
        <v>10983</v>
      </c>
      <c r="LMW1" s="286" t="s">
        <v>10984</v>
      </c>
      <c r="LMX1" s="286" t="s">
        <v>10985</v>
      </c>
      <c r="LMY1" s="286" t="s">
        <v>10986</v>
      </c>
      <c r="LMZ1" s="286" t="s">
        <v>10987</v>
      </c>
      <c r="LNA1" s="286" t="s">
        <v>10988</v>
      </c>
      <c r="LNB1" s="286" t="s">
        <v>10989</v>
      </c>
      <c r="LNC1" s="286" t="s">
        <v>10990</v>
      </c>
      <c r="LND1" s="286" t="s">
        <v>10991</v>
      </c>
      <c r="LNE1" s="286" t="s">
        <v>10992</v>
      </c>
      <c r="LNF1" s="286" t="s">
        <v>10993</v>
      </c>
      <c r="LNG1" s="286" t="s">
        <v>10994</v>
      </c>
      <c r="LNH1" s="286" t="s">
        <v>10995</v>
      </c>
      <c r="LNI1" s="286" t="s">
        <v>10996</v>
      </c>
      <c r="LNJ1" s="286" t="s">
        <v>10997</v>
      </c>
      <c r="LNK1" s="286" t="s">
        <v>10998</v>
      </c>
      <c r="LNL1" s="286" t="s">
        <v>10999</v>
      </c>
      <c r="LNM1" s="286" t="s">
        <v>11000</v>
      </c>
      <c r="LNN1" s="286" t="s">
        <v>11001</v>
      </c>
      <c r="LNO1" s="286" t="s">
        <v>11002</v>
      </c>
      <c r="LNP1" s="286" t="s">
        <v>11003</v>
      </c>
      <c r="LNQ1" s="286" t="s">
        <v>11004</v>
      </c>
      <c r="LNR1" s="286" t="s">
        <v>11005</v>
      </c>
      <c r="LNS1" s="286" t="s">
        <v>11006</v>
      </c>
      <c r="LNT1" s="286" t="s">
        <v>11007</v>
      </c>
      <c r="LNU1" s="286" t="s">
        <v>11008</v>
      </c>
      <c r="LNV1" s="286" t="s">
        <v>11009</v>
      </c>
      <c r="LNW1" s="286" t="s">
        <v>11010</v>
      </c>
      <c r="LNX1" s="286" t="s">
        <v>11011</v>
      </c>
      <c r="LNY1" s="286" t="s">
        <v>11012</v>
      </c>
      <c r="LNZ1" s="286" t="s">
        <v>11013</v>
      </c>
      <c r="LOA1" s="286" t="s">
        <v>11014</v>
      </c>
      <c r="LOB1" s="286" t="s">
        <v>11015</v>
      </c>
      <c r="LOC1" s="286" t="s">
        <v>11016</v>
      </c>
      <c r="LOD1" s="286" t="s">
        <v>11017</v>
      </c>
      <c r="LOE1" s="286" t="s">
        <v>11018</v>
      </c>
      <c r="LOF1" s="286" t="s">
        <v>11019</v>
      </c>
      <c r="LOG1" s="286" t="s">
        <v>11020</v>
      </c>
      <c r="LOH1" s="286" t="s">
        <v>11021</v>
      </c>
      <c r="LOI1" s="286" t="s">
        <v>11022</v>
      </c>
      <c r="LOJ1" s="286" t="s">
        <v>11023</v>
      </c>
      <c r="LOK1" s="286" t="s">
        <v>11024</v>
      </c>
      <c r="LOL1" s="286" t="s">
        <v>11025</v>
      </c>
      <c r="LOM1" s="286" t="s">
        <v>11026</v>
      </c>
      <c r="LON1" s="286" t="s">
        <v>11027</v>
      </c>
      <c r="LOO1" s="286" t="s">
        <v>11028</v>
      </c>
      <c r="LOP1" s="286" t="s">
        <v>11029</v>
      </c>
      <c r="LOQ1" s="286" t="s">
        <v>11030</v>
      </c>
      <c r="LOR1" s="286" t="s">
        <v>11031</v>
      </c>
      <c r="LOS1" s="286" t="s">
        <v>11032</v>
      </c>
      <c r="LOT1" s="286" t="s">
        <v>11033</v>
      </c>
      <c r="LOU1" s="286" t="s">
        <v>11034</v>
      </c>
      <c r="LOV1" s="286" t="s">
        <v>11035</v>
      </c>
      <c r="LOW1" s="286" t="s">
        <v>11036</v>
      </c>
      <c r="LOX1" s="286" t="s">
        <v>11037</v>
      </c>
      <c r="LOY1" s="286" t="s">
        <v>11038</v>
      </c>
      <c r="LOZ1" s="286" t="s">
        <v>11039</v>
      </c>
      <c r="LPA1" s="286" t="s">
        <v>11040</v>
      </c>
      <c r="LPB1" s="286" t="s">
        <v>11041</v>
      </c>
      <c r="LPC1" s="286" t="s">
        <v>11042</v>
      </c>
      <c r="LPD1" s="286" t="s">
        <v>11043</v>
      </c>
      <c r="LPE1" s="286" t="s">
        <v>11044</v>
      </c>
      <c r="LPF1" s="286" t="s">
        <v>11045</v>
      </c>
      <c r="LPG1" s="286" t="s">
        <v>11046</v>
      </c>
      <c r="LPH1" s="286" t="s">
        <v>11047</v>
      </c>
      <c r="LPI1" s="286" t="s">
        <v>11048</v>
      </c>
      <c r="LPJ1" s="286" t="s">
        <v>11049</v>
      </c>
      <c r="LPK1" s="286" t="s">
        <v>11050</v>
      </c>
      <c r="LPL1" s="286" t="s">
        <v>11051</v>
      </c>
      <c r="LPM1" s="286" t="s">
        <v>11052</v>
      </c>
      <c r="LPN1" s="286" t="s">
        <v>11053</v>
      </c>
      <c r="LPO1" s="286" t="s">
        <v>11054</v>
      </c>
      <c r="LPP1" s="286" t="s">
        <v>11055</v>
      </c>
      <c r="LPQ1" s="286" t="s">
        <v>11056</v>
      </c>
      <c r="LPR1" s="286" t="s">
        <v>11057</v>
      </c>
      <c r="LPS1" s="286" t="s">
        <v>11058</v>
      </c>
      <c r="LPT1" s="286" t="s">
        <v>11059</v>
      </c>
      <c r="LPU1" s="286" t="s">
        <v>11060</v>
      </c>
      <c r="LPV1" s="286" t="s">
        <v>11061</v>
      </c>
      <c r="LPW1" s="286" t="s">
        <v>11062</v>
      </c>
      <c r="LPX1" s="286" t="s">
        <v>11063</v>
      </c>
      <c r="LPY1" s="286" t="s">
        <v>11064</v>
      </c>
      <c r="LPZ1" s="286" t="s">
        <v>11065</v>
      </c>
      <c r="LQA1" s="286" t="s">
        <v>11066</v>
      </c>
      <c r="LQB1" s="286" t="s">
        <v>11067</v>
      </c>
      <c r="LQC1" s="286" t="s">
        <v>11068</v>
      </c>
      <c r="LQD1" s="286" t="s">
        <v>11069</v>
      </c>
      <c r="LQE1" s="286" t="s">
        <v>11070</v>
      </c>
      <c r="LQF1" s="286" t="s">
        <v>11071</v>
      </c>
      <c r="LQG1" s="286" t="s">
        <v>11072</v>
      </c>
      <c r="LQH1" s="286" t="s">
        <v>11073</v>
      </c>
      <c r="LQI1" s="286" t="s">
        <v>11074</v>
      </c>
      <c r="LQJ1" s="286" t="s">
        <v>11075</v>
      </c>
      <c r="LQK1" s="286" t="s">
        <v>11076</v>
      </c>
      <c r="LQL1" s="286" t="s">
        <v>11077</v>
      </c>
      <c r="LQM1" s="286" t="s">
        <v>11078</v>
      </c>
      <c r="LQN1" s="286" t="s">
        <v>11079</v>
      </c>
      <c r="LQO1" s="286" t="s">
        <v>11080</v>
      </c>
      <c r="LQP1" s="286" t="s">
        <v>11081</v>
      </c>
      <c r="LQQ1" s="286" t="s">
        <v>11082</v>
      </c>
      <c r="LQR1" s="286" t="s">
        <v>11083</v>
      </c>
      <c r="LQS1" s="286" t="s">
        <v>11084</v>
      </c>
      <c r="LQT1" s="286" t="s">
        <v>11085</v>
      </c>
      <c r="LQU1" s="286" t="s">
        <v>11086</v>
      </c>
      <c r="LQV1" s="286" t="s">
        <v>11087</v>
      </c>
      <c r="LQW1" s="286" t="s">
        <v>11088</v>
      </c>
      <c r="LQX1" s="286" t="s">
        <v>11089</v>
      </c>
      <c r="LQY1" s="286" t="s">
        <v>11090</v>
      </c>
      <c r="LQZ1" s="286" t="s">
        <v>11091</v>
      </c>
      <c r="LRA1" s="286" t="s">
        <v>11092</v>
      </c>
      <c r="LRB1" s="286" t="s">
        <v>11093</v>
      </c>
      <c r="LRC1" s="286" t="s">
        <v>11094</v>
      </c>
      <c r="LRD1" s="286" t="s">
        <v>11095</v>
      </c>
      <c r="LRE1" s="286" t="s">
        <v>11096</v>
      </c>
      <c r="LRF1" s="286" t="s">
        <v>11097</v>
      </c>
      <c r="LRG1" s="286" t="s">
        <v>11098</v>
      </c>
      <c r="LRH1" s="286" t="s">
        <v>11099</v>
      </c>
      <c r="LRI1" s="286" t="s">
        <v>11100</v>
      </c>
      <c r="LRJ1" s="286" t="s">
        <v>11101</v>
      </c>
      <c r="LRK1" s="286" t="s">
        <v>11102</v>
      </c>
      <c r="LRL1" s="286" t="s">
        <v>11103</v>
      </c>
      <c r="LRM1" s="286" t="s">
        <v>11104</v>
      </c>
      <c r="LRN1" s="286" t="s">
        <v>11105</v>
      </c>
      <c r="LRO1" s="286" t="s">
        <v>11106</v>
      </c>
      <c r="LRP1" s="286" t="s">
        <v>11107</v>
      </c>
      <c r="LRQ1" s="286" t="s">
        <v>11108</v>
      </c>
      <c r="LRR1" s="286" t="s">
        <v>11109</v>
      </c>
      <c r="LRS1" s="286" t="s">
        <v>11110</v>
      </c>
      <c r="LRT1" s="286" t="s">
        <v>11111</v>
      </c>
      <c r="LRU1" s="286" t="s">
        <v>11112</v>
      </c>
      <c r="LRV1" s="286" t="s">
        <v>11113</v>
      </c>
      <c r="LRW1" s="286" t="s">
        <v>11114</v>
      </c>
      <c r="LRX1" s="286" t="s">
        <v>11115</v>
      </c>
      <c r="LRY1" s="286" t="s">
        <v>11116</v>
      </c>
      <c r="LRZ1" s="286" t="s">
        <v>11117</v>
      </c>
      <c r="LSA1" s="286" t="s">
        <v>11118</v>
      </c>
      <c r="LSB1" s="286" t="s">
        <v>11119</v>
      </c>
      <c r="LSC1" s="286" t="s">
        <v>11120</v>
      </c>
      <c r="LSD1" s="286" t="s">
        <v>11121</v>
      </c>
      <c r="LSE1" s="286" t="s">
        <v>11122</v>
      </c>
      <c r="LSF1" s="286" t="s">
        <v>11123</v>
      </c>
      <c r="LSG1" s="286" t="s">
        <v>11124</v>
      </c>
      <c r="LSH1" s="286" t="s">
        <v>11125</v>
      </c>
      <c r="LSI1" s="286" t="s">
        <v>11126</v>
      </c>
      <c r="LSJ1" s="286" t="s">
        <v>11127</v>
      </c>
      <c r="LSK1" s="286" t="s">
        <v>11128</v>
      </c>
      <c r="LSL1" s="286" t="s">
        <v>11129</v>
      </c>
      <c r="LSM1" s="286" t="s">
        <v>11130</v>
      </c>
      <c r="LSN1" s="286" t="s">
        <v>11131</v>
      </c>
      <c r="LSO1" s="286" t="s">
        <v>11132</v>
      </c>
      <c r="LSP1" s="286" t="s">
        <v>11133</v>
      </c>
      <c r="LSQ1" s="286" t="s">
        <v>11134</v>
      </c>
      <c r="LSR1" s="286" t="s">
        <v>11135</v>
      </c>
      <c r="LSS1" s="286" t="s">
        <v>11136</v>
      </c>
      <c r="LST1" s="286" t="s">
        <v>11137</v>
      </c>
      <c r="LSU1" s="286" t="s">
        <v>11138</v>
      </c>
      <c r="LSV1" s="286" t="s">
        <v>11139</v>
      </c>
      <c r="LSW1" s="286" t="s">
        <v>11140</v>
      </c>
      <c r="LSX1" s="286" t="s">
        <v>11141</v>
      </c>
      <c r="LSY1" s="286" t="s">
        <v>11142</v>
      </c>
      <c r="LSZ1" s="286" t="s">
        <v>11143</v>
      </c>
      <c r="LTA1" s="286" t="s">
        <v>11144</v>
      </c>
      <c r="LTB1" s="286" t="s">
        <v>11145</v>
      </c>
      <c r="LTC1" s="286" t="s">
        <v>11146</v>
      </c>
      <c r="LTD1" s="286" t="s">
        <v>11147</v>
      </c>
      <c r="LTE1" s="286" t="s">
        <v>11148</v>
      </c>
      <c r="LTF1" s="286" t="s">
        <v>11149</v>
      </c>
      <c r="LTG1" s="286" t="s">
        <v>11150</v>
      </c>
      <c r="LTH1" s="286" t="s">
        <v>11151</v>
      </c>
      <c r="LTI1" s="286" t="s">
        <v>11152</v>
      </c>
      <c r="LTJ1" s="286" t="s">
        <v>11153</v>
      </c>
      <c r="LTK1" s="286" t="s">
        <v>11154</v>
      </c>
      <c r="LTL1" s="286" t="s">
        <v>11155</v>
      </c>
      <c r="LTM1" s="286" t="s">
        <v>11156</v>
      </c>
      <c r="LTN1" s="286" t="s">
        <v>11157</v>
      </c>
      <c r="LTO1" s="286" t="s">
        <v>11158</v>
      </c>
      <c r="LTP1" s="286" t="s">
        <v>11159</v>
      </c>
      <c r="LTQ1" s="286" t="s">
        <v>11160</v>
      </c>
      <c r="LTR1" s="286" t="s">
        <v>11161</v>
      </c>
      <c r="LTS1" s="286" t="s">
        <v>11162</v>
      </c>
      <c r="LTT1" s="286" t="s">
        <v>11163</v>
      </c>
      <c r="LTU1" s="286" t="s">
        <v>11164</v>
      </c>
      <c r="LTV1" s="286" t="s">
        <v>11165</v>
      </c>
      <c r="LTW1" s="286" t="s">
        <v>11166</v>
      </c>
      <c r="LTX1" s="286" t="s">
        <v>11167</v>
      </c>
      <c r="LTY1" s="286" t="s">
        <v>11168</v>
      </c>
      <c r="LTZ1" s="286" t="s">
        <v>11169</v>
      </c>
      <c r="LUA1" s="286" t="s">
        <v>11170</v>
      </c>
      <c r="LUB1" s="286" t="s">
        <v>11171</v>
      </c>
      <c r="LUC1" s="286" t="s">
        <v>11172</v>
      </c>
      <c r="LUD1" s="286" t="s">
        <v>11173</v>
      </c>
      <c r="LUE1" s="286" t="s">
        <v>11174</v>
      </c>
      <c r="LUF1" s="286" t="s">
        <v>11175</v>
      </c>
      <c r="LUG1" s="286" t="s">
        <v>11176</v>
      </c>
      <c r="LUH1" s="286" t="s">
        <v>11177</v>
      </c>
      <c r="LUI1" s="286" t="s">
        <v>11178</v>
      </c>
      <c r="LUJ1" s="286" t="s">
        <v>11179</v>
      </c>
      <c r="LUK1" s="286" t="s">
        <v>11180</v>
      </c>
      <c r="LUL1" s="286" t="s">
        <v>11181</v>
      </c>
      <c r="LUM1" s="286" t="s">
        <v>11182</v>
      </c>
      <c r="LUN1" s="286" t="s">
        <v>11183</v>
      </c>
      <c r="LUO1" s="286" t="s">
        <v>11184</v>
      </c>
      <c r="LUP1" s="286" t="s">
        <v>11185</v>
      </c>
      <c r="LUQ1" s="286" t="s">
        <v>11186</v>
      </c>
      <c r="LUR1" s="286" t="s">
        <v>11187</v>
      </c>
      <c r="LUS1" s="286" t="s">
        <v>11188</v>
      </c>
      <c r="LUT1" s="286" t="s">
        <v>11189</v>
      </c>
      <c r="LUU1" s="286" t="s">
        <v>11190</v>
      </c>
      <c r="LUV1" s="286" t="s">
        <v>11191</v>
      </c>
      <c r="LUW1" s="286" t="s">
        <v>11192</v>
      </c>
      <c r="LUX1" s="286" t="s">
        <v>11193</v>
      </c>
      <c r="LUY1" s="286" t="s">
        <v>11194</v>
      </c>
      <c r="LUZ1" s="286" t="s">
        <v>11195</v>
      </c>
      <c r="LVA1" s="286" t="s">
        <v>11196</v>
      </c>
      <c r="LVB1" s="286" t="s">
        <v>11197</v>
      </c>
      <c r="LVC1" s="286" t="s">
        <v>11198</v>
      </c>
      <c r="LVD1" s="286" t="s">
        <v>11199</v>
      </c>
      <c r="LVE1" s="286" t="s">
        <v>11200</v>
      </c>
      <c r="LVF1" s="286" t="s">
        <v>11201</v>
      </c>
      <c r="LVG1" s="286" t="s">
        <v>11202</v>
      </c>
      <c r="LVH1" s="286" t="s">
        <v>11203</v>
      </c>
      <c r="LVI1" s="286" t="s">
        <v>11204</v>
      </c>
      <c r="LVJ1" s="286" t="s">
        <v>11205</v>
      </c>
      <c r="LVK1" s="286" t="s">
        <v>11206</v>
      </c>
      <c r="LVL1" s="286" t="s">
        <v>11207</v>
      </c>
      <c r="LVM1" s="286" t="s">
        <v>11208</v>
      </c>
      <c r="LVN1" s="286" t="s">
        <v>11209</v>
      </c>
      <c r="LVO1" s="286" t="s">
        <v>11210</v>
      </c>
      <c r="LVP1" s="286" t="s">
        <v>11211</v>
      </c>
      <c r="LVQ1" s="286" t="s">
        <v>11212</v>
      </c>
      <c r="LVR1" s="286" t="s">
        <v>11213</v>
      </c>
      <c r="LVS1" s="286" t="s">
        <v>11214</v>
      </c>
      <c r="LVT1" s="286" t="s">
        <v>11215</v>
      </c>
      <c r="LVU1" s="286" t="s">
        <v>11216</v>
      </c>
      <c r="LVV1" s="286" t="s">
        <v>11217</v>
      </c>
      <c r="LVW1" s="286" t="s">
        <v>11218</v>
      </c>
      <c r="LVX1" s="286" t="s">
        <v>11219</v>
      </c>
      <c r="LVY1" s="286" t="s">
        <v>11220</v>
      </c>
      <c r="LVZ1" s="286" t="s">
        <v>11221</v>
      </c>
      <c r="LWA1" s="286" t="s">
        <v>11222</v>
      </c>
      <c r="LWB1" s="286" t="s">
        <v>11223</v>
      </c>
      <c r="LWC1" s="286" t="s">
        <v>11224</v>
      </c>
      <c r="LWD1" s="286" t="s">
        <v>11225</v>
      </c>
      <c r="LWE1" s="286" t="s">
        <v>11226</v>
      </c>
      <c r="LWF1" s="286" t="s">
        <v>11227</v>
      </c>
      <c r="LWG1" s="286" t="s">
        <v>11228</v>
      </c>
      <c r="LWH1" s="286" t="s">
        <v>11229</v>
      </c>
      <c r="LWI1" s="286" t="s">
        <v>11230</v>
      </c>
      <c r="LWJ1" s="286" t="s">
        <v>11231</v>
      </c>
      <c r="LWK1" s="286" t="s">
        <v>11232</v>
      </c>
      <c r="LWL1" s="286" t="s">
        <v>11233</v>
      </c>
      <c r="LWM1" s="286" t="s">
        <v>11234</v>
      </c>
      <c r="LWN1" s="286" t="s">
        <v>11235</v>
      </c>
      <c r="LWO1" s="286" t="s">
        <v>11236</v>
      </c>
      <c r="LWP1" s="286" t="s">
        <v>11237</v>
      </c>
      <c r="LWQ1" s="286" t="s">
        <v>11238</v>
      </c>
      <c r="LWR1" s="286" t="s">
        <v>11239</v>
      </c>
      <c r="LWS1" s="286" t="s">
        <v>11240</v>
      </c>
      <c r="LWT1" s="286" t="s">
        <v>11241</v>
      </c>
      <c r="LWU1" s="286" t="s">
        <v>11242</v>
      </c>
      <c r="LWV1" s="286" t="s">
        <v>11243</v>
      </c>
      <c r="LWW1" s="286" t="s">
        <v>11244</v>
      </c>
      <c r="LWX1" s="286" t="s">
        <v>11245</v>
      </c>
      <c r="LWY1" s="286" t="s">
        <v>11246</v>
      </c>
      <c r="LWZ1" s="286" t="s">
        <v>11247</v>
      </c>
      <c r="LXA1" s="286" t="s">
        <v>11248</v>
      </c>
      <c r="LXB1" s="286" t="s">
        <v>11249</v>
      </c>
      <c r="LXC1" s="286" t="s">
        <v>11250</v>
      </c>
      <c r="LXD1" s="286" t="s">
        <v>11251</v>
      </c>
      <c r="LXE1" s="286" t="s">
        <v>11252</v>
      </c>
      <c r="LXF1" s="286" t="s">
        <v>11253</v>
      </c>
      <c r="LXG1" s="286" t="s">
        <v>11254</v>
      </c>
      <c r="LXH1" s="286" t="s">
        <v>11255</v>
      </c>
      <c r="LXI1" s="286" t="s">
        <v>11256</v>
      </c>
      <c r="LXJ1" s="286" t="s">
        <v>11257</v>
      </c>
      <c r="LXK1" s="286" t="s">
        <v>11258</v>
      </c>
      <c r="LXL1" s="286" t="s">
        <v>11259</v>
      </c>
      <c r="LXM1" s="286" t="s">
        <v>11260</v>
      </c>
      <c r="LXN1" s="286" t="s">
        <v>11261</v>
      </c>
      <c r="LXO1" s="286" t="s">
        <v>11262</v>
      </c>
      <c r="LXP1" s="286" t="s">
        <v>11263</v>
      </c>
      <c r="LXQ1" s="286" t="s">
        <v>11264</v>
      </c>
      <c r="LXR1" s="286" t="s">
        <v>11265</v>
      </c>
      <c r="LXS1" s="286" t="s">
        <v>11266</v>
      </c>
      <c r="LXT1" s="286" t="s">
        <v>11267</v>
      </c>
      <c r="LXU1" s="286" t="s">
        <v>11268</v>
      </c>
      <c r="LXV1" s="286" t="s">
        <v>11269</v>
      </c>
      <c r="LXW1" s="286" t="s">
        <v>11270</v>
      </c>
      <c r="LXX1" s="286" t="s">
        <v>11271</v>
      </c>
      <c r="LXY1" s="286" t="s">
        <v>11272</v>
      </c>
      <c r="LXZ1" s="286" t="s">
        <v>11273</v>
      </c>
      <c r="LYA1" s="286" t="s">
        <v>11274</v>
      </c>
      <c r="LYB1" s="286" t="s">
        <v>11275</v>
      </c>
      <c r="LYC1" s="286" t="s">
        <v>11276</v>
      </c>
      <c r="LYD1" s="286" t="s">
        <v>11277</v>
      </c>
      <c r="LYE1" s="286" t="s">
        <v>11278</v>
      </c>
      <c r="LYF1" s="286" t="s">
        <v>11279</v>
      </c>
      <c r="LYG1" s="286" t="s">
        <v>11280</v>
      </c>
      <c r="LYH1" s="286" t="s">
        <v>11281</v>
      </c>
      <c r="LYI1" s="286" t="s">
        <v>11282</v>
      </c>
      <c r="LYJ1" s="286" t="s">
        <v>11283</v>
      </c>
      <c r="LYK1" s="286" t="s">
        <v>11284</v>
      </c>
      <c r="LYL1" s="286" t="s">
        <v>11285</v>
      </c>
      <c r="LYM1" s="286" t="s">
        <v>11286</v>
      </c>
      <c r="LYN1" s="286" t="s">
        <v>11287</v>
      </c>
      <c r="LYO1" s="286" t="s">
        <v>11288</v>
      </c>
      <c r="LYP1" s="286" t="s">
        <v>11289</v>
      </c>
      <c r="LYQ1" s="286" t="s">
        <v>11290</v>
      </c>
      <c r="LYR1" s="286" t="s">
        <v>11291</v>
      </c>
      <c r="LYS1" s="286" t="s">
        <v>11292</v>
      </c>
      <c r="LYT1" s="286" t="s">
        <v>11293</v>
      </c>
      <c r="LYU1" s="286" t="s">
        <v>11294</v>
      </c>
      <c r="LYV1" s="286" t="s">
        <v>11295</v>
      </c>
      <c r="LYW1" s="286" t="s">
        <v>11296</v>
      </c>
      <c r="LYX1" s="286" t="s">
        <v>11297</v>
      </c>
      <c r="LYY1" s="286" t="s">
        <v>11298</v>
      </c>
      <c r="LYZ1" s="286" t="s">
        <v>11299</v>
      </c>
      <c r="LZA1" s="286" t="s">
        <v>11300</v>
      </c>
      <c r="LZB1" s="286" t="s">
        <v>11301</v>
      </c>
      <c r="LZC1" s="286" t="s">
        <v>11302</v>
      </c>
      <c r="LZD1" s="286" t="s">
        <v>11303</v>
      </c>
      <c r="LZE1" s="286" t="s">
        <v>11304</v>
      </c>
      <c r="LZF1" s="286" t="s">
        <v>11305</v>
      </c>
      <c r="LZG1" s="286" t="s">
        <v>11306</v>
      </c>
      <c r="LZH1" s="286" t="s">
        <v>11307</v>
      </c>
      <c r="LZI1" s="286" t="s">
        <v>11308</v>
      </c>
      <c r="LZJ1" s="286" t="s">
        <v>11309</v>
      </c>
      <c r="LZK1" s="286" t="s">
        <v>11310</v>
      </c>
      <c r="LZL1" s="286" t="s">
        <v>11311</v>
      </c>
      <c r="LZM1" s="286" t="s">
        <v>11312</v>
      </c>
      <c r="LZN1" s="286" t="s">
        <v>11313</v>
      </c>
      <c r="LZO1" s="286" t="s">
        <v>11314</v>
      </c>
      <c r="LZP1" s="286" t="s">
        <v>11315</v>
      </c>
      <c r="LZQ1" s="286" t="s">
        <v>11316</v>
      </c>
      <c r="LZR1" s="286" t="s">
        <v>11317</v>
      </c>
      <c r="LZS1" s="286" t="s">
        <v>11318</v>
      </c>
      <c r="LZT1" s="286" t="s">
        <v>11319</v>
      </c>
      <c r="LZU1" s="286" t="s">
        <v>11320</v>
      </c>
      <c r="LZV1" s="286" t="s">
        <v>11321</v>
      </c>
      <c r="LZW1" s="286" t="s">
        <v>11322</v>
      </c>
      <c r="LZX1" s="286" t="s">
        <v>11323</v>
      </c>
      <c r="LZY1" s="286" t="s">
        <v>11324</v>
      </c>
      <c r="LZZ1" s="286" t="s">
        <v>11325</v>
      </c>
      <c r="MAA1" s="286" t="s">
        <v>11326</v>
      </c>
      <c r="MAB1" s="286" t="s">
        <v>11327</v>
      </c>
      <c r="MAC1" s="286" t="s">
        <v>11328</v>
      </c>
      <c r="MAD1" s="286" t="s">
        <v>11329</v>
      </c>
      <c r="MAE1" s="286" t="s">
        <v>11330</v>
      </c>
      <c r="MAF1" s="286" t="s">
        <v>11331</v>
      </c>
      <c r="MAG1" s="286" t="s">
        <v>11332</v>
      </c>
      <c r="MAH1" s="286" t="s">
        <v>11333</v>
      </c>
      <c r="MAI1" s="286" t="s">
        <v>11334</v>
      </c>
      <c r="MAJ1" s="286" t="s">
        <v>11335</v>
      </c>
      <c r="MAK1" s="286" t="s">
        <v>11336</v>
      </c>
      <c r="MAL1" s="286" t="s">
        <v>11337</v>
      </c>
      <c r="MAM1" s="286" t="s">
        <v>11338</v>
      </c>
      <c r="MAN1" s="286" t="s">
        <v>11339</v>
      </c>
      <c r="MAO1" s="286" t="s">
        <v>11340</v>
      </c>
      <c r="MAP1" s="286" t="s">
        <v>11341</v>
      </c>
      <c r="MAQ1" s="286" t="s">
        <v>11342</v>
      </c>
      <c r="MAR1" s="286" t="s">
        <v>11343</v>
      </c>
      <c r="MAS1" s="286" t="s">
        <v>11344</v>
      </c>
      <c r="MAT1" s="286" t="s">
        <v>11345</v>
      </c>
      <c r="MAU1" s="286" t="s">
        <v>11346</v>
      </c>
      <c r="MAV1" s="286" t="s">
        <v>11347</v>
      </c>
      <c r="MAW1" s="286" t="s">
        <v>11348</v>
      </c>
      <c r="MAX1" s="286" t="s">
        <v>11349</v>
      </c>
      <c r="MAY1" s="286" t="s">
        <v>11350</v>
      </c>
      <c r="MAZ1" s="286" t="s">
        <v>11351</v>
      </c>
      <c r="MBA1" s="286" t="s">
        <v>11352</v>
      </c>
      <c r="MBB1" s="286" t="s">
        <v>11353</v>
      </c>
      <c r="MBC1" s="286" t="s">
        <v>11354</v>
      </c>
      <c r="MBD1" s="286" t="s">
        <v>11355</v>
      </c>
      <c r="MBE1" s="286" t="s">
        <v>11356</v>
      </c>
      <c r="MBF1" s="286" t="s">
        <v>11357</v>
      </c>
      <c r="MBG1" s="286" t="s">
        <v>11358</v>
      </c>
      <c r="MBH1" s="286" t="s">
        <v>11359</v>
      </c>
      <c r="MBI1" s="286" t="s">
        <v>11360</v>
      </c>
      <c r="MBJ1" s="286" t="s">
        <v>11361</v>
      </c>
      <c r="MBK1" s="286" t="s">
        <v>11362</v>
      </c>
      <c r="MBL1" s="286" t="s">
        <v>11363</v>
      </c>
      <c r="MBM1" s="286" t="s">
        <v>11364</v>
      </c>
      <c r="MBN1" s="286" t="s">
        <v>11365</v>
      </c>
      <c r="MBO1" s="286" t="s">
        <v>11366</v>
      </c>
      <c r="MBP1" s="286" t="s">
        <v>11367</v>
      </c>
      <c r="MBQ1" s="286" t="s">
        <v>11368</v>
      </c>
      <c r="MBR1" s="286" t="s">
        <v>11369</v>
      </c>
      <c r="MBS1" s="286" t="s">
        <v>11370</v>
      </c>
      <c r="MBT1" s="286" t="s">
        <v>11371</v>
      </c>
      <c r="MBU1" s="286" t="s">
        <v>11372</v>
      </c>
      <c r="MBV1" s="286" t="s">
        <v>11373</v>
      </c>
      <c r="MBW1" s="286" t="s">
        <v>11374</v>
      </c>
      <c r="MBX1" s="286" t="s">
        <v>11375</v>
      </c>
      <c r="MBY1" s="286" t="s">
        <v>11376</v>
      </c>
      <c r="MBZ1" s="286" t="s">
        <v>11377</v>
      </c>
      <c r="MCA1" s="286" t="s">
        <v>11378</v>
      </c>
      <c r="MCB1" s="286" t="s">
        <v>11379</v>
      </c>
      <c r="MCC1" s="286" t="s">
        <v>11380</v>
      </c>
      <c r="MCD1" s="286" t="s">
        <v>11381</v>
      </c>
      <c r="MCE1" s="286" t="s">
        <v>11382</v>
      </c>
      <c r="MCF1" s="286" t="s">
        <v>11383</v>
      </c>
      <c r="MCG1" s="286" t="s">
        <v>11384</v>
      </c>
      <c r="MCH1" s="286" t="s">
        <v>11385</v>
      </c>
      <c r="MCI1" s="286" t="s">
        <v>11386</v>
      </c>
      <c r="MCJ1" s="286" t="s">
        <v>11387</v>
      </c>
      <c r="MCK1" s="286" t="s">
        <v>11388</v>
      </c>
      <c r="MCL1" s="286" t="s">
        <v>11389</v>
      </c>
      <c r="MCM1" s="286" t="s">
        <v>11390</v>
      </c>
      <c r="MCN1" s="286" t="s">
        <v>11391</v>
      </c>
      <c r="MCO1" s="286" t="s">
        <v>11392</v>
      </c>
      <c r="MCP1" s="286" t="s">
        <v>11393</v>
      </c>
      <c r="MCQ1" s="286" t="s">
        <v>11394</v>
      </c>
      <c r="MCR1" s="286" t="s">
        <v>11395</v>
      </c>
      <c r="MCS1" s="286" t="s">
        <v>11396</v>
      </c>
      <c r="MCT1" s="286" t="s">
        <v>11397</v>
      </c>
      <c r="MCU1" s="286" t="s">
        <v>11398</v>
      </c>
      <c r="MCV1" s="286" t="s">
        <v>11399</v>
      </c>
      <c r="MCW1" s="286" t="s">
        <v>11400</v>
      </c>
      <c r="MCX1" s="286" t="s">
        <v>11401</v>
      </c>
      <c r="MCY1" s="286" t="s">
        <v>11402</v>
      </c>
      <c r="MCZ1" s="286" t="s">
        <v>11403</v>
      </c>
      <c r="MDA1" s="286" t="s">
        <v>11404</v>
      </c>
      <c r="MDB1" s="286" t="s">
        <v>11405</v>
      </c>
      <c r="MDC1" s="286" t="s">
        <v>11406</v>
      </c>
      <c r="MDD1" s="286" t="s">
        <v>11407</v>
      </c>
      <c r="MDE1" s="286" t="s">
        <v>11408</v>
      </c>
      <c r="MDF1" s="286" t="s">
        <v>11409</v>
      </c>
      <c r="MDG1" s="286" t="s">
        <v>11410</v>
      </c>
      <c r="MDH1" s="286" t="s">
        <v>11411</v>
      </c>
      <c r="MDI1" s="286" t="s">
        <v>11412</v>
      </c>
      <c r="MDJ1" s="286" t="s">
        <v>11413</v>
      </c>
      <c r="MDK1" s="286" t="s">
        <v>11414</v>
      </c>
      <c r="MDL1" s="286" t="s">
        <v>11415</v>
      </c>
      <c r="MDM1" s="286" t="s">
        <v>11416</v>
      </c>
      <c r="MDN1" s="286" t="s">
        <v>11417</v>
      </c>
      <c r="MDO1" s="286" t="s">
        <v>11418</v>
      </c>
      <c r="MDP1" s="286" t="s">
        <v>11419</v>
      </c>
      <c r="MDQ1" s="286" t="s">
        <v>11420</v>
      </c>
      <c r="MDR1" s="286" t="s">
        <v>11421</v>
      </c>
      <c r="MDS1" s="286" t="s">
        <v>11422</v>
      </c>
      <c r="MDT1" s="286" t="s">
        <v>11423</v>
      </c>
      <c r="MDU1" s="286" t="s">
        <v>11424</v>
      </c>
      <c r="MDV1" s="286" t="s">
        <v>11425</v>
      </c>
      <c r="MDW1" s="286" t="s">
        <v>11426</v>
      </c>
      <c r="MDX1" s="286" t="s">
        <v>11427</v>
      </c>
      <c r="MDY1" s="286" t="s">
        <v>11428</v>
      </c>
      <c r="MDZ1" s="286" t="s">
        <v>11429</v>
      </c>
      <c r="MEA1" s="286" t="s">
        <v>11430</v>
      </c>
      <c r="MEB1" s="286" t="s">
        <v>11431</v>
      </c>
      <c r="MEC1" s="286" t="s">
        <v>11432</v>
      </c>
      <c r="MED1" s="286" t="s">
        <v>11433</v>
      </c>
      <c r="MEE1" s="286" t="s">
        <v>11434</v>
      </c>
      <c r="MEF1" s="286" t="s">
        <v>11435</v>
      </c>
      <c r="MEG1" s="286" t="s">
        <v>11436</v>
      </c>
      <c r="MEH1" s="286" t="s">
        <v>11437</v>
      </c>
      <c r="MEI1" s="286" t="s">
        <v>11438</v>
      </c>
      <c r="MEJ1" s="286" t="s">
        <v>11439</v>
      </c>
      <c r="MEK1" s="286" t="s">
        <v>11440</v>
      </c>
      <c r="MEL1" s="286" t="s">
        <v>11441</v>
      </c>
      <c r="MEM1" s="286" t="s">
        <v>11442</v>
      </c>
      <c r="MEN1" s="286" t="s">
        <v>11443</v>
      </c>
      <c r="MEO1" s="286" t="s">
        <v>11444</v>
      </c>
      <c r="MEP1" s="286" t="s">
        <v>11445</v>
      </c>
      <c r="MEQ1" s="286" t="s">
        <v>11446</v>
      </c>
      <c r="MER1" s="286" t="s">
        <v>11447</v>
      </c>
      <c r="MES1" s="286" t="s">
        <v>11448</v>
      </c>
      <c r="MET1" s="286" t="s">
        <v>11449</v>
      </c>
      <c r="MEU1" s="286" t="s">
        <v>11450</v>
      </c>
      <c r="MEV1" s="286" t="s">
        <v>11451</v>
      </c>
      <c r="MEW1" s="286" t="s">
        <v>11452</v>
      </c>
      <c r="MEX1" s="286" t="s">
        <v>11453</v>
      </c>
      <c r="MEY1" s="286" t="s">
        <v>11454</v>
      </c>
      <c r="MEZ1" s="286" t="s">
        <v>11455</v>
      </c>
      <c r="MFA1" s="286" t="s">
        <v>11456</v>
      </c>
      <c r="MFB1" s="286" t="s">
        <v>11457</v>
      </c>
      <c r="MFC1" s="286" t="s">
        <v>11458</v>
      </c>
      <c r="MFD1" s="286" t="s">
        <v>11459</v>
      </c>
      <c r="MFE1" s="286" t="s">
        <v>11460</v>
      </c>
      <c r="MFF1" s="286" t="s">
        <v>11461</v>
      </c>
      <c r="MFG1" s="286" t="s">
        <v>11462</v>
      </c>
      <c r="MFH1" s="286" t="s">
        <v>11463</v>
      </c>
      <c r="MFI1" s="286" t="s">
        <v>11464</v>
      </c>
      <c r="MFJ1" s="286" t="s">
        <v>11465</v>
      </c>
      <c r="MFK1" s="286" t="s">
        <v>11466</v>
      </c>
      <c r="MFL1" s="286" t="s">
        <v>11467</v>
      </c>
      <c r="MFM1" s="286" t="s">
        <v>11468</v>
      </c>
      <c r="MFN1" s="286" t="s">
        <v>11469</v>
      </c>
      <c r="MFO1" s="286" t="s">
        <v>11470</v>
      </c>
      <c r="MFP1" s="286" t="s">
        <v>11471</v>
      </c>
      <c r="MFQ1" s="286" t="s">
        <v>11472</v>
      </c>
      <c r="MFR1" s="286" t="s">
        <v>11473</v>
      </c>
      <c r="MFS1" s="286" t="s">
        <v>11474</v>
      </c>
      <c r="MFT1" s="286" t="s">
        <v>11475</v>
      </c>
      <c r="MFU1" s="286" t="s">
        <v>11476</v>
      </c>
      <c r="MFV1" s="286" t="s">
        <v>11477</v>
      </c>
      <c r="MFW1" s="286" t="s">
        <v>11478</v>
      </c>
      <c r="MFX1" s="286" t="s">
        <v>11479</v>
      </c>
      <c r="MFY1" s="286" t="s">
        <v>11480</v>
      </c>
      <c r="MFZ1" s="286" t="s">
        <v>11481</v>
      </c>
      <c r="MGA1" s="286" t="s">
        <v>11482</v>
      </c>
      <c r="MGB1" s="286" t="s">
        <v>11483</v>
      </c>
      <c r="MGC1" s="286" t="s">
        <v>11484</v>
      </c>
      <c r="MGD1" s="286" t="s">
        <v>11485</v>
      </c>
      <c r="MGE1" s="286" t="s">
        <v>11486</v>
      </c>
      <c r="MGF1" s="286" t="s">
        <v>11487</v>
      </c>
      <c r="MGG1" s="286" t="s">
        <v>11488</v>
      </c>
      <c r="MGH1" s="286" t="s">
        <v>11489</v>
      </c>
      <c r="MGI1" s="286" t="s">
        <v>11490</v>
      </c>
      <c r="MGJ1" s="286" t="s">
        <v>11491</v>
      </c>
      <c r="MGK1" s="286" t="s">
        <v>11492</v>
      </c>
      <c r="MGL1" s="286" t="s">
        <v>11493</v>
      </c>
      <c r="MGM1" s="286" t="s">
        <v>11494</v>
      </c>
      <c r="MGN1" s="286" t="s">
        <v>11495</v>
      </c>
      <c r="MGO1" s="286" t="s">
        <v>11496</v>
      </c>
      <c r="MGP1" s="286" t="s">
        <v>11497</v>
      </c>
      <c r="MGQ1" s="286" t="s">
        <v>11498</v>
      </c>
      <c r="MGR1" s="286" t="s">
        <v>11499</v>
      </c>
      <c r="MGS1" s="286" t="s">
        <v>11500</v>
      </c>
      <c r="MGT1" s="286" t="s">
        <v>11501</v>
      </c>
      <c r="MGU1" s="286" t="s">
        <v>11502</v>
      </c>
      <c r="MGV1" s="286" t="s">
        <v>11503</v>
      </c>
      <c r="MGW1" s="286" t="s">
        <v>11504</v>
      </c>
      <c r="MGX1" s="286" t="s">
        <v>11505</v>
      </c>
      <c r="MGY1" s="286" t="s">
        <v>11506</v>
      </c>
      <c r="MGZ1" s="286" t="s">
        <v>11507</v>
      </c>
      <c r="MHA1" s="286" t="s">
        <v>11508</v>
      </c>
      <c r="MHB1" s="286" t="s">
        <v>11509</v>
      </c>
      <c r="MHC1" s="286" t="s">
        <v>11510</v>
      </c>
      <c r="MHD1" s="286" t="s">
        <v>11511</v>
      </c>
      <c r="MHE1" s="286" t="s">
        <v>11512</v>
      </c>
      <c r="MHF1" s="286" t="s">
        <v>11513</v>
      </c>
      <c r="MHG1" s="286" t="s">
        <v>11514</v>
      </c>
      <c r="MHH1" s="286" t="s">
        <v>11515</v>
      </c>
      <c r="MHI1" s="286" t="s">
        <v>11516</v>
      </c>
      <c r="MHJ1" s="286" t="s">
        <v>11517</v>
      </c>
      <c r="MHK1" s="286" t="s">
        <v>11518</v>
      </c>
      <c r="MHL1" s="286" t="s">
        <v>11519</v>
      </c>
      <c r="MHM1" s="286" t="s">
        <v>11520</v>
      </c>
      <c r="MHN1" s="286" t="s">
        <v>11521</v>
      </c>
      <c r="MHO1" s="286" t="s">
        <v>11522</v>
      </c>
      <c r="MHP1" s="286" t="s">
        <v>11523</v>
      </c>
      <c r="MHQ1" s="286" t="s">
        <v>11524</v>
      </c>
      <c r="MHR1" s="286" t="s">
        <v>11525</v>
      </c>
      <c r="MHS1" s="286" t="s">
        <v>11526</v>
      </c>
      <c r="MHT1" s="286" t="s">
        <v>11527</v>
      </c>
      <c r="MHU1" s="286" t="s">
        <v>11528</v>
      </c>
      <c r="MHV1" s="286" t="s">
        <v>11529</v>
      </c>
      <c r="MHW1" s="286" t="s">
        <v>11530</v>
      </c>
      <c r="MHX1" s="286" t="s">
        <v>11531</v>
      </c>
      <c r="MHY1" s="286" t="s">
        <v>11532</v>
      </c>
      <c r="MHZ1" s="286" t="s">
        <v>11533</v>
      </c>
      <c r="MIA1" s="286" t="s">
        <v>11534</v>
      </c>
      <c r="MIB1" s="286" t="s">
        <v>11535</v>
      </c>
      <c r="MIC1" s="286" t="s">
        <v>11536</v>
      </c>
      <c r="MID1" s="286" t="s">
        <v>11537</v>
      </c>
      <c r="MIE1" s="286" t="s">
        <v>11538</v>
      </c>
      <c r="MIF1" s="286" t="s">
        <v>11539</v>
      </c>
      <c r="MIG1" s="286" t="s">
        <v>11540</v>
      </c>
      <c r="MIH1" s="286" t="s">
        <v>11541</v>
      </c>
      <c r="MII1" s="286" t="s">
        <v>11542</v>
      </c>
      <c r="MIJ1" s="286" t="s">
        <v>11543</v>
      </c>
      <c r="MIK1" s="286" t="s">
        <v>11544</v>
      </c>
      <c r="MIL1" s="286" t="s">
        <v>11545</v>
      </c>
      <c r="MIM1" s="286" t="s">
        <v>11546</v>
      </c>
      <c r="MIN1" s="286" t="s">
        <v>11547</v>
      </c>
      <c r="MIO1" s="286" t="s">
        <v>11548</v>
      </c>
      <c r="MIP1" s="286" t="s">
        <v>11549</v>
      </c>
      <c r="MIQ1" s="286" t="s">
        <v>11550</v>
      </c>
      <c r="MIR1" s="286" t="s">
        <v>11551</v>
      </c>
      <c r="MIS1" s="286" t="s">
        <v>11552</v>
      </c>
      <c r="MIT1" s="286" t="s">
        <v>11553</v>
      </c>
      <c r="MIU1" s="286" t="s">
        <v>11554</v>
      </c>
      <c r="MIV1" s="286" t="s">
        <v>11555</v>
      </c>
      <c r="MIW1" s="286" t="s">
        <v>11556</v>
      </c>
      <c r="MIX1" s="286" t="s">
        <v>11557</v>
      </c>
      <c r="MIY1" s="286" t="s">
        <v>11558</v>
      </c>
      <c r="MIZ1" s="286" t="s">
        <v>11559</v>
      </c>
      <c r="MJA1" s="286" t="s">
        <v>11560</v>
      </c>
      <c r="MJB1" s="286" t="s">
        <v>11561</v>
      </c>
      <c r="MJC1" s="286" t="s">
        <v>11562</v>
      </c>
      <c r="MJD1" s="286" t="s">
        <v>11563</v>
      </c>
      <c r="MJE1" s="286" t="s">
        <v>11564</v>
      </c>
      <c r="MJF1" s="286" t="s">
        <v>11565</v>
      </c>
      <c r="MJG1" s="286" t="s">
        <v>11566</v>
      </c>
      <c r="MJH1" s="286" t="s">
        <v>11567</v>
      </c>
      <c r="MJI1" s="286" t="s">
        <v>11568</v>
      </c>
      <c r="MJJ1" s="286" t="s">
        <v>11569</v>
      </c>
      <c r="MJK1" s="286" t="s">
        <v>11570</v>
      </c>
      <c r="MJL1" s="286" t="s">
        <v>11571</v>
      </c>
      <c r="MJM1" s="286" t="s">
        <v>11572</v>
      </c>
      <c r="MJN1" s="286" t="s">
        <v>11573</v>
      </c>
      <c r="MJO1" s="286" t="s">
        <v>11574</v>
      </c>
      <c r="MJP1" s="286" t="s">
        <v>11575</v>
      </c>
      <c r="MJQ1" s="286" t="s">
        <v>11576</v>
      </c>
      <c r="MJR1" s="286" t="s">
        <v>11577</v>
      </c>
      <c r="MJS1" s="286" t="s">
        <v>11578</v>
      </c>
      <c r="MJT1" s="286" t="s">
        <v>11579</v>
      </c>
      <c r="MJU1" s="286" t="s">
        <v>11580</v>
      </c>
      <c r="MJV1" s="286" t="s">
        <v>11581</v>
      </c>
      <c r="MJW1" s="286" t="s">
        <v>11582</v>
      </c>
      <c r="MJX1" s="286" t="s">
        <v>11583</v>
      </c>
      <c r="MJY1" s="286" t="s">
        <v>11584</v>
      </c>
      <c r="MJZ1" s="286" t="s">
        <v>11585</v>
      </c>
      <c r="MKA1" s="286" t="s">
        <v>11586</v>
      </c>
      <c r="MKB1" s="286" t="s">
        <v>11587</v>
      </c>
      <c r="MKC1" s="286" t="s">
        <v>11588</v>
      </c>
      <c r="MKD1" s="286" t="s">
        <v>11589</v>
      </c>
      <c r="MKE1" s="286" t="s">
        <v>11590</v>
      </c>
      <c r="MKF1" s="286" t="s">
        <v>11591</v>
      </c>
      <c r="MKG1" s="286" t="s">
        <v>11592</v>
      </c>
      <c r="MKH1" s="286" t="s">
        <v>11593</v>
      </c>
      <c r="MKI1" s="286" t="s">
        <v>11594</v>
      </c>
      <c r="MKJ1" s="286" t="s">
        <v>11595</v>
      </c>
      <c r="MKK1" s="286" t="s">
        <v>11596</v>
      </c>
      <c r="MKL1" s="286" t="s">
        <v>11597</v>
      </c>
      <c r="MKM1" s="286" t="s">
        <v>11598</v>
      </c>
      <c r="MKN1" s="286" t="s">
        <v>11599</v>
      </c>
      <c r="MKO1" s="286" t="s">
        <v>11600</v>
      </c>
      <c r="MKP1" s="286" t="s">
        <v>11601</v>
      </c>
      <c r="MKQ1" s="286" t="s">
        <v>11602</v>
      </c>
      <c r="MKR1" s="286" t="s">
        <v>11603</v>
      </c>
      <c r="MKS1" s="286" t="s">
        <v>11604</v>
      </c>
      <c r="MKT1" s="286" t="s">
        <v>11605</v>
      </c>
      <c r="MKU1" s="286" t="s">
        <v>11606</v>
      </c>
      <c r="MKV1" s="286" t="s">
        <v>11607</v>
      </c>
      <c r="MKW1" s="286" t="s">
        <v>11608</v>
      </c>
      <c r="MKX1" s="286" t="s">
        <v>11609</v>
      </c>
      <c r="MKY1" s="286" t="s">
        <v>11610</v>
      </c>
      <c r="MKZ1" s="286" t="s">
        <v>11611</v>
      </c>
      <c r="MLA1" s="286" t="s">
        <v>11612</v>
      </c>
      <c r="MLB1" s="286" t="s">
        <v>11613</v>
      </c>
      <c r="MLC1" s="286" t="s">
        <v>11614</v>
      </c>
      <c r="MLD1" s="286" t="s">
        <v>11615</v>
      </c>
      <c r="MLE1" s="286" t="s">
        <v>11616</v>
      </c>
      <c r="MLF1" s="286" t="s">
        <v>11617</v>
      </c>
      <c r="MLG1" s="286" t="s">
        <v>11618</v>
      </c>
      <c r="MLH1" s="286" t="s">
        <v>11619</v>
      </c>
      <c r="MLI1" s="286" t="s">
        <v>11620</v>
      </c>
      <c r="MLJ1" s="286" t="s">
        <v>11621</v>
      </c>
      <c r="MLK1" s="286" t="s">
        <v>11622</v>
      </c>
      <c r="MLL1" s="286" t="s">
        <v>11623</v>
      </c>
      <c r="MLM1" s="286" t="s">
        <v>11624</v>
      </c>
      <c r="MLN1" s="286" t="s">
        <v>11625</v>
      </c>
      <c r="MLO1" s="286" t="s">
        <v>11626</v>
      </c>
      <c r="MLP1" s="286" t="s">
        <v>11627</v>
      </c>
      <c r="MLQ1" s="286" t="s">
        <v>11628</v>
      </c>
      <c r="MLR1" s="286" t="s">
        <v>11629</v>
      </c>
      <c r="MLS1" s="286" t="s">
        <v>11630</v>
      </c>
      <c r="MLT1" s="286" t="s">
        <v>11631</v>
      </c>
      <c r="MLU1" s="286" t="s">
        <v>11632</v>
      </c>
      <c r="MLV1" s="286" t="s">
        <v>11633</v>
      </c>
      <c r="MLW1" s="286" t="s">
        <v>11634</v>
      </c>
      <c r="MLX1" s="286" t="s">
        <v>11635</v>
      </c>
      <c r="MLY1" s="286" t="s">
        <v>11636</v>
      </c>
      <c r="MLZ1" s="286" t="s">
        <v>11637</v>
      </c>
      <c r="MMA1" s="286" t="s">
        <v>11638</v>
      </c>
      <c r="MMB1" s="286" t="s">
        <v>11639</v>
      </c>
      <c r="MMC1" s="286" t="s">
        <v>11640</v>
      </c>
      <c r="MMD1" s="286" t="s">
        <v>11641</v>
      </c>
      <c r="MME1" s="286" t="s">
        <v>11642</v>
      </c>
      <c r="MMF1" s="286" t="s">
        <v>11643</v>
      </c>
      <c r="MMG1" s="286" t="s">
        <v>11644</v>
      </c>
      <c r="MMH1" s="286" t="s">
        <v>11645</v>
      </c>
      <c r="MMI1" s="286" t="s">
        <v>11646</v>
      </c>
      <c r="MMJ1" s="286" t="s">
        <v>11647</v>
      </c>
      <c r="MMK1" s="286" t="s">
        <v>11648</v>
      </c>
      <c r="MML1" s="286" t="s">
        <v>11649</v>
      </c>
      <c r="MMM1" s="286" t="s">
        <v>11650</v>
      </c>
      <c r="MMN1" s="286" t="s">
        <v>11651</v>
      </c>
      <c r="MMO1" s="286" t="s">
        <v>11652</v>
      </c>
      <c r="MMP1" s="286" t="s">
        <v>11653</v>
      </c>
      <c r="MMQ1" s="286" t="s">
        <v>11654</v>
      </c>
      <c r="MMR1" s="286" t="s">
        <v>11655</v>
      </c>
      <c r="MMS1" s="286" t="s">
        <v>11656</v>
      </c>
      <c r="MMT1" s="286" t="s">
        <v>11657</v>
      </c>
      <c r="MMU1" s="286" t="s">
        <v>11658</v>
      </c>
      <c r="MMV1" s="286" t="s">
        <v>11659</v>
      </c>
      <c r="MMW1" s="286" t="s">
        <v>11660</v>
      </c>
      <c r="MMX1" s="286" t="s">
        <v>11661</v>
      </c>
      <c r="MMY1" s="286" t="s">
        <v>11662</v>
      </c>
      <c r="MMZ1" s="286" t="s">
        <v>11663</v>
      </c>
      <c r="MNA1" s="286" t="s">
        <v>11664</v>
      </c>
      <c r="MNB1" s="286" t="s">
        <v>11665</v>
      </c>
      <c r="MNC1" s="286" t="s">
        <v>11666</v>
      </c>
      <c r="MND1" s="286" t="s">
        <v>11667</v>
      </c>
      <c r="MNE1" s="286" t="s">
        <v>11668</v>
      </c>
      <c r="MNF1" s="286" t="s">
        <v>11669</v>
      </c>
      <c r="MNG1" s="286" t="s">
        <v>11670</v>
      </c>
      <c r="MNH1" s="286" t="s">
        <v>11671</v>
      </c>
      <c r="MNI1" s="286" t="s">
        <v>11672</v>
      </c>
      <c r="MNJ1" s="286" t="s">
        <v>11673</v>
      </c>
      <c r="MNK1" s="286" t="s">
        <v>11674</v>
      </c>
      <c r="MNL1" s="286" t="s">
        <v>11675</v>
      </c>
      <c r="MNM1" s="286" t="s">
        <v>11676</v>
      </c>
      <c r="MNN1" s="286" t="s">
        <v>11677</v>
      </c>
      <c r="MNO1" s="286" t="s">
        <v>11678</v>
      </c>
      <c r="MNP1" s="286" t="s">
        <v>11679</v>
      </c>
      <c r="MNQ1" s="286" t="s">
        <v>11680</v>
      </c>
      <c r="MNR1" s="286" t="s">
        <v>11681</v>
      </c>
      <c r="MNS1" s="286" t="s">
        <v>11682</v>
      </c>
      <c r="MNT1" s="286" t="s">
        <v>11683</v>
      </c>
      <c r="MNU1" s="286" t="s">
        <v>11684</v>
      </c>
      <c r="MNV1" s="286" t="s">
        <v>11685</v>
      </c>
      <c r="MNW1" s="286" t="s">
        <v>11686</v>
      </c>
      <c r="MNX1" s="286" t="s">
        <v>11687</v>
      </c>
      <c r="MNY1" s="286" t="s">
        <v>11688</v>
      </c>
      <c r="MNZ1" s="286" t="s">
        <v>11689</v>
      </c>
      <c r="MOA1" s="286" t="s">
        <v>11690</v>
      </c>
      <c r="MOB1" s="286" t="s">
        <v>11691</v>
      </c>
      <c r="MOC1" s="286" t="s">
        <v>11692</v>
      </c>
      <c r="MOD1" s="286" t="s">
        <v>11693</v>
      </c>
      <c r="MOE1" s="286" t="s">
        <v>11694</v>
      </c>
      <c r="MOF1" s="286" t="s">
        <v>11695</v>
      </c>
      <c r="MOG1" s="286" t="s">
        <v>11696</v>
      </c>
      <c r="MOH1" s="286" t="s">
        <v>11697</v>
      </c>
      <c r="MOI1" s="286" t="s">
        <v>11698</v>
      </c>
      <c r="MOJ1" s="286" t="s">
        <v>11699</v>
      </c>
      <c r="MOK1" s="286" t="s">
        <v>11700</v>
      </c>
      <c r="MOL1" s="286" t="s">
        <v>11701</v>
      </c>
      <c r="MOM1" s="286" t="s">
        <v>11702</v>
      </c>
      <c r="MON1" s="286" t="s">
        <v>11703</v>
      </c>
      <c r="MOO1" s="286" t="s">
        <v>11704</v>
      </c>
      <c r="MOP1" s="286" t="s">
        <v>11705</v>
      </c>
      <c r="MOQ1" s="286" t="s">
        <v>11706</v>
      </c>
      <c r="MOR1" s="286" t="s">
        <v>11707</v>
      </c>
      <c r="MOS1" s="286" t="s">
        <v>11708</v>
      </c>
      <c r="MOT1" s="286" t="s">
        <v>11709</v>
      </c>
      <c r="MOU1" s="286" t="s">
        <v>11710</v>
      </c>
      <c r="MOV1" s="286" t="s">
        <v>11711</v>
      </c>
      <c r="MOW1" s="286" t="s">
        <v>11712</v>
      </c>
      <c r="MOX1" s="286" t="s">
        <v>11713</v>
      </c>
      <c r="MOY1" s="286" t="s">
        <v>11714</v>
      </c>
      <c r="MOZ1" s="286" t="s">
        <v>11715</v>
      </c>
      <c r="MPA1" s="286" t="s">
        <v>11716</v>
      </c>
      <c r="MPB1" s="286" t="s">
        <v>11717</v>
      </c>
      <c r="MPC1" s="286" t="s">
        <v>11718</v>
      </c>
      <c r="MPD1" s="286" t="s">
        <v>11719</v>
      </c>
      <c r="MPE1" s="286" t="s">
        <v>11720</v>
      </c>
      <c r="MPF1" s="286" t="s">
        <v>11721</v>
      </c>
      <c r="MPG1" s="286" t="s">
        <v>11722</v>
      </c>
      <c r="MPH1" s="286" t="s">
        <v>11723</v>
      </c>
      <c r="MPI1" s="286" t="s">
        <v>11724</v>
      </c>
      <c r="MPJ1" s="286" t="s">
        <v>11725</v>
      </c>
      <c r="MPK1" s="286" t="s">
        <v>11726</v>
      </c>
      <c r="MPL1" s="286" t="s">
        <v>11727</v>
      </c>
      <c r="MPM1" s="286" t="s">
        <v>11728</v>
      </c>
      <c r="MPN1" s="286" t="s">
        <v>11729</v>
      </c>
      <c r="MPO1" s="286" t="s">
        <v>11730</v>
      </c>
      <c r="MPP1" s="286" t="s">
        <v>11731</v>
      </c>
      <c r="MPQ1" s="286" t="s">
        <v>11732</v>
      </c>
      <c r="MPR1" s="286" t="s">
        <v>11733</v>
      </c>
      <c r="MPS1" s="286" t="s">
        <v>11734</v>
      </c>
      <c r="MPT1" s="286" t="s">
        <v>11735</v>
      </c>
      <c r="MPU1" s="286" t="s">
        <v>11736</v>
      </c>
      <c r="MPV1" s="286" t="s">
        <v>11737</v>
      </c>
      <c r="MPW1" s="286" t="s">
        <v>11738</v>
      </c>
      <c r="MPX1" s="286" t="s">
        <v>11739</v>
      </c>
      <c r="MPY1" s="286" t="s">
        <v>11740</v>
      </c>
      <c r="MPZ1" s="286" t="s">
        <v>11741</v>
      </c>
      <c r="MQA1" s="286" t="s">
        <v>11742</v>
      </c>
      <c r="MQB1" s="286" t="s">
        <v>11743</v>
      </c>
      <c r="MQC1" s="286" t="s">
        <v>11744</v>
      </c>
      <c r="MQD1" s="286" t="s">
        <v>11745</v>
      </c>
      <c r="MQE1" s="286" t="s">
        <v>11746</v>
      </c>
      <c r="MQF1" s="286" t="s">
        <v>11747</v>
      </c>
      <c r="MQG1" s="286" t="s">
        <v>11748</v>
      </c>
      <c r="MQH1" s="286" t="s">
        <v>11749</v>
      </c>
      <c r="MQI1" s="286" t="s">
        <v>11750</v>
      </c>
      <c r="MQJ1" s="286" t="s">
        <v>11751</v>
      </c>
      <c r="MQK1" s="286" t="s">
        <v>11752</v>
      </c>
      <c r="MQL1" s="286" t="s">
        <v>11753</v>
      </c>
      <c r="MQM1" s="286" t="s">
        <v>11754</v>
      </c>
      <c r="MQN1" s="286" t="s">
        <v>11755</v>
      </c>
      <c r="MQO1" s="286" t="s">
        <v>11756</v>
      </c>
      <c r="MQP1" s="286" t="s">
        <v>11757</v>
      </c>
      <c r="MQQ1" s="286" t="s">
        <v>11758</v>
      </c>
      <c r="MQR1" s="286" t="s">
        <v>11759</v>
      </c>
      <c r="MQS1" s="286" t="s">
        <v>11760</v>
      </c>
      <c r="MQT1" s="286" t="s">
        <v>11761</v>
      </c>
      <c r="MQU1" s="286" t="s">
        <v>11762</v>
      </c>
      <c r="MQV1" s="286" t="s">
        <v>11763</v>
      </c>
      <c r="MQW1" s="286" t="s">
        <v>11764</v>
      </c>
      <c r="MQX1" s="286" t="s">
        <v>11765</v>
      </c>
      <c r="MQY1" s="286" t="s">
        <v>11766</v>
      </c>
      <c r="MQZ1" s="286" t="s">
        <v>11767</v>
      </c>
      <c r="MRA1" s="286" t="s">
        <v>11768</v>
      </c>
      <c r="MRB1" s="286" t="s">
        <v>11769</v>
      </c>
      <c r="MRC1" s="286" t="s">
        <v>11770</v>
      </c>
      <c r="MRD1" s="286" t="s">
        <v>11771</v>
      </c>
      <c r="MRE1" s="286" t="s">
        <v>11772</v>
      </c>
      <c r="MRF1" s="286" t="s">
        <v>11773</v>
      </c>
      <c r="MRG1" s="286" t="s">
        <v>11774</v>
      </c>
      <c r="MRH1" s="286" t="s">
        <v>11775</v>
      </c>
      <c r="MRI1" s="286" t="s">
        <v>11776</v>
      </c>
      <c r="MRJ1" s="286" t="s">
        <v>11777</v>
      </c>
      <c r="MRK1" s="286" t="s">
        <v>11778</v>
      </c>
      <c r="MRL1" s="286" t="s">
        <v>11779</v>
      </c>
      <c r="MRM1" s="286" t="s">
        <v>11780</v>
      </c>
      <c r="MRN1" s="286" t="s">
        <v>11781</v>
      </c>
      <c r="MRO1" s="286" t="s">
        <v>11782</v>
      </c>
      <c r="MRP1" s="286" t="s">
        <v>11783</v>
      </c>
      <c r="MRQ1" s="286" t="s">
        <v>11784</v>
      </c>
      <c r="MRR1" s="286" t="s">
        <v>11785</v>
      </c>
      <c r="MRS1" s="286" t="s">
        <v>11786</v>
      </c>
      <c r="MRT1" s="286" t="s">
        <v>11787</v>
      </c>
      <c r="MRU1" s="286" t="s">
        <v>11788</v>
      </c>
      <c r="MRV1" s="286" t="s">
        <v>11789</v>
      </c>
      <c r="MRW1" s="286" t="s">
        <v>11790</v>
      </c>
      <c r="MRX1" s="286" t="s">
        <v>11791</v>
      </c>
      <c r="MRY1" s="286" t="s">
        <v>11792</v>
      </c>
      <c r="MRZ1" s="286" t="s">
        <v>11793</v>
      </c>
      <c r="MSA1" s="286" t="s">
        <v>11794</v>
      </c>
      <c r="MSB1" s="286" t="s">
        <v>11795</v>
      </c>
      <c r="MSC1" s="286" t="s">
        <v>11796</v>
      </c>
      <c r="MSD1" s="286" t="s">
        <v>11797</v>
      </c>
      <c r="MSE1" s="286" t="s">
        <v>11798</v>
      </c>
      <c r="MSF1" s="286" t="s">
        <v>11799</v>
      </c>
      <c r="MSG1" s="286" t="s">
        <v>11800</v>
      </c>
      <c r="MSH1" s="286" t="s">
        <v>11801</v>
      </c>
      <c r="MSI1" s="286" t="s">
        <v>11802</v>
      </c>
      <c r="MSJ1" s="286" t="s">
        <v>11803</v>
      </c>
      <c r="MSK1" s="286" t="s">
        <v>11804</v>
      </c>
      <c r="MSL1" s="286" t="s">
        <v>11805</v>
      </c>
      <c r="MSM1" s="286" t="s">
        <v>11806</v>
      </c>
      <c r="MSN1" s="286" t="s">
        <v>11807</v>
      </c>
      <c r="MSO1" s="286" t="s">
        <v>11808</v>
      </c>
      <c r="MSP1" s="286" t="s">
        <v>11809</v>
      </c>
      <c r="MSQ1" s="286" t="s">
        <v>11810</v>
      </c>
      <c r="MSR1" s="286" t="s">
        <v>11811</v>
      </c>
      <c r="MSS1" s="286" t="s">
        <v>11812</v>
      </c>
      <c r="MST1" s="286" t="s">
        <v>11813</v>
      </c>
      <c r="MSU1" s="286" t="s">
        <v>11814</v>
      </c>
      <c r="MSV1" s="286" t="s">
        <v>11815</v>
      </c>
      <c r="MSW1" s="286" t="s">
        <v>11816</v>
      </c>
      <c r="MSX1" s="286" t="s">
        <v>11817</v>
      </c>
      <c r="MSY1" s="286" t="s">
        <v>11818</v>
      </c>
      <c r="MSZ1" s="286" t="s">
        <v>11819</v>
      </c>
      <c r="MTA1" s="286" t="s">
        <v>11820</v>
      </c>
      <c r="MTB1" s="286" t="s">
        <v>11821</v>
      </c>
      <c r="MTC1" s="286" t="s">
        <v>11822</v>
      </c>
      <c r="MTD1" s="286" t="s">
        <v>11823</v>
      </c>
      <c r="MTE1" s="286" t="s">
        <v>11824</v>
      </c>
      <c r="MTF1" s="286" t="s">
        <v>11825</v>
      </c>
      <c r="MTG1" s="286" t="s">
        <v>11826</v>
      </c>
      <c r="MTH1" s="286" t="s">
        <v>11827</v>
      </c>
      <c r="MTI1" s="286" t="s">
        <v>11828</v>
      </c>
      <c r="MTJ1" s="286" t="s">
        <v>11829</v>
      </c>
      <c r="MTK1" s="286" t="s">
        <v>11830</v>
      </c>
      <c r="MTL1" s="286" t="s">
        <v>11831</v>
      </c>
      <c r="MTM1" s="286" t="s">
        <v>11832</v>
      </c>
      <c r="MTN1" s="286" t="s">
        <v>11833</v>
      </c>
      <c r="MTO1" s="286" t="s">
        <v>11834</v>
      </c>
      <c r="MTP1" s="286" t="s">
        <v>11835</v>
      </c>
      <c r="MTQ1" s="286" t="s">
        <v>11836</v>
      </c>
      <c r="MTR1" s="286" t="s">
        <v>11837</v>
      </c>
      <c r="MTS1" s="286" t="s">
        <v>11838</v>
      </c>
      <c r="MTT1" s="286" t="s">
        <v>11839</v>
      </c>
      <c r="MTU1" s="286" t="s">
        <v>11840</v>
      </c>
      <c r="MTV1" s="286" t="s">
        <v>11841</v>
      </c>
      <c r="MTW1" s="286" t="s">
        <v>11842</v>
      </c>
      <c r="MTX1" s="286" t="s">
        <v>11843</v>
      </c>
      <c r="MTY1" s="286" t="s">
        <v>11844</v>
      </c>
      <c r="MTZ1" s="286" t="s">
        <v>11845</v>
      </c>
      <c r="MUA1" s="286" t="s">
        <v>11846</v>
      </c>
      <c r="MUB1" s="286" t="s">
        <v>11847</v>
      </c>
      <c r="MUC1" s="286" t="s">
        <v>11848</v>
      </c>
      <c r="MUD1" s="286" t="s">
        <v>11849</v>
      </c>
      <c r="MUE1" s="286" t="s">
        <v>11850</v>
      </c>
      <c r="MUF1" s="286" t="s">
        <v>11851</v>
      </c>
      <c r="MUG1" s="286" t="s">
        <v>11852</v>
      </c>
      <c r="MUH1" s="286" t="s">
        <v>11853</v>
      </c>
      <c r="MUI1" s="286" t="s">
        <v>11854</v>
      </c>
      <c r="MUJ1" s="286" t="s">
        <v>11855</v>
      </c>
      <c r="MUK1" s="286" t="s">
        <v>11856</v>
      </c>
      <c r="MUL1" s="286" t="s">
        <v>11857</v>
      </c>
      <c r="MUM1" s="286" t="s">
        <v>11858</v>
      </c>
      <c r="MUN1" s="286" t="s">
        <v>11859</v>
      </c>
      <c r="MUO1" s="286" t="s">
        <v>11860</v>
      </c>
      <c r="MUP1" s="286" t="s">
        <v>11861</v>
      </c>
      <c r="MUQ1" s="286" t="s">
        <v>11862</v>
      </c>
      <c r="MUR1" s="286" t="s">
        <v>11863</v>
      </c>
      <c r="MUS1" s="286" t="s">
        <v>11864</v>
      </c>
      <c r="MUT1" s="286" t="s">
        <v>11865</v>
      </c>
      <c r="MUU1" s="286" t="s">
        <v>11866</v>
      </c>
      <c r="MUV1" s="286" t="s">
        <v>11867</v>
      </c>
      <c r="MUW1" s="286" t="s">
        <v>11868</v>
      </c>
      <c r="MUX1" s="286" t="s">
        <v>11869</v>
      </c>
      <c r="MUY1" s="286" t="s">
        <v>11870</v>
      </c>
      <c r="MUZ1" s="286" t="s">
        <v>11871</v>
      </c>
      <c r="MVA1" s="286" t="s">
        <v>11872</v>
      </c>
      <c r="MVB1" s="286" t="s">
        <v>11873</v>
      </c>
      <c r="MVC1" s="286" t="s">
        <v>11874</v>
      </c>
      <c r="MVD1" s="286" t="s">
        <v>11875</v>
      </c>
      <c r="MVE1" s="286" t="s">
        <v>11876</v>
      </c>
      <c r="MVF1" s="286" t="s">
        <v>11877</v>
      </c>
      <c r="MVG1" s="286" t="s">
        <v>11878</v>
      </c>
      <c r="MVH1" s="286" t="s">
        <v>11879</v>
      </c>
      <c r="MVI1" s="286" t="s">
        <v>11880</v>
      </c>
      <c r="MVJ1" s="286" t="s">
        <v>11881</v>
      </c>
      <c r="MVK1" s="286" t="s">
        <v>11882</v>
      </c>
      <c r="MVL1" s="286" t="s">
        <v>11883</v>
      </c>
      <c r="MVM1" s="286" t="s">
        <v>11884</v>
      </c>
      <c r="MVN1" s="286" t="s">
        <v>11885</v>
      </c>
      <c r="MVO1" s="286" t="s">
        <v>11886</v>
      </c>
      <c r="MVP1" s="286" t="s">
        <v>11887</v>
      </c>
      <c r="MVQ1" s="286" t="s">
        <v>11888</v>
      </c>
      <c r="MVR1" s="286" t="s">
        <v>11889</v>
      </c>
      <c r="MVS1" s="286" t="s">
        <v>11890</v>
      </c>
      <c r="MVT1" s="286" t="s">
        <v>11891</v>
      </c>
      <c r="MVU1" s="286" t="s">
        <v>11892</v>
      </c>
      <c r="MVV1" s="286" t="s">
        <v>11893</v>
      </c>
      <c r="MVW1" s="286" t="s">
        <v>11894</v>
      </c>
      <c r="MVX1" s="286" t="s">
        <v>11895</v>
      </c>
      <c r="MVY1" s="286" t="s">
        <v>11896</v>
      </c>
      <c r="MVZ1" s="286" t="s">
        <v>11897</v>
      </c>
      <c r="MWA1" s="286" t="s">
        <v>11898</v>
      </c>
      <c r="MWB1" s="286" t="s">
        <v>11899</v>
      </c>
      <c r="MWC1" s="286" t="s">
        <v>11900</v>
      </c>
      <c r="MWD1" s="286" t="s">
        <v>11901</v>
      </c>
      <c r="MWE1" s="286" t="s">
        <v>11902</v>
      </c>
      <c r="MWF1" s="286" t="s">
        <v>11903</v>
      </c>
      <c r="MWG1" s="286" t="s">
        <v>11904</v>
      </c>
      <c r="MWH1" s="286" t="s">
        <v>11905</v>
      </c>
      <c r="MWI1" s="286" t="s">
        <v>11906</v>
      </c>
      <c r="MWJ1" s="286" t="s">
        <v>11907</v>
      </c>
      <c r="MWK1" s="286" t="s">
        <v>11908</v>
      </c>
      <c r="MWL1" s="286" t="s">
        <v>11909</v>
      </c>
      <c r="MWM1" s="286" t="s">
        <v>11910</v>
      </c>
      <c r="MWN1" s="286" t="s">
        <v>11911</v>
      </c>
      <c r="MWO1" s="286" t="s">
        <v>11912</v>
      </c>
      <c r="MWP1" s="286" t="s">
        <v>11913</v>
      </c>
      <c r="MWQ1" s="286" t="s">
        <v>11914</v>
      </c>
      <c r="MWR1" s="286" t="s">
        <v>11915</v>
      </c>
      <c r="MWS1" s="286" t="s">
        <v>11916</v>
      </c>
      <c r="MWT1" s="286" t="s">
        <v>11917</v>
      </c>
      <c r="MWU1" s="286" t="s">
        <v>11918</v>
      </c>
      <c r="MWV1" s="286" t="s">
        <v>11919</v>
      </c>
      <c r="MWW1" s="286" t="s">
        <v>11920</v>
      </c>
      <c r="MWX1" s="286" t="s">
        <v>11921</v>
      </c>
      <c r="MWY1" s="286" t="s">
        <v>11922</v>
      </c>
      <c r="MWZ1" s="286" t="s">
        <v>11923</v>
      </c>
      <c r="MXA1" s="286" t="s">
        <v>11924</v>
      </c>
      <c r="MXB1" s="286" t="s">
        <v>11925</v>
      </c>
      <c r="MXC1" s="286" t="s">
        <v>11926</v>
      </c>
      <c r="MXD1" s="286" t="s">
        <v>11927</v>
      </c>
      <c r="MXE1" s="286" t="s">
        <v>11928</v>
      </c>
      <c r="MXF1" s="286" t="s">
        <v>11929</v>
      </c>
      <c r="MXG1" s="286" t="s">
        <v>11930</v>
      </c>
      <c r="MXH1" s="286" t="s">
        <v>11931</v>
      </c>
      <c r="MXI1" s="286" t="s">
        <v>11932</v>
      </c>
      <c r="MXJ1" s="286" t="s">
        <v>11933</v>
      </c>
      <c r="MXK1" s="286" t="s">
        <v>11934</v>
      </c>
      <c r="MXL1" s="286" t="s">
        <v>11935</v>
      </c>
      <c r="MXM1" s="286" t="s">
        <v>11936</v>
      </c>
      <c r="MXN1" s="286" t="s">
        <v>11937</v>
      </c>
      <c r="MXO1" s="286" t="s">
        <v>11938</v>
      </c>
      <c r="MXP1" s="286" t="s">
        <v>11939</v>
      </c>
      <c r="MXQ1" s="286" t="s">
        <v>11940</v>
      </c>
      <c r="MXR1" s="286" t="s">
        <v>11941</v>
      </c>
      <c r="MXS1" s="286" t="s">
        <v>11942</v>
      </c>
      <c r="MXT1" s="286" t="s">
        <v>11943</v>
      </c>
      <c r="MXU1" s="286" t="s">
        <v>11944</v>
      </c>
      <c r="MXV1" s="286" t="s">
        <v>11945</v>
      </c>
      <c r="MXW1" s="286" t="s">
        <v>11946</v>
      </c>
      <c r="MXX1" s="286" t="s">
        <v>11947</v>
      </c>
      <c r="MXY1" s="286" t="s">
        <v>11948</v>
      </c>
      <c r="MXZ1" s="286" t="s">
        <v>11949</v>
      </c>
      <c r="MYA1" s="286" t="s">
        <v>11950</v>
      </c>
      <c r="MYB1" s="286" t="s">
        <v>11951</v>
      </c>
      <c r="MYC1" s="286" t="s">
        <v>11952</v>
      </c>
      <c r="MYD1" s="286" t="s">
        <v>11953</v>
      </c>
      <c r="MYE1" s="286" t="s">
        <v>11954</v>
      </c>
      <c r="MYF1" s="286" t="s">
        <v>11955</v>
      </c>
      <c r="MYG1" s="286" t="s">
        <v>11956</v>
      </c>
      <c r="MYH1" s="286" t="s">
        <v>11957</v>
      </c>
      <c r="MYI1" s="286" t="s">
        <v>11958</v>
      </c>
      <c r="MYJ1" s="286" t="s">
        <v>11959</v>
      </c>
      <c r="MYK1" s="286" t="s">
        <v>11960</v>
      </c>
      <c r="MYL1" s="286" t="s">
        <v>11961</v>
      </c>
      <c r="MYM1" s="286" t="s">
        <v>11962</v>
      </c>
      <c r="MYN1" s="286" t="s">
        <v>11963</v>
      </c>
      <c r="MYO1" s="286" t="s">
        <v>11964</v>
      </c>
      <c r="MYP1" s="286" t="s">
        <v>11965</v>
      </c>
      <c r="MYQ1" s="286" t="s">
        <v>11966</v>
      </c>
      <c r="MYR1" s="286" t="s">
        <v>11967</v>
      </c>
      <c r="MYS1" s="286" t="s">
        <v>11968</v>
      </c>
      <c r="MYT1" s="286" t="s">
        <v>11969</v>
      </c>
      <c r="MYU1" s="286" t="s">
        <v>11970</v>
      </c>
      <c r="MYV1" s="286" t="s">
        <v>11971</v>
      </c>
      <c r="MYW1" s="286" t="s">
        <v>11972</v>
      </c>
      <c r="MYX1" s="286" t="s">
        <v>11973</v>
      </c>
      <c r="MYY1" s="286" t="s">
        <v>11974</v>
      </c>
      <c r="MYZ1" s="286" t="s">
        <v>11975</v>
      </c>
      <c r="MZA1" s="286" t="s">
        <v>11976</v>
      </c>
      <c r="MZB1" s="286" t="s">
        <v>11977</v>
      </c>
      <c r="MZC1" s="286" t="s">
        <v>11978</v>
      </c>
      <c r="MZD1" s="286" t="s">
        <v>11979</v>
      </c>
      <c r="MZE1" s="286" t="s">
        <v>11980</v>
      </c>
      <c r="MZF1" s="286" t="s">
        <v>11981</v>
      </c>
      <c r="MZG1" s="286" t="s">
        <v>11982</v>
      </c>
      <c r="MZH1" s="286" t="s">
        <v>11983</v>
      </c>
      <c r="MZI1" s="286" t="s">
        <v>11984</v>
      </c>
      <c r="MZJ1" s="286" t="s">
        <v>11985</v>
      </c>
      <c r="MZK1" s="286" t="s">
        <v>11986</v>
      </c>
      <c r="MZL1" s="286" t="s">
        <v>11987</v>
      </c>
      <c r="MZM1" s="286" t="s">
        <v>11988</v>
      </c>
      <c r="MZN1" s="286" t="s">
        <v>11989</v>
      </c>
      <c r="MZO1" s="286" t="s">
        <v>11990</v>
      </c>
      <c r="MZP1" s="286" t="s">
        <v>11991</v>
      </c>
      <c r="MZQ1" s="286" t="s">
        <v>11992</v>
      </c>
      <c r="MZR1" s="286" t="s">
        <v>11993</v>
      </c>
      <c r="MZS1" s="286" t="s">
        <v>11994</v>
      </c>
      <c r="MZT1" s="286" t="s">
        <v>11995</v>
      </c>
      <c r="MZU1" s="286" t="s">
        <v>11996</v>
      </c>
      <c r="MZV1" s="286" t="s">
        <v>11997</v>
      </c>
      <c r="MZW1" s="286" t="s">
        <v>11998</v>
      </c>
      <c r="MZX1" s="286" t="s">
        <v>11999</v>
      </c>
      <c r="MZY1" s="286" t="s">
        <v>12000</v>
      </c>
      <c r="MZZ1" s="286" t="s">
        <v>12001</v>
      </c>
      <c r="NAA1" s="286" t="s">
        <v>12002</v>
      </c>
      <c r="NAB1" s="286" t="s">
        <v>12003</v>
      </c>
      <c r="NAC1" s="286" t="s">
        <v>12004</v>
      </c>
      <c r="NAD1" s="286" t="s">
        <v>12005</v>
      </c>
      <c r="NAE1" s="286" t="s">
        <v>12006</v>
      </c>
      <c r="NAF1" s="286" t="s">
        <v>12007</v>
      </c>
      <c r="NAG1" s="286" t="s">
        <v>12008</v>
      </c>
      <c r="NAH1" s="286" t="s">
        <v>12009</v>
      </c>
      <c r="NAI1" s="286" t="s">
        <v>12010</v>
      </c>
      <c r="NAJ1" s="286" t="s">
        <v>12011</v>
      </c>
      <c r="NAK1" s="286" t="s">
        <v>12012</v>
      </c>
      <c r="NAL1" s="286" t="s">
        <v>12013</v>
      </c>
      <c r="NAM1" s="286" t="s">
        <v>12014</v>
      </c>
      <c r="NAN1" s="286" t="s">
        <v>12015</v>
      </c>
      <c r="NAO1" s="286" t="s">
        <v>12016</v>
      </c>
      <c r="NAP1" s="286" t="s">
        <v>12017</v>
      </c>
      <c r="NAQ1" s="286" t="s">
        <v>12018</v>
      </c>
      <c r="NAR1" s="286" t="s">
        <v>12019</v>
      </c>
      <c r="NAS1" s="286" t="s">
        <v>12020</v>
      </c>
      <c r="NAT1" s="286" t="s">
        <v>12021</v>
      </c>
      <c r="NAU1" s="286" t="s">
        <v>12022</v>
      </c>
      <c r="NAV1" s="286" t="s">
        <v>12023</v>
      </c>
      <c r="NAW1" s="286" t="s">
        <v>12024</v>
      </c>
      <c r="NAX1" s="286" t="s">
        <v>12025</v>
      </c>
      <c r="NAY1" s="286" t="s">
        <v>12026</v>
      </c>
      <c r="NAZ1" s="286" t="s">
        <v>12027</v>
      </c>
      <c r="NBA1" s="286" t="s">
        <v>12028</v>
      </c>
      <c r="NBB1" s="286" t="s">
        <v>12029</v>
      </c>
      <c r="NBC1" s="286" t="s">
        <v>12030</v>
      </c>
      <c r="NBD1" s="286" t="s">
        <v>12031</v>
      </c>
      <c r="NBE1" s="286" t="s">
        <v>12032</v>
      </c>
      <c r="NBF1" s="286" t="s">
        <v>12033</v>
      </c>
      <c r="NBG1" s="286" t="s">
        <v>12034</v>
      </c>
      <c r="NBH1" s="286" t="s">
        <v>12035</v>
      </c>
      <c r="NBI1" s="286" t="s">
        <v>12036</v>
      </c>
      <c r="NBJ1" s="286" t="s">
        <v>12037</v>
      </c>
      <c r="NBK1" s="286" t="s">
        <v>12038</v>
      </c>
      <c r="NBL1" s="286" t="s">
        <v>12039</v>
      </c>
      <c r="NBM1" s="286" t="s">
        <v>12040</v>
      </c>
      <c r="NBN1" s="286" t="s">
        <v>12041</v>
      </c>
      <c r="NBO1" s="286" t="s">
        <v>12042</v>
      </c>
      <c r="NBP1" s="286" t="s">
        <v>12043</v>
      </c>
      <c r="NBQ1" s="286" t="s">
        <v>12044</v>
      </c>
      <c r="NBR1" s="286" t="s">
        <v>12045</v>
      </c>
      <c r="NBS1" s="286" t="s">
        <v>12046</v>
      </c>
      <c r="NBT1" s="286" t="s">
        <v>12047</v>
      </c>
      <c r="NBU1" s="286" t="s">
        <v>12048</v>
      </c>
      <c r="NBV1" s="286" t="s">
        <v>12049</v>
      </c>
      <c r="NBW1" s="286" t="s">
        <v>12050</v>
      </c>
      <c r="NBX1" s="286" t="s">
        <v>12051</v>
      </c>
      <c r="NBY1" s="286" t="s">
        <v>12052</v>
      </c>
      <c r="NBZ1" s="286" t="s">
        <v>12053</v>
      </c>
      <c r="NCA1" s="286" t="s">
        <v>12054</v>
      </c>
      <c r="NCB1" s="286" t="s">
        <v>12055</v>
      </c>
      <c r="NCC1" s="286" t="s">
        <v>12056</v>
      </c>
      <c r="NCD1" s="286" t="s">
        <v>12057</v>
      </c>
      <c r="NCE1" s="286" t="s">
        <v>12058</v>
      </c>
      <c r="NCF1" s="286" t="s">
        <v>12059</v>
      </c>
      <c r="NCG1" s="286" t="s">
        <v>12060</v>
      </c>
      <c r="NCH1" s="286" t="s">
        <v>12061</v>
      </c>
      <c r="NCI1" s="286" t="s">
        <v>12062</v>
      </c>
      <c r="NCJ1" s="286" t="s">
        <v>12063</v>
      </c>
      <c r="NCK1" s="286" t="s">
        <v>12064</v>
      </c>
      <c r="NCL1" s="286" t="s">
        <v>12065</v>
      </c>
      <c r="NCM1" s="286" t="s">
        <v>12066</v>
      </c>
      <c r="NCN1" s="286" t="s">
        <v>12067</v>
      </c>
      <c r="NCO1" s="286" t="s">
        <v>12068</v>
      </c>
      <c r="NCP1" s="286" t="s">
        <v>12069</v>
      </c>
      <c r="NCQ1" s="286" t="s">
        <v>12070</v>
      </c>
      <c r="NCR1" s="286" t="s">
        <v>12071</v>
      </c>
      <c r="NCS1" s="286" t="s">
        <v>12072</v>
      </c>
      <c r="NCT1" s="286" t="s">
        <v>12073</v>
      </c>
      <c r="NCU1" s="286" t="s">
        <v>12074</v>
      </c>
      <c r="NCV1" s="286" t="s">
        <v>12075</v>
      </c>
      <c r="NCW1" s="286" t="s">
        <v>12076</v>
      </c>
      <c r="NCX1" s="286" t="s">
        <v>12077</v>
      </c>
      <c r="NCY1" s="286" t="s">
        <v>12078</v>
      </c>
      <c r="NCZ1" s="286" t="s">
        <v>12079</v>
      </c>
      <c r="NDA1" s="286" t="s">
        <v>12080</v>
      </c>
      <c r="NDB1" s="286" t="s">
        <v>12081</v>
      </c>
      <c r="NDC1" s="286" t="s">
        <v>12082</v>
      </c>
      <c r="NDD1" s="286" t="s">
        <v>12083</v>
      </c>
      <c r="NDE1" s="286" t="s">
        <v>12084</v>
      </c>
      <c r="NDF1" s="286" t="s">
        <v>12085</v>
      </c>
      <c r="NDG1" s="286" t="s">
        <v>12086</v>
      </c>
      <c r="NDH1" s="286" t="s">
        <v>12087</v>
      </c>
      <c r="NDI1" s="286" t="s">
        <v>12088</v>
      </c>
      <c r="NDJ1" s="286" t="s">
        <v>12089</v>
      </c>
      <c r="NDK1" s="286" t="s">
        <v>12090</v>
      </c>
      <c r="NDL1" s="286" t="s">
        <v>12091</v>
      </c>
      <c r="NDM1" s="286" t="s">
        <v>12092</v>
      </c>
      <c r="NDN1" s="286" t="s">
        <v>12093</v>
      </c>
      <c r="NDO1" s="286" t="s">
        <v>12094</v>
      </c>
      <c r="NDP1" s="286" t="s">
        <v>12095</v>
      </c>
      <c r="NDQ1" s="286" t="s">
        <v>12096</v>
      </c>
      <c r="NDR1" s="286" t="s">
        <v>12097</v>
      </c>
      <c r="NDS1" s="286" t="s">
        <v>12098</v>
      </c>
      <c r="NDT1" s="286" t="s">
        <v>12099</v>
      </c>
      <c r="NDU1" s="286" t="s">
        <v>12100</v>
      </c>
      <c r="NDV1" s="286" t="s">
        <v>12101</v>
      </c>
      <c r="NDW1" s="286" t="s">
        <v>12102</v>
      </c>
      <c r="NDX1" s="286" t="s">
        <v>12103</v>
      </c>
      <c r="NDY1" s="286" t="s">
        <v>12104</v>
      </c>
      <c r="NDZ1" s="286" t="s">
        <v>12105</v>
      </c>
      <c r="NEA1" s="286" t="s">
        <v>12106</v>
      </c>
      <c r="NEB1" s="286" t="s">
        <v>12107</v>
      </c>
      <c r="NEC1" s="286" t="s">
        <v>12108</v>
      </c>
      <c r="NED1" s="286" t="s">
        <v>12109</v>
      </c>
      <c r="NEE1" s="286" t="s">
        <v>12110</v>
      </c>
      <c r="NEF1" s="286" t="s">
        <v>12111</v>
      </c>
      <c r="NEG1" s="286" t="s">
        <v>12112</v>
      </c>
      <c r="NEH1" s="286" t="s">
        <v>12113</v>
      </c>
      <c r="NEI1" s="286" t="s">
        <v>12114</v>
      </c>
      <c r="NEJ1" s="286" t="s">
        <v>12115</v>
      </c>
      <c r="NEK1" s="286" t="s">
        <v>12116</v>
      </c>
      <c r="NEL1" s="286" t="s">
        <v>12117</v>
      </c>
      <c r="NEM1" s="286" t="s">
        <v>12118</v>
      </c>
      <c r="NEN1" s="286" t="s">
        <v>12119</v>
      </c>
      <c r="NEO1" s="286" t="s">
        <v>12120</v>
      </c>
      <c r="NEP1" s="286" t="s">
        <v>12121</v>
      </c>
      <c r="NEQ1" s="286" t="s">
        <v>12122</v>
      </c>
      <c r="NER1" s="286" t="s">
        <v>12123</v>
      </c>
      <c r="NES1" s="286" t="s">
        <v>12124</v>
      </c>
      <c r="NET1" s="286" t="s">
        <v>12125</v>
      </c>
      <c r="NEU1" s="286" t="s">
        <v>12126</v>
      </c>
      <c r="NEV1" s="286" t="s">
        <v>12127</v>
      </c>
      <c r="NEW1" s="286" t="s">
        <v>12128</v>
      </c>
      <c r="NEX1" s="286" t="s">
        <v>12129</v>
      </c>
      <c r="NEY1" s="286" t="s">
        <v>12130</v>
      </c>
      <c r="NEZ1" s="286" t="s">
        <v>12131</v>
      </c>
      <c r="NFA1" s="286" t="s">
        <v>12132</v>
      </c>
      <c r="NFB1" s="286" t="s">
        <v>12133</v>
      </c>
      <c r="NFC1" s="286" t="s">
        <v>12134</v>
      </c>
      <c r="NFD1" s="286" t="s">
        <v>12135</v>
      </c>
      <c r="NFE1" s="286" t="s">
        <v>12136</v>
      </c>
      <c r="NFF1" s="286" t="s">
        <v>12137</v>
      </c>
      <c r="NFG1" s="286" t="s">
        <v>12138</v>
      </c>
      <c r="NFH1" s="286" t="s">
        <v>12139</v>
      </c>
      <c r="NFI1" s="286" t="s">
        <v>12140</v>
      </c>
      <c r="NFJ1" s="286" t="s">
        <v>12141</v>
      </c>
      <c r="NFK1" s="286" t="s">
        <v>12142</v>
      </c>
      <c r="NFL1" s="286" t="s">
        <v>12143</v>
      </c>
      <c r="NFM1" s="286" t="s">
        <v>12144</v>
      </c>
      <c r="NFN1" s="286" t="s">
        <v>12145</v>
      </c>
      <c r="NFO1" s="286" t="s">
        <v>12146</v>
      </c>
      <c r="NFP1" s="286" t="s">
        <v>12147</v>
      </c>
      <c r="NFQ1" s="286" t="s">
        <v>12148</v>
      </c>
      <c r="NFR1" s="286" t="s">
        <v>12149</v>
      </c>
      <c r="NFS1" s="286" t="s">
        <v>12150</v>
      </c>
      <c r="NFT1" s="286" t="s">
        <v>12151</v>
      </c>
      <c r="NFU1" s="286" t="s">
        <v>12152</v>
      </c>
      <c r="NFV1" s="286" t="s">
        <v>12153</v>
      </c>
      <c r="NFW1" s="286" t="s">
        <v>12154</v>
      </c>
      <c r="NFX1" s="286" t="s">
        <v>12155</v>
      </c>
      <c r="NFY1" s="286" t="s">
        <v>12156</v>
      </c>
      <c r="NFZ1" s="286" t="s">
        <v>12157</v>
      </c>
      <c r="NGA1" s="286" t="s">
        <v>12158</v>
      </c>
      <c r="NGB1" s="286" t="s">
        <v>12159</v>
      </c>
      <c r="NGC1" s="286" t="s">
        <v>12160</v>
      </c>
      <c r="NGD1" s="286" t="s">
        <v>12161</v>
      </c>
      <c r="NGE1" s="286" t="s">
        <v>12162</v>
      </c>
      <c r="NGF1" s="286" t="s">
        <v>12163</v>
      </c>
      <c r="NGG1" s="286" t="s">
        <v>12164</v>
      </c>
      <c r="NGH1" s="286" t="s">
        <v>12165</v>
      </c>
      <c r="NGI1" s="286" t="s">
        <v>12166</v>
      </c>
      <c r="NGJ1" s="286" t="s">
        <v>12167</v>
      </c>
      <c r="NGK1" s="286" t="s">
        <v>12168</v>
      </c>
      <c r="NGL1" s="286" t="s">
        <v>12169</v>
      </c>
      <c r="NGM1" s="286" t="s">
        <v>12170</v>
      </c>
      <c r="NGN1" s="286" t="s">
        <v>12171</v>
      </c>
      <c r="NGO1" s="286" t="s">
        <v>12172</v>
      </c>
      <c r="NGP1" s="286" t="s">
        <v>12173</v>
      </c>
      <c r="NGQ1" s="286" t="s">
        <v>12174</v>
      </c>
      <c r="NGR1" s="286" t="s">
        <v>12175</v>
      </c>
      <c r="NGS1" s="286" t="s">
        <v>12176</v>
      </c>
      <c r="NGT1" s="286" t="s">
        <v>12177</v>
      </c>
      <c r="NGU1" s="286" t="s">
        <v>12178</v>
      </c>
      <c r="NGV1" s="286" t="s">
        <v>12179</v>
      </c>
      <c r="NGW1" s="286" t="s">
        <v>12180</v>
      </c>
      <c r="NGX1" s="286" t="s">
        <v>12181</v>
      </c>
      <c r="NGY1" s="286" t="s">
        <v>12182</v>
      </c>
      <c r="NGZ1" s="286" t="s">
        <v>12183</v>
      </c>
      <c r="NHA1" s="286" t="s">
        <v>12184</v>
      </c>
      <c r="NHB1" s="286" t="s">
        <v>12185</v>
      </c>
      <c r="NHC1" s="286" t="s">
        <v>12186</v>
      </c>
      <c r="NHD1" s="286" t="s">
        <v>12187</v>
      </c>
      <c r="NHE1" s="286" t="s">
        <v>12188</v>
      </c>
      <c r="NHF1" s="286" t="s">
        <v>12189</v>
      </c>
      <c r="NHG1" s="286" t="s">
        <v>12190</v>
      </c>
      <c r="NHH1" s="286" t="s">
        <v>12191</v>
      </c>
      <c r="NHI1" s="286" t="s">
        <v>12192</v>
      </c>
      <c r="NHJ1" s="286" t="s">
        <v>12193</v>
      </c>
      <c r="NHK1" s="286" t="s">
        <v>12194</v>
      </c>
      <c r="NHL1" s="286" t="s">
        <v>12195</v>
      </c>
      <c r="NHM1" s="286" t="s">
        <v>12196</v>
      </c>
      <c r="NHN1" s="286" t="s">
        <v>12197</v>
      </c>
      <c r="NHO1" s="286" t="s">
        <v>12198</v>
      </c>
      <c r="NHP1" s="286" t="s">
        <v>12199</v>
      </c>
      <c r="NHQ1" s="286" t="s">
        <v>12200</v>
      </c>
      <c r="NHR1" s="286" t="s">
        <v>12201</v>
      </c>
      <c r="NHS1" s="286" t="s">
        <v>12202</v>
      </c>
      <c r="NHT1" s="286" t="s">
        <v>12203</v>
      </c>
      <c r="NHU1" s="286" t="s">
        <v>12204</v>
      </c>
      <c r="NHV1" s="286" t="s">
        <v>12205</v>
      </c>
      <c r="NHW1" s="286" t="s">
        <v>12206</v>
      </c>
      <c r="NHX1" s="286" t="s">
        <v>12207</v>
      </c>
      <c r="NHY1" s="286" t="s">
        <v>12208</v>
      </c>
      <c r="NHZ1" s="286" t="s">
        <v>12209</v>
      </c>
      <c r="NIA1" s="286" t="s">
        <v>12210</v>
      </c>
      <c r="NIB1" s="286" t="s">
        <v>12211</v>
      </c>
      <c r="NIC1" s="286" t="s">
        <v>12212</v>
      </c>
      <c r="NID1" s="286" t="s">
        <v>12213</v>
      </c>
      <c r="NIE1" s="286" t="s">
        <v>12214</v>
      </c>
      <c r="NIF1" s="286" t="s">
        <v>12215</v>
      </c>
      <c r="NIG1" s="286" t="s">
        <v>12216</v>
      </c>
      <c r="NIH1" s="286" t="s">
        <v>12217</v>
      </c>
      <c r="NII1" s="286" t="s">
        <v>12218</v>
      </c>
      <c r="NIJ1" s="286" t="s">
        <v>12219</v>
      </c>
      <c r="NIK1" s="286" t="s">
        <v>12220</v>
      </c>
      <c r="NIL1" s="286" t="s">
        <v>12221</v>
      </c>
      <c r="NIM1" s="286" t="s">
        <v>12222</v>
      </c>
      <c r="NIN1" s="286" t="s">
        <v>12223</v>
      </c>
      <c r="NIO1" s="286" t="s">
        <v>12224</v>
      </c>
      <c r="NIP1" s="286" t="s">
        <v>12225</v>
      </c>
      <c r="NIQ1" s="286" t="s">
        <v>12226</v>
      </c>
      <c r="NIR1" s="286" t="s">
        <v>12227</v>
      </c>
      <c r="NIS1" s="286" t="s">
        <v>12228</v>
      </c>
      <c r="NIT1" s="286" t="s">
        <v>12229</v>
      </c>
      <c r="NIU1" s="286" t="s">
        <v>12230</v>
      </c>
      <c r="NIV1" s="286" t="s">
        <v>12231</v>
      </c>
      <c r="NIW1" s="286" t="s">
        <v>12232</v>
      </c>
      <c r="NIX1" s="286" t="s">
        <v>12233</v>
      </c>
      <c r="NIY1" s="286" t="s">
        <v>12234</v>
      </c>
      <c r="NIZ1" s="286" t="s">
        <v>12235</v>
      </c>
      <c r="NJA1" s="286" t="s">
        <v>12236</v>
      </c>
      <c r="NJB1" s="286" t="s">
        <v>12237</v>
      </c>
      <c r="NJC1" s="286" t="s">
        <v>12238</v>
      </c>
      <c r="NJD1" s="286" t="s">
        <v>12239</v>
      </c>
      <c r="NJE1" s="286" t="s">
        <v>12240</v>
      </c>
      <c r="NJF1" s="286" t="s">
        <v>12241</v>
      </c>
      <c r="NJG1" s="286" t="s">
        <v>12242</v>
      </c>
      <c r="NJH1" s="286" t="s">
        <v>12243</v>
      </c>
      <c r="NJI1" s="286" t="s">
        <v>12244</v>
      </c>
      <c r="NJJ1" s="286" t="s">
        <v>12245</v>
      </c>
      <c r="NJK1" s="286" t="s">
        <v>12246</v>
      </c>
      <c r="NJL1" s="286" t="s">
        <v>12247</v>
      </c>
      <c r="NJM1" s="286" t="s">
        <v>12248</v>
      </c>
      <c r="NJN1" s="286" t="s">
        <v>12249</v>
      </c>
      <c r="NJO1" s="286" t="s">
        <v>12250</v>
      </c>
      <c r="NJP1" s="286" t="s">
        <v>12251</v>
      </c>
      <c r="NJQ1" s="286" t="s">
        <v>12252</v>
      </c>
      <c r="NJR1" s="286" t="s">
        <v>12253</v>
      </c>
      <c r="NJS1" s="286" t="s">
        <v>12254</v>
      </c>
      <c r="NJT1" s="286" t="s">
        <v>12255</v>
      </c>
      <c r="NJU1" s="286" t="s">
        <v>12256</v>
      </c>
      <c r="NJV1" s="286" t="s">
        <v>12257</v>
      </c>
      <c r="NJW1" s="286" t="s">
        <v>12258</v>
      </c>
      <c r="NJX1" s="286" t="s">
        <v>12259</v>
      </c>
      <c r="NJY1" s="286" t="s">
        <v>12260</v>
      </c>
      <c r="NJZ1" s="286" t="s">
        <v>12261</v>
      </c>
      <c r="NKA1" s="286" t="s">
        <v>12262</v>
      </c>
      <c r="NKB1" s="286" t="s">
        <v>12263</v>
      </c>
      <c r="NKC1" s="286" t="s">
        <v>12264</v>
      </c>
      <c r="NKD1" s="286" t="s">
        <v>12265</v>
      </c>
      <c r="NKE1" s="286" t="s">
        <v>12266</v>
      </c>
      <c r="NKF1" s="286" t="s">
        <v>12267</v>
      </c>
      <c r="NKG1" s="286" t="s">
        <v>12268</v>
      </c>
      <c r="NKH1" s="286" t="s">
        <v>12269</v>
      </c>
      <c r="NKI1" s="286" t="s">
        <v>12270</v>
      </c>
      <c r="NKJ1" s="286" t="s">
        <v>12271</v>
      </c>
      <c r="NKK1" s="286" t="s">
        <v>12272</v>
      </c>
      <c r="NKL1" s="286" t="s">
        <v>12273</v>
      </c>
      <c r="NKM1" s="286" t="s">
        <v>12274</v>
      </c>
      <c r="NKN1" s="286" t="s">
        <v>12275</v>
      </c>
      <c r="NKO1" s="286" t="s">
        <v>12276</v>
      </c>
      <c r="NKP1" s="286" t="s">
        <v>12277</v>
      </c>
      <c r="NKQ1" s="286" t="s">
        <v>12278</v>
      </c>
      <c r="NKR1" s="286" t="s">
        <v>12279</v>
      </c>
      <c r="NKS1" s="286" t="s">
        <v>12280</v>
      </c>
      <c r="NKT1" s="286" t="s">
        <v>12281</v>
      </c>
      <c r="NKU1" s="286" t="s">
        <v>12282</v>
      </c>
      <c r="NKV1" s="286" t="s">
        <v>12283</v>
      </c>
      <c r="NKW1" s="286" t="s">
        <v>12284</v>
      </c>
      <c r="NKX1" s="286" t="s">
        <v>12285</v>
      </c>
      <c r="NKY1" s="286" t="s">
        <v>12286</v>
      </c>
      <c r="NKZ1" s="286" t="s">
        <v>12287</v>
      </c>
      <c r="NLA1" s="286" t="s">
        <v>12288</v>
      </c>
      <c r="NLB1" s="286" t="s">
        <v>12289</v>
      </c>
      <c r="NLC1" s="286" t="s">
        <v>12290</v>
      </c>
      <c r="NLD1" s="286" t="s">
        <v>12291</v>
      </c>
      <c r="NLE1" s="286" t="s">
        <v>12292</v>
      </c>
      <c r="NLF1" s="286" t="s">
        <v>12293</v>
      </c>
      <c r="NLG1" s="286" t="s">
        <v>12294</v>
      </c>
      <c r="NLH1" s="286" t="s">
        <v>12295</v>
      </c>
      <c r="NLI1" s="286" t="s">
        <v>12296</v>
      </c>
      <c r="NLJ1" s="286" t="s">
        <v>12297</v>
      </c>
      <c r="NLK1" s="286" t="s">
        <v>12298</v>
      </c>
      <c r="NLL1" s="286" t="s">
        <v>12299</v>
      </c>
      <c r="NLM1" s="286" t="s">
        <v>12300</v>
      </c>
      <c r="NLN1" s="286" t="s">
        <v>12301</v>
      </c>
      <c r="NLO1" s="286" t="s">
        <v>12302</v>
      </c>
      <c r="NLP1" s="286" t="s">
        <v>12303</v>
      </c>
      <c r="NLQ1" s="286" t="s">
        <v>12304</v>
      </c>
      <c r="NLR1" s="286" t="s">
        <v>12305</v>
      </c>
      <c r="NLS1" s="286" t="s">
        <v>12306</v>
      </c>
      <c r="NLT1" s="286" t="s">
        <v>12307</v>
      </c>
      <c r="NLU1" s="286" t="s">
        <v>12308</v>
      </c>
      <c r="NLV1" s="286" t="s">
        <v>12309</v>
      </c>
      <c r="NLW1" s="286" t="s">
        <v>12310</v>
      </c>
      <c r="NLX1" s="286" t="s">
        <v>12311</v>
      </c>
      <c r="NLY1" s="286" t="s">
        <v>12312</v>
      </c>
      <c r="NLZ1" s="286" t="s">
        <v>12313</v>
      </c>
      <c r="NMA1" s="286" t="s">
        <v>12314</v>
      </c>
      <c r="NMB1" s="286" t="s">
        <v>12315</v>
      </c>
      <c r="NMC1" s="286" t="s">
        <v>12316</v>
      </c>
      <c r="NMD1" s="286" t="s">
        <v>12317</v>
      </c>
      <c r="NME1" s="286" t="s">
        <v>12318</v>
      </c>
      <c r="NMF1" s="286" t="s">
        <v>12319</v>
      </c>
      <c r="NMG1" s="286" t="s">
        <v>12320</v>
      </c>
      <c r="NMH1" s="286" t="s">
        <v>12321</v>
      </c>
      <c r="NMI1" s="286" t="s">
        <v>12322</v>
      </c>
      <c r="NMJ1" s="286" t="s">
        <v>12323</v>
      </c>
      <c r="NMK1" s="286" t="s">
        <v>12324</v>
      </c>
      <c r="NML1" s="286" t="s">
        <v>12325</v>
      </c>
      <c r="NMM1" s="286" t="s">
        <v>12326</v>
      </c>
      <c r="NMN1" s="286" t="s">
        <v>12327</v>
      </c>
      <c r="NMO1" s="286" t="s">
        <v>12328</v>
      </c>
      <c r="NMP1" s="286" t="s">
        <v>12329</v>
      </c>
      <c r="NMQ1" s="286" t="s">
        <v>12330</v>
      </c>
      <c r="NMR1" s="286" t="s">
        <v>12331</v>
      </c>
      <c r="NMS1" s="286" t="s">
        <v>12332</v>
      </c>
      <c r="NMT1" s="286" t="s">
        <v>12333</v>
      </c>
      <c r="NMU1" s="286" t="s">
        <v>12334</v>
      </c>
      <c r="NMV1" s="286" t="s">
        <v>12335</v>
      </c>
      <c r="NMW1" s="286" t="s">
        <v>12336</v>
      </c>
      <c r="NMX1" s="286" t="s">
        <v>12337</v>
      </c>
      <c r="NMY1" s="286" t="s">
        <v>12338</v>
      </c>
      <c r="NMZ1" s="286" t="s">
        <v>12339</v>
      </c>
      <c r="NNA1" s="286" t="s">
        <v>12340</v>
      </c>
      <c r="NNB1" s="286" t="s">
        <v>12341</v>
      </c>
      <c r="NNC1" s="286" t="s">
        <v>12342</v>
      </c>
      <c r="NND1" s="286" t="s">
        <v>12343</v>
      </c>
      <c r="NNE1" s="286" t="s">
        <v>12344</v>
      </c>
      <c r="NNF1" s="286" t="s">
        <v>12345</v>
      </c>
      <c r="NNG1" s="286" t="s">
        <v>12346</v>
      </c>
      <c r="NNH1" s="286" t="s">
        <v>12347</v>
      </c>
      <c r="NNI1" s="286" t="s">
        <v>12348</v>
      </c>
      <c r="NNJ1" s="286" t="s">
        <v>12349</v>
      </c>
      <c r="NNK1" s="286" t="s">
        <v>12350</v>
      </c>
      <c r="NNL1" s="286" t="s">
        <v>12351</v>
      </c>
      <c r="NNM1" s="286" t="s">
        <v>12352</v>
      </c>
      <c r="NNN1" s="286" t="s">
        <v>12353</v>
      </c>
      <c r="NNO1" s="286" t="s">
        <v>12354</v>
      </c>
      <c r="NNP1" s="286" t="s">
        <v>12355</v>
      </c>
      <c r="NNQ1" s="286" t="s">
        <v>12356</v>
      </c>
      <c r="NNR1" s="286" t="s">
        <v>12357</v>
      </c>
      <c r="NNS1" s="286" t="s">
        <v>12358</v>
      </c>
      <c r="NNT1" s="286" t="s">
        <v>12359</v>
      </c>
      <c r="NNU1" s="286" t="s">
        <v>12360</v>
      </c>
      <c r="NNV1" s="286" t="s">
        <v>12361</v>
      </c>
      <c r="NNW1" s="286" t="s">
        <v>12362</v>
      </c>
      <c r="NNX1" s="286" t="s">
        <v>12363</v>
      </c>
      <c r="NNY1" s="286" t="s">
        <v>12364</v>
      </c>
      <c r="NNZ1" s="286" t="s">
        <v>12365</v>
      </c>
      <c r="NOA1" s="286" t="s">
        <v>12366</v>
      </c>
      <c r="NOB1" s="286" t="s">
        <v>12367</v>
      </c>
      <c r="NOC1" s="286" t="s">
        <v>12368</v>
      </c>
      <c r="NOD1" s="286" t="s">
        <v>12369</v>
      </c>
      <c r="NOE1" s="286" t="s">
        <v>12370</v>
      </c>
      <c r="NOF1" s="286" t="s">
        <v>12371</v>
      </c>
      <c r="NOG1" s="286" t="s">
        <v>12372</v>
      </c>
      <c r="NOH1" s="286" t="s">
        <v>12373</v>
      </c>
      <c r="NOI1" s="286" t="s">
        <v>12374</v>
      </c>
      <c r="NOJ1" s="286" t="s">
        <v>12375</v>
      </c>
      <c r="NOK1" s="286" t="s">
        <v>12376</v>
      </c>
      <c r="NOL1" s="286" t="s">
        <v>12377</v>
      </c>
      <c r="NOM1" s="286" t="s">
        <v>12378</v>
      </c>
      <c r="NON1" s="286" t="s">
        <v>12379</v>
      </c>
      <c r="NOO1" s="286" t="s">
        <v>12380</v>
      </c>
      <c r="NOP1" s="286" t="s">
        <v>12381</v>
      </c>
      <c r="NOQ1" s="286" t="s">
        <v>12382</v>
      </c>
      <c r="NOR1" s="286" t="s">
        <v>12383</v>
      </c>
      <c r="NOS1" s="286" t="s">
        <v>12384</v>
      </c>
      <c r="NOT1" s="286" t="s">
        <v>12385</v>
      </c>
      <c r="NOU1" s="286" t="s">
        <v>12386</v>
      </c>
      <c r="NOV1" s="286" t="s">
        <v>12387</v>
      </c>
      <c r="NOW1" s="286" t="s">
        <v>12388</v>
      </c>
      <c r="NOX1" s="286" t="s">
        <v>12389</v>
      </c>
      <c r="NOY1" s="286" t="s">
        <v>12390</v>
      </c>
      <c r="NOZ1" s="286" t="s">
        <v>12391</v>
      </c>
      <c r="NPA1" s="286" t="s">
        <v>12392</v>
      </c>
      <c r="NPB1" s="286" t="s">
        <v>12393</v>
      </c>
      <c r="NPC1" s="286" t="s">
        <v>12394</v>
      </c>
      <c r="NPD1" s="286" t="s">
        <v>12395</v>
      </c>
      <c r="NPE1" s="286" t="s">
        <v>12396</v>
      </c>
      <c r="NPF1" s="286" t="s">
        <v>12397</v>
      </c>
      <c r="NPG1" s="286" t="s">
        <v>12398</v>
      </c>
      <c r="NPH1" s="286" t="s">
        <v>12399</v>
      </c>
      <c r="NPI1" s="286" t="s">
        <v>12400</v>
      </c>
      <c r="NPJ1" s="286" t="s">
        <v>12401</v>
      </c>
      <c r="NPK1" s="286" t="s">
        <v>12402</v>
      </c>
      <c r="NPL1" s="286" t="s">
        <v>12403</v>
      </c>
      <c r="NPM1" s="286" t="s">
        <v>12404</v>
      </c>
      <c r="NPN1" s="286" t="s">
        <v>12405</v>
      </c>
      <c r="NPO1" s="286" t="s">
        <v>12406</v>
      </c>
      <c r="NPP1" s="286" t="s">
        <v>12407</v>
      </c>
      <c r="NPQ1" s="286" t="s">
        <v>12408</v>
      </c>
      <c r="NPR1" s="286" t="s">
        <v>12409</v>
      </c>
      <c r="NPS1" s="286" t="s">
        <v>12410</v>
      </c>
      <c r="NPT1" s="286" t="s">
        <v>12411</v>
      </c>
      <c r="NPU1" s="286" t="s">
        <v>12412</v>
      </c>
      <c r="NPV1" s="286" t="s">
        <v>12413</v>
      </c>
      <c r="NPW1" s="286" t="s">
        <v>12414</v>
      </c>
      <c r="NPX1" s="286" t="s">
        <v>12415</v>
      </c>
      <c r="NPY1" s="286" t="s">
        <v>12416</v>
      </c>
      <c r="NPZ1" s="286" t="s">
        <v>12417</v>
      </c>
      <c r="NQA1" s="286" t="s">
        <v>12418</v>
      </c>
      <c r="NQB1" s="286" t="s">
        <v>12419</v>
      </c>
      <c r="NQC1" s="286" t="s">
        <v>12420</v>
      </c>
      <c r="NQD1" s="286" t="s">
        <v>12421</v>
      </c>
      <c r="NQE1" s="286" t="s">
        <v>12422</v>
      </c>
      <c r="NQF1" s="286" t="s">
        <v>12423</v>
      </c>
      <c r="NQG1" s="286" t="s">
        <v>12424</v>
      </c>
      <c r="NQH1" s="286" t="s">
        <v>12425</v>
      </c>
      <c r="NQI1" s="286" t="s">
        <v>12426</v>
      </c>
      <c r="NQJ1" s="286" t="s">
        <v>12427</v>
      </c>
      <c r="NQK1" s="286" t="s">
        <v>12428</v>
      </c>
      <c r="NQL1" s="286" t="s">
        <v>12429</v>
      </c>
      <c r="NQM1" s="286" t="s">
        <v>12430</v>
      </c>
      <c r="NQN1" s="286" t="s">
        <v>12431</v>
      </c>
      <c r="NQO1" s="286" t="s">
        <v>12432</v>
      </c>
      <c r="NQP1" s="286" t="s">
        <v>12433</v>
      </c>
      <c r="NQQ1" s="286" t="s">
        <v>12434</v>
      </c>
      <c r="NQR1" s="286" t="s">
        <v>12435</v>
      </c>
      <c r="NQS1" s="286" t="s">
        <v>12436</v>
      </c>
      <c r="NQT1" s="286" t="s">
        <v>12437</v>
      </c>
      <c r="NQU1" s="286" t="s">
        <v>12438</v>
      </c>
      <c r="NQV1" s="286" t="s">
        <v>12439</v>
      </c>
      <c r="NQW1" s="286" t="s">
        <v>12440</v>
      </c>
      <c r="NQX1" s="286" t="s">
        <v>12441</v>
      </c>
      <c r="NQY1" s="286" t="s">
        <v>12442</v>
      </c>
      <c r="NQZ1" s="286" t="s">
        <v>12443</v>
      </c>
      <c r="NRA1" s="286" t="s">
        <v>12444</v>
      </c>
      <c r="NRB1" s="286" t="s">
        <v>12445</v>
      </c>
      <c r="NRC1" s="286" t="s">
        <v>12446</v>
      </c>
      <c r="NRD1" s="286" t="s">
        <v>12447</v>
      </c>
      <c r="NRE1" s="286" t="s">
        <v>12448</v>
      </c>
      <c r="NRF1" s="286" t="s">
        <v>12449</v>
      </c>
      <c r="NRG1" s="286" t="s">
        <v>12450</v>
      </c>
      <c r="NRH1" s="286" t="s">
        <v>12451</v>
      </c>
      <c r="NRI1" s="286" t="s">
        <v>12452</v>
      </c>
      <c r="NRJ1" s="286" t="s">
        <v>12453</v>
      </c>
      <c r="NRK1" s="286" t="s">
        <v>12454</v>
      </c>
      <c r="NRL1" s="286" t="s">
        <v>12455</v>
      </c>
      <c r="NRM1" s="286" t="s">
        <v>12456</v>
      </c>
      <c r="NRN1" s="286" t="s">
        <v>12457</v>
      </c>
      <c r="NRO1" s="286" t="s">
        <v>12458</v>
      </c>
      <c r="NRP1" s="286" t="s">
        <v>12459</v>
      </c>
      <c r="NRQ1" s="286" t="s">
        <v>12460</v>
      </c>
      <c r="NRR1" s="286" t="s">
        <v>12461</v>
      </c>
      <c r="NRS1" s="286" t="s">
        <v>12462</v>
      </c>
      <c r="NRT1" s="286" t="s">
        <v>12463</v>
      </c>
      <c r="NRU1" s="286" t="s">
        <v>12464</v>
      </c>
      <c r="NRV1" s="286" t="s">
        <v>12465</v>
      </c>
      <c r="NRW1" s="286" t="s">
        <v>12466</v>
      </c>
      <c r="NRX1" s="286" t="s">
        <v>12467</v>
      </c>
      <c r="NRY1" s="286" t="s">
        <v>12468</v>
      </c>
      <c r="NRZ1" s="286" t="s">
        <v>12469</v>
      </c>
      <c r="NSA1" s="286" t="s">
        <v>12470</v>
      </c>
      <c r="NSB1" s="286" t="s">
        <v>12471</v>
      </c>
      <c r="NSC1" s="286" t="s">
        <v>12472</v>
      </c>
      <c r="NSD1" s="286" t="s">
        <v>12473</v>
      </c>
      <c r="NSE1" s="286" t="s">
        <v>12474</v>
      </c>
      <c r="NSF1" s="286" t="s">
        <v>12475</v>
      </c>
      <c r="NSG1" s="286" t="s">
        <v>12476</v>
      </c>
      <c r="NSH1" s="286" t="s">
        <v>12477</v>
      </c>
      <c r="NSI1" s="286" t="s">
        <v>12478</v>
      </c>
      <c r="NSJ1" s="286" t="s">
        <v>12479</v>
      </c>
      <c r="NSK1" s="286" t="s">
        <v>12480</v>
      </c>
      <c r="NSL1" s="286" t="s">
        <v>12481</v>
      </c>
      <c r="NSM1" s="286" t="s">
        <v>12482</v>
      </c>
      <c r="NSN1" s="286" t="s">
        <v>12483</v>
      </c>
      <c r="NSO1" s="286" t="s">
        <v>12484</v>
      </c>
      <c r="NSP1" s="286" t="s">
        <v>12485</v>
      </c>
      <c r="NSQ1" s="286" t="s">
        <v>12486</v>
      </c>
      <c r="NSR1" s="286" t="s">
        <v>12487</v>
      </c>
      <c r="NSS1" s="286" t="s">
        <v>12488</v>
      </c>
      <c r="NST1" s="286" t="s">
        <v>12489</v>
      </c>
      <c r="NSU1" s="286" t="s">
        <v>12490</v>
      </c>
      <c r="NSV1" s="286" t="s">
        <v>12491</v>
      </c>
      <c r="NSW1" s="286" t="s">
        <v>12492</v>
      </c>
      <c r="NSX1" s="286" t="s">
        <v>12493</v>
      </c>
      <c r="NSY1" s="286" t="s">
        <v>12494</v>
      </c>
      <c r="NSZ1" s="286" t="s">
        <v>12495</v>
      </c>
      <c r="NTA1" s="286" t="s">
        <v>12496</v>
      </c>
      <c r="NTB1" s="286" t="s">
        <v>12497</v>
      </c>
      <c r="NTC1" s="286" t="s">
        <v>12498</v>
      </c>
      <c r="NTD1" s="286" t="s">
        <v>12499</v>
      </c>
      <c r="NTE1" s="286" t="s">
        <v>12500</v>
      </c>
      <c r="NTF1" s="286" t="s">
        <v>12501</v>
      </c>
      <c r="NTG1" s="286" t="s">
        <v>12502</v>
      </c>
      <c r="NTH1" s="286" t="s">
        <v>12503</v>
      </c>
      <c r="NTI1" s="286" t="s">
        <v>12504</v>
      </c>
      <c r="NTJ1" s="286" t="s">
        <v>12505</v>
      </c>
      <c r="NTK1" s="286" t="s">
        <v>12506</v>
      </c>
      <c r="NTL1" s="286" t="s">
        <v>12507</v>
      </c>
      <c r="NTM1" s="286" t="s">
        <v>12508</v>
      </c>
      <c r="NTN1" s="286" t="s">
        <v>12509</v>
      </c>
      <c r="NTO1" s="286" t="s">
        <v>12510</v>
      </c>
      <c r="NTP1" s="286" t="s">
        <v>12511</v>
      </c>
      <c r="NTQ1" s="286" t="s">
        <v>12512</v>
      </c>
      <c r="NTR1" s="286" t="s">
        <v>12513</v>
      </c>
      <c r="NTS1" s="286" t="s">
        <v>12514</v>
      </c>
      <c r="NTT1" s="286" t="s">
        <v>12515</v>
      </c>
      <c r="NTU1" s="286" t="s">
        <v>12516</v>
      </c>
      <c r="NTV1" s="286" t="s">
        <v>12517</v>
      </c>
      <c r="NTW1" s="286" t="s">
        <v>12518</v>
      </c>
      <c r="NTX1" s="286" t="s">
        <v>12519</v>
      </c>
      <c r="NTY1" s="286" t="s">
        <v>12520</v>
      </c>
      <c r="NTZ1" s="286" t="s">
        <v>12521</v>
      </c>
      <c r="NUA1" s="286" t="s">
        <v>12522</v>
      </c>
      <c r="NUB1" s="286" t="s">
        <v>12523</v>
      </c>
      <c r="NUC1" s="286" t="s">
        <v>12524</v>
      </c>
      <c r="NUD1" s="286" t="s">
        <v>12525</v>
      </c>
      <c r="NUE1" s="286" t="s">
        <v>12526</v>
      </c>
      <c r="NUF1" s="286" t="s">
        <v>12527</v>
      </c>
      <c r="NUG1" s="286" t="s">
        <v>12528</v>
      </c>
      <c r="NUH1" s="286" t="s">
        <v>12529</v>
      </c>
      <c r="NUI1" s="286" t="s">
        <v>12530</v>
      </c>
      <c r="NUJ1" s="286" t="s">
        <v>12531</v>
      </c>
      <c r="NUK1" s="286" t="s">
        <v>12532</v>
      </c>
      <c r="NUL1" s="286" t="s">
        <v>12533</v>
      </c>
      <c r="NUM1" s="286" t="s">
        <v>12534</v>
      </c>
      <c r="NUN1" s="286" t="s">
        <v>12535</v>
      </c>
      <c r="NUO1" s="286" t="s">
        <v>12536</v>
      </c>
      <c r="NUP1" s="286" t="s">
        <v>12537</v>
      </c>
      <c r="NUQ1" s="286" t="s">
        <v>12538</v>
      </c>
      <c r="NUR1" s="286" t="s">
        <v>12539</v>
      </c>
      <c r="NUS1" s="286" t="s">
        <v>12540</v>
      </c>
      <c r="NUT1" s="286" t="s">
        <v>12541</v>
      </c>
      <c r="NUU1" s="286" t="s">
        <v>12542</v>
      </c>
      <c r="NUV1" s="286" t="s">
        <v>12543</v>
      </c>
      <c r="NUW1" s="286" t="s">
        <v>12544</v>
      </c>
      <c r="NUX1" s="286" t="s">
        <v>12545</v>
      </c>
      <c r="NUY1" s="286" t="s">
        <v>12546</v>
      </c>
      <c r="NUZ1" s="286" t="s">
        <v>12547</v>
      </c>
      <c r="NVA1" s="286" t="s">
        <v>12548</v>
      </c>
      <c r="NVB1" s="286" t="s">
        <v>12549</v>
      </c>
      <c r="NVC1" s="286" t="s">
        <v>12550</v>
      </c>
      <c r="NVD1" s="286" t="s">
        <v>12551</v>
      </c>
      <c r="NVE1" s="286" t="s">
        <v>12552</v>
      </c>
      <c r="NVF1" s="286" t="s">
        <v>12553</v>
      </c>
      <c r="NVG1" s="286" t="s">
        <v>12554</v>
      </c>
      <c r="NVH1" s="286" t="s">
        <v>12555</v>
      </c>
      <c r="NVI1" s="286" t="s">
        <v>12556</v>
      </c>
      <c r="NVJ1" s="286" t="s">
        <v>12557</v>
      </c>
      <c r="NVK1" s="286" t="s">
        <v>12558</v>
      </c>
      <c r="NVL1" s="286" t="s">
        <v>12559</v>
      </c>
      <c r="NVM1" s="286" t="s">
        <v>12560</v>
      </c>
      <c r="NVN1" s="286" t="s">
        <v>12561</v>
      </c>
      <c r="NVO1" s="286" t="s">
        <v>12562</v>
      </c>
      <c r="NVP1" s="286" t="s">
        <v>12563</v>
      </c>
      <c r="NVQ1" s="286" t="s">
        <v>12564</v>
      </c>
      <c r="NVR1" s="286" t="s">
        <v>12565</v>
      </c>
      <c r="NVS1" s="286" t="s">
        <v>12566</v>
      </c>
      <c r="NVT1" s="286" t="s">
        <v>12567</v>
      </c>
      <c r="NVU1" s="286" t="s">
        <v>12568</v>
      </c>
      <c r="NVV1" s="286" t="s">
        <v>12569</v>
      </c>
      <c r="NVW1" s="286" t="s">
        <v>12570</v>
      </c>
      <c r="NVX1" s="286" t="s">
        <v>12571</v>
      </c>
      <c r="NVY1" s="286" t="s">
        <v>12572</v>
      </c>
      <c r="NVZ1" s="286" t="s">
        <v>12573</v>
      </c>
      <c r="NWA1" s="286" t="s">
        <v>12574</v>
      </c>
      <c r="NWB1" s="286" t="s">
        <v>12575</v>
      </c>
      <c r="NWC1" s="286" t="s">
        <v>12576</v>
      </c>
      <c r="NWD1" s="286" t="s">
        <v>12577</v>
      </c>
      <c r="NWE1" s="286" t="s">
        <v>12578</v>
      </c>
      <c r="NWF1" s="286" t="s">
        <v>12579</v>
      </c>
      <c r="NWG1" s="286" t="s">
        <v>12580</v>
      </c>
      <c r="NWH1" s="286" t="s">
        <v>12581</v>
      </c>
      <c r="NWI1" s="286" t="s">
        <v>12582</v>
      </c>
      <c r="NWJ1" s="286" t="s">
        <v>12583</v>
      </c>
      <c r="NWK1" s="286" t="s">
        <v>12584</v>
      </c>
      <c r="NWL1" s="286" t="s">
        <v>12585</v>
      </c>
      <c r="NWM1" s="286" t="s">
        <v>12586</v>
      </c>
      <c r="NWN1" s="286" t="s">
        <v>12587</v>
      </c>
      <c r="NWO1" s="286" t="s">
        <v>12588</v>
      </c>
      <c r="NWP1" s="286" t="s">
        <v>12589</v>
      </c>
      <c r="NWQ1" s="286" t="s">
        <v>12590</v>
      </c>
      <c r="NWR1" s="286" t="s">
        <v>12591</v>
      </c>
      <c r="NWS1" s="286" t="s">
        <v>12592</v>
      </c>
      <c r="NWT1" s="286" t="s">
        <v>12593</v>
      </c>
      <c r="NWU1" s="286" t="s">
        <v>12594</v>
      </c>
      <c r="NWV1" s="286" t="s">
        <v>12595</v>
      </c>
      <c r="NWW1" s="286" t="s">
        <v>12596</v>
      </c>
      <c r="NWX1" s="286" t="s">
        <v>12597</v>
      </c>
      <c r="NWY1" s="286" t="s">
        <v>12598</v>
      </c>
      <c r="NWZ1" s="286" t="s">
        <v>12599</v>
      </c>
      <c r="NXA1" s="286" t="s">
        <v>12600</v>
      </c>
      <c r="NXB1" s="286" t="s">
        <v>12601</v>
      </c>
      <c r="NXC1" s="286" t="s">
        <v>12602</v>
      </c>
      <c r="NXD1" s="286" t="s">
        <v>12603</v>
      </c>
      <c r="NXE1" s="286" t="s">
        <v>12604</v>
      </c>
      <c r="NXF1" s="286" t="s">
        <v>12605</v>
      </c>
      <c r="NXG1" s="286" t="s">
        <v>12606</v>
      </c>
      <c r="NXH1" s="286" t="s">
        <v>12607</v>
      </c>
      <c r="NXI1" s="286" t="s">
        <v>12608</v>
      </c>
      <c r="NXJ1" s="286" t="s">
        <v>12609</v>
      </c>
      <c r="NXK1" s="286" t="s">
        <v>12610</v>
      </c>
      <c r="NXL1" s="286" t="s">
        <v>12611</v>
      </c>
      <c r="NXM1" s="286" t="s">
        <v>12612</v>
      </c>
      <c r="NXN1" s="286" t="s">
        <v>12613</v>
      </c>
      <c r="NXO1" s="286" t="s">
        <v>12614</v>
      </c>
      <c r="NXP1" s="286" t="s">
        <v>12615</v>
      </c>
      <c r="NXQ1" s="286" t="s">
        <v>12616</v>
      </c>
      <c r="NXR1" s="286" t="s">
        <v>12617</v>
      </c>
      <c r="NXS1" s="286" t="s">
        <v>12618</v>
      </c>
      <c r="NXT1" s="286" t="s">
        <v>12619</v>
      </c>
      <c r="NXU1" s="286" t="s">
        <v>12620</v>
      </c>
      <c r="NXV1" s="286" t="s">
        <v>12621</v>
      </c>
      <c r="NXW1" s="286" t="s">
        <v>12622</v>
      </c>
      <c r="NXX1" s="286" t="s">
        <v>12623</v>
      </c>
      <c r="NXY1" s="286" t="s">
        <v>12624</v>
      </c>
      <c r="NXZ1" s="286" t="s">
        <v>12625</v>
      </c>
      <c r="NYA1" s="286" t="s">
        <v>12626</v>
      </c>
      <c r="NYB1" s="286" t="s">
        <v>12627</v>
      </c>
      <c r="NYC1" s="286" t="s">
        <v>12628</v>
      </c>
      <c r="NYD1" s="286" t="s">
        <v>12629</v>
      </c>
      <c r="NYE1" s="286" t="s">
        <v>12630</v>
      </c>
      <c r="NYF1" s="286" t="s">
        <v>12631</v>
      </c>
      <c r="NYG1" s="286" t="s">
        <v>12632</v>
      </c>
      <c r="NYH1" s="286" t="s">
        <v>12633</v>
      </c>
      <c r="NYI1" s="286" t="s">
        <v>12634</v>
      </c>
      <c r="NYJ1" s="286" t="s">
        <v>12635</v>
      </c>
      <c r="NYK1" s="286" t="s">
        <v>12636</v>
      </c>
      <c r="NYL1" s="286" t="s">
        <v>12637</v>
      </c>
      <c r="NYM1" s="286" t="s">
        <v>12638</v>
      </c>
      <c r="NYN1" s="286" t="s">
        <v>12639</v>
      </c>
      <c r="NYO1" s="286" t="s">
        <v>12640</v>
      </c>
      <c r="NYP1" s="286" t="s">
        <v>12641</v>
      </c>
      <c r="NYQ1" s="286" t="s">
        <v>12642</v>
      </c>
      <c r="NYR1" s="286" t="s">
        <v>12643</v>
      </c>
      <c r="NYS1" s="286" t="s">
        <v>12644</v>
      </c>
      <c r="NYT1" s="286" t="s">
        <v>12645</v>
      </c>
      <c r="NYU1" s="286" t="s">
        <v>12646</v>
      </c>
      <c r="NYV1" s="286" t="s">
        <v>12647</v>
      </c>
      <c r="NYW1" s="286" t="s">
        <v>12648</v>
      </c>
      <c r="NYX1" s="286" t="s">
        <v>12649</v>
      </c>
      <c r="NYY1" s="286" t="s">
        <v>12650</v>
      </c>
      <c r="NYZ1" s="286" t="s">
        <v>12651</v>
      </c>
      <c r="NZA1" s="286" t="s">
        <v>12652</v>
      </c>
      <c r="NZB1" s="286" t="s">
        <v>12653</v>
      </c>
      <c r="NZC1" s="286" t="s">
        <v>12654</v>
      </c>
      <c r="NZD1" s="286" t="s">
        <v>12655</v>
      </c>
      <c r="NZE1" s="286" t="s">
        <v>12656</v>
      </c>
      <c r="NZF1" s="286" t="s">
        <v>12657</v>
      </c>
      <c r="NZG1" s="286" t="s">
        <v>12658</v>
      </c>
      <c r="NZH1" s="286" t="s">
        <v>12659</v>
      </c>
      <c r="NZI1" s="286" t="s">
        <v>12660</v>
      </c>
      <c r="NZJ1" s="286" t="s">
        <v>12661</v>
      </c>
      <c r="NZK1" s="286" t="s">
        <v>12662</v>
      </c>
      <c r="NZL1" s="286" t="s">
        <v>12663</v>
      </c>
      <c r="NZM1" s="286" t="s">
        <v>12664</v>
      </c>
      <c r="NZN1" s="286" t="s">
        <v>12665</v>
      </c>
      <c r="NZO1" s="286" t="s">
        <v>12666</v>
      </c>
      <c r="NZP1" s="286" t="s">
        <v>12667</v>
      </c>
      <c r="NZQ1" s="286" t="s">
        <v>12668</v>
      </c>
      <c r="NZR1" s="286" t="s">
        <v>12669</v>
      </c>
      <c r="NZS1" s="286" t="s">
        <v>12670</v>
      </c>
      <c r="NZT1" s="286" t="s">
        <v>12671</v>
      </c>
      <c r="NZU1" s="286" t="s">
        <v>12672</v>
      </c>
      <c r="NZV1" s="286" t="s">
        <v>12673</v>
      </c>
      <c r="NZW1" s="286" t="s">
        <v>12674</v>
      </c>
      <c r="NZX1" s="286" t="s">
        <v>12675</v>
      </c>
      <c r="NZY1" s="286" t="s">
        <v>12676</v>
      </c>
      <c r="NZZ1" s="286" t="s">
        <v>12677</v>
      </c>
      <c r="OAA1" s="286" t="s">
        <v>12678</v>
      </c>
      <c r="OAB1" s="286" t="s">
        <v>12679</v>
      </c>
      <c r="OAC1" s="286" t="s">
        <v>12680</v>
      </c>
      <c r="OAD1" s="286" t="s">
        <v>12681</v>
      </c>
      <c r="OAE1" s="286" t="s">
        <v>12682</v>
      </c>
      <c r="OAF1" s="286" t="s">
        <v>12683</v>
      </c>
      <c r="OAG1" s="286" t="s">
        <v>12684</v>
      </c>
      <c r="OAH1" s="286" t="s">
        <v>12685</v>
      </c>
      <c r="OAI1" s="286" t="s">
        <v>12686</v>
      </c>
      <c r="OAJ1" s="286" t="s">
        <v>12687</v>
      </c>
      <c r="OAK1" s="286" t="s">
        <v>12688</v>
      </c>
      <c r="OAL1" s="286" t="s">
        <v>12689</v>
      </c>
      <c r="OAM1" s="286" t="s">
        <v>12690</v>
      </c>
      <c r="OAN1" s="286" t="s">
        <v>12691</v>
      </c>
      <c r="OAO1" s="286" t="s">
        <v>12692</v>
      </c>
      <c r="OAP1" s="286" t="s">
        <v>12693</v>
      </c>
      <c r="OAQ1" s="286" t="s">
        <v>12694</v>
      </c>
      <c r="OAR1" s="286" t="s">
        <v>12695</v>
      </c>
      <c r="OAS1" s="286" t="s">
        <v>12696</v>
      </c>
      <c r="OAT1" s="286" t="s">
        <v>12697</v>
      </c>
      <c r="OAU1" s="286" t="s">
        <v>12698</v>
      </c>
      <c r="OAV1" s="286" t="s">
        <v>12699</v>
      </c>
      <c r="OAW1" s="286" t="s">
        <v>12700</v>
      </c>
      <c r="OAX1" s="286" t="s">
        <v>12701</v>
      </c>
      <c r="OAY1" s="286" t="s">
        <v>12702</v>
      </c>
      <c r="OAZ1" s="286" t="s">
        <v>12703</v>
      </c>
      <c r="OBA1" s="286" t="s">
        <v>12704</v>
      </c>
      <c r="OBB1" s="286" t="s">
        <v>12705</v>
      </c>
      <c r="OBC1" s="286" t="s">
        <v>12706</v>
      </c>
      <c r="OBD1" s="286" t="s">
        <v>12707</v>
      </c>
      <c r="OBE1" s="286" t="s">
        <v>12708</v>
      </c>
      <c r="OBF1" s="286" t="s">
        <v>12709</v>
      </c>
      <c r="OBG1" s="286" t="s">
        <v>12710</v>
      </c>
      <c r="OBH1" s="286" t="s">
        <v>12711</v>
      </c>
      <c r="OBI1" s="286" t="s">
        <v>12712</v>
      </c>
      <c r="OBJ1" s="286" t="s">
        <v>12713</v>
      </c>
      <c r="OBK1" s="286" t="s">
        <v>12714</v>
      </c>
      <c r="OBL1" s="286" t="s">
        <v>12715</v>
      </c>
      <c r="OBM1" s="286" t="s">
        <v>12716</v>
      </c>
      <c r="OBN1" s="286" t="s">
        <v>12717</v>
      </c>
      <c r="OBO1" s="286" t="s">
        <v>12718</v>
      </c>
      <c r="OBP1" s="286" t="s">
        <v>12719</v>
      </c>
      <c r="OBQ1" s="286" t="s">
        <v>12720</v>
      </c>
      <c r="OBR1" s="286" t="s">
        <v>12721</v>
      </c>
      <c r="OBS1" s="286" t="s">
        <v>12722</v>
      </c>
      <c r="OBT1" s="286" t="s">
        <v>12723</v>
      </c>
      <c r="OBU1" s="286" t="s">
        <v>12724</v>
      </c>
      <c r="OBV1" s="286" t="s">
        <v>12725</v>
      </c>
      <c r="OBW1" s="286" t="s">
        <v>12726</v>
      </c>
      <c r="OBX1" s="286" t="s">
        <v>12727</v>
      </c>
      <c r="OBY1" s="286" t="s">
        <v>12728</v>
      </c>
      <c r="OBZ1" s="286" t="s">
        <v>12729</v>
      </c>
      <c r="OCA1" s="286" t="s">
        <v>12730</v>
      </c>
      <c r="OCB1" s="286" t="s">
        <v>12731</v>
      </c>
      <c r="OCC1" s="286" t="s">
        <v>12732</v>
      </c>
      <c r="OCD1" s="286" t="s">
        <v>12733</v>
      </c>
      <c r="OCE1" s="286" t="s">
        <v>12734</v>
      </c>
      <c r="OCF1" s="286" t="s">
        <v>12735</v>
      </c>
      <c r="OCG1" s="286" t="s">
        <v>12736</v>
      </c>
      <c r="OCH1" s="286" t="s">
        <v>12737</v>
      </c>
      <c r="OCI1" s="286" t="s">
        <v>12738</v>
      </c>
      <c r="OCJ1" s="286" t="s">
        <v>12739</v>
      </c>
      <c r="OCK1" s="286" t="s">
        <v>12740</v>
      </c>
      <c r="OCL1" s="286" t="s">
        <v>12741</v>
      </c>
      <c r="OCM1" s="286" t="s">
        <v>12742</v>
      </c>
      <c r="OCN1" s="286" t="s">
        <v>12743</v>
      </c>
      <c r="OCO1" s="286" t="s">
        <v>12744</v>
      </c>
      <c r="OCP1" s="286" t="s">
        <v>12745</v>
      </c>
      <c r="OCQ1" s="286" t="s">
        <v>12746</v>
      </c>
      <c r="OCR1" s="286" t="s">
        <v>12747</v>
      </c>
      <c r="OCS1" s="286" t="s">
        <v>12748</v>
      </c>
      <c r="OCT1" s="286" t="s">
        <v>12749</v>
      </c>
      <c r="OCU1" s="286" t="s">
        <v>12750</v>
      </c>
      <c r="OCV1" s="286" t="s">
        <v>12751</v>
      </c>
      <c r="OCW1" s="286" t="s">
        <v>12752</v>
      </c>
      <c r="OCX1" s="286" t="s">
        <v>12753</v>
      </c>
      <c r="OCY1" s="286" t="s">
        <v>12754</v>
      </c>
      <c r="OCZ1" s="286" t="s">
        <v>12755</v>
      </c>
      <c r="ODA1" s="286" t="s">
        <v>12756</v>
      </c>
      <c r="ODB1" s="286" t="s">
        <v>12757</v>
      </c>
      <c r="ODC1" s="286" t="s">
        <v>12758</v>
      </c>
      <c r="ODD1" s="286" t="s">
        <v>12759</v>
      </c>
      <c r="ODE1" s="286" t="s">
        <v>12760</v>
      </c>
      <c r="ODF1" s="286" t="s">
        <v>12761</v>
      </c>
      <c r="ODG1" s="286" t="s">
        <v>12762</v>
      </c>
      <c r="ODH1" s="286" t="s">
        <v>12763</v>
      </c>
      <c r="ODI1" s="286" t="s">
        <v>12764</v>
      </c>
      <c r="ODJ1" s="286" t="s">
        <v>12765</v>
      </c>
      <c r="ODK1" s="286" t="s">
        <v>12766</v>
      </c>
      <c r="ODL1" s="286" t="s">
        <v>12767</v>
      </c>
      <c r="ODM1" s="286" t="s">
        <v>12768</v>
      </c>
      <c r="ODN1" s="286" t="s">
        <v>12769</v>
      </c>
      <c r="ODO1" s="286" t="s">
        <v>12770</v>
      </c>
      <c r="ODP1" s="286" t="s">
        <v>12771</v>
      </c>
      <c r="ODQ1" s="286" t="s">
        <v>12772</v>
      </c>
      <c r="ODR1" s="286" t="s">
        <v>12773</v>
      </c>
      <c r="ODS1" s="286" t="s">
        <v>12774</v>
      </c>
      <c r="ODT1" s="286" t="s">
        <v>12775</v>
      </c>
      <c r="ODU1" s="286" t="s">
        <v>12776</v>
      </c>
      <c r="ODV1" s="286" t="s">
        <v>12777</v>
      </c>
      <c r="ODW1" s="286" t="s">
        <v>12778</v>
      </c>
      <c r="ODX1" s="286" t="s">
        <v>12779</v>
      </c>
      <c r="ODY1" s="286" t="s">
        <v>12780</v>
      </c>
      <c r="ODZ1" s="286" t="s">
        <v>12781</v>
      </c>
      <c r="OEA1" s="286" t="s">
        <v>12782</v>
      </c>
      <c r="OEB1" s="286" t="s">
        <v>12783</v>
      </c>
      <c r="OEC1" s="286" t="s">
        <v>12784</v>
      </c>
      <c r="OED1" s="286" t="s">
        <v>12785</v>
      </c>
      <c r="OEE1" s="286" t="s">
        <v>12786</v>
      </c>
      <c r="OEF1" s="286" t="s">
        <v>12787</v>
      </c>
      <c r="OEG1" s="286" t="s">
        <v>12788</v>
      </c>
      <c r="OEH1" s="286" t="s">
        <v>12789</v>
      </c>
      <c r="OEI1" s="286" t="s">
        <v>12790</v>
      </c>
      <c r="OEJ1" s="286" t="s">
        <v>12791</v>
      </c>
      <c r="OEK1" s="286" t="s">
        <v>12792</v>
      </c>
      <c r="OEL1" s="286" t="s">
        <v>12793</v>
      </c>
      <c r="OEM1" s="286" t="s">
        <v>12794</v>
      </c>
      <c r="OEN1" s="286" t="s">
        <v>12795</v>
      </c>
      <c r="OEO1" s="286" t="s">
        <v>12796</v>
      </c>
      <c r="OEP1" s="286" t="s">
        <v>12797</v>
      </c>
      <c r="OEQ1" s="286" t="s">
        <v>12798</v>
      </c>
      <c r="OER1" s="286" t="s">
        <v>12799</v>
      </c>
      <c r="OES1" s="286" t="s">
        <v>12800</v>
      </c>
      <c r="OET1" s="286" t="s">
        <v>12801</v>
      </c>
      <c r="OEU1" s="286" t="s">
        <v>12802</v>
      </c>
      <c r="OEV1" s="286" t="s">
        <v>12803</v>
      </c>
      <c r="OEW1" s="286" t="s">
        <v>12804</v>
      </c>
      <c r="OEX1" s="286" t="s">
        <v>12805</v>
      </c>
      <c r="OEY1" s="286" t="s">
        <v>12806</v>
      </c>
      <c r="OEZ1" s="286" t="s">
        <v>12807</v>
      </c>
      <c r="OFA1" s="286" t="s">
        <v>12808</v>
      </c>
      <c r="OFB1" s="286" t="s">
        <v>12809</v>
      </c>
      <c r="OFC1" s="286" t="s">
        <v>12810</v>
      </c>
      <c r="OFD1" s="286" t="s">
        <v>12811</v>
      </c>
      <c r="OFE1" s="286" t="s">
        <v>12812</v>
      </c>
      <c r="OFF1" s="286" t="s">
        <v>12813</v>
      </c>
      <c r="OFG1" s="286" t="s">
        <v>12814</v>
      </c>
      <c r="OFH1" s="286" t="s">
        <v>12815</v>
      </c>
      <c r="OFI1" s="286" t="s">
        <v>12816</v>
      </c>
      <c r="OFJ1" s="286" t="s">
        <v>12817</v>
      </c>
      <c r="OFK1" s="286" t="s">
        <v>12818</v>
      </c>
      <c r="OFL1" s="286" t="s">
        <v>12819</v>
      </c>
      <c r="OFM1" s="286" t="s">
        <v>12820</v>
      </c>
      <c r="OFN1" s="286" t="s">
        <v>12821</v>
      </c>
      <c r="OFO1" s="286" t="s">
        <v>12822</v>
      </c>
      <c r="OFP1" s="286" t="s">
        <v>12823</v>
      </c>
      <c r="OFQ1" s="286" t="s">
        <v>12824</v>
      </c>
      <c r="OFR1" s="286" t="s">
        <v>12825</v>
      </c>
      <c r="OFS1" s="286" t="s">
        <v>12826</v>
      </c>
      <c r="OFT1" s="286" t="s">
        <v>12827</v>
      </c>
      <c r="OFU1" s="286" t="s">
        <v>12828</v>
      </c>
      <c r="OFV1" s="286" t="s">
        <v>12829</v>
      </c>
      <c r="OFW1" s="286" t="s">
        <v>12830</v>
      </c>
      <c r="OFX1" s="286" t="s">
        <v>12831</v>
      </c>
      <c r="OFY1" s="286" t="s">
        <v>12832</v>
      </c>
      <c r="OFZ1" s="286" t="s">
        <v>12833</v>
      </c>
      <c r="OGA1" s="286" t="s">
        <v>12834</v>
      </c>
      <c r="OGB1" s="286" t="s">
        <v>12835</v>
      </c>
      <c r="OGC1" s="286" t="s">
        <v>12836</v>
      </c>
      <c r="OGD1" s="286" t="s">
        <v>12837</v>
      </c>
      <c r="OGE1" s="286" t="s">
        <v>12838</v>
      </c>
      <c r="OGF1" s="286" t="s">
        <v>12839</v>
      </c>
      <c r="OGG1" s="286" t="s">
        <v>12840</v>
      </c>
      <c r="OGH1" s="286" t="s">
        <v>12841</v>
      </c>
      <c r="OGI1" s="286" t="s">
        <v>12842</v>
      </c>
      <c r="OGJ1" s="286" t="s">
        <v>12843</v>
      </c>
      <c r="OGK1" s="286" t="s">
        <v>12844</v>
      </c>
      <c r="OGL1" s="286" t="s">
        <v>12845</v>
      </c>
      <c r="OGM1" s="286" t="s">
        <v>12846</v>
      </c>
      <c r="OGN1" s="286" t="s">
        <v>12847</v>
      </c>
      <c r="OGO1" s="286" t="s">
        <v>12848</v>
      </c>
      <c r="OGP1" s="286" t="s">
        <v>12849</v>
      </c>
      <c r="OGQ1" s="286" t="s">
        <v>12850</v>
      </c>
      <c r="OGR1" s="286" t="s">
        <v>12851</v>
      </c>
      <c r="OGS1" s="286" t="s">
        <v>12852</v>
      </c>
      <c r="OGT1" s="286" t="s">
        <v>12853</v>
      </c>
      <c r="OGU1" s="286" t="s">
        <v>12854</v>
      </c>
      <c r="OGV1" s="286" t="s">
        <v>12855</v>
      </c>
      <c r="OGW1" s="286" t="s">
        <v>12856</v>
      </c>
      <c r="OGX1" s="286" t="s">
        <v>12857</v>
      </c>
      <c r="OGY1" s="286" t="s">
        <v>12858</v>
      </c>
      <c r="OGZ1" s="286" t="s">
        <v>12859</v>
      </c>
      <c r="OHA1" s="286" t="s">
        <v>12860</v>
      </c>
      <c r="OHB1" s="286" t="s">
        <v>12861</v>
      </c>
      <c r="OHC1" s="286" t="s">
        <v>12862</v>
      </c>
      <c r="OHD1" s="286" t="s">
        <v>12863</v>
      </c>
      <c r="OHE1" s="286" t="s">
        <v>12864</v>
      </c>
      <c r="OHF1" s="286" t="s">
        <v>12865</v>
      </c>
      <c r="OHG1" s="286" t="s">
        <v>12866</v>
      </c>
      <c r="OHH1" s="286" t="s">
        <v>12867</v>
      </c>
      <c r="OHI1" s="286" t="s">
        <v>12868</v>
      </c>
      <c r="OHJ1" s="286" t="s">
        <v>12869</v>
      </c>
      <c r="OHK1" s="286" t="s">
        <v>12870</v>
      </c>
      <c r="OHL1" s="286" t="s">
        <v>12871</v>
      </c>
      <c r="OHM1" s="286" t="s">
        <v>12872</v>
      </c>
      <c r="OHN1" s="286" t="s">
        <v>12873</v>
      </c>
      <c r="OHO1" s="286" t="s">
        <v>12874</v>
      </c>
      <c r="OHP1" s="286" t="s">
        <v>12875</v>
      </c>
      <c r="OHQ1" s="286" t="s">
        <v>12876</v>
      </c>
      <c r="OHR1" s="286" t="s">
        <v>12877</v>
      </c>
      <c r="OHS1" s="286" t="s">
        <v>12878</v>
      </c>
      <c r="OHT1" s="286" t="s">
        <v>12879</v>
      </c>
      <c r="OHU1" s="286" t="s">
        <v>12880</v>
      </c>
      <c r="OHV1" s="286" t="s">
        <v>12881</v>
      </c>
      <c r="OHW1" s="286" t="s">
        <v>12882</v>
      </c>
      <c r="OHX1" s="286" t="s">
        <v>12883</v>
      </c>
      <c r="OHY1" s="286" t="s">
        <v>12884</v>
      </c>
      <c r="OHZ1" s="286" t="s">
        <v>12885</v>
      </c>
      <c r="OIA1" s="286" t="s">
        <v>12886</v>
      </c>
      <c r="OIB1" s="286" t="s">
        <v>12887</v>
      </c>
      <c r="OIC1" s="286" t="s">
        <v>12888</v>
      </c>
      <c r="OID1" s="286" t="s">
        <v>12889</v>
      </c>
      <c r="OIE1" s="286" t="s">
        <v>12890</v>
      </c>
      <c r="OIF1" s="286" t="s">
        <v>12891</v>
      </c>
      <c r="OIG1" s="286" t="s">
        <v>12892</v>
      </c>
      <c r="OIH1" s="286" t="s">
        <v>12893</v>
      </c>
      <c r="OII1" s="286" t="s">
        <v>12894</v>
      </c>
      <c r="OIJ1" s="286" t="s">
        <v>12895</v>
      </c>
      <c r="OIK1" s="286" t="s">
        <v>12896</v>
      </c>
      <c r="OIL1" s="286" t="s">
        <v>12897</v>
      </c>
      <c r="OIM1" s="286" t="s">
        <v>12898</v>
      </c>
      <c r="OIN1" s="286" t="s">
        <v>12899</v>
      </c>
      <c r="OIO1" s="286" t="s">
        <v>12900</v>
      </c>
      <c r="OIP1" s="286" t="s">
        <v>12901</v>
      </c>
      <c r="OIQ1" s="286" t="s">
        <v>12902</v>
      </c>
      <c r="OIR1" s="286" t="s">
        <v>12903</v>
      </c>
      <c r="OIS1" s="286" t="s">
        <v>12904</v>
      </c>
      <c r="OIT1" s="286" t="s">
        <v>12905</v>
      </c>
      <c r="OIU1" s="286" t="s">
        <v>12906</v>
      </c>
      <c r="OIV1" s="286" t="s">
        <v>12907</v>
      </c>
      <c r="OIW1" s="286" t="s">
        <v>12908</v>
      </c>
      <c r="OIX1" s="286" t="s">
        <v>12909</v>
      </c>
      <c r="OIY1" s="286" t="s">
        <v>12910</v>
      </c>
      <c r="OIZ1" s="286" t="s">
        <v>12911</v>
      </c>
      <c r="OJA1" s="286" t="s">
        <v>12912</v>
      </c>
      <c r="OJB1" s="286" t="s">
        <v>12913</v>
      </c>
      <c r="OJC1" s="286" t="s">
        <v>12914</v>
      </c>
      <c r="OJD1" s="286" t="s">
        <v>12915</v>
      </c>
      <c r="OJE1" s="286" t="s">
        <v>12916</v>
      </c>
      <c r="OJF1" s="286" t="s">
        <v>12917</v>
      </c>
      <c r="OJG1" s="286" t="s">
        <v>12918</v>
      </c>
      <c r="OJH1" s="286" t="s">
        <v>12919</v>
      </c>
      <c r="OJI1" s="286" t="s">
        <v>12920</v>
      </c>
      <c r="OJJ1" s="286" t="s">
        <v>12921</v>
      </c>
      <c r="OJK1" s="286" t="s">
        <v>12922</v>
      </c>
      <c r="OJL1" s="286" t="s">
        <v>12923</v>
      </c>
      <c r="OJM1" s="286" t="s">
        <v>12924</v>
      </c>
      <c r="OJN1" s="286" t="s">
        <v>12925</v>
      </c>
      <c r="OJO1" s="286" t="s">
        <v>12926</v>
      </c>
      <c r="OJP1" s="286" t="s">
        <v>12927</v>
      </c>
      <c r="OJQ1" s="286" t="s">
        <v>12928</v>
      </c>
      <c r="OJR1" s="286" t="s">
        <v>12929</v>
      </c>
      <c r="OJS1" s="286" t="s">
        <v>12930</v>
      </c>
      <c r="OJT1" s="286" t="s">
        <v>12931</v>
      </c>
      <c r="OJU1" s="286" t="s">
        <v>12932</v>
      </c>
      <c r="OJV1" s="286" t="s">
        <v>12933</v>
      </c>
      <c r="OJW1" s="286" t="s">
        <v>12934</v>
      </c>
      <c r="OJX1" s="286" t="s">
        <v>12935</v>
      </c>
      <c r="OJY1" s="286" t="s">
        <v>12936</v>
      </c>
      <c r="OJZ1" s="286" t="s">
        <v>12937</v>
      </c>
      <c r="OKA1" s="286" t="s">
        <v>12938</v>
      </c>
      <c r="OKB1" s="286" t="s">
        <v>12939</v>
      </c>
      <c r="OKC1" s="286" t="s">
        <v>12940</v>
      </c>
      <c r="OKD1" s="286" t="s">
        <v>12941</v>
      </c>
      <c r="OKE1" s="286" t="s">
        <v>12942</v>
      </c>
      <c r="OKF1" s="286" t="s">
        <v>12943</v>
      </c>
      <c r="OKG1" s="286" t="s">
        <v>12944</v>
      </c>
      <c r="OKH1" s="286" t="s">
        <v>12945</v>
      </c>
      <c r="OKI1" s="286" t="s">
        <v>12946</v>
      </c>
      <c r="OKJ1" s="286" t="s">
        <v>12947</v>
      </c>
      <c r="OKK1" s="286" t="s">
        <v>12948</v>
      </c>
      <c r="OKL1" s="286" t="s">
        <v>12949</v>
      </c>
      <c r="OKM1" s="286" t="s">
        <v>12950</v>
      </c>
      <c r="OKN1" s="286" t="s">
        <v>12951</v>
      </c>
      <c r="OKO1" s="286" t="s">
        <v>12952</v>
      </c>
      <c r="OKP1" s="286" t="s">
        <v>12953</v>
      </c>
      <c r="OKQ1" s="286" t="s">
        <v>12954</v>
      </c>
      <c r="OKR1" s="286" t="s">
        <v>12955</v>
      </c>
      <c r="OKS1" s="286" t="s">
        <v>12956</v>
      </c>
      <c r="OKT1" s="286" t="s">
        <v>12957</v>
      </c>
      <c r="OKU1" s="286" t="s">
        <v>12958</v>
      </c>
      <c r="OKV1" s="286" t="s">
        <v>12959</v>
      </c>
      <c r="OKW1" s="286" t="s">
        <v>12960</v>
      </c>
      <c r="OKX1" s="286" t="s">
        <v>12961</v>
      </c>
      <c r="OKY1" s="286" t="s">
        <v>12962</v>
      </c>
      <c r="OKZ1" s="286" t="s">
        <v>12963</v>
      </c>
      <c r="OLA1" s="286" t="s">
        <v>12964</v>
      </c>
      <c r="OLB1" s="286" t="s">
        <v>12965</v>
      </c>
      <c r="OLC1" s="286" t="s">
        <v>12966</v>
      </c>
      <c r="OLD1" s="286" t="s">
        <v>12967</v>
      </c>
      <c r="OLE1" s="286" t="s">
        <v>12968</v>
      </c>
      <c r="OLF1" s="286" t="s">
        <v>12969</v>
      </c>
      <c r="OLG1" s="286" t="s">
        <v>12970</v>
      </c>
      <c r="OLH1" s="286" t="s">
        <v>12971</v>
      </c>
      <c r="OLI1" s="286" t="s">
        <v>12972</v>
      </c>
      <c r="OLJ1" s="286" t="s">
        <v>12973</v>
      </c>
      <c r="OLK1" s="286" t="s">
        <v>12974</v>
      </c>
      <c r="OLL1" s="286" t="s">
        <v>12975</v>
      </c>
      <c r="OLM1" s="286" t="s">
        <v>12976</v>
      </c>
      <c r="OLN1" s="286" t="s">
        <v>12977</v>
      </c>
      <c r="OLO1" s="286" t="s">
        <v>12978</v>
      </c>
      <c r="OLP1" s="286" t="s">
        <v>12979</v>
      </c>
      <c r="OLQ1" s="286" t="s">
        <v>12980</v>
      </c>
      <c r="OLR1" s="286" t="s">
        <v>12981</v>
      </c>
      <c r="OLS1" s="286" t="s">
        <v>12982</v>
      </c>
      <c r="OLT1" s="286" t="s">
        <v>12983</v>
      </c>
      <c r="OLU1" s="286" t="s">
        <v>12984</v>
      </c>
      <c r="OLV1" s="286" t="s">
        <v>12985</v>
      </c>
      <c r="OLW1" s="286" t="s">
        <v>12986</v>
      </c>
      <c r="OLX1" s="286" t="s">
        <v>12987</v>
      </c>
      <c r="OLY1" s="286" t="s">
        <v>12988</v>
      </c>
      <c r="OLZ1" s="286" t="s">
        <v>12989</v>
      </c>
      <c r="OMA1" s="286" t="s">
        <v>12990</v>
      </c>
      <c r="OMB1" s="286" t="s">
        <v>12991</v>
      </c>
      <c r="OMC1" s="286" t="s">
        <v>12992</v>
      </c>
      <c r="OMD1" s="286" t="s">
        <v>12993</v>
      </c>
      <c r="OME1" s="286" t="s">
        <v>12994</v>
      </c>
      <c r="OMF1" s="286" t="s">
        <v>12995</v>
      </c>
      <c r="OMG1" s="286" t="s">
        <v>12996</v>
      </c>
      <c r="OMH1" s="286" t="s">
        <v>12997</v>
      </c>
      <c r="OMI1" s="286" t="s">
        <v>12998</v>
      </c>
      <c r="OMJ1" s="286" t="s">
        <v>12999</v>
      </c>
      <c r="OMK1" s="286" t="s">
        <v>13000</v>
      </c>
      <c r="OML1" s="286" t="s">
        <v>13001</v>
      </c>
      <c r="OMM1" s="286" t="s">
        <v>13002</v>
      </c>
      <c r="OMN1" s="286" t="s">
        <v>13003</v>
      </c>
      <c r="OMO1" s="286" t="s">
        <v>13004</v>
      </c>
      <c r="OMP1" s="286" t="s">
        <v>13005</v>
      </c>
      <c r="OMQ1" s="286" t="s">
        <v>13006</v>
      </c>
      <c r="OMR1" s="286" t="s">
        <v>13007</v>
      </c>
      <c r="OMS1" s="286" t="s">
        <v>13008</v>
      </c>
      <c r="OMT1" s="286" t="s">
        <v>13009</v>
      </c>
      <c r="OMU1" s="286" t="s">
        <v>13010</v>
      </c>
      <c r="OMV1" s="286" t="s">
        <v>13011</v>
      </c>
      <c r="OMW1" s="286" t="s">
        <v>13012</v>
      </c>
      <c r="OMX1" s="286" t="s">
        <v>13013</v>
      </c>
      <c r="OMY1" s="286" t="s">
        <v>13014</v>
      </c>
      <c r="OMZ1" s="286" t="s">
        <v>13015</v>
      </c>
      <c r="ONA1" s="286" t="s">
        <v>13016</v>
      </c>
      <c r="ONB1" s="286" t="s">
        <v>13017</v>
      </c>
      <c r="ONC1" s="286" t="s">
        <v>13018</v>
      </c>
      <c r="OND1" s="286" t="s">
        <v>13019</v>
      </c>
      <c r="ONE1" s="286" t="s">
        <v>13020</v>
      </c>
      <c r="ONF1" s="286" t="s">
        <v>13021</v>
      </c>
      <c r="ONG1" s="286" t="s">
        <v>13022</v>
      </c>
      <c r="ONH1" s="286" t="s">
        <v>13023</v>
      </c>
      <c r="ONI1" s="286" t="s">
        <v>13024</v>
      </c>
      <c r="ONJ1" s="286" t="s">
        <v>13025</v>
      </c>
      <c r="ONK1" s="286" t="s">
        <v>13026</v>
      </c>
      <c r="ONL1" s="286" t="s">
        <v>13027</v>
      </c>
      <c r="ONM1" s="286" t="s">
        <v>13028</v>
      </c>
      <c r="ONN1" s="286" t="s">
        <v>13029</v>
      </c>
      <c r="ONO1" s="286" t="s">
        <v>13030</v>
      </c>
      <c r="ONP1" s="286" t="s">
        <v>13031</v>
      </c>
      <c r="ONQ1" s="286" t="s">
        <v>13032</v>
      </c>
      <c r="ONR1" s="286" t="s">
        <v>13033</v>
      </c>
      <c r="ONS1" s="286" t="s">
        <v>13034</v>
      </c>
      <c r="ONT1" s="286" t="s">
        <v>13035</v>
      </c>
      <c r="ONU1" s="286" t="s">
        <v>13036</v>
      </c>
      <c r="ONV1" s="286" t="s">
        <v>13037</v>
      </c>
      <c r="ONW1" s="286" t="s">
        <v>13038</v>
      </c>
      <c r="ONX1" s="286" t="s">
        <v>13039</v>
      </c>
      <c r="ONY1" s="286" t="s">
        <v>13040</v>
      </c>
      <c r="ONZ1" s="286" t="s">
        <v>13041</v>
      </c>
      <c r="OOA1" s="286" t="s">
        <v>13042</v>
      </c>
      <c r="OOB1" s="286" t="s">
        <v>13043</v>
      </c>
      <c r="OOC1" s="286" t="s">
        <v>13044</v>
      </c>
      <c r="OOD1" s="286" t="s">
        <v>13045</v>
      </c>
      <c r="OOE1" s="286" t="s">
        <v>13046</v>
      </c>
      <c r="OOF1" s="286" t="s">
        <v>13047</v>
      </c>
      <c r="OOG1" s="286" t="s">
        <v>13048</v>
      </c>
      <c r="OOH1" s="286" t="s">
        <v>13049</v>
      </c>
      <c r="OOI1" s="286" t="s">
        <v>13050</v>
      </c>
      <c r="OOJ1" s="286" t="s">
        <v>13051</v>
      </c>
      <c r="OOK1" s="286" t="s">
        <v>13052</v>
      </c>
      <c r="OOL1" s="286" t="s">
        <v>13053</v>
      </c>
      <c r="OOM1" s="286" t="s">
        <v>13054</v>
      </c>
      <c r="OON1" s="286" t="s">
        <v>13055</v>
      </c>
      <c r="OOO1" s="286" t="s">
        <v>13056</v>
      </c>
      <c r="OOP1" s="286" t="s">
        <v>13057</v>
      </c>
      <c r="OOQ1" s="286" t="s">
        <v>13058</v>
      </c>
      <c r="OOR1" s="286" t="s">
        <v>13059</v>
      </c>
      <c r="OOS1" s="286" t="s">
        <v>13060</v>
      </c>
      <c r="OOT1" s="286" t="s">
        <v>13061</v>
      </c>
      <c r="OOU1" s="286" t="s">
        <v>13062</v>
      </c>
      <c r="OOV1" s="286" t="s">
        <v>13063</v>
      </c>
      <c r="OOW1" s="286" t="s">
        <v>13064</v>
      </c>
      <c r="OOX1" s="286" t="s">
        <v>13065</v>
      </c>
      <c r="OOY1" s="286" t="s">
        <v>13066</v>
      </c>
      <c r="OOZ1" s="286" t="s">
        <v>13067</v>
      </c>
      <c r="OPA1" s="286" t="s">
        <v>13068</v>
      </c>
      <c r="OPB1" s="286" t="s">
        <v>13069</v>
      </c>
      <c r="OPC1" s="286" t="s">
        <v>13070</v>
      </c>
      <c r="OPD1" s="286" t="s">
        <v>13071</v>
      </c>
      <c r="OPE1" s="286" t="s">
        <v>13072</v>
      </c>
      <c r="OPF1" s="286" t="s">
        <v>13073</v>
      </c>
      <c r="OPG1" s="286" t="s">
        <v>13074</v>
      </c>
      <c r="OPH1" s="286" t="s">
        <v>13075</v>
      </c>
      <c r="OPI1" s="286" t="s">
        <v>13076</v>
      </c>
      <c r="OPJ1" s="286" t="s">
        <v>13077</v>
      </c>
      <c r="OPK1" s="286" t="s">
        <v>13078</v>
      </c>
      <c r="OPL1" s="286" t="s">
        <v>13079</v>
      </c>
      <c r="OPM1" s="286" t="s">
        <v>13080</v>
      </c>
      <c r="OPN1" s="286" t="s">
        <v>13081</v>
      </c>
      <c r="OPO1" s="286" t="s">
        <v>13082</v>
      </c>
      <c r="OPP1" s="286" t="s">
        <v>13083</v>
      </c>
      <c r="OPQ1" s="286" t="s">
        <v>13084</v>
      </c>
      <c r="OPR1" s="286" t="s">
        <v>13085</v>
      </c>
      <c r="OPS1" s="286" t="s">
        <v>13086</v>
      </c>
      <c r="OPT1" s="286" t="s">
        <v>13087</v>
      </c>
      <c r="OPU1" s="286" t="s">
        <v>13088</v>
      </c>
      <c r="OPV1" s="286" t="s">
        <v>13089</v>
      </c>
      <c r="OPW1" s="286" t="s">
        <v>13090</v>
      </c>
      <c r="OPX1" s="286" t="s">
        <v>13091</v>
      </c>
      <c r="OPY1" s="286" t="s">
        <v>13092</v>
      </c>
      <c r="OPZ1" s="286" t="s">
        <v>13093</v>
      </c>
      <c r="OQA1" s="286" t="s">
        <v>13094</v>
      </c>
      <c r="OQB1" s="286" t="s">
        <v>13095</v>
      </c>
      <c r="OQC1" s="286" t="s">
        <v>13096</v>
      </c>
      <c r="OQD1" s="286" t="s">
        <v>13097</v>
      </c>
      <c r="OQE1" s="286" t="s">
        <v>13098</v>
      </c>
      <c r="OQF1" s="286" t="s">
        <v>13099</v>
      </c>
      <c r="OQG1" s="286" t="s">
        <v>13100</v>
      </c>
      <c r="OQH1" s="286" t="s">
        <v>13101</v>
      </c>
      <c r="OQI1" s="286" t="s">
        <v>13102</v>
      </c>
      <c r="OQJ1" s="286" t="s">
        <v>13103</v>
      </c>
      <c r="OQK1" s="286" t="s">
        <v>13104</v>
      </c>
      <c r="OQL1" s="286" t="s">
        <v>13105</v>
      </c>
      <c r="OQM1" s="286" t="s">
        <v>13106</v>
      </c>
      <c r="OQN1" s="286" t="s">
        <v>13107</v>
      </c>
      <c r="OQO1" s="286" t="s">
        <v>13108</v>
      </c>
      <c r="OQP1" s="286" t="s">
        <v>13109</v>
      </c>
      <c r="OQQ1" s="286" t="s">
        <v>13110</v>
      </c>
      <c r="OQR1" s="286" t="s">
        <v>13111</v>
      </c>
      <c r="OQS1" s="286" t="s">
        <v>13112</v>
      </c>
      <c r="OQT1" s="286" t="s">
        <v>13113</v>
      </c>
      <c r="OQU1" s="286" t="s">
        <v>13114</v>
      </c>
      <c r="OQV1" s="286" t="s">
        <v>13115</v>
      </c>
      <c r="OQW1" s="286" t="s">
        <v>13116</v>
      </c>
      <c r="OQX1" s="286" t="s">
        <v>13117</v>
      </c>
      <c r="OQY1" s="286" t="s">
        <v>13118</v>
      </c>
      <c r="OQZ1" s="286" t="s">
        <v>13119</v>
      </c>
      <c r="ORA1" s="286" t="s">
        <v>13120</v>
      </c>
      <c r="ORB1" s="286" t="s">
        <v>13121</v>
      </c>
      <c r="ORC1" s="286" t="s">
        <v>13122</v>
      </c>
      <c r="ORD1" s="286" t="s">
        <v>13123</v>
      </c>
      <c r="ORE1" s="286" t="s">
        <v>13124</v>
      </c>
      <c r="ORF1" s="286" t="s">
        <v>13125</v>
      </c>
      <c r="ORG1" s="286" t="s">
        <v>13126</v>
      </c>
      <c r="ORH1" s="286" t="s">
        <v>13127</v>
      </c>
      <c r="ORI1" s="286" t="s">
        <v>13128</v>
      </c>
      <c r="ORJ1" s="286" t="s">
        <v>13129</v>
      </c>
      <c r="ORK1" s="286" t="s">
        <v>13130</v>
      </c>
      <c r="ORL1" s="286" t="s">
        <v>13131</v>
      </c>
      <c r="ORM1" s="286" t="s">
        <v>13132</v>
      </c>
      <c r="ORN1" s="286" t="s">
        <v>13133</v>
      </c>
      <c r="ORO1" s="286" t="s">
        <v>13134</v>
      </c>
      <c r="ORP1" s="286" t="s">
        <v>13135</v>
      </c>
      <c r="ORQ1" s="286" t="s">
        <v>13136</v>
      </c>
      <c r="ORR1" s="286" t="s">
        <v>13137</v>
      </c>
      <c r="ORS1" s="286" t="s">
        <v>13138</v>
      </c>
      <c r="ORT1" s="286" t="s">
        <v>13139</v>
      </c>
      <c r="ORU1" s="286" t="s">
        <v>13140</v>
      </c>
      <c r="ORV1" s="286" t="s">
        <v>13141</v>
      </c>
      <c r="ORW1" s="286" t="s">
        <v>13142</v>
      </c>
      <c r="ORX1" s="286" t="s">
        <v>13143</v>
      </c>
      <c r="ORY1" s="286" t="s">
        <v>13144</v>
      </c>
      <c r="ORZ1" s="286" t="s">
        <v>13145</v>
      </c>
      <c r="OSA1" s="286" t="s">
        <v>13146</v>
      </c>
      <c r="OSB1" s="286" t="s">
        <v>13147</v>
      </c>
      <c r="OSC1" s="286" t="s">
        <v>13148</v>
      </c>
      <c r="OSD1" s="286" t="s">
        <v>13149</v>
      </c>
      <c r="OSE1" s="286" t="s">
        <v>13150</v>
      </c>
      <c r="OSF1" s="286" t="s">
        <v>13151</v>
      </c>
      <c r="OSG1" s="286" t="s">
        <v>13152</v>
      </c>
      <c r="OSH1" s="286" t="s">
        <v>13153</v>
      </c>
      <c r="OSI1" s="286" t="s">
        <v>13154</v>
      </c>
      <c r="OSJ1" s="286" t="s">
        <v>13155</v>
      </c>
      <c r="OSK1" s="286" t="s">
        <v>13156</v>
      </c>
      <c r="OSL1" s="286" t="s">
        <v>13157</v>
      </c>
      <c r="OSM1" s="286" t="s">
        <v>13158</v>
      </c>
      <c r="OSN1" s="286" t="s">
        <v>13159</v>
      </c>
      <c r="OSO1" s="286" t="s">
        <v>13160</v>
      </c>
      <c r="OSP1" s="286" t="s">
        <v>13161</v>
      </c>
      <c r="OSQ1" s="286" t="s">
        <v>13162</v>
      </c>
      <c r="OSR1" s="286" t="s">
        <v>13163</v>
      </c>
      <c r="OSS1" s="286" t="s">
        <v>13164</v>
      </c>
      <c r="OST1" s="286" t="s">
        <v>13165</v>
      </c>
      <c r="OSU1" s="286" t="s">
        <v>13166</v>
      </c>
      <c r="OSV1" s="286" t="s">
        <v>13167</v>
      </c>
      <c r="OSW1" s="286" t="s">
        <v>13168</v>
      </c>
      <c r="OSX1" s="286" t="s">
        <v>13169</v>
      </c>
      <c r="OSY1" s="286" t="s">
        <v>13170</v>
      </c>
      <c r="OSZ1" s="286" t="s">
        <v>13171</v>
      </c>
      <c r="OTA1" s="286" t="s">
        <v>13172</v>
      </c>
      <c r="OTB1" s="286" t="s">
        <v>13173</v>
      </c>
      <c r="OTC1" s="286" t="s">
        <v>13174</v>
      </c>
      <c r="OTD1" s="286" t="s">
        <v>13175</v>
      </c>
      <c r="OTE1" s="286" t="s">
        <v>13176</v>
      </c>
      <c r="OTF1" s="286" t="s">
        <v>13177</v>
      </c>
      <c r="OTG1" s="286" t="s">
        <v>13178</v>
      </c>
      <c r="OTH1" s="286" t="s">
        <v>13179</v>
      </c>
      <c r="OTI1" s="286" t="s">
        <v>13180</v>
      </c>
      <c r="OTJ1" s="286" t="s">
        <v>13181</v>
      </c>
      <c r="OTK1" s="286" t="s">
        <v>13182</v>
      </c>
      <c r="OTL1" s="286" t="s">
        <v>13183</v>
      </c>
      <c r="OTM1" s="286" t="s">
        <v>13184</v>
      </c>
      <c r="OTN1" s="286" t="s">
        <v>13185</v>
      </c>
      <c r="OTO1" s="286" t="s">
        <v>13186</v>
      </c>
      <c r="OTP1" s="286" t="s">
        <v>13187</v>
      </c>
      <c r="OTQ1" s="286" t="s">
        <v>13188</v>
      </c>
      <c r="OTR1" s="286" t="s">
        <v>13189</v>
      </c>
      <c r="OTS1" s="286" t="s">
        <v>13190</v>
      </c>
      <c r="OTT1" s="286" t="s">
        <v>13191</v>
      </c>
      <c r="OTU1" s="286" t="s">
        <v>13192</v>
      </c>
      <c r="OTV1" s="286" t="s">
        <v>13193</v>
      </c>
      <c r="OTW1" s="286" t="s">
        <v>13194</v>
      </c>
      <c r="OTX1" s="286" t="s">
        <v>13195</v>
      </c>
      <c r="OTY1" s="286" t="s">
        <v>13196</v>
      </c>
      <c r="OTZ1" s="286" t="s">
        <v>13197</v>
      </c>
      <c r="OUA1" s="286" t="s">
        <v>13198</v>
      </c>
      <c r="OUB1" s="286" t="s">
        <v>13199</v>
      </c>
      <c r="OUC1" s="286" t="s">
        <v>13200</v>
      </c>
      <c r="OUD1" s="286" t="s">
        <v>13201</v>
      </c>
      <c r="OUE1" s="286" t="s">
        <v>13202</v>
      </c>
      <c r="OUF1" s="286" t="s">
        <v>13203</v>
      </c>
      <c r="OUG1" s="286" t="s">
        <v>13204</v>
      </c>
      <c r="OUH1" s="286" t="s">
        <v>13205</v>
      </c>
      <c r="OUI1" s="286" t="s">
        <v>13206</v>
      </c>
      <c r="OUJ1" s="286" t="s">
        <v>13207</v>
      </c>
      <c r="OUK1" s="286" t="s">
        <v>13208</v>
      </c>
      <c r="OUL1" s="286" t="s">
        <v>13209</v>
      </c>
      <c r="OUM1" s="286" t="s">
        <v>13210</v>
      </c>
      <c r="OUN1" s="286" t="s">
        <v>13211</v>
      </c>
      <c r="OUO1" s="286" t="s">
        <v>13212</v>
      </c>
      <c r="OUP1" s="286" t="s">
        <v>13213</v>
      </c>
      <c r="OUQ1" s="286" t="s">
        <v>13214</v>
      </c>
      <c r="OUR1" s="286" t="s">
        <v>13215</v>
      </c>
      <c r="OUS1" s="286" t="s">
        <v>13216</v>
      </c>
      <c r="OUT1" s="286" t="s">
        <v>13217</v>
      </c>
      <c r="OUU1" s="286" t="s">
        <v>13218</v>
      </c>
      <c r="OUV1" s="286" t="s">
        <v>13219</v>
      </c>
      <c r="OUW1" s="286" t="s">
        <v>13220</v>
      </c>
      <c r="OUX1" s="286" t="s">
        <v>13221</v>
      </c>
      <c r="OUY1" s="286" t="s">
        <v>13222</v>
      </c>
      <c r="OUZ1" s="286" t="s">
        <v>13223</v>
      </c>
      <c r="OVA1" s="286" t="s">
        <v>13224</v>
      </c>
      <c r="OVB1" s="286" t="s">
        <v>13225</v>
      </c>
      <c r="OVC1" s="286" t="s">
        <v>13226</v>
      </c>
      <c r="OVD1" s="286" t="s">
        <v>13227</v>
      </c>
      <c r="OVE1" s="286" t="s">
        <v>13228</v>
      </c>
      <c r="OVF1" s="286" t="s">
        <v>13229</v>
      </c>
      <c r="OVG1" s="286" t="s">
        <v>13230</v>
      </c>
      <c r="OVH1" s="286" t="s">
        <v>13231</v>
      </c>
      <c r="OVI1" s="286" t="s">
        <v>13232</v>
      </c>
      <c r="OVJ1" s="286" t="s">
        <v>13233</v>
      </c>
      <c r="OVK1" s="286" t="s">
        <v>13234</v>
      </c>
      <c r="OVL1" s="286" t="s">
        <v>13235</v>
      </c>
      <c r="OVM1" s="286" t="s">
        <v>13236</v>
      </c>
      <c r="OVN1" s="286" t="s">
        <v>13237</v>
      </c>
      <c r="OVO1" s="286" t="s">
        <v>13238</v>
      </c>
      <c r="OVP1" s="286" t="s">
        <v>13239</v>
      </c>
      <c r="OVQ1" s="286" t="s">
        <v>13240</v>
      </c>
      <c r="OVR1" s="286" t="s">
        <v>13241</v>
      </c>
      <c r="OVS1" s="286" t="s">
        <v>13242</v>
      </c>
      <c r="OVT1" s="286" t="s">
        <v>13243</v>
      </c>
      <c r="OVU1" s="286" t="s">
        <v>13244</v>
      </c>
      <c r="OVV1" s="286" t="s">
        <v>13245</v>
      </c>
      <c r="OVW1" s="286" t="s">
        <v>13246</v>
      </c>
      <c r="OVX1" s="286" t="s">
        <v>13247</v>
      </c>
      <c r="OVY1" s="286" t="s">
        <v>13248</v>
      </c>
      <c r="OVZ1" s="286" t="s">
        <v>13249</v>
      </c>
      <c r="OWA1" s="286" t="s">
        <v>13250</v>
      </c>
      <c r="OWB1" s="286" t="s">
        <v>13251</v>
      </c>
      <c r="OWC1" s="286" t="s">
        <v>13252</v>
      </c>
      <c r="OWD1" s="286" t="s">
        <v>13253</v>
      </c>
      <c r="OWE1" s="286" t="s">
        <v>13254</v>
      </c>
      <c r="OWF1" s="286" t="s">
        <v>13255</v>
      </c>
      <c r="OWG1" s="286" t="s">
        <v>13256</v>
      </c>
      <c r="OWH1" s="286" t="s">
        <v>13257</v>
      </c>
      <c r="OWI1" s="286" t="s">
        <v>13258</v>
      </c>
      <c r="OWJ1" s="286" t="s">
        <v>13259</v>
      </c>
      <c r="OWK1" s="286" t="s">
        <v>13260</v>
      </c>
      <c r="OWL1" s="286" t="s">
        <v>13261</v>
      </c>
      <c r="OWM1" s="286" t="s">
        <v>13262</v>
      </c>
      <c r="OWN1" s="286" t="s">
        <v>13263</v>
      </c>
      <c r="OWO1" s="286" t="s">
        <v>13264</v>
      </c>
      <c r="OWP1" s="286" t="s">
        <v>13265</v>
      </c>
      <c r="OWQ1" s="286" t="s">
        <v>13266</v>
      </c>
      <c r="OWR1" s="286" t="s">
        <v>13267</v>
      </c>
      <c r="OWS1" s="286" t="s">
        <v>13268</v>
      </c>
      <c r="OWT1" s="286" t="s">
        <v>13269</v>
      </c>
      <c r="OWU1" s="286" t="s">
        <v>13270</v>
      </c>
      <c r="OWV1" s="286" t="s">
        <v>13271</v>
      </c>
      <c r="OWW1" s="286" t="s">
        <v>13272</v>
      </c>
      <c r="OWX1" s="286" t="s">
        <v>13273</v>
      </c>
      <c r="OWY1" s="286" t="s">
        <v>13274</v>
      </c>
      <c r="OWZ1" s="286" t="s">
        <v>13275</v>
      </c>
      <c r="OXA1" s="286" t="s">
        <v>13276</v>
      </c>
      <c r="OXB1" s="286" t="s">
        <v>13277</v>
      </c>
      <c r="OXC1" s="286" t="s">
        <v>13278</v>
      </c>
      <c r="OXD1" s="286" t="s">
        <v>13279</v>
      </c>
      <c r="OXE1" s="286" t="s">
        <v>13280</v>
      </c>
      <c r="OXF1" s="286" t="s">
        <v>13281</v>
      </c>
      <c r="OXG1" s="286" t="s">
        <v>13282</v>
      </c>
      <c r="OXH1" s="286" t="s">
        <v>13283</v>
      </c>
      <c r="OXI1" s="286" t="s">
        <v>13284</v>
      </c>
      <c r="OXJ1" s="286" t="s">
        <v>13285</v>
      </c>
      <c r="OXK1" s="286" t="s">
        <v>13286</v>
      </c>
      <c r="OXL1" s="286" t="s">
        <v>13287</v>
      </c>
      <c r="OXM1" s="286" t="s">
        <v>13288</v>
      </c>
      <c r="OXN1" s="286" t="s">
        <v>13289</v>
      </c>
      <c r="OXO1" s="286" t="s">
        <v>13290</v>
      </c>
      <c r="OXP1" s="286" t="s">
        <v>13291</v>
      </c>
      <c r="OXQ1" s="286" t="s">
        <v>13292</v>
      </c>
      <c r="OXR1" s="286" t="s">
        <v>13293</v>
      </c>
      <c r="OXS1" s="286" t="s">
        <v>13294</v>
      </c>
      <c r="OXT1" s="286" t="s">
        <v>13295</v>
      </c>
      <c r="OXU1" s="286" t="s">
        <v>13296</v>
      </c>
      <c r="OXV1" s="286" t="s">
        <v>13297</v>
      </c>
      <c r="OXW1" s="286" t="s">
        <v>13298</v>
      </c>
      <c r="OXX1" s="286" t="s">
        <v>13299</v>
      </c>
      <c r="OXY1" s="286" t="s">
        <v>13300</v>
      </c>
      <c r="OXZ1" s="286" t="s">
        <v>13301</v>
      </c>
      <c r="OYA1" s="286" t="s">
        <v>13302</v>
      </c>
      <c r="OYB1" s="286" t="s">
        <v>13303</v>
      </c>
      <c r="OYC1" s="286" t="s">
        <v>13304</v>
      </c>
      <c r="OYD1" s="286" t="s">
        <v>13305</v>
      </c>
      <c r="OYE1" s="286" t="s">
        <v>13306</v>
      </c>
      <c r="OYF1" s="286" t="s">
        <v>13307</v>
      </c>
      <c r="OYG1" s="286" t="s">
        <v>13308</v>
      </c>
      <c r="OYH1" s="286" t="s">
        <v>13309</v>
      </c>
      <c r="OYI1" s="286" t="s">
        <v>13310</v>
      </c>
      <c r="OYJ1" s="286" t="s">
        <v>13311</v>
      </c>
      <c r="OYK1" s="286" t="s">
        <v>13312</v>
      </c>
      <c r="OYL1" s="286" t="s">
        <v>13313</v>
      </c>
      <c r="OYM1" s="286" t="s">
        <v>13314</v>
      </c>
      <c r="OYN1" s="286" t="s">
        <v>13315</v>
      </c>
      <c r="OYO1" s="286" t="s">
        <v>13316</v>
      </c>
      <c r="OYP1" s="286" t="s">
        <v>13317</v>
      </c>
      <c r="OYQ1" s="286" t="s">
        <v>13318</v>
      </c>
      <c r="OYR1" s="286" t="s">
        <v>13319</v>
      </c>
      <c r="OYS1" s="286" t="s">
        <v>13320</v>
      </c>
      <c r="OYT1" s="286" t="s">
        <v>13321</v>
      </c>
      <c r="OYU1" s="286" t="s">
        <v>13322</v>
      </c>
      <c r="OYV1" s="286" t="s">
        <v>13323</v>
      </c>
      <c r="OYW1" s="286" t="s">
        <v>13324</v>
      </c>
      <c r="OYX1" s="286" t="s">
        <v>13325</v>
      </c>
      <c r="OYY1" s="286" t="s">
        <v>13326</v>
      </c>
      <c r="OYZ1" s="286" t="s">
        <v>13327</v>
      </c>
      <c r="OZA1" s="286" t="s">
        <v>13328</v>
      </c>
      <c r="OZB1" s="286" t="s">
        <v>13329</v>
      </c>
      <c r="OZC1" s="286" t="s">
        <v>13330</v>
      </c>
      <c r="OZD1" s="286" t="s">
        <v>13331</v>
      </c>
      <c r="OZE1" s="286" t="s">
        <v>13332</v>
      </c>
      <c r="OZF1" s="286" t="s">
        <v>13333</v>
      </c>
      <c r="OZG1" s="286" t="s">
        <v>13334</v>
      </c>
      <c r="OZH1" s="286" t="s">
        <v>13335</v>
      </c>
      <c r="OZI1" s="286" t="s">
        <v>13336</v>
      </c>
      <c r="OZJ1" s="286" t="s">
        <v>13337</v>
      </c>
      <c r="OZK1" s="286" t="s">
        <v>13338</v>
      </c>
      <c r="OZL1" s="286" t="s">
        <v>13339</v>
      </c>
      <c r="OZM1" s="286" t="s">
        <v>13340</v>
      </c>
      <c r="OZN1" s="286" t="s">
        <v>13341</v>
      </c>
      <c r="OZO1" s="286" t="s">
        <v>13342</v>
      </c>
      <c r="OZP1" s="286" t="s">
        <v>13343</v>
      </c>
      <c r="OZQ1" s="286" t="s">
        <v>13344</v>
      </c>
      <c r="OZR1" s="286" t="s">
        <v>13345</v>
      </c>
      <c r="OZS1" s="286" t="s">
        <v>13346</v>
      </c>
      <c r="OZT1" s="286" t="s">
        <v>13347</v>
      </c>
      <c r="OZU1" s="286" t="s">
        <v>13348</v>
      </c>
      <c r="OZV1" s="286" t="s">
        <v>13349</v>
      </c>
      <c r="OZW1" s="286" t="s">
        <v>13350</v>
      </c>
      <c r="OZX1" s="286" t="s">
        <v>13351</v>
      </c>
      <c r="OZY1" s="286" t="s">
        <v>13352</v>
      </c>
      <c r="OZZ1" s="286" t="s">
        <v>13353</v>
      </c>
      <c r="PAA1" s="286" t="s">
        <v>13354</v>
      </c>
      <c r="PAB1" s="286" t="s">
        <v>13355</v>
      </c>
      <c r="PAC1" s="286" t="s">
        <v>13356</v>
      </c>
      <c r="PAD1" s="286" t="s">
        <v>13357</v>
      </c>
      <c r="PAE1" s="286" t="s">
        <v>13358</v>
      </c>
      <c r="PAF1" s="286" t="s">
        <v>13359</v>
      </c>
      <c r="PAG1" s="286" t="s">
        <v>13360</v>
      </c>
      <c r="PAH1" s="286" t="s">
        <v>13361</v>
      </c>
      <c r="PAI1" s="286" t="s">
        <v>13362</v>
      </c>
      <c r="PAJ1" s="286" t="s">
        <v>13363</v>
      </c>
      <c r="PAK1" s="286" t="s">
        <v>13364</v>
      </c>
      <c r="PAL1" s="286" t="s">
        <v>13365</v>
      </c>
      <c r="PAM1" s="286" t="s">
        <v>13366</v>
      </c>
      <c r="PAN1" s="286" t="s">
        <v>13367</v>
      </c>
      <c r="PAO1" s="286" t="s">
        <v>13368</v>
      </c>
      <c r="PAP1" s="286" t="s">
        <v>13369</v>
      </c>
      <c r="PAQ1" s="286" t="s">
        <v>13370</v>
      </c>
      <c r="PAR1" s="286" t="s">
        <v>13371</v>
      </c>
      <c r="PAS1" s="286" t="s">
        <v>13372</v>
      </c>
      <c r="PAT1" s="286" t="s">
        <v>13373</v>
      </c>
      <c r="PAU1" s="286" t="s">
        <v>13374</v>
      </c>
      <c r="PAV1" s="286" t="s">
        <v>13375</v>
      </c>
      <c r="PAW1" s="286" t="s">
        <v>13376</v>
      </c>
      <c r="PAX1" s="286" t="s">
        <v>13377</v>
      </c>
      <c r="PAY1" s="286" t="s">
        <v>13378</v>
      </c>
      <c r="PAZ1" s="286" t="s">
        <v>13379</v>
      </c>
      <c r="PBA1" s="286" t="s">
        <v>13380</v>
      </c>
      <c r="PBB1" s="286" t="s">
        <v>13381</v>
      </c>
      <c r="PBC1" s="286" t="s">
        <v>13382</v>
      </c>
      <c r="PBD1" s="286" t="s">
        <v>13383</v>
      </c>
      <c r="PBE1" s="286" t="s">
        <v>13384</v>
      </c>
      <c r="PBF1" s="286" t="s">
        <v>13385</v>
      </c>
      <c r="PBG1" s="286" t="s">
        <v>13386</v>
      </c>
      <c r="PBH1" s="286" t="s">
        <v>13387</v>
      </c>
      <c r="PBI1" s="286" t="s">
        <v>13388</v>
      </c>
      <c r="PBJ1" s="286" t="s">
        <v>13389</v>
      </c>
      <c r="PBK1" s="286" t="s">
        <v>13390</v>
      </c>
      <c r="PBL1" s="286" t="s">
        <v>13391</v>
      </c>
      <c r="PBM1" s="286" t="s">
        <v>13392</v>
      </c>
      <c r="PBN1" s="286" t="s">
        <v>13393</v>
      </c>
      <c r="PBO1" s="286" t="s">
        <v>13394</v>
      </c>
      <c r="PBP1" s="286" t="s">
        <v>13395</v>
      </c>
      <c r="PBQ1" s="286" t="s">
        <v>13396</v>
      </c>
      <c r="PBR1" s="286" t="s">
        <v>13397</v>
      </c>
      <c r="PBS1" s="286" t="s">
        <v>13398</v>
      </c>
      <c r="PBT1" s="286" t="s">
        <v>13399</v>
      </c>
      <c r="PBU1" s="286" t="s">
        <v>13400</v>
      </c>
      <c r="PBV1" s="286" t="s">
        <v>13401</v>
      </c>
      <c r="PBW1" s="286" t="s">
        <v>13402</v>
      </c>
      <c r="PBX1" s="286" t="s">
        <v>13403</v>
      </c>
      <c r="PBY1" s="286" t="s">
        <v>13404</v>
      </c>
      <c r="PBZ1" s="286" t="s">
        <v>13405</v>
      </c>
      <c r="PCA1" s="286" t="s">
        <v>13406</v>
      </c>
      <c r="PCB1" s="286" t="s">
        <v>13407</v>
      </c>
      <c r="PCC1" s="286" t="s">
        <v>13408</v>
      </c>
      <c r="PCD1" s="286" t="s">
        <v>13409</v>
      </c>
      <c r="PCE1" s="286" t="s">
        <v>13410</v>
      </c>
      <c r="PCF1" s="286" t="s">
        <v>13411</v>
      </c>
      <c r="PCG1" s="286" t="s">
        <v>13412</v>
      </c>
      <c r="PCH1" s="286" t="s">
        <v>13413</v>
      </c>
      <c r="PCI1" s="286" t="s">
        <v>13414</v>
      </c>
      <c r="PCJ1" s="286" t="s">
        <v>13415</v>
      </c>
      <c r="PCK1" s="286" t="s">
        <v>13416</v>
      </c>
      <c r="PCL1" s="286" t="s">
        <v>13417</v>
      </c>
      <c r="PCM1" s="286" t="s">
        <v>13418</v>
      </c>
      <c r="PCN1" s="286" t="s">
        <v>13419</v>
      </c>
      <c r="PCO1" s="286" t="s">
        <v>13420</v>
      </c>
      <c r="PCP1" s="286" t="s">
        <v>13421</v>
      </c>
      <c r="PCQ1" s="286" t="s">
        <v>13422</v>
      </c>
      <c r="PCR1" s="286" t="s">
        <v>13423</v>
      </c>
      <c r="PCS1" s="286" t="s">
        <v>13424</v>
      </c>
      <c r="PCT1" s="286" t="s">
        <v>13425</v>
      </c>
      <c r="PCU1" s="286" t="s">
        <v>13426</v>
      </c>
      <c r="PCV1" s="286" t="s">
        <v>13427</v>
      </c>
      <c r="PCW1" s="286" t="s">
        <v>13428</v>
      </c>
      <c r="PCX1" s="286" t="s">
        <v>13429</v>
      </c>
      <c r="PCY1" s="286" t="s">
        <v>13430</v>
      </c>
      <c r="PCZ1" s="286" t="s">
        <v>13431</v>
      </c>
      <c r="PDA1" s="286" t="s">
        <v>13432</v>
      </c>
      <c r="PDB1" s="286" t="s">
        <v>13433</v>
      </c>
      <c r="PDC1" s="286" t="s">
        <v>13434</v>
      </c>
      <c r="PDD1" s="286" t="s">
        <v>13435</v>
      </c>
      <c r="PDE1" s="286" t="s">
        <v>13436</v>
      </c>
      <c r="PDF1" s="286" t="s">
        <v>13437</v>
      </c>
      <c r="PDG1" s="286" t="s">
        <v>13438</v>
      </c>
      <c r="PDH1" s="286" t="s">
        <v>13439</v>
      </c>
      <c r="PDI1" s="286" t="s">
        <v>13440</v>
      </c>
      <c r="PDJ1" s="286" t="s">
        <v>13441</v>
      </c>
      <c r="PDK1" s="286" t="s">
        <v>13442</v>
      </c>
      <c r="PDL1" s="286" t="s">
        <v>13443</v>
      </c>
      <c r="PDM1" s="286" t="s">
        <v>13444</v>
      </c>
      <c r="PDN1" s="286" t="s">
        <v>13445</v>
      </c>
      <c r="PDO1" s="286" t="s">
        <v>13446</v>
      </c>
      <c r="PDP1" s="286" t="s">
        <v>13447</v>
      </c>
      <c r="PDQ1" s="286" t="s">
        <v>13448</v>
      </c>
      <c r="PDR1" s="286" t="s">
        <v>13449</v>
      </c>
      <c r="PDS1" s="286" t="s">
        <v>13450</v>
      </c>
      <c r="PDT1" s="286" t="s">
        <v>13451</v>
      </c>
      <c r="PDU1" s="286" t="s">
        <v>13452</v>
      </c>
      <c r="PDV1" s="286" t="s">
        <v>13453</v>
      </c>
      <c r="PDW1" s="286" t="s">
        <v>13454</v>
      </c>
      <c r="PDX1" s="286" t="s">
        <v>13455</v>
      </c>
      <c r="PDY1" s="286" t="s">
        <v>13456</v>
      </c>
      <c r="PDZ1" s="286" t="s">
        <v>13457</v>
      </c>
      <c r="PEA1" s="286" t="s">
        <v>13458</v>
      </c>
      <c r="PEB1" s="286" t="s">
        <v>13459</v>
      </c>
      <c r="PEC1" s="286" t="s">
        <v>13460</v>
      </c>
      <c r="PED1" s="286" t="s">
        <v>13461</v>
      </c>
      <c r="PEE1" s="286" t="s">
        <v>13462</v>
      </c>
      <c r="PEF1" s="286" t="s">
        <v>13463</v>
      </c>
      <c r="PEG1" s="286" t="s">
        <v>13464</v>
      </c>
      <c r="PEH1" s="286" t="s">
        <v>13465</v>
      </c>
      <c r="PEI1" s="286" t="s">
        <v>13466</v>
      </c>
      <c r="PEJ1" s="286" t="s">
        <v>13467</v>
      </c>
      <c r="PEK1" s="286" t="s">
        <v>13468</v>
      </c>
      <c r="PEL1" s="286" t="s">
        <v>13469</v>
      </c>
      <c r="PEM1" s="286" t="s">
        <v>13470</v>
      </c>
      <c r="PEN1" s="286" t="s">
        <v>13471</v>
      </c>
      <c r="PEO1" s="286" t="s">
        <v>13472</v>
      </c>
      <c r="PEP1" s="286" t="s">
        <v>13473</v>
      </c>
      <c r="PEQ1" s="286" t="s">
        <v>13474</v>
      </c>
      <c r="PER1" s="286" t="s">
        <v>13475</v>
      </c>
      <c r="PES1" s="286" t="s">
        <v>13476</v>
      </c>
      <c r="PET1" s="286" t="s">
        <v>13477</v>
      </c>
      <c r="PEU1" s="286" t="s">
        <v>13478</v>
      </c>
      <c r="PEV1" s="286" t="s">
        <v>13479</v>
      </c>
      <c r="PEW1" s="286" t="s">
        <v>13480</v>
      </c>
      <c r="PEX1" s="286" t="s">
        <v>13481</v>
      </c>
      <c r="PEY1" s="286" t="s">
        <v>13482</v>
      </c>
      <c r="PEZ1" s="286" t="s">
        <v>13483</v>
      </c>
      <c r="PFA1" s="286" t="s">
        <v>13484</v>
      </c>
      <c r="PFB1" s="286" t="s">
        <v>13485</v>
      </c>
      <c r="PFC1" s="286" t="s">
        <v>13486</v>
      </c>
      <c r="PFD1" s="286" t="s">
        <v>13487</v>
      </c>
      <c r="PFE1" s="286" t="s">
        <v>13488</v>
      </c>
      <c r="PFF1" s="286" t="s">
        <v>13489</v>
      </c>
      <c r="PFG1" s="286" t="s">
        <v>13490</v>
      </c>
      <c r="PFH1" s="286" t="s">
        <v>13491</v>
      </c>
      <c r="PFI1" s="286" t="s">
        <v>13492</v>
      </c>
      <c r="PFJ1" s="286" t="s">
        <v>13493</v>
      </c>
      <c r="PFK1" s="286" t="s">
        <v>13494</v>
      </c>
      <c r="PFL1" s="286" t="s">
        <v>13495</v>
      </c>
      <c r="PFM1" s="286" t="s">
        <v>13496</v>
      </c>
      <c r="PFN1" s="286" t="s">
        <v>13497</v>
      </c>
      <c r="PFO1" s="286" t="s">
        <v>13498</v>
      </c>
      <c r="PFP1" s="286" t="s">
        <v>13499</v>
      </c>
      <c r="PFQ1" s="286" t="s">
        <v>13500</v>
      </c>
      <c r="PFR1" s="286" t="s">
        <v>13501</v>
      </c>
      <c r="PFS1" s="286" t="s">
        <v>13502</v>
      </c>
      <c r="PFT1" s="286" t="s">
        <v>13503</v>
      </c>
      <c r="PFU1" s="286" t="s">
        <v>13504</v>
      </c>
      <c r="PFV1" s="286" t="s">
        <v>13505</v>
      </c>
      <c r="PFW1" s="286" t="s">
        <v>13506</v>
      </c>
      <c r="PFX1" s="286" t="s">
        <v>13507</v>
      </c>
      <c r="PFY1" s="286" t="s">
        <v>13508</v>
      </c>
      <c r="PFZ1" s="286" t="s">
        <v>13509</v>
      </c>
      <c r="PGA1" s="286" t="s">
        <v>13510</v>
      </c>
      <c r="PGB1" s="286" t="s">
        <v>13511</v>
      </c>
      <c r="PGC1" s="286" t="s">
        <v>13512</v>
      </c>
      <c r="PGD1" s="286" t="s">
        <v>13513</v>
      </c>
      <c r="PGE1" s="286" t="s">
        <v>13514</v>
      </c>
      <c r="PGF1" s="286" t="s">
        <v>13515</v>
      </c>
      <c r="PGG1" s="286" t="s">
        <v>13516</v>
      </c>
      <c r="PGH1" s="286" t="s">
        <v>13517</v>
      </c>
      <c r="PGI1" s="286" t="s">
        <v>13518</v>
      </c>
      <c r="PGJ1" s="286" t="s">
        <v>13519</v>
      </c>
      <c r="PGK1" s="286" t="s">
        <v>13520</v>
      </c>
      <c r="PGL1" s="286" t="s">
        <v>13521</v>
      </c>
      <c r="PGM1" s="286" t="s">
        <v>13522</v>
      </c>
      <c r="PGN1" s="286" t="s">
        <v>13523</v>
      </c>
      <c r="PGO1" s="286" t="s">
        <v>13524</v>
      </c>
      <c r="PGP1" s="286" t="s">
        <v>13525</v>
      </c>
      <c r="PGQ1" s="286" t="s">
        <v>13526</v>
      </c>
      <c r="PGR1" s="286" t="s">
        <v>13527</v>
      </c>
      <c r="PGS1" s="286" t="s">
        <v>13528</v>
      </c>
      <c r="PGT1" s="286" t="s">
        <v>13529</v>
      </c>
      <c r="PGU1" s="286" t="s">
        <v>13530</v>
      </c>
      <c r="PGV1" s="286" t="s">
        <v>13531</v>
      </c>
      <c r="PGW1" s="286" t="s">
        <v>13532</v>
      </c>
      <c r="PGX1" s="286" t="s">
        <v>13533</v>
      </c>
      <c r="PGY1" s="286" t="s">
        <v>13534</v>
      </c>
      <c r="PGZ1" s="286" t="s">
        <v>13535</v>
      </c>
      <c r="PHA1" s="286" t="s">
        <v>13536</v>
      </c>
      <c r="PHB1" s="286" t="s">
        <v>13537</v>
      </c>
      <c r="PHC1" s="286" t="s">
        <v>13538</v>
      </c>
      <c r="PHD1" s="286" t="s">
        <v>13539</v>
      </c>
      <c r="PHE1" s="286" t="s">
        <v>13540</v>
      </c>
      <c r="PHF1" s="286" t="s">
        <v>13541</v>
      </c>
      <c r="PHG1" s="286" t="s">
        <v>13542</v>
      </c>
      <c r="PHH1" s="286" t="s">
        <v>13543</v>
      </c>
      <c r="PHI1" s="286" t="s">
        <v>13544</v>
      </c>
      <c r="PHJ1" s="286" t="s">
        <v>13545</v>
      </c>
      <c r="PHK1" s="286" t="s">
        <v>13546</v>
      </c>
      <c r="PHL1" s="286" t="s">
        <v>13547</v>
      </c>
      <c r="PHM1" s="286" t="s">
        <v>13548</v>
      </c>
      <c r="PHN1" s="286" t="s">
        <v>13549</v>
      </c>
      <c r="PHO1" s="286" t="s">
        <v>13550</v>
      </c>
      <c r="PHP1" s="286" t="s">
        <v>13551</v>
      </c>
      <c r="PHQ1" s="286" t="s">
        <v>13552</v>
      </c>
      <c r="PHR1" s="286" t="s">
        <v>13553</v>
      </c>
      <c r="PHS1" s="286" t="s">
        <v>13554</v>
      </c>
      <c r="PHT1" s="286" t="s">
        <v>13555</v>
      </c>
      <c r="PHU1" s="286" t="s">
        <v>13556</v>
      </c>
      <c r="PHV1" s="286" t="s">
        <v>13557</v>
      </c>
      <c r="PHW1" s="286" t="s">
        <v>13558</v>
      </c>
      <c r="PHX1" s="286" t="s">
        <v>13559</v>
      </c>
      <c r="PHY1" s="286" t="s">
        <v>13560</v>
      </c>
      <c r="PHZ1" s="286" t="s">
        <v>13561</v>
      </c>
      <c r="PIA1" s="286" t="s">
        <v>13562</v>
      </c>
      <c r="PIB1" s="286" t="s">
        <v>13563</v>
      </c>
      <c r="PIC1" s="286" t="s">
        <v>13564</v>
      </c>
      <c r="PID1" s="286" t="s">
        <v>13565</v>
      </c>
      <c r="PIE1" s="286" t="s">
        <v>13566</v>
      </c>
      <c r="PIF1" s="286" t="s">
        <v>13567</v>
      </c>
      <c r="PIG1" s="286" t="s">
        <v>13568</v>
      </c>
      <c r="PIH1" s="286" t="s">
        <v>13569</v>
      </c>
      <c r="PII1" s="286" t="s">
        <v>13570</v>
      </c>
      <c r="PIJ1" s="286" t="s">
        <v>13571</v>
      </c>
      <c r="PIK1" s="286" t="s">
        <v>13572</v>
      </c>
      <c r="PIL1" s="286" t="s">
        <v>13573</v>
      </c>
      <c r="PIM1" s="286" t="s">
        <v>13574</v>
      </c>
      <c r="PIN1" s="286" t="s">
        <v>13575</v>
      </c>
      <c r="PIO1" s="286" t="s">
        <v>13576</v>
      </c>
      <c r="PIP1" s="286" t="s">
        <v>13577</v>
      </c>
      <c r="PIQ1" s="286" t="s">
        <v>13578</v>
      </c>
      <c r="PIR1" s="286" t="s">
        <v>13579</v>
      </c>
      <c r="PIS1" s="286" t="s">
        <v>13580</v>
      </c>
      <c r="PIT1" s="286" t="s">
        <v>13581</v>
      </c>
      <c r="PIU1" s="286" t="s">
        <v>13582</v>
      </c>
      <c r="PIV1" s="286" t="s">
        <v>13583</v>
      </c>
      <c r="PIW1" s="286" t="s">
        <v>13584</v>
      </c>
      <c r="PIX1" s="286" t="s">
        <v>13585</v>
      </c>
      <c r="PIY1" s="286" t="s">
        <v>13586</v>
      </c>
      <c r="PIZ1" s="286" t="s">
        <v>13587</v>
      </c>
      <c r="PJA1" s="286" t="s">
        <v>13588</v>
      </c>
      <c r="PJB1" s="286" t="s">
        <v>13589</v>
      </c>
      <c r="PJC1" s="286" t="s">
        <v>13590</v>
      </c>
      <c r="PJD1" s="286" t="s">
        <v>13591</v>
      </c>
      <c r="PJE1" s="286" t="s">
        <v>13592</v>
      </c>
      <c r="PJF1" s="286" t="s">
        <v>13593</v>
      </c>
      <c r="PJG1" s="286" t="s">
        <v>13594</v>
      </c>
      <c r="PJH1" s="286" t="s">
        <v>13595</v>
      </c>
      <c r="PJI1" s="286" t="s">
        <v>13596</v>
      </c>
      <c r="PJJ1" s="286" t="s">
        <v>13597</v>
      </c>
      <c r="PJK1" s="286" t="s">
        <v>13598</v>
      </c>
      <c r="PJL1" s="286" t="s">
        <v>13599</v>
      </c>
      <c r="PJM1" s="286" t="s">
        <v>13600</v>
      </c>
      <c r="PJN1" s="286" t="s">
        <v>13601</v>
      </c>
      <c r="PJO1" s="286" t="s">
        <v>13602</v>
      </c>
      <c r="PJP1" s="286" t="s">
        <v>13603</v>
      </c>
      <c r="PJQ1" s="286" t="s">
        <v>13604</v>
      </c>
      <c r="PJR1" s="286" t="s">
        <v>13605</v>
      </c>
      <c r="PJS1" s="286" t="s">
        <v>13606</v>
      </c>
      <c r="PJT1" s="286" t="s">
        <v>13607</v>
      </c>
      <c r="PJU1" s="286" t="s">
        <v>13608</v>
      </c>
      <c r="PJV1" s="286" t="s">
        <v>13609</v>
      </c>
      <c r="PJW1" s="286" t="s">
        <v>13610</v>
      </c>
      <c r="PJX1" s="286" t="s">
        <v>13611</v>
      </c>
      <c r="PJY1" s="286" t="s">
        <v>13612</v>
      </c>
      <c r="PJZ1" s="286" t="s">
        <v>13613</v>
      </c>
      <c r="PKA1" s="286" t="s">
        <v>13614</v>
      </c>
      <c r="PKB1" s="286" t="s">
        <v>13615</v>
      </c>
      <c r="PKC1" s="286" t="s">
        <v>13616</v>
      </c>
      <c r="PKD1" s="286" t="s">
        <v>13617</v>
      </c>
      <c r="PKE1" s="286" t="s">
        <v>13618</v>
      </c>
      <c r="PKF1" s="286" t="s">
        <v>13619</v>
      </c>
      <c r="PKG1" s="286" t="s">
        <v>13620</v>
      </c>
      <c r="PKH1" s="286" t="s">
        <v>13621</v>
      </c>
      <c r="PKI1" s="286" t="s">
        <v>13622</v>
      </c>
      <c r="PKJ1" s="286" t="s">
        <v>13623</v>
      </c>
      <c r="PKK1" s="286" t="s">
        <v>13624</v>
      </c>
      <c r="PKL1" s="286" t="s">
        <v>13625</v>
      </c>
      <c r="PKM1" s="286" t="s">
        <v>13626</v>
      </c>
      <c r="PKN1" s="286" t="s">
        <v>13627</v>
      </c>
      <c r="PKO1" s="286" t="s">
        <v>13628</v>
      </c>
      <c r="PKP1" s="286" t="s">
        <v>13629</v>
      </c>
      <c r="PKQ1" s="286" t="s">
        <v>13630</v>
      </c>
      <c r="PKR1" s="286" t="s">
        <v>13631</v>
      </c>
      <c r="PKS1" s="286" t="s">
        <v>13632</v>
      </c>
      <c r="PKT1" s="286" t="s">
        <v>13633</v>
      </c>
      <c r="PKU1" s="286" t="s">
        <v>13634</v>
      </c>
      <c r="PKV1" s="286" t="s">
        <v>13635</v>
      </c>
      <c r="PKW1" s="286" t="s">
        <v>13636</v>
      </c>
      <c r="PKX1" s="286" t="s">
        <v>13637</v>
      </c>
      <c r="PKY1" s="286" t="s">
        <v>13638</v>
      </c>
      <c r="PKZ1" s="286" t="s">
        <v>13639</v>
      </c>
      <c r="PLA1" s="286" t="s">
        <v>13640</v>
      </c>
      <c r="PLB1" s="286" t="s">
        <v>13641</v>
      </c>
      <c r="PLC1" s="286" t="s">
        <v>13642</v>
      </c>
      <c r="PLD1" s="286" t="s">
        <v>13643</v>
      </c>
      <c r="PLE1" s="286" t="s">
        <v>13644</v>
      </c>
      <c r="PLF1" s="286" t="s">
        <v>13645</v>
      </c>
      <c r="PLG1" s="286" t="s">
        <v>13646</v>
      </c>
      <c r="PLH1" s="286" t="s">
        <v>13647</v>
      </c>
      <c r="PLI1" s="286" t="s">
        <v>13648</v>
      </c>
      <c r="PLJ1" s="286" t="s">
        <v>13649</v>
      </c>
      <c r="PLK1" s="286" t="s">
        <v>13650</v>
      </c>
      <c r="PLL1" s="286" t="s">
        <v>13651</v>
      </c>
      <c r="PLM1" s="286" t="s">
        <v>13652</v>
      </c>
      <c r="PLN1" s="286" t="s">
        <v>13653</v>
      </c>
      <c r="PLO1" s="286" t="s">
        <v>13654</v>
      </c>
      <c r="PLP1" s="286" t="s">
        <v>13655</v>
      </c>
      <c r="PLQ1" s="286" t="s">
        <v>13656</v>
      </c>
      <c r="PLR1" s="286" t="s">
        <v>13657</v>
      </c>
      <c r="PLS1" s="286" t="s">
        <v>13658</v>
      </c>
      <c r="PLT1" s="286" t="s">
        <v>13659</v>
      </c>
      <c r="PLU1" s="286" t="s">
        <v>13660</v>
      </c>
      <c r="PLV1" s="286" t="s">
        <v>13661</v>
      </c>
      <c r="PLW1" s="286" t="s">
        <v>13662</v>
      </c>
      <c r="PLX1" s="286" t="s">
        <v>13663</v>
      </c>
      <c r="PLY1" s="286" t="s">
        <v>13664</v>
      </c>
      <c r="PLZ1" s="286" t="s">
        <v>13665</v>
      </c>
      <c r="PMA1" s="286" t="s">
        <v>13666</v>
      </c>
      <c r="PMB1" s="286" t="s">
        <v>13667</v>
      </c>
      <c r="PMC1" s="286" t="s">
        <v>13668</v>
      </c>
      <c r="PMD1" s="286" t="s">
        <v>13669</v>
      </c>
      <c r="PME1" s="286" t="s">
        <v>13670</v>
      </c>
      <c r="PMF1" s="286" t="s">
        <v>13671</v>
      </c>
      <c r="PMG1" s="286" t="s">
        <v>13672</v>
      </c>
      <c r="PMH1" s="286" t="s">
        <v>13673</v>
      </c>
      <c r="PMI1" s="286" t="s">
        <v>13674</v>
      </c>
      <c r="PMJ1" s="286" t="s">
        <v>13675</v>
      </c>
      <c r="PMK1" s="286" t="s">
        <v>13676</v>
      </c>
      <c r="PML1" s="286" t="s">
        <v>13677</v>
      </c>
      <c r="PMM1" s="286" t="s">
        <v>13678</v>
      </c>
      <c r="PMN1" s="286" t="s">
        <v>13679</v>
      </c>
      <c r="PMO1" s="286" t="s">
        <v>13680</v>
      </c>
      <c r="PMP1" s="286" t="s">
        <v>13681</v>
      </c>
      <c r="PMQ1" s="286" t="s">
        <v>13682</v>
      </c>
      <c r="PMR1" s="286" t="s">
        <v>13683</v>
      </c>
      <c r="PMS1" s="286" t="s">
        <v>13684</v>
      </c>
      <c r="PMT1" s="286" t="s">
        <v>13685</v>
      </c>
      <c r="PMU1" s="286" t="s">
        <v>13686</v>
      </c>
      <c r="PMV1" s="286" t="s">
        <v>13687</v>
      </c>
      <c r="PMW1" s="286" t="s">
        <v>13688</v>
      </c>
      <c r="PMX1" s="286" t="s">
        <v>13689</v>
      </c>
      <c r="PMY1" s="286" t="s">
        <v>13690</v>
      </c>
      <c r="PMZ1" s="286" t="s">
        <v>13691</v>
      </c>
      <c r="PNA1" s="286" t="s">
        <v>13692</v>
      </c>
      <c r="PNB1" s="286" t="s">
        <v>13693</v>
      </c>
      <c r="PNC1" s="286" t="s">
        <v>13694</v>
      </c>
      <c r="PND1" s="286" t="s">
        <v>13695</v>
      </c>
      <c r="PNE1" s="286" t="s">
        <v>13696</v>
      </c>
      <c r="PNF1" s="286" t="s">
        <v>13697</v>
      </c>
      <c r="PNG1" s="286" t="s">
        <v>13698</v>
      </c>
      <c r="PNH1" s="286" t="s">
        <v>13699</v>
      </c>
      <c r="PNI1" s="286" t="s">
        <v>13700</v>
      </c>
      <c r="PNJ1" s="286" t="s">
        <v>13701</v>
      </c>
      <c r="PNK1" s="286" t="s">
        <v>13702</v>
      </c>
      <c r="PNL1" s="286" t="s">
        <v>13703</v>
      </c>
      <c r="PNM1" s="286" t="s">
        <v>13704</v>
      </c>
      <c r="PNN1" s="286" t="s">
        <v>13705</v>
      </c>
      <c r="PNO1" s="286" t="s">
        <v>13706</v>
      </c>
      <c r="PNP1" s="286" t="s">
        <v>13707</v>
      </c>
      <c r="PNQ1" s="286" t="s">
        <v>13708</v>
      </c>
      <c r="PNR1" s="286" t="s">
        <v>13709</v>
      </c>
      <c r="PNS1" s="286" t="s">
        <v>13710</v>
      </c>
      <c r="PNT1" s="286" t="s">
        <v>13711</v>
      </c>
      <c r="PNU1" s="286" t="s">
        <v>13712</v>
      </c>
      <c r="PNV1" s="286" t="s">
        <v>13713</v>
      </c>
      <c r="PNW1" s="286" t="s">
        <v>13714</v>
      </c>
      <c r="PNX1" s="286" t="s">
        <v>13715</v>
      </c>
      <c r="PNY1" s="286" t="s">
        <v>13716</v>
      </c>
      <c r="PNZ1" s="286" t="s">
        <v>13717</v>
      </c>
      <c r="POA1" s="286" t="s">
        <v>13718</v>
      </c>
      <c r="POB1" s="286" t="s">
        <v>13719</v>
      </c>
      <c r="POC1" s="286" t="s">
        <v>13720</v>
      </c>
      <c r="POD1" s="286" t="s">
        <v>13721</v>
      </c>
      <c r="POE1" s="286" t="s">
        <v>13722</v>
      </c>
      <c r="POF1" s="286" t="s">
        <v>13723</v>
      </c>
      <c r="POG1" s="286" t="s">
        <v>13724</v>
      </c>
      <c r="POH1" s="286" t="s">
        <v>13725</v>
      </c>
      <c r="POI1" s="286" t="s">
        <v>13726</v>
      </c>
      <c r="POJ1" s="286" t="s">
        <v>13727</v>
      </c>
      <c r="POK1" s="286" t="s">
        <v>13728</v>
      </c>
      <c r="POL1" s="286" t="s">
        <v>13729</v>
      </c>
      <c r="POM1" s="286" t="s">
        <v>13730</v>
      </c>
      <c r="PON1" s="286" t="s">
        <v>13731</v>
      </c>
      <c r="POO1" s="286" t="s">
        <v>13732</v>
      </c>
      <c r="POP1" s="286" t="s">
        <v>13733</v>
      </c>
      <c r="POQ1" s="286" t="s">
        <v>13734</v>
      </c>
      <c r="POR1" s="286" t="s">
        <v>13735</v>
      </c>
      <c r="POS1" s="286" t="s">
        <v>13736</v>
      </c>
      <c r="POT1" s="286" t="s">
        <v>13737</v>
      </c>
      <c r="POU1" s="286" t="s">
        <v>13738</v>
      </c>
      <c r="POV1" s="286" t="s">
        <v>13739</v>
      </c>
      <c r="POW1" s="286" t="s">
        <v>13740</v>
      </c>
      <c r="POX1" s="286" t="s">
        <v>13741</v>
      </c>
      <c r="POY1" s="286" t="s">
        <v>13742</v>
      </c>
      <c r="POZ1" s="286" t="s">
        <v>13743</v>
      </c>
      <c r="PPA1" s="286" t="s">
        <v>13744</v>
      </c>
      <c r="PPB1" s="286" t="s">
        <v>13745</v>
      </c>
      <c r="PPC1" s="286" t="s">
        <v>13746</v>
      </c>
      <c r="PPD1" s="286" t="s">
        <v>13747</v>
      </c>
      <c r="PPE1" s="286" t="s">
        <v>13748</v>
      </c>
      <c r="PPF1" s="286" t="s">
        <v>13749</v>
      </c>
      <c r="PPG1" s="286" t="s">
        <v>13750</v>
      </c>
      <c r="PPH1" s="286" t="s">
        <v>13751</v>
      </c>
      <c r="PPI1" s="286" t="s">
        <v>13752</v>
      </c>
      <c r="PPJ1" s="286" t="s">
        <v>13753</v>
      </c>
      <c r="PPK1" s="286" t="s">
        <v>13754</v>
      </c>
      <c r="PPL1" s="286" t="s">
        <v>13755</v>
      </c>
      <c r="PPM1" s="286" t="s">
        <v>13756</v>
      </c>
      <c r="PPN1" s="286" t="s">
        <v>13757</v>
      </c>
      <c r="PPO1" s="286" t="s">
        <v>13758</v>
      </c>
      <c r="PPP1" s="286" t="s">
        <v>13759</v>
      </c>
      <c r="PPQ1" s="286" t="s">
        <v>13760</v>
      </c>
      <c r="PPR1" s="286" t="s">
        <v>13761</v>
      </c>
      <c r="PPS1" s="286" t="s">
        <v>13762</v>
      </c>
      <c r="PPT1" s="286" t="s">
        <v>13763</v>
      </c>
      <c r="PPU1" s="286" t="s">
        <v>13764</v>
      </c>
      <c r="PPV1" s="286" t="s">
        <v>13765</v>
      </c>
      <c r="PPW1" s="286" t="s">
        <v>13766</v>
      </c>
      <c r="PPX1" s="286" t="s">
        <v>13767</v>
      </c>
      <c r="PPY1" s="286" t="s">
        <v>13768</v>
      </c>
      <c r="PPZ1" s="286" t="s">
        <v>13769</v>
      </c>
      <c r="PQA1" s="286" t="s">
        <v>13770</v>
      </c>
      <c r="PQB1" s="286" t="s">
        <v>13771</v>
      </c>
      <c r="PQC1" s="286" t="s">
        <v>13772</v>
      </c>
      <c r="PQD1" s="286" t="s">
        <v>13773</v>
      </c>
      <c r="PQE1" s="286" t="s">
        <v>13774</v>
      </c>
      <c r="PQF1" s="286" t="s">
        <v>13775</v>
      </c>
      <c r="PQG1" s="286" t="s">
        <v>13776</v>
      </c>
      <c r="PQH1" s="286" t="s">
        <v>13777</v>
      </c>
      <c r="PQI1" s="286" t="s">
        <v>13778</v>
      </c>
      <c r="PQJ1" s="286" t="s">
        <v>13779</v>
      </c>
      <c r="PQK1" s="286" t="s">
        <v>13780</v>
      </c>
      <c r="PQL1" s="286" t="s">
        <v>13781</v>
      </c>
      <c r="PQM1" s="286" t="s">
        <v>13782</v>
      </c>
      <c r="PQN1" s="286" t="s">
        <v>13783</v>
      </c>
      <c r="PQO1" s="286" t="s">
        <v>13784</v>
      </c>
      <c r="PQP1" s="286" t="s">
        <v>13785</v>
      </c>
      <c r="PQQ1" s="286" t="s">
        <v>13786</v>
      </c>
      <c r="PQR1" s="286" t="s">
        <v>13787</v>
      </c>
      <c r="PQS1" s="286" t="s">
        <v>13788</v>
      </c>
      <c r="PQT1" s="286" t="s">
        <v>13789</v>
      </c>
      <c r="PQU1" s="286" t="s">
        <v>13790</v>
      </c>
      <c r="PQV1" s="286" t="s">
        <v>13791</v>
      </c>
      <c r="PQW1" s="286" t="s">
        <v>13792</v>
      </c>
      <c r="PQX1" s="286" t="s">
        <v>13793</v>
      </c>
      <c r="PQY1" s="286" t="s">
        <v>13794</v>
      </c>
      <c r="PQZ1" s="286" t="s">
        <v>13795</v>
      </c>
      <c r="PRA1" s="286" t="s">
        <v>13796</v>
      </c>
      <c r="PRB1" s="286" t="s">
        <v>13797</v>
      </c>
      <c r="PRC1" s="286" t="s">
        <v>13798</v>
      </c>
      <c r="PRD1" s="286" t="s">
        <v>13799</v>
      </c>
      <c r="PRE1" s="286" t="s">
        <v>13800</v>
      </c>
      <c r="PRF1" s="286" t="s">
        <v>13801</v>
      </c>
      <c r="PRG1" s="286" t="s">
        <v>13802</v>
      </c>
      <c r="PRH1" s="286" t="s">
        <v>13803</v>
      </c>
      <c r="PRI1" s="286" t="s">
        <v>13804</v>
      </c>
      <c r="PRJ1" s="286" t="s">
        <v>13805</v>
      </c>
      <c r="PRK1" s="286" t="s">
        <v>13806</v>
      </c>
      <c r="PRL1" s="286" t="s">
        <v>13807</v>
      </c>
      <c r="PRM1" s="286" t="s">
        <v>13808</v>
      </c>
      <c r="PRN1" s="286" t="s">
        <v>13809</v>
      </c>
      <c r="PRO1" s="286" t="s">
        <v>13810</v>
      </c>
      <c r="PRP1" s="286" t="s">
        <v>13811</v>
      </c>
      <c r="PRQ1" s="286" t="s">
        <v>13812</v>
      </c>
      <c r="PRR1" s="286" t="s">
        <v>13813</v>
      </c>
      <c r="PRS1" s="286" t="s">
        <v>13814</v>
      </c>
      <c r="PRT1" s="286" t="s">
        <v>13815</v>
      </c>
      <c r="PRU1" s="286" t="s">
        <v>13816</v>
      </c>
      <c r="PRV1" s="286" t="s">
        <v>13817</v>
      </c>
      <c r="PRW1" s="286" t="s">
        <v>13818</v>
      </c>
      <c r="PRX1" s="286" t="s">
        <v>13819</v>
      </c>
      <c r="PRY1" s="286" t="s">
        <v>13820</v>
      </c>
      <c r="PRZ1" s="286" t="s">
        <v>13821</v>
      </c>
      <c r="PSA1" s="286" t="s">
        <v>13822</v>
      </c>
      <c r="PSB1" s="286" t="s">
        <v>13823</v>
      </c>
      <c r="PSC1" s="286" t="s">
        <v>13824</v>
      </c>
      <c r="PSD1" s="286" t="s">
        <v>13825</v>
      </c>
      <c r="PSE1" s="286" t="s">
        <v>13826</v>
      </c>
      <c r="PSF1" s="286" t="s">
        <v>13827</v>
      </c>
      <c r="PSG1" s="286" t="s">
        <v>13828</v>
      </c>
      <c r="PSH1" s="286" t="s">
        <v>13829</v>
      </c>
      <c r="PSI1" s="286" t="s">
        <v>13830</v>
      </c>
      <c r="PSJ1" s="286" t="s">
        <v>13831</v>
      </c>
      <c r="PSK1" s="286" t="s">
        <v>13832</v>
      </c>
      <c r="PSL1" s="286" t="s">
        <v>13833</v>
      </c>
      <c r="PSM1" s="286" t="s">
        <v>13834</v>
      </c>
      <c r="PSN1" s="286" t="s">
        <v>13835</v>
      </c>
      <c r="PSO1" s="286" t="s">
        <v>13836</v>
      </c>
      <c r="PSP1" s="286" t="s">
        <v>13837</v>
      </c>
      <c r="PSQ1" s="286" t="s">
        <v>13838</v>
      </c>
      <c r="PSR1" s="286" t="s">
        <v>13839</v>
      </c>
      <c r="PSS1" s="286" t="s">
        <v>13840</v>
      </c>
      <c r="PST1" s="286" t="s">
        <v>13841</v>
      </c>
      <c r="PSU1" s="286" t="s">
        <v>13842</v>
      </c>
      <c r="PSV1" s="286" t="s">
        <v>13843</v>
      </c>
      <c r="PSW1" s="286" t="s">
        <v>13844</v>
      </c>
      <c r="PSX1" s="286" t="s">
        <v>13845</v>
      </c>
      <c r="PSY1" s="286" t="s">
        <v>13846</v>
      </c>
      <c r="PSZ1" s="286" t="s">
        <v>13847</v>
      </c>
      <c r="PTA1" s="286" t="s">
        <v>13848</v>
      </c>
      <c r="PTB1" s="286" t="s">
        <v>13849</v>
      </c>
      <c r="PTC1" s="286" t="s">
        <v>13850</v>
      </c>
      <c r="PTD1" s="286" t="s">
        <v>13851</v>
      </c>
      <c r="PTE1" s="286" t="s">
        <v>13852</v>
      </c>
      <c r="PTF1" s="286" t="s">
        <v>13853</v>
      </c>
      <c r="PTG1" s="286" t="s">
        <v>13854</v>
      </c>
      <c r="PTH1" s="286" t="s">
        <v>13855</v>
      </c>
      <c r="PTI1" s="286" t="s">
        <v>13856</v>
      </c>
      <c r="PTJ1" s="286" t="s">
        <v>13857</v>
      </c>
      <c r="PTK1" s="286" t="s">
        <v>13858</v>
      </c>
      <c r="PTL1" s="286" t="s">
        <v>13859</v>
      </c>
      <c r="PTM1" s="286" t="s">
        <v>13860</v>
      </c>
      <c r="PTN1" s="286" t="s">
        <v>13861</v>
      </c>
      <c r="PTO1" s="286" t="s">
        <v>13862</v>
      </c>
      <c r="PTP1" s="286" t="s">
        <v>13863</v>
      </c>
      <c r="PTQ1" s="286" t="s">
        <v>13864</v>
      </c>
      <c r="PTR1" s="286" t="s">
        <v>13865</v>
      </c>
      <c r="PTS1" s="286" t="s">
        <v>13866</v>
      </c>
      <c r="PTT1" s="286" t="s">
        <v>13867</v>
      </c>
      <c r="PTU1" s="286" t="s">
        <v>13868</v>
      </c>
      <c r="PTV1" s="286" t="s">
        <v>13869</v>
      </c>
      <c r="PTW1" s="286" t="s">
        <v>13870</v>
      </c>
      <c r="PTX1" s="286" t="s">
        <v>13871</v>
      </c>
      <c r="PTY1" s="286" t="s">
        <v>13872</v>
      </c>
      <c r="PTZ1" s="286" t="s">
        <v>13873</v>
      </c>
      <c r="PUA1" s="286" t="s">
        <v>13874</v>
      </c>
      <c r="PUB1" s="286" t="s">
        <v>13875</v>
      </c>
      <c r="PUC1" s="286" t="s">
        <v>13876</v>
      </c>
      <c r="PUD1" s="286" t="s">
        <v>13877</v>
      </c>
      <c r="PUE1" s="286" t="s">
        <v>13878</v>
      </c>
      <c r="PUF1" s="286" t="s">
        <v>13879</v>
      </c>
      <c r="PUG1" s="286" t="s">
        <v>13880</v>
      </c>
      <c r="PUH1" s="286" t="s">
        <v>13881</v>
      </c>
      <c r="PUI1" s="286" t="s">
        <v>13882</v>
      </c>
      <c r="PUJ1" s="286" t="s">
        <v>13883</v>
      </c>
      <c r="PUK1" s="286" t="s">
        <v>13884</v>
      </c>
      <c r="PUL1" s="286" t="s">
        <v>13885</v>
      </c>
      <c r="PUM1" s="286" t="s">
        <v>13886</v>
      </c>
      <c r="PUN1" s="286" t="s">
        <v>13887</v>
      </c>
      <c r="PUO1" s="286" t="s">
        <v>13888</v>
      </c>
      <c r="PUP1" s="286" t="s">
        <v>13889</v>
      </c>
      <c r="PUQ1" s="286" t="s">
        <v>13890</v>
      </c>
      <c r="PUR1" s="286" t="s">
        <v>13891</v>
      </c>
      <c r="PUS1" s="286" t="s">
        <v>13892</v>
      </c>
      <c r="PUT1" s="286" t="s">
        <v>13893</v>
      </c>
      <c r="PUU1" s="286" t="s">
        <v>13894</v>
      </c>
      <c r="PUV1" s="286" t="s">
        <v>13895</v>
      </c>
      <c r="PUW1" s="286" t="s">
        <v>13896</v>
      </c>
      <c r="PUX1" s="286" t="s">
        <v>13897</v>
      </c>
      <c r="PUY1" s="286" t="s">
        <v>13898</v>
      </c>
      <c r="PUZ1" s="286" t="s">
        <v>13899</v>
      </c>
      <c r="PVA1" s="286" t="s">
        <v>13900</v>
      </c>
      <c r="PVB1" s="286" t="s">
        <v>13901</v>
      </c>
      <c r="PVC1" s="286" t="s">
        <v>13902</v>
      </c>
      <c r="PVD1" s="286" t="s">
        <v>13903</v>
      </c>
      <c r="PVE1" s="286" t="s">
        <v>13904</v>
      </c>
      <c r="PVF1" s="286" t="s">
        <v>13905</v>
      </c>
      <c r="PVG1" s="286" t="s">
        <v>13906</v>
      </c>
      <c r="PVH1" s="286" t="s">
        <v>13907</v>
      </c>
      <c r="PVI1" s="286" t="s">
        <v>13908</v>
      </c>
      <c r="PVJ1" s="286" t="s">
        <v>13909</v>
      </c>
      <c r="PVK1" s="286" t="s">
        <v>13910</v>
      </c>
      <c r="PVL1" s="286" t="s">
        <v>13911</v>
      </c>
      <c r="PVM1" s="286" t="s">
        <v>13912</v>
      </c>
      <c r="PVN1" s="286" t="s">
        <v>13913</v>
      </c>
      <c r="PVO1" s="286" t="s">
        <v>13914</v>
      </c>
      <c r="PVP1" s="286" t="s">
        <v>13915</v>
      </c>
      <c r="PVQ1" s="286" t="s">
        <v>13916</v>
      </c>
      <c r="PVR1" s="286" t="s">
        <v>13917</v>
      </c>
      <c r="PVS1" s="286" t="s">
        <v>13918</v>
      </c>
      <c r="PVT1" s="286" t="s">
        <v>13919</v>
      </c>
      <c r="PVU1" s="286" t="s">
        <v>13920</v>
      </c>
      <c r="PVV1" s="286" t="s">
        <v>13921</v>
      </c>
      <c r="PVW1" s="286" t="s">
        <v>13922</v>
      </c>
      <c r="PVX1" s="286" t="s">
        <v>13923</v>
      </c>
      <c r="PVY1" s="286" t="s">
        <v>13924</v>
      </c>
      <c r="PVZ1" s="286" t="s">
        <v>13925</v>
      </c>
      <c r="PWA1" s="286" t="s">
        <v>13926</v>
      </c>
      <c r="PWB1" s="286" t="s">
        <v>13927</v>
      </c>
      <c r="PWC1" s="286" t="s">
        <v>13928</v>
      </c>
      <c r="PWD1" s="286" t="s">
        <v>13929</v>
      </c>
      <c r="PWE1" s="286" t="s">
        <v>13930</v>
      </c>
      <c r="PWF1" s="286" t="s">
        <v>13931</v>
      </c>
      <c r="PWG1" s="286" t="s">
        <v>13932</v>
      </c>
      <c r="PWH1" s="286" t="s">
        <v>13933</v>
      </c>
      <c r="PWI1" s="286" t="s">
        <v>13934</v>
      </c>
      <c r="PWJ1" s="286" t="s">
        <v>13935</v>
      </c>
      <c r="PWK1" s="286" t="s">
        <v>13936</v>
      </c>
      <c r="PWL1" s="286" t="s">
        <v>13937</v>
      </c>
      <c r="PWM1" s="286" t="s">
        <v>13938</v>
      </c>
      <c r="PWN1" s="286" t="s">
        <v>13939</v>
      </c>
      <c r="PWO1" s="286" t="s">
        <v>13940</v>
      </c>
      <c r="PWP1" s="286" t="s">
        <v>13941</v>
      </c>
      <c r="PWQ1" s="286" t="s">
        <v>13942</v>
      </c>
      <c r="PWR1" s="286" t="s">
        <v>13943</v>
      </c>
      <c r="PWS1" s="286" t="s">
        <v>13944</v>
      </c>
      <c r="PWT1" s="286" t="s">
        <v>13945</v>
      </c>
      <c r="PWU1" s="286" t="s">
        <v>13946</v>
      </c>
      <c r="PWV1" s="286" t="s">
        <v>13947</v>
      </c>
      <c r="PWW1" s="286" t="s">
        <v>13948</v>
      </c>
      <c r="PWX1" s="286" t="s">
        <v>13949</v>
      </c>
      <c r="PWY1" s="286" t="s">
        <v>13950</v>
      </c>
      <c r="PWZ1" s="286" t="s">
        <v>13951</v>
      </c>
      <c r="PXA1" s="286" t="s">
        <v>13952</v>
      </c>
      <c r="PXB1" s="286" t="s">
        <v>13953</v>
      </c>
      <c r="PXC1" s="286" t="s">
        <v>13954</v>
      </c>
      <c r="PXD1" s="286" t="s">
        <v>13955</v>
      </c>
      <c r="PXE1" s="286" t="s">
        <v>13956</v>
      </c>
      <c r="PXF1" s="286" t="s">
        <v>13957</v>
      </c>
      <c r="PXG1" s="286" t="s">
        <v>13958</v>
      </c>
      <c r="PXH1" s="286" t="s">
        <v>13959</v>
      </c>
      <c r="PXI1" s="286" t="s">
        <v>13960</v>
      </c>
      <c r="PXJ1" s="286" t="s">
        <v>13961</v>
      </c>
      <c r="PXK1" s="286" t="s">
        <v>13962</v>
      </c>
      <c r="PXL1" s="286" t="s">
        <v>13963</v>
      </c>
      <c r="PXM1" s="286" t="s">
        <v>13964</v>
      </c>
      <c r="PXN1" s="286" t="s">
        <v>13965</v>
      </c>
      <c r="PXO1" s="286" t="s">
        <v>13966</v>
      </c>
      <c r="PXP1" s="286" t="s">
        <v>13967</v>
      </c>
      <c r="PXQ1" s="286" t="s">
        <v>13968</v>
      </c>
      <c r="PXR1" s="286" t="s">
        <v>13969</v>
      </c>
      <c r="PXS1" s="286" t="s">
        <v>13970</v>
      </c>
      <c r="PXT1" s="286" t="s">
        <v>13971</v>
      </c>
      <c r="PXU1" s="286" t="s">
        <v>13972</v>
      </c>
      <c r="PXV1" s="286" t="s">
        <v>13973</v>
      </c>
      <c r="PXW1" s="286" t="s">
        <v>13974</v>
      </c>
      <c r="PXX1" s="286" t="s">
        <v>13975</v>
      </c>
      <c r="PXY1" s="286" t="s">
        <v>13976</v>
      </c>
      <c r="PXZ1" s="286" t="s">
        <v>13977</v>
      </c>
      <c r="PYA1" s="286" t="s">
        <v>13978</v>
      </c>
      <c r="PYB1" s="286" t="s">
        <v>13979</v>
      </c>
      <c r="PYC1" s="286" t="s">
        <v>13980</v>
      </c>
      <c r="PYD1" s="286" t="s">
        <v>13981</v>
      </c>
      <c r="PYE1" s="286" t="s">
        <v>13982</v>
      </c>
      <c r="PYF1" s="286" t="s">
        <v>13983</v>
      </c>
      <c r="PYG1" s="286" t="s">
        <v>13984</v>
      </c>
      <c r="PYH1" s="286" t="s">
        <v>13985</v>
      </c>
      <c r="PYI1" s="286" t="s">
        <v>13986</v>
      </c>
      <c r="PYJ1" s="286" t="s">
        <v>13987</v>
      </c>
      <c r="PYK1" s="286" t="s">
        <v>13988</v>
      </c>
      <c r="PYL1" s="286" t="s">
        <v>13989</v>
      </c>
      <c r="PYM1" s="286" t="s">
        <v>13990</v>
      </c>
      <c r="PYN1" s="286" t="s">
        <v>13991</v>
      </c>
      <c r="PYO1" s="286" t="s">
        <v>13992</v>
      </c>
      <c r="PYP1" s="286" t="s">
        <v>13993</v>
      </c>
      <c r="PYQ1" s="286" t="s">
        <v>13994</v>
      </c>
      <c r="PYR1" s="286" t="s">
        <v>13995</v>
      </c>
      <c r="PYS1" s="286" t="s">
        <v>13996</v>
      </c>
      <c r="PYT1" s="286" t="s">
        <v>13997</v>
      </c>
      <c r="PYU1" s="286" t="s">
        <v>13998</v>
      </c>
      <c r="PYV1" s="286" t="s">
        <v>13999</v>
      </c>
      <c r="PYW1" s="286" t="s">
        <v>14000</v>
      </c>
      <c r="PYX1" s="286" t="s">
        <v>14001</v>
      </c>
      <c r="PYY1" s="286" t="s">
        <v>14002</v>
      </c>
      <c r="PYZ1" s="286" t="s">
        <v>14003</v>
      </c>
      <c r="PZA1" s="286" t="s">
        <v>14004</v>
      </c>
      <c r="PZB1" s="286" t="s">
        <v>14005</v>
      </c>
      <c r="PZC1" s="286" t="s">
        <v>14006</v>
      </c>
      <c r="PZD1" s="286" t="s">
        <v>14007</v>
      </c>
      <c r="PZE1" s="286" t="s">
        <v>14008</v>
      </c>
      <c r="PZF1" s="286" t="s">
        <v>14009</v>
      </c>
      <c r="PZG1" s="286" t="s">
        <v>14010</v>
      </c>
      <c r="PZH1" s="286" t="s">
        <v>14011</v>
      </c>
      <c r="PZI1" s="286" t="s">
        <v>14012</v>
      </c>
      <c r="PZJ1" s="286" t="s">
        <v>14013</v>
      </c>
      <c r="PZK1" s="286" t="s">
        <v>14014</v>
      </c>
      <c r="PZL1" s="286" t="s">
        <v>14015</v>
      </c>
      <c r="PZM1" s="286" t="s">
        <v>14016</v>
      </c>
      <c r="PZN1" s="286" t="s">
        <v>14017</v>
      </c>
      <c r="PZO1" s="286" t="s">
        <v>14018</v>
      </c>
      <c r="PZP1" s="286" t="s">
        <v>14019</v>
      </c>
      <c r="PZQ1" s="286" t="s">
        <v>14020</v>
      </c>
      <c r="PZR1" s="286" t="s">
        <v>14021</v>
      </c>
      <c r="PZS1" s="286" t="s">
        <v>14022</v>
      </c>
      <c r="PZT1" s="286" t="s">
        <v>14023</v>
      </c>
      <c r="PZU1" s="286" t="s">
        <v>14024</v>
      </c>
      <c r="PZV1" s="286" t="s">
        <v>14025</v>
      </c>
      <c r="PZW1" s="286" t="s">
        <v>14026</v>
      </c>
      <c r="PZX1" s="286" t="s">
        <v>14027</v>
      </c>
      <c r="PZY1" s="286" t="s">
        <v>14028</v>
      </c>
      <c r="PZZ1" s="286" t="s">
        <v>14029</v>
      </c>
      <c r="QAA1" s="286" t="s">
        <v>14030</v>
      </c>
      <c r="QAB1" s="286" t="s">
        <v>14031</v>
      </c>
      <c r="QAC1" s="286" t="s">
        <v>14032</v>
      </c>
      <c r="QAD1" s="286" t="s">
        <v>14033</v>
      </c>
      <c r="QAE1" s="286" t="s">
        <v>14034</v>
      </c>
      <c r="QAF1" s="286" t="s">
        <v>14035</v>
      </c>
      <c r="QAG1" s="286" t="s">
        <v>14036</v>
      </c>
      <c r="QAH1" s="286" t="s">
        <v>14037</v>
      </c>
      <c r="QAI1" s="286" t="s">
        <v>14038</v>
      </c>
      <c r="QAJ1" s="286" t="s">
        <v>14039</v>
      </c>
      <c r="QAK1" s="286" t="s">
        <v>14040</v>
      </c>
      <c r="QAL1" s="286" t="s">
        <v>14041</v>
      </c>
      <c r="QAM1" s="286" t="s">
        <v>14042</v>
      </c>
      <c r="QAN1" s="286" t="s">
        <v>14043</v>
      </c>
      <c r="QAO1" s="286" t="s">
        <v>14044</v>
      </c>
      <c r="QAP1" s="286" t="s">
        <v>14045</v>
      </c>
      <c r="QAQ1" s="286" t="s">
        <v>14046</v>
      </c>
      <c r="QAR1" s="286" t="s">
        <v>14047</v>
      </c>
      <c r="QAS1" s="286" t="s">
        <v>14048</v>
      </c>
      <c r="QAT1" s="286" t="s">
        <v>14049</v>
      </c>
      <c r="QAU1" s="286" t="s">
        <v>14050</v>
      </c>
      <c r="QAV1" s="286" t="s">
        <v>14051</v>
      </c>
      <c r="QAW1" s="286" t="s">
        <v>14052</v>
      </c>
      <c r="QAX1" s="286" t="s">
        <v>14053</v>
      </c>
      <c r="QAY1" s="286" t="s">
        <v>14054</v>
      </c>
      <c r="QAZ1" s="286" t="s">
        <v>14055</v>
      </c>
      <c r="QBA1" s="286" t="s">
        <v>14056</v>
      </c>
      <c r="QBB1" s="286" t="s">
        <v>14057</v>
      </c>
      <c r="QBC1" s="286" t="s">
        <v>14058</v>
      </c>
      <c r="QBD1" s="286" t="s">
        <v>14059</v>
      </c>
      <c r="QBE1" s="286" t="s">
        <v>14060</v>
      </c>
      <c r="QBF1" s="286" t="s">
        <v>14061</v>
      </c>
      <c r="QBG1" s="286" t="s">
        <v>14062</v>
      </c>
      <c r="QBH1" s="286" t="s">
        <v>14063</v>
      </c>
      <c r="QBI1" s="286" t="s">
        <v>14064</v>
      </c>
      <c r="QBJ1" s="286" t="s">
        <v>14065</v>
      </c>
      <c r="QBK1" s="286" t="s">
        <v>14066</v>
      </c>
      <c r="QBL1" s="286" t="s">
        <v>14067</v>
      </c>
      <c r="QBM1" s="286" t="s">
        <v>14068</v>
      </c>
      <c r="QBN1" s="286" t="s">
        <v>14069</v>
      </c>
      <c r="QBO1" s="286" t="s">
        <v>14070</v>
      </c>
      <c r="QBP1" s="286" t="s">
        <v>14071</v>
      </c>
      <c r="QBQ1" s="286" t="s">
        <v>14072</v>
      </c>
      <c r="QBR1" s="286" t="s">
        <v>14073</v>
      </c>
      <c r="QBS1" s="286" t="s">
        <v>14074</v>
      </c>
      <c r="QBT1" s="286" t="s">
        <v>14075</v>
      </c>
      <c r="QBU1" s="286" t="s">
        <v>14076</v>
      </c>
      <c r="QBV1" s="286" t="s">
        <v>14077</v>
      </c>
      <c r="QBW1" s="286" t="s">
        <v>14078</v>
      </c>
      <c r="QBX1" s="286" t="s">
        <v>14079</v>
      </c>
      <c r="QBY1" s="286" t="s">
        <v>14080</v>
      </c>
      <c r="QBZ1" s="286" t="s">
        <v>14081</v>
      </c>
      <c r="QCA1" s="286" t="s">
        <v>14082</v>
      </c>
      <c r="QCB1" s="286" t="s">
        <v>14083</v>
      </c>
      <c r="QCC1" s="286" t="s">
        <v>14084</v>
      </c>
      <c r="QCD1" s="286" t="s">
        <v>14085</v>
      </c>
      <c r="QCE1" s="286" t="s">
        <v>14086</v>
      </c>
      <c r="QCF1" s="286" t="s">
        <v>14087</v>
      </c>
      <c r="QCG1" s="286" t="s">
        <v>14088</v>
      </c>
      <c r="QCH1" s="286" t="s">
        <v>14089</v>
      </c>
      <c r="QCI1" s="286" t="s">
        <v>14090</v>
      </c>
      <c r="QCJ1" s="286" t="s">
        <v>14091</v>
      </c>
      <c r="QCK1" s="286" t="s">
        <v>14092</v>
      </c>
      <c r="QCL1" s="286" t="s">
        <v>14093</v>
      </c>
      <c r="QCM1" s="286" t="s">
        <v>14094</v>
      </c>
      <c r="QCN1" s="286" t="s">
        <v>14095</v>
      </c>
      <c r="QCO1" s="286" t="s">
        <v>14096</v>
      </c>
      <c r="QCP1" s="286" t="s">
        <v>14097</v>
      </c>
      <c r="QCQ1" s="286" t="s">
        <v>14098</v>
      </c>
      <c r="QCR1" s="286" t="s">
        <v>14099</v>
      </c>
      <c r="QCS1" s="286" t="s">
        <v>14100</v>
      </c>
      <c r="QCT1" s="286" t="s">
        <v>14101</v>
      </c>
      <c r="QCU1" s="286" t="s">
        <v>14102</v>
      </c>
      <c r="QCV1" s="286" t="s">
        <v>14103</v>
      </c>
      <c r="QCW1" s="286" t="s">
        <v>14104</v>
      </c>
      <c r="QCX1" s="286" t="s">
        <v>14105</v>
      </c>
      <c r="QCY1" s="286" t="s">
        <v>14106</v>
      </c>
      <c r="QCZ1" s="286" t="s">
        <v>14107</v>
      </c>
      <c r="QDA1" s="286" t="s">
        <v>14108</v>
      </c>
      <c r="QDB1" s="286" t="s">
        <v>14109</v>
      </c>
      <c r="QDC1" s="286" t="s">
        <v>14110</v>
      </c>
      <c r="QDD1" s="286" t="s">
        <v>14111</v>
      </c>
      <c r="QDE1" s="286" t="s">
        <v>14112</v>
      </c>
      <c r="QDF1" s="286" t="s">
        <v>14113</v>
      </c>
      <c r="QDG1" s="286" t="s">
        <v>14114</v>
      </c>
      <c r="QDH1" s="286" t="s">
        <v>14115</v>
      </c>
      <c r="QDI1" s="286" t="s">
        <v>14116</v>
      </c>
      <c r="QDJ1" s="286" t="s">
        <v>14117</v>
      </c>
      <c r="QDK1" s="286" t="s">
        <v>14118</v>
      </c>
      <c r="QDL1" s="286" t="s">
        <v>14119</v>
      </c>
      <c r="QDM1" s="286" t="s">
        <v>14120</v>
      </c>
      <c r="QDN1" s="286" t="s">
        <v>14121</v>
      </c>
      <c r="QDO1" s="286" t="s">
        <v>14122</v>
      </c>
      <c r="QDP1" s="286" t="s">
        <v>14123</v>
      </c>
      <c r="QDQ1" s="286" t="s">
        <v>14124</v>
      </c>
      <c r="QDR1" s="286" t="s">
        <v>14125</v>
      </c>
      <c r="QDS1" s="286" t="s">
        <v>14126</v>
      </c>
      <c r="QDT1" s="286" t="s">
        <v>14127</v>
      </c>
      <c r="QDU1" s="286" t="s">
        <v>14128</v>
      </c>
      <c r="QDV1" s="286" t="s">
        <v>14129</v>
      </c>
      <c r="QDW1" s="286" t="s">
        <v>14130</v>
      </c>
      <c r="QDX1" s="286" t="s">
        <v>14131</v>
      </c>
      <c r="QDY1" s="286" t="s">
        <v>14132</v>
      </c>
      <c r="QDZ1" s="286" t="s">
        <v>14133</v>
      </c>
      <c r="QEA1" s="286" t="s">
        <v>14134</v>
      </c>
      <c r="QEB1" s="286" t="s">
        <v>14135</v>
      </c>
      <c r="QEC1" s="286" t="s">
        <v>14136</v>
      </c>
      <c r="QED1" s="286" t="s">
        <v>14137</v>
      </c>
      <c r="QEE1" s="286" t="s">
        <v>14138</v>
      </c>
      <c r="QEF1" s="286" t="s">
        <v>14139</v>
      </c>
      <c r="QEG1" s="286" t="s">
        <v>14140</v>
      </c>
      <c r="QEH1" s="286" t="s">
        <v>14141</v>
      </c>
      <c r="QEI1" s="286" t="s">
        <v>14142</v>
      </c>
      <c r="QEJ1" s="286" t="s">
        <v>14143</v>
      </c>
      <c r="QEK1" s="286" t="s">
        <v>14144</v>
      </c>
      <c r="QEL1" s="286" t="s">
        <v>14145</v>
      </c>
      <c r="QEM1" s="286" t="s">
        <v>14146</v>
      </c>
      <c r="QEN1" s="286" t="s">
        <v>14147</v>
      </c>
      <c r="QEO1" s="286" t="s">
        <v>14148</v>
      </c>
      <c r="QEP1" s="286" t="s">
        <v>14149</v>
      </c>
      <c r="QEQ1" s="286" t="s">
        <v>14150</v>
      </c>
      <c r="QER1" s="286" t="s">
        <v>14151</v>
      </c>
      <c r="QES1" s="286" t="s">
        <v>14152</v>
      </c>
      <c r="QET1" s="286" t="s">
        <v>14153</v>
      </c>
      <c r="QEU1" s="286" t="s">
        <v>14154</v>
      </c>
      <c r="QEV1" s="286" t="s">
        <v>14155</v>
      </c>
      <c r="QEW1" s="286" t="s">
        <v>14156</v>
      </c>
      <c r="QEX1" s="286" t="s">
        <v>14157</v>
      </c>
      <c r="QEY1" s="286" t="s">
        <v>14158</v>
      </c>
      <c r="QEZ1" s="286" t="s">
        <v>14159</v>
      </c>
      <c r="QFA1" s="286" t="s">
        <v>14160</v>
      </c>
      <c r="QFB1" s="286" t="s">
        <v>14161</v>
      </c>
      <c r="QFC1" s="286" t="s">
        <v>14162</v>
      </c>
      <c r="QFD1" s="286" t="s">
        <v>14163</v>
      </c>
      <c r="QFE1" s="286" t="s">
        <v>14164</v>
      </c>
      <c r="QFF1" s="286" t="s">
        <v>14165</v>
      </c>
      <c r="QFG1" s="286" t="s">
        <v>14166</v>
      </c>
      <c r="QFH1" s="286" t="s">
        <v>14167</v>
      </c>
      <c r="QFI1" s="286" t="s">
        <v>14168</v>
      </c>
      <c r="QFJ1" s="286" t="s">
        <v>14169</v>
      </c>
      <c r="QFK1" s="286" t="s">
        <v>14170</v>
      </c>
      <c r="QFL1" s="286" t="s">
        <v>14171</v>
      </c>
      <c r="QFM1" s="286" t="s">
        <v>14172</v>
      </c>
      <c r="QFN1" s="286" t="s">
        <v>14173</v>
      </c>
      <c r="QFO1" s="286" t="s">
        <v>14174</v>
      </c>
      <c r="QFP1" s="286" t="s">
        <v>14175</v>
      </c>
      <c r="QFQ1" s="286" t="s">
        <v>14176</v>
      </c>
      <c r="QFR1" s="286" t="s">
        <v>14177</v>
      </c>
      <c r="QFS1" s="286" t="s">
        <v>14178</v>
      </c>
      <c r="QFT1" s="286" t="s">
        <v>14179</v>
      </c>
      <c r="QFU1" s="286" t="s">
        <v>14180</v>
      </c>
      <c r="QFV1" s="286" t="s">
        <v>14181</v>
      </c>
      <c r="QFW1" s="286" t="s">
        <v>14182</v>
      </c>
      <c r="QFX1" s="286" t="s">
        <v>14183</v>
      </c>
      <c r="QFY1" s="286" t="s">
        <v>14184</v>
      </c>
      <c r="QFZ1" s="286" t="s">
        <v>14185</v>
      </c>
      <c r="QGA1" s="286" t="s">
        <v>14186</v>
      </c>
      <c r="QGB1" s="286" t="s">
        <v>14187</v>
      </c>
      <c r="QGC1" s="286" t="s">
        <v>14188</v>
      </c>
      <c r="QGD1" s="286" t="s">
        <v>14189</v>
      </c>
      <c r="QGE1" s="286" t="s">
        <v>14190</v>
      </c>
      <c r="QGF1" s="286" t="s">
        <v>14191</v>
      </c>
      <c r="QGG1" s="286" t="s">
        <v>14192</v>
      </c>
      <c r="QGH1" s="286" t="s">
        <v>14193</v>
      </c>
      <c r="QGI1" s="286" t="s">
        <v>14194</v>
      </c>
      <c r="QGJ1" s="286" t="s">
        <v>14195</v>
      </c>
      <c r="QGK1" s="286" t="s">
        <v>14196</v>
      </c>
      <c r="QGL1" s="286" t="s">
        <v>14197</v>
      </c>
      <c r="QGM1" s="286" t="s">
        <v>14198</v>
      </c>
      <c r="QGN1" s="286" t="s">
        <v>14199</v>
      </c>
      <c r="QGO1" s="286" t="s">
        <v>14200</v>
      </c>
      <c r="QGP1" s="286" t="s">
        <v>14201</v>
      </c>
      <c r="QGQ1" s="286" t="s">
        <v>14202</v>
      </c>
      <c r="QGR1" s="286" t="s">
        <v>14203</v>
      </c>
      <c r="QGS1" s="286" t="s">
        <v>14204</v>
      </c>
      <c r="QGT1" s="286" t="s">
        <v>14205</v>
      </c>
      <c r="QGU1" s="286" t="s">
        <v>14206</v>
      </c>
      <c r="QGV1" s="286" t="s">
        <v>14207</v>
      </c>
      <c r="QGW1" s="286" t="s">
        <v>14208</v>
      </c>
      <c r="QGX1" s="286" t="s">
        <v>14209</v>
      </c>
      <c r="QGY1" s="286" t="s">
        <v>14210</v>
      </c>
      <c r="QGZ1" s="286" t="s">
        <v>14211</v>
      </c>
      <c r="QHA1" s="286" t="s">
        <v>14212</v>
      </c>
      <c r="QHB1" s="286" t="s">
        <v>14213</v>
      </c>
      <c r="QHC1" s="286" t="s">
        <v>14214</v>
      </c>
      <c r="QHD1" s="286" t="s">
        <v>14215</v>
      </c>
      <c r="QHE1" s="286" t="s">
        <v>14216</v>
      </c>
      <c r="QHF1" s="286" t="s">
        <v>14217</v>
      </c>
      <c r="QHG1" s="286" t="s">
        <v>14218</v>
      </c>
      <c r="QHH1" s="286" t="s">
        <v>14219</v>
      </c>
      <c r="QHI1" s="286" t="s">
        <v>14220</v>
      </c>
      <c r="QHJ1" s="286" t="s">
        <v>14221</v>
      </c>
      <c r="QHK1" s="286" t="s">
        <v>14222</v>
      </c>
      <c r="QHL1" s="286" t="s">
        <v>14223</v>
      </c>
      <c r="QHM1" s="286" t="s">
        <v>14224</v>
      </c>
      <c r="QHN1" s="286" t="s">
        <v>14225</v>
      </c>
      <c r="QHO1" s="286" t="s">
        <v>14226</v>
      </c>
      <c r="QHP1" s="286" t="s">
        <v>14227</v>
      </c>
      <c r="QHQ1" s="286" t="s">
        <v>14228</v>
      </c>
      <c r="QHR1" s="286" t="s">
        <v>14229</v>
      </c>
      <c r="QHS1" s="286" t="s">
        <v>14230</v>
      </c>
      <c r="QHT1" s="286" t="s">
        <v>14231</v>
      </c>
      <c r="QHU1" s="286" t="s">
        <v>14232</v>
      </c>
      <c r="QHV1" s="286" t="s">
        <v>14233</v>
      </c>
      <c r="QHW1" s="286" t="s">
        <v>14234</v>
      </c>
      <c r="QHX1" s="286" t="s">
        <v>14235</v>
      </c>
      <c r="QHY1" s="286" t="s">
        <v>14236</v>
      </c>
      <c r="QHZ1" s="286" t="s">
        <v>14237</v>
      </c>
      <c r="QIA1" s="286" t="s">
        <v>14238</v>
      </c>
      <c r="QIB1" s="286" t="s">
        <v>14239</v>
      </c>
      <c r="QIC1" s="286" t="s">
        <v>14240</v>
      </c>
      <c r="QID1" s="286" t="s">
        <v>14241</v>
      </c>
      <c r="QIE1" s="286" t="s">
        <v>14242</v>
      </c>
      <c r="QIF1" s="286" t="s">
        <v>14243</v>
      </c>
      <c r="QIG1" s="286" t="s">
        <v>14244</v>
      </c>
      <c r="QIH1" s="286" t="s">
        <v>14245</v>
      </c>
      <c r="QII1" s="286" t="s">
        <v>14246</v>
      </c>
      <c r="QIJ1" s="286" t="s">
        <v>14247</v>
      </c>
      <c r="QIK1" s="286" t="s">
        <v>14248</v>
      </c>
      <c r="QIL1" s="286" t="s">
        <v>14249</v>
      </c>
      <c r="QIM1" s="286" t="s">
        <v>14250</v>
      </c>
      <c r="QIN1" s="286" t="s">
        <v>14251</v>
      </c>
      <c r="QIO1" s="286" t="s">
        <v>14252</v>
      </c>
      <c r="QIP1" s="286" t="s">
        <v>14253</v>
      </c>
      <c r="QIQ1" s="286" t="s">
        <v>14254</v>
      </c>
      <c r="QIR1" s="286" t="s">
        <v>14255</v>
      </c>
      <c r="QIS1" s="286" t="s">
        <v>14256</v>
      </c>
      <c r="QIT1" s="286" t="s">
        <v>14257</v>
      </c>
      <c r="QIU1" s="286" t="s">
        <v>14258</v>
      </c>
      <c r="QIV1" s="286" t="s">
        <v>14259</v>
      </c>
      <c r="QIW1" s="286" t="s">
        <v>14260</v>
      </c>
      <c r="QIX1" s="286" t="s">
        <v>14261</v>
      </c>
      <c r="QIY1" s="286" t="s">
        <v>14262</v>
      </c>
      <c r="QIZ1" s="286" t="s">
        <v>14263</v>
      </c>
      <c r="QJA1" s="286" t="s">
        <v>14264</v>
      </c>
      <c r="QJB1" s="286" t="s">
        <v>14265</v>
      </c>
      <c r="QJC1" s="286" t="s">
        <v>14266</v>
      </c>
      <c r="QJD1" s="286" t="s">
        <v>14267</v>
      </c>
      <c r="QJE1" s="286" t="s">
        <v>14268</v>
      </c>
      <c r="QJF1" s="286" t="s">
        <v>14269</v>
      </c>
      <c r="QJG1" s="286" t="s">
        <v>14270</v>
      </c>
      <c r="QJH1" s="286" t="s">
        <v>14271</v>
      </c>
      <c r="QJI1" s="286" t="s">
        <v>14272</v>
      </c>
      <c r="QJJ1" s="286" t="s">
        <v>14273</v>
      </c>
      <c r="QJK1" s="286" t="s">
        <v>14274</v>
      </c>
      <c r="QJL1" s="286" t="s">
        <v>14275</v>
      </c>
      <c r="QJM1" s="286" t="s">
        <v>14276</v>
      </c>
      <c r="QJN1" s="286" t="s">
        <v>14277</v>
      </c>
      <c r="QJO1" s="286" t="s">
        <v>14278</v>
      </c>
      <c r="QJP1" s="286" t="s">
        <v>14279</v>
      </c>
      <c r="QJQ1" s="286" t="s">
        <v>14280</v>
      </c>
      <c r="QJR1" s="286" t="s">
        <v>14281</v>
      </c>
      <c r="QJS1" s="286" t="s">
        <v>14282</v>
      </c>
      <c r="QJT1" s="286" t="s">
        <v>14283</v>
      </c>
      <c r="QJU1" s="286" t="s">
        <v>14284</v>
      </c>
      <c r="QJV1" s="286" t="s">
        <v>14285</v>
      </c>
      <c r="QJW1" s="286" t="s">
        <v>14286</v>
      </c>
      <c r="QJX1" s="286" t="s">
        <v>14287</v>
      </c>
      <c r="QJY1" s="286" t="s">
        <v>14288</v>
      </c>
      <c r="QJZ1" s="286" t="s">
        <v>14289</v>
      </c>
      <c r="QKA1" s="286" t="s">
        <v>14290</v>
      </c>
      <c r="QKB1" s="286" t="s">
        <v>14291</v>
      </c>
      <c r="QKC1" s="286" t="s">
        <v>14292</v>
      </c>
      <c r="QKD1" s="286" t="s">
        <v>14293</v>
      </c>
      <c r="QKE1" s="286" t="s">
        <v>14294</v>
      </c>
      <c r="QKF1" s="286" t="s">
        <v>14295</v>
      </c>
      <c r="QKG1" s="286" t="s">
        <v>14296</v>
      </c>
      <c r="QKH1" s="286" t="s">
        <v>14297</v>
      </c>
      <c r="QKI1" s="286" t="s">
        <v>14298</v>
      </c>
      <c r="QKJ1" s="286" t="s">
        <v>14299</v>
      </c>
      <c r="QKK1" s="286" t="s">
        <v>14300</v>
      </c>
      <c r="QKL1" s="286" t="s">
        <v>14301</v>
      </c>
      <c r="QKM1" s="286" t="s">
        <v>14302</v>
      </c>
      <c r="QKN1" s="286" t="s">
        <v>14303</v>
      </c>
      <c r="QKO1" s="286" t="s">
        <v>14304</v>
      </c>
      <c r="QKP1" s="286" t="s">
        <v>14305</v>
      </c>
      <c r="QKQ1" s="286" t="s">
        <v>14306</v>
      </c>
      <c r="QKR1" s="286" t="s">
        <v>14307</v>
      </c>
      <c r="QKS1" s="286" t="s">
        <v>14308</v>
      </c>
      <c r="QKT1" s="286" t="s">
        <v>14309</v>
      </c>
      <c r="QKU1" s="286" t="s">
        <v>14310</v>
      </c>
      <c r="QKV1" s="286" t="s">
        <v>14311</v>
      </c>
      <c r="QKW1" s="286" t="s">
        <v>14312</v>
      </c>
      <c r="QKX1" s="286" t="s">
        <v>14313</v>
      </c>
      <c r="QKY1" s="286" t="s">
        <v>14314</v>
      </c>
      <c r="QKZ1" s="286" t="s">
        <v>14315</v>
      </c>
      <c r="QLA1" s="286" t="s">
        <v>14316</v>
      </c>
      <c r="QLB1" s="286" t="s">
        <v>14317</v>
      </c>
      <c r="QLC1" s="286" t="s">
        <v>14318</v>
      </c>
      <c r="QLD1" s="286" t="s">
        <v>14319</v>
      </c>
      <c r="QLE1" s="286" t="s">
        <v>14320</v>
      </c>
      <c r="QLF1" s="286" t="s">
        <v>14321</v>
      </c>
      <c r="QLG1" s="286" t="s">
        <v>14322</v>
      </c>
      <c r="QLH1" s="286" t="s">
        <v>14323</v>
      </c>
      <c r="QLI1" s="286" t="s">
        <v>14324</v>
      </c>
      <c r="QLJ1" s="286" t="s">
        <v>14325</v>
      </c>
      <c r="QLK1" s="286" t="s">
        <v>14326</v>
      </c>
      <c r="QLL1" s="286" t="s">
        <v>14327</v>
      </c>
      <c r="QLM1" s="286" t="s">
        <v>14328</v>
      </c>
      <c r="QLN1" s="286" t="s">
        <v>14329</v>
      </c>
      <c r="QLO1" s="286" t="s">
        <v>14330</v>
      </c>
      <c r="QLP1" s="286" t="s">
        <v>14331</v>
      </c>
      <c r="QLQ1" s="286" t="s">
        <v>14332</v>
      </c>
      <c r="QLR1" s="286" t="s">
        <v>14333</v>
      </c>
      <c r="QLS1" s="286" t="s">
        <v>14334</v>
      </c>
      <c r="QLT1" s="286" t="s">
        <v>14335</v>
      </c>
      <c r="QLU1" s="286" t="s">
        <v>14336</v>
      </c>
      <c r="QLV1" s="286" t="s">
        <v>14337</v>
      </c>
      <c r="QLW1" s="286" t="s">
        <v>14338</v>
      </c>
      <c r="QLX1" s="286" t="s">
        <v>14339</v>
      </c>
      <c r="QLY1" s="286" t="s">
        <v>14340</v>
      </c>
      <c r="QLZ1" s="286" t="s">
        <v>14341</v>
      </c>
      <c r="QMA1" s="286" t="s">
        <v>14342</v>
      </c>
      <c r="QMB1" s="286" t="s">
        <v>14343</v>
      </c>
      <c r="QMC1" s="286" t="s">
        <v>14344</v>
      </c>
      <c r="QMD1" s="286" t="s">
        <v>14345</v>
      </c>
      <c r="QME1" s="286" t="s">
        <v>14346</v>
      </c>
      <c r="QMF1" s="286" t="s">
        <v>14347</v>
      </c>
      <c r="QMG1" s="286" t="s">
        <v>14348</v>
      </c>
      <c r="QMH1" s="286" t="s">
        <v>14349</v>
      </c>
      <c r="QMI1" s="286" t="s">
        <v>14350</v>
      </c>
      <c r="QMJ1" s="286" t="s">
        <v>14351</v>
      </c>
      <c r="QMK1" s="286" t="s">
        <v>14352</v>
      </c>
      <c r="QML1" s="286" t="s">
        <v>14353</v>
      </c>
      <c r="QMM1" s="286" t="s">
        <v>14354</v>
      </c>
      <c r="QMN1" s="286" t="s">
        <v>14355</v>
      </c>
      <c r="QMO1" s="286" t="s">
        <v>14356</v>
      </c>
      <c r="QMP1" s="286" t="s">
        <v>14357</v>
      </c>
      <c r="QMQ1" s="286" t="s">
        <v>14358</v>
      </c>
      <c r="QMR1" s="286" t="s">
        <v>14359</v>
      </c>
      <c r="QMS1" s="286" t="s">
        <v>14360</v>
      </c>
      <c r="QMT1" s="286" t="s">
        <v>14361</v>
      </c>
      <c r="QMU1" s="286" t="s">
        <v>14362</v>
      </c>
      <c r="QMV1" s="286" t="s">
        <v>14363</v>
      </c>
      <c r="QMW1" s="286" t="s">
        <v>14364</v>
      </c>
      <c r="QMX1" s="286" t="s">
        <v>14365</v>
      </c>
      <c r="QMY1" s="286" t="s">
        <v>14366</v>
      </c>
      <c r="QMZ1" s="286" t="s">
        <v>14367</v>
      </c>
      <c r="QNA1" s="286" t="s">
        <v>14368</v>
      </c>
      <c r="QNB1" s="286" t="s">
        <v>14369</v>
      </c>
      <c r="QNC1" s="286" t="s">
        <v>14370</v>
      </c>
      <c r="QND1" s="286" t="s">
        <v>14371</v>
      </c>
      <c r="QNE1" s="286" t="s">
        <v>14372</v>
      </c>
      <c r="QNF1" s="286" t="s">
        <v>14373</v>
      </c>
      <c r="QNG1" s="286" t="s">
        <v>14374</v>
      </c>
      <c r="QNH1" s="286" t="s">
        <v>14375</v>
      </c>
      <c r="QNI1" s="286" t="s">
        <v>14376</v>
      </c>
      <c r="QNJ1" s="286" t="s">
        <v>14377</v>
      </c>
      <c r="QNK1" s="286" t="s">
        <v>14378</v>
      </c>
      <c r="QNL1" s="286" t="s">
        <v>14379</v>
      </c>
      <c r="QNM1" s="286" t="s">
        <v>14380</v>
      </c>
      <c r="QNN1" s="286" t="s">
        <v>14381</v>
      </c>
      <c r="QNO1" s="286" t="s">
        <v>14382</v>
      </c>
      <c r="QNP1" s="286" t="s">
        <v>14383</v>
      </c>
      <c r="QNQ1" s="286" t="s">
        <v>14384</v>
      </c>
      <c r="QNR1" s="286" t="s">
        <v>14385</v>
      </c>
      <c r="QNS1" s="286" t="s">
        <v>14386</v>
      </c>
      <c r="QNT1" s="286" t="s">
        <v>14387</v>
      </c>
      <c r="QNU1" s="286" t="s">
        <v>14388</v>
      </c>
      <c r="QNV1" s="286" t="s">
        <v>14389</v>
      </c>
      <c r="QNW1" s="286" t="s">
        <v>14390</v>
      </c>
      <c r="QNX1" s="286" t="s">
        <v>14391</v>
      </c>
      <c r="QNY1" s="286" t="s">
        <v>14392</v>
      </c>
      <c r="QNZ1" s="286" t="s">
        <v>14393</v>
      </c>
      <c r="QOA1" s="286" t="s">
        <v>14394</v>
      </c>
      <c r="QOB1" s="286" t="s">
        <v>14395</v>
      </c>
      <c r="QOC1" s="286" t="s">
        <v>14396</v>
      </c>
      <c r="QOD1" s="286" t="s">
        <v>14397</v>
      </c>
      <c r="QOE1" s="286" t="s">
        <v>14398</v>
      </c>
      <c r="QOF1" s="286" t="s">
        <v>14399</v>
      </c>
      <c r="QOG1" s="286" t="s">
        <v>14400</v>
      </c>
      <c r="QOH1" s="286" t="s">
        <v>14401</v>
      </c>
      <c r="QOI1" s="286" t="s">
        <v>14402</v>
      </c>
      <c r="QOJ1" s="286" t="s">
        <v>14403</v>
      </c>
      <c r="QOK1" s="286" t="s">
        <v>14404</v>
      </c>
      <c r="QOL1" s="286" t="s">
        <v>14405</v>
      </c>
      <c r="QOM1" s="286" t="s">
        <v>14406</v>
      </c>
      <c r="QON1" s="286" t="s">
        <v>14407</v>
      </c>
      <c r="QOO1" s="286" t="s">
        <v>14408</v>
      </c>
      <c r="QOP1" s="286" t="s">
        <v>14409</v>
      </c>
      <c r="QOQ1" s="286" t="s">
        <v>14410</v>
      </c>
      <c r="QOR1" s="286" t="s">
        <v>14411</v>
      </c>
      <c r="QOS1" s="286" t="s">
        <v>14412</v>
      </c>
      <c r="QOT1" s="286" t="s">
        <v>14413</v>
      </c>
      <c r="QOU1" s="286" t="s">
        <v>14414</v>
      </c>
      <c r="QOV1" s="286" t="s">
        <v>14415</v>
      </c>
      <c r="QOW1" s="286" t="s">
        <v>14416</v>
      </c>
      <c r="QOX1" s="286" t="s">
        <v>14417</v>
      </c>
      <c r="QOY1" s="286" t="s">
        <v>14418</v>
      </c>
      <c r="QOZ1" s="286" t="s">
        <v>14419</v>
      </c>
      <c r="QPA1" s="286" t="s">
        <v>14420</v>
      </c>
      <c r="QPB1" s="286" t="s">
        <v>14421</v>
      </c>
      <c r="QPC1" s="286" t="s">
        <v>14422</v>
      </c>
      <c r="QPD1" s="286" t="s">
        <v>14423</v>
      </c>
      <c r="QPE1" s="286" t="s">
        <v>14424</v>
      </c>
      <c r="QPF1" s="286" t="s">
        <v>14425</v>
      </c>
      <c r="QPG1" s="286" t="s">
        <v>14426</v>
      </c>
      <c r="QPH1" s="286" t="s">
        <v>14427</v>
      </c>
      <c r="QPI1" s="286" t="s">
        <v>14428</v>
      </c>
      <c r="QPJ1" s="286" t="s">
        <v>14429</v>
      </c>
      <c r="QPK1" s="286" t="s">
        <v>14430</v>
      </c>
      <c r="QPL1" s="286" t="s">
        <v>14431</v>
      </c>
      <c r="QPM1" s="286" t="s">
        <v>14432</v>
      </c>
      <c r="QPN1" s="286" t="s">
        <v>14433</v>
      </c>
      <c r="QPO1" s="286" t="s">
        <v>14434</v>
      </c>
      <c r="QPP1" s="286" t="s">
        <v>14435</v>
      </c>
      <c r="QPQ1" s="286" t="s">
        <v>14436</v>
      </c>
      <c r="QPR1" s="286" t="s">
        <v>14437</v>
      </c>
      <c r="QPS1" s="286" t="s">
        <v>14438</v>
      </c>
      <c r="QPT1" s="286" t="s">
        <v>14439</v>
      </c>
      <c r="QPU1" s="286" t="s">
        <v>14440</v>
      </c>
      <c r="QPV1" s="286" t="s">
        <v>14441</v>
      </c>
      <c r="QPW1" s="286" t="s">
        <v>14442</v>
      </c>
      <c r="QPX1" s="286" t="s">
        <v>14443</v>
      </c>
      <c r="QPY1" s="286" t="s">
        <v>14444</v>
      </c>
      <c r="QPZ1" s="286" t="s">
        <v>14445</v>
      </c>
      <c r="QQA1" s="286" t="s">
        <v>14446</v>
      </c>
      <c r="QQB1" s="286" t="s">
        <v>14447</v>
      </c>
      <c r="QQC1" s="286" t="s">
        <v>14448</v>
      </c>
      <c r="QQD1" s="286" t="s">
        <v>14449</v>
      </c>
      <c r="QQE1" s="286" t="s">
        <v>14450</v>
      </c>
      <c r="QQF1" s="286" t="s">
        <v>14451</v>
      </c>
      <c r="QQG1" s="286" t="s">
        <v>14452</v>
      </c>
      <c r="QQH1" s="286" t="s">
        <v>14453</v>
      </c>
      <c r="QQI1" s="286" t="s">
        <v>14454</v>
      </c>
      <c r="QQJ1" s="286" t="s">
        <v>14455</v>
      </c>
      <c r="QQK1" s="286" t="s">
        <v>14456</v>
      </c>
      <c r="QQL1" s="286" t="s">
        <v>14457</v>
      </c>
      <c r="QQM1" s="286" t="s">
        <v>14458</v>
      </c>
      <c r="QQN1" s="286" t="s">
        <v>14459</v>
      </c>
      <c r="QQO1" s="286" t="s">
        <v>14460</v>
      </c>
      <c r="QQP1" s="286" t="s">
        <v>14461</v>
      </c>
      <c r="QQQ1" s="286" t="s">
        <v>14462</v>
      </c>
      <c r="QQR1" s="286" t="s">
        <v>14463</v>
      </c>
      <c r="QQS1" s="286" t="s">
        <v>14464</v>
      </c>
      <c r="QQT1" s="286" t="s">
        <v>14465</v>
      </c>
      <c r="QQU1" s="286" t="s">
        <v>14466</v>
      </c>
      <c r="QQV1" s="286" t="s">
        <v>14467</v>
      </c>
      <c r="QQW1" s="286" t="s">
        <v>14468</v>
      </c>
      <c r="QQX1" s="286" t="s">
        <v>14469</v>
      </c>
      <c r="QQY1" s="286" t="s">
        <v>14470</v>
      </c>
      <c r="QQZ1" s="286" t="s">
        <v>14471</v>
      </c>
      <c r="QRA1" s="286" t="s">
        <v>14472</v>
      </c>
      <c r="QRB1" s="286" t="s">
        <v>14473</v>
      </c>
      <c r="QRC1" s="286" t="s">
        <v>14474</v>
      </c>
      <c r="QRD1" s="286" t="s">
        <v>14475</v>
      </c>
      <c r="QRE1" s="286" t="s">
        <v>14476</v>
      </c>
      <c r="QRF1" s="286" t="s">
        <v>14477</v>
      </c>
      <c r="QRG1" s="286" t="s">
        <v>14478</v>
      </c>
      <c r="QRH1" s="286" t="s">
        <v>14479</v>
      </c>
      <c r="QRI1" s="286" t="s">
        <v>14480</v>
      </c>
      <c r="QRJ1" s="286" t="s">
        <v>14481</v>
      </c>
      <c r="QRK1" s="286" t="s">
        <v>14482</v>
      </c>
      <c r="QRL1" s="286" t="s">
        <v>14483</v>
      </c>
      <c r="QRM1" s="286" t="s">
        <v>14484</v>
      </c>
      <c r="QRN1" s="286" t="s">
        <v>14485</v>
      </c>
      <c r="QRO1" s="286" t="s">
        <v>14486</v>
      </c>
      <c r="QRP1" s="286" t="s">
        <v>14487</v>
      </c>
      <c r="QRQ1" s="286" t="s">
        <v>14488</v>
      </c>
      <c r="QRR1" s="286" t="s">
        <v>14489</v>
      </c>
      <c r="QRS1" s="286" t="s">
        <v>14490</v>
      </c>
      <c r="QRT1" s="286" t="s">
        <v>14491</v>
      </c>
      <c r="QRU1" s="286" t="s">
        <v>14492</v>
      </c>
      <c r="QRV1" s="286" t="s">
        <v>14493</v>
      </c>
      <c r="QRW1" s="286" t="s">
        <v>14494</v>
      </c>
      <c r="QRX1" s="286" t="s">
        <v>14495</v>
      </c>
      <c r="QRY1" s="286" t="s">
        <v>14496</v>
      </c>
      <c r="QRZ1" s="286" t="s">
        <v>14497</v>
      </c>
      <c r="QSA1" s="286" t="s">
        <v>14498</v>
      </c>
      <c r="QSB1" s="286" t="s">
        <v>14499</v>
      </c>
      <c r="QSC1" s="286" t="s">
        <v>14500</v>
      </c>
      <c r="QSD1" s="286" t="s">
        <v>14501</v>
      </c>
      <c r="QSE1" s="286" t="s">
        <v>14502</v>
      </c>
      <c r="QSF1" s="286" t="s">
        <v>14503</v>
      </c>
      <c r="QSG1" s="286" t="s">
        <v>14504</v>
      </c>
      <c r="QSH1" s="286" t="s">
        <v>14505</v>
      </c>
      <c r="QSI1" s="286" t="s">
        <v>14506</v>
      </c>
      <c r="QSJ1" s="286" t="s">
        <v>14507</v>
      </c>
      <c r="QSK1" s="286" t="s">
        <v>14508</v>
      </c>
      <c r="QSL1" s="286" t="s">
        <v>14509</v>
      </c>
      <c r="QSM1" s="286" t="s">
        <v>14510</v>
      </c>
      <c r="QSN1" s="286" t="s">
        <v>14511</v>
      </c>
      <c r="QSO1" s="286" t="s">
        <v>14512</v>
      </c>
      <c r="QSP1" s="286" t="s">
        <v>14513</v>
      </c>
      <c r="QSQ1" s="286" t="s">
        <v>14514</v>
      </c>
      <c r="QSR1" s="286" t="s">
        <v>14515</v>
      </c>
      <c r="QSS1" s="286" t="s">
        <v>14516</v>
      </c>
      <c r="QST1" s="286" t="s">
        <v>14517</v>
      </c>
      <c r="QSU1" s="286" t="s">
        <v>14518</v>
      </c>
      <c r="QSV1" s="286" t="s">
        <v>14519</v>
      </c>
      <c r="QSW1" s="286" t="s">
        <v>14520</v>
      </c>
      <c r="QSX1" s="286" t="s">
        <v>14521</v>
      </c>
      <c r="QSY1" s="286" t="s">
        <v>14522</v>
      </c>
      <c r="QSZ1" s="286" t="s">
        <v>14523</v>
      </c>
      <c r="QTA1" s="286" t="s">
        <v>14524</v>
      </c>
      <c r="QTB1" s="286" t="s">
        <v>14525</v>
      </c>
      <c r="QTC1" s="286" t="s">
        <v>14526</v>
      </c>
      <c r="QTD1" s="286" t="s">
        <v>14527</v>
      </c>
      <c r="QTE1" s="286" t="s">
        <v>14528</v>
      </c>
      <c r="QTF1" s="286" t="s">
        <v>14529</v>
      </c>
      <c r="QTG1" s="286" t="s">
        <v>14530</v>
      </c>
      <c r="QTH1" s="286" t="s">
        <v>14531</v>
      </c>
      <c r="QTI1" s="286" t="s">
        <v>14532</v>
      </c>
      <c r="QTJ1" s="286" t="s">
        <v>14533</v>
      </c>
      <c r="QTK1" s="286" t="s">
        <v>14534</v>
      </c>
      <c r="QTL1" s="286" t="s">
        <v>14535</v>
      </c>
      <c r="QTM1" s="286" t="s">
        <v>14536</v>
      </c>
      <c r="QTN1" s="286" t="s">
        <v>14537</v>
      </c>
      <c r="QTO1" s="286" t="s">
        <v>14538</v>
      </c>
      <c r="QTP1" s="286" t="s">
        <v>14539</v>
      </c>
      <c r="QTQ1" s="286" t="s">
        <v>14540</v>
      </c>
      <c r="QTR1" s="286" t="s">
        <v>14541</v>
      </c>
      <c r="QTS1" s="286" t="s">
        <v>14542</v>
      </c>
      <c r="QTT1" s="286" t="s">
        <v>14543</v>
      </c>
      <c r="QTU1" s="286" t="s">
        <v>14544</v>
      </c>
      <c r="QTV1" s="286" t="s">
        <v>14545</v>
      </c>
      <c r="QTW1" s="286" t="s">
        <v>14546</v>
      </c>
      <c r="QTX1" s="286" t="s">
        <v>14547</v>
      </c>
      <c r="QTY1" s="286" t="s">
        <v>14548</v>
      </c>
      <c r="QTZ1" s="286" t="s">
        <v>14549</v>
      </c>
      <c r="QUA1" s="286" t="s">
        <v>14550</v>
      </c>
      <c r="QUB1" s="286" t="s">
        <v>14551</v>
      </c>
      <c r="QUC1" s="286" t="s">
        <v>14552</v>
      </c>
      <c r="QUD1" s="286" t="s">
        <v>14553</v>
      </c>
      <c r="QUE1" s="286" t="s">
        <v>14554</v>
      </c>
      <c r="QUF1" s="286" t="s">
        <v>14555</v>
      </c>
      <c r="QUG1" s="286" t="s">
        <v>14556</v>
      </c>
      <c r="QUH1" s="286" t="s">
        <v>14557</v>
      </c>
      <c r="QUI1" s="286" t="s">
        <v>14558</v>
      </c>
      <c r="QUJ1" s="286" t="s">
        <v>14559</v>
      </c>
      <c r="QUK1" s="286" t="s">
        <v>14560</v>
      </c>
      <c r="QUL1" s="286" t="s">
        <v>14561</v>
      </c>
      <c r="QUM1" s="286" t="s">
        <v>14562</v>
      </c>
      <c r="QUN1" s="286" t="s">
        <v>14563</v>
      </c>
      <c r="QUO1" s="286" t="s">
        <v>14564</v>
      </c>
      <c r="QUP1" s="286" t="s">
        <v>14565</v>
      </c>
      <c r="QUQ1" s="286" t="s">
        <v>14566</v>
      </c>
      <c r="QUR1" s="286" t="s">
        <v>14567</v>
      </c>
      <c r="QUS1" s="286" t="s">
        <v>14568</v>
      </c>
      <c r="QUT1" s="286" t="s">
        <v>14569</v>
      </c>
      <c r="QUU1" s="286" t="s">
        <v>14570</v>
      </c>
      <c r="QUV1" s="286" t="s">
        <v>14571</v>
      </c>
      <c r="QUW1" s="286" t="s">
        <v>14572</v>
      </c>
      <c r="QUX1" s="286" t="s">
        <v>14573</v>
      </c>
      <c r="QUY1" s="286" t="s">
        <v>14574</v>
      </c>
      <c r="QUZ1" s="286" t="s">
        <v>14575</v>
      </c>
      <c r="QVA1" s="286" t="s">
        <v>14576</v>
      </c>
      <c r="QVB1" s="286" t="s">
        <v>14577</v>
      </c>
      <c r="QVC1" s="286" t="s">
        <v>14578</v>
      </c>
      <c r="QVD1" s="286" t="s">
        <v>14579</v>
      </c>
      <c r="QVE1" s="286" t="s">
        <v>14580</v>
      </c>
      <c r="QVF1" s="286" t="s">
        <v>14581</v>
      </c>
      <c r="QVG1" s="286" t="s">
        <v>14582</v>
      </c>
      <c r="QVH1" s="286" t="s">
        <v>14583</v>
      </c>
      <c r="QVI1" s="286" t="s">
        <v>14584</v>
      </c>
      <c r="QVJ1" s="286" t="s">
        <v>14585</v>
      </c>
      <c r="QVK1" s="286" t="s">
        <v>14586</v>
      </c>
      <c r="QVL1" s="286" t="s">
        <v>14587</v>
      </c>
      <c r="QVM1" s="286" t="s">
        <v>14588</v>
      </c>
      <c r="QVN1" s="286" t="s">
        <v>14589</v>
      </c>
      <c r="QVO1" s="286" t="s">
        <v>14590</v>
      </c>
      <c r="QVP1" s="286" t="s">
        <v>14591</v>
      </c>
      <c r="QVQ1" s="286" t="s">
        <v>14592</v>
      </c>
      <c r="QVR1" s="286" t="s">
        <v>14593</v>
      </c>
      <c r="QVS1" s="286" t="s">
        <v>14594</v>
      </c>
      <c r="QVT1" s="286" t="s">
        <v>14595</v>
      </c>
      <c r="QVU1" s="286" t="s">
        <v>14596</v>
      </c>
      <c r="QVV1" s="286" t="s">
        <v>14597</v>
      </c>
      <c r="QVW1" s="286" t="s">
        <v>14598</v>
      </c>
      <c r="QVX1" s="286" t="s">
        <v>14599</v>
      </c>
      <c r="QVY1" s="286" t="s">
        <v>14600</v>
      </c>
      <c r="QVZ1" s="286" t="s">
        <v>14601</v>
      </c>
      <c r="QWA1" s="286" t="s">
        <v>14602</v>
      </c>
      <c r="QWB1" s="286" t="s">
        <v>14603</v>
      </c>
      <c r="QWC1" s="286" t="s">
        <v>14604</v>
      </c>
      <c r="QWD1" s="286" t="s">
        <v>14605</v>
      </c>
      <c r="QWE1" s="286" t="s">
        <v>14606</v>
      </c>
      <c r="QWF1" s="286" t="s">
        <v>14607</v>
      </c>
      <c r="QWG1" s="286" t="s">
        <v>14608</v>
      </c>
      <c r="QWH1" s="286" t="s">
        <v>14609</v>
      </c>
      <c r="QWI1" s="286" t="s">
        <v>14610</v>
      </c>
      <c r="QWJ1" s="286" t="s">
        <v>14611</v>
      </c>
      <c r="QWK1" s="286" t="s">
        <v>14612</v>
      </c>
      <c r="QWL1" s="286" t="s">
        <v>14613</v>
      </c>
      <c r="QWM1" s="286" t="s">
        <v>14614</v>
      </c>
      <c r="QWN1" s="286" t="s">
        <v>14615</v>
      </c>
      <c r="QWO1" s="286" t="s">
        <v>14616</v>
      </c>
      <c r="QWP1" s="286" t="s">
        <v>14617</v>
      </c>
      <c r="QWQ1" s="286" t="s">
        <v>14618</v>
      </c>
      <c r="QWR1" s="286" t="s">
        <v>14619</v>
      </c>
      <c r="QWS1" s="286" t="s">
        <v>14620</v>
      </c>
      <c r="QWT1" s="286" t="s">
        <v>14621</v>
      </c>
      <c r="QWU1" s="286" t="s">
        <v>14622</v>
      </c>
      <c r="QWV1" s="286" t="s">
        <v>14623</v>
      </c>
      <c r="QWW1" s="286" t="s">
        <v>14624</v>
      </c>
      <c r="QWX1" s="286" t="s">
        <v>14625</v>
      </c>
      <c r="QWY1" s="286" t="s">
        <v>14626</v>
      </c>
      <c r="QWZ1" s="286" t="s">
        <v>14627</v>
      </c>
      <c r="QXA1" s="286" t="s">
        <v>14628</v>
      </c>
      <c r="QXB1" s="286" t="s">
        <v>14629</v>
      </c>
      <c r="QXC1" s="286" t="s">
        <v>14630</v>
      </c>
      <c r="QXD1" s="286" t="s">
        <v>14631</v>
      </c>
      <c r="QXE1" s="286" t="s">
        <v>14632</v>
      </c>
      <c r="QXF1" s="286" t="s">
        <v>14633</v>
      </c>
      <c r="QXG1" s="286" t="s">
        <v>14634</v>
      </c>
      <c r="QXH1" s="286" t="s">
        <v>14635</v>
      </c>
      <c r="QXI1" s="286" t="s">
        <v>14636</v>
      </c>
      <c r="QXJ1" s="286" t="s">
        <v>14637</v>
      </c>
      <c r="QXK1" s="286" t="s">
        <v>14638</v>
      </c>
      <c r="QXL1" s="286" t="s">
        <v>14639</v>
      </c>
      <c r="QXM1" s="286" t="s">
        <v>14640</v>
      </c>
      <c r="QXN1" s="286" t="s">
        <v>14641</v>
      </c>
      <c r="QXO1" s="286" t="s">
        <v>14642</v>
      </c>
      <c r="QXP1" s="286" t="s">
        <v>14643</v>
      </c>
      <c r="QXQ1" s="286" t="s">
        <v>14644</v>
      </c>
      <c r="QXR1" s="286" t="s">
        <v>14645</v>
      </c>
      <c r="QXS1" s="286" t="s">
        <v>14646</v>
      </c>
      <c r="QXT1" s="286" t="s">
        <v>14647</v>
      </c>
      <c r="QXU1" s="286" t="s">
        <v>14648</v>
      </c>
      <c r="QXV1" s="286" t="s">
        <v>14649</v>
      </c>
      <c r="QXW1" s="286" t="s">
        <v>14650</v>
      </c>
      <c r="QXX1" s="286" t="s">
        <v>14651</v>
      </c>
      <c r="QXY1" s="286" t="s">
        <v>14652</v>
      </c>
      <c r="QXZ1" s="286" t="s">
        <v>14653</v>
      </c>
      <c r="QYA1" s="286" t="s">
        <v>14654</v>
      </c>
      <c r="QYB1" s="286" t="s">
        <v>14655</v>
      </c>
      <c r="QYC1" s="286" t="s">
        <v>14656</v>
      </c>
      <c r="QYD1" s="286" t="s">
        <v>14657</v>
      </c>
      <c r="QYE1" s="286" t="s">
        <v>14658</v>
      </c>
      <c r="QYF1" s="286" t="s">
        <v>14659</v>
      </c>
      <c r="QYG1" s="286" t="s">
        <v>14660</v>
      </c>
      <c r="QYH1" s="286" t="s">
        <v>14661</v>
      </c>
      <c r="QYI1" s="286" t="s">
        <v>14662</v>
      </c>
      <c r="QYJ1" s="286" t="s">
        <v>14663</v>
      </c>
      <c r="QYK1" s="286" t="s">
        <v>14664</v>
      </c>
      <c r="QYL1" s="286" t="s">
        <v>14665</v>
      </c>
      <c r="QYM1" s="286" t="s">
        <v>14666</v>
      </c>
      <c r="QYN1" s="286" t="s">
        <v>14667</v>
      </c>
      <c r="QYO1" s="286" t="s">
        <v>14668</v>
      </c>
      <c r="QYP1" s="286" t="s">
        <v>14669</v>
      </c>
      <c r="QYQ1" s="286" t="s">
        <v>14670</v>
      </c>
      <c r="QYR1" s="286" t="s">
        <v>14671</v>
      </c>
      <c r="QYS1" s="286" t="s">
        <v>14672</v>
      </c>
      <c r="QYT1" s="286" t="s">
        <v>14673</v>
      </c>
      <c r="QYU1" s="286" t="s">
        <v>14674</v>
      </c>
      <c r="QYV1" s="286" t="s">
        <v>14675</v>
      </c>
      <c r="QYW1" s="286" t="s">
        <v>14676</v>
      </c>
      <c r="QYX1" s="286" t="s">
        <v>14677</v>
      </c>
      <c r="QYY1" s="286" t="s">
        <v>14678</v>
      </c>
      <c r="QYZ1" s="286" t="s">
        <v>14679</v>
      </c>
      <c r="QZA1" s="286" t="s">
        <v>14680</v>
      </c>
      <c r="QZB1" s="286" t="s">
        <v>14681</v>
      </c>
      <c r="QZC1" s="286" t="s">
        <v>14682</v>
      </c>
      <c r="QZD1" s="286" t="s">
        <v>14683</v>
      </c>
      <c r="QZE1" s="286" t="s">
        <v>14684</v>
      </c>
      <c r="QZF1" s="286" t="s">
        <v>14685</v>
      </c>
      <c r="QZG1" s="286" t="s">
        <v>14686</v>
      </c>
      <c r="QZH1" s="286" t="s">
        <v>14687</v>
      </c>
      <c r="QZI1" s="286" t="s">
        <v>14688</v>
      </c>
      <c r="QZJ1" s="286" t="s">
        <v>14689</v>
      </c>
      <c r="QZK1" s="286" t="s">
        <v>14690</v>
      </c>
      <c r="QZL1" s="286" t="s">
        <v>14691</v>
      </c>
      <c r="QZM1" s="286" t="s">
        <v>14692</v>
      </c>
      <c r="QZN1" s="286" t="s">
        <v>14693</v>
      </c>
      <c r="QZO1" s="286" t="s">
        <v>14694</v>
      </c>
      <c r="QZP1" s="286" t="s">
        <v>14695</v>
      </c>
      <c r="QZQ1" s="286" t="s">
        <v>14696</v>
      </c>
      <c r="QZR1" s="286" t="s">
        <v>14697</v>
      </c>
      <c r="QZS1" s="286" t="s">
        <v>14698</v>
      </c>
      <c r="QZT1" s="286" t="s">
        <v>14699</v>
      </c>
      <c r="QZU1" s="286" t="s">
        <v>14700</v>
      </c>
      <c r="QZV1" s="286" t="s">
        <v>14701</v>
      </c>
      <c r="QZW1" s="286" t="s">
        <v>14702</v>
      </c>
      <c r="QZX1" s="286" t="s">
        <v>14703</v>
      </c>
      <c r="QZY1" s="286" t="s">
        <v>14704</v>
      </c>
      <c r="QZZ1" s="286" t="s">
        <v>14705</v>
      </c>
      <c r="RAA1" s="286" t="s">
        <v>14706</v>
      </c>
      <c r="RAB1" s="286" t="s">
        <v>14707</v>
      </c>
      <c r="RAC1" s="286" t="s">
        <v>14708</v>
      </c>
      <c r="RAD1" s="286" t="s">
        <v>14709</v>
      </c>
      <c r="RAE1" s="286" t="s">
        <v>14710</v>
      </c>
      <c r="RAF1" s="286" t="s">
        <v>14711</v>
      </c>
      <c r="RAG1" s="286" t="s">
        <v>14712</v>
      </c>
      <c r="RAH1" s="286" t="s">
        <v>14713</v>
      </c>
      <c r="RAI1" s="286" t="s">
        <v>14714</v>
      </c>
      <c r="RAJ1" s="286" t="s">
        <v>14715</v>
      </c>
      <c r="RAK1" s="286" t="s">
        <v>14716</v>
      </c>
      <c r="RAL1" s="286" t="s">
        <v>14717</v>
      </c>
      <c r="RAM1" s="286" t="s">
        <v>14718</v>
      </c>
      <c r="RAN1" s="286" t="s">
        <v>14719</v>
      </c>
      <c r="RAO1" s="286" t="s">
        <v>14720</v>
      </c>
      <c r="RAP1" s="286" t="s">
        <v>14721</v>
      </c>
      <c r="RAQ1" s="286" t="s">
        <v>14722</v>
      </c>
      <c r="RAR1" s="286" t="s">
        <v>14723</v>
      </c>
      <c r="RAS1" s="286" t="s">
        <v>14724</v>
      </c>
      <c r="RAT1" s="286" t="s">
        <v>14725</v>
      </c>
      <c r="RAU1" s="286" t="s">
        <v>14726</v>
      </c>
      <c r="RAV1" s="286" t="s">
        <v>14727</v>
      </c>
      <c r="RAW1" s="286" t="s">
        <v>14728</v>
      </c>
      <c r="RAX1" s="286" t="s">
        <v>14729</v>
      </c>
      <c r="RAY1" s="286" t="s">
        <v>14730</v>
      </c>
      <c r="RAZ1" s="286" t="s">
        <v>14731</v>
      </c>
      <c r="RBA1" s="286" t="s">
        <v>14732</v>
      </c>
      <c r="RBB1" s="286" t="s">
        <v>14733</v>
      </c>
      <c r="RBC1" s="286" t="s">
        <v>14734</v>
      </c>
      <c r="RBD1" s="286" t="s">
        <v>14735</v>
      </c>
      <c r="RBE1" s="286" t="s">
        <v>14736</v>
      </c>
      <c r="RBF1" s="286" t="s">
        <v>14737</v>
      </c>
      <c r="RBG1" s="286" t="s">
        <v>14738</v>
      </c>
      <c r="RBH1" s="286" t="s">
        <v>14739</v>
      </c>
      <c r="RBI1" s="286" t="s">
        <v>14740</v>
      </c>
      <c r="RBJ1" s="286" t="s">
        <v>14741</v>
      </c>
      <c r="RBK1" s="286" t="s">
        <v>14742</v>
      </c>
      <c r="RBL1" s="286" t="s">
        <v>14743</v>
      </c>
      <c r="RBM1" s="286" t="s">
        <v>14744</v>
      </c>
      <c r="RBN1" s="286" t="s">
        <v>14745</v>
      </c>
      <c r="RBO1" s="286" t="s">
        <v>14746</v>
      </c>
      <c r="RBP1" s="286" t="s">
        <v>14747</v>
      </c>
      <c r="RBQ1" s="286" t="s">
        <v>14748</v>
      </c>
      <c r="RBR1" s="286" t="s">
        <v>14749</v>
      </c>
      <c r="RBS1" s="286" t="s">
        <v>14750</v>
      </c>
      <c r="RBT1" s="286" t="s">
        <v>14751</v>
      </c>
      <c r="RBU1" s="286" t="s">
        <v>14752</v>
      </c>
      <c r="RBV1" s="286" t="s">
        <v>14753</v>
      </c>
      <c r="RBW1" s="286" t="s">
        <v>14754</v>
      </c>
      <c r="RBX1" s="286" t="s">
        <v>14755</v>
      </c>
      <c r="RBY1" s="286" t="s">
        <v>14756</v>
      </c>
      <c r="RBZ1" s="286" t="s">
        <v>14757</v>
      </c>
      <c r="RCA1" s="286" t="s">
        <v>14758</v>
      </c>
      <c r="RCB1" s="286" t="s">
        <v>14759</v>
      </c>
      <c r="RCC1" s="286" t="s">
        <v>14760</v>
      </c>
      <c r="RCD1" s="286" t="s">
        <v>14761</v>
      </c>
      <c r="RCE1" s="286" t="s">
        <v>14762</v>
      </c>
      <c r="RCF1" s="286" t="s">
        <v>14763</v>
      </c>
      <c r="RCG1" s="286" t="s">
        <v>14764</v>
      </c>
      <c r="RCH1" s="286" t="s">
        <v>14765</v>
      </c>
      <c r="RCI1" s="286" t="s">
        <v>14766</v>
      </c>
      <c r="RCJ1" s="286" t="s">
        <v>14767</v>
      </c>
      <c r="RCK1" s="286" t="s">
        <v>14768</v>
      </c>
      <c r="RCL1" s="286" t="s">
        <v>14769</v>
      </c>
      <c r="RCM1" s="286" t="s">
        <v>14770</v>
      </c>
      <c r="RCN1" s="286" t="s">
        <v>14771</v>
      </c>
      <c r="RCO1" s="286" t="s">
        <v>14772</v>
      </c>
      <c r="RCP1" s="286" t="s">
        <v>14773</v>
      </c>
      <c r="RCQ1" s="286" t="s">
        <v>14774</v>
      </c>
      <c r="RCR1" s="286" t="s">
        <v>14775</v>
      </c>
      <c r="RCS1" s="286" t="s">
        <v>14776</v>
      </c>
      <c r="RCT1" s="286" t="s">
        <v>14777</v>
      </c>
      <c r="RCU1" s="286" t="s">
        <v>14778</v>
      </c>
      <c r="RCV1" s="286" t="s">
        <v>14779</v>
      </c>
      <c r="RCW1" s="286" t="s">
        <v>14780</v>
      </c>
      <c r="RCX1" s="286" t="s">
        <v>14781</v>
      </c>
      <c r="RCY1" s="286" t="s">
        <v>14782</v>
      </c>
      <c r="RCZ1" s="286" t="s">
        <v>14783</v>
      </c>
      <c r="RDA1" s="286" t="s">
        <v>14784</v>
      </c>
      <c r="RDB1" s="286" t="s">
        <v>14785</v>
      </c>
      <c r="RDC1" s="286" t="s">
        <v>14786</v>
      </c>
      <c r="RDD1" s="286" t="s">
        <v>14787</v>
      </c>
      <c r="RDE1" s="286" t="s">
        <v>14788</v>
      </c>
      <c r="RDF1" s="286" t="s">
        <v>14789</v>
      </c>
      <c r="RDG1" s="286" t="s">
        <v>14790</v>
      </c>
      <c r="RDH1" s="286" t="s">
        <v>14791</v>
      </c>
      <c r="RDI1" s="286" t="s">
        <v>14792</v>
      </c>
      <c r="RDJ1" s="286" t="s">
        <v>14793</v>
      </c>
      <c r="RDK1" s="286" t="s">
        <v>14794</v>
      </c>
      <c r="RDL1" s="286" t="s">
        <v>14795</v>
      </c>
      <c r="RDM1" s="286" t="s">
        <v>14796</v>
      </c>
      <c r="RDN1" s="286" t="s">
        <v>14797</v>
      </c>
      <c r="RDO1" s="286" t="s">
        <v>14798</v>
      </c>
      <c r="RDP1" s="286" t="s">
        <v>14799</v>
      </c>
      <c r="RDQ1" s="286" t="s">
        <v>14800</v>
      </c>
      <c r="RDR1" s="286" t="s">
        <v>14801</v>
      </c>
      <c r="RDS1" s="286" t="s">
        <v>14802</v>
      </c>
      <c r="RDT1" s="286" t="s">
        <v>14803</v>
      </c>
      <c r="RDU1" s="286" t="s">
        <v>14804</v>
      </c>
      <c r="RDV1" s="286" t="s">
        <v>14805</v>
      </c>
      <c r="RDW1" s="286" t="s">
        <v>14806</v>
      </c>
      <c r="RDX1" s="286" t="s">
        <v>14807</v>
      </c>
      <c r="RDY1" s="286" t="s">
        <v>14808</v>
      </c>
      <c r="RDZ1" s="286" t="s">
        <v>14809</v>
      </c>
      <c r="REA1" s="286" t="s">
        <v>14810</v>
      </c>
      <c r="REB1" s="286" t="s">
        <v>14811</v>
      </c>
      <c r="REC1" s="286" t="s">
        <v>14812</v>
      </c>
      <c r="RED1" s="286" t="s">
        <v>14813</v>
      </c>
      <c r="REE1" s="286" t="s">
        <v>14814</v>
      </c>
      <c r="REF1" s="286" t="s">
        <v>14815</v>
      </c>
      <c r="REG1" s="286" t="s">
        <v>14816</v>
      </c>
      <c r="REH1" s="286" t="s">
        <v>14817</v>
      </c>
      <c r="REI1" s="286" t="s">
        <v>14818</v>
      </c>
      <c r="REJ1" s="286" t="s">
        <v>14819</v>
      </c>
      <c r="REK1" s="286" t="s">
        <v>14820</v>
      </c>
      <c r="REL1" s="286" t="s">
        <v>14821</v>
      </c>
      <c r="REM1" s="286" t="s">
        <v>14822</v>
      </c>
      <c r="REN1" s="286" t="s">
        <v>14823</v>
      </c>
      <c r="REO1" s="286" t="s">
        <v>14824</v>
      </c>
      <c r="REP1" s="286" t="s">
        <v>14825</v>
      </c>
      <c r="REQ1" s="286" t="s">
        <v>14826</v>
      </c>
      <c r="RER1" s="286" t="s">
        <v>14827</v>
      </c>
      <c r="RES1" s="286" t="s">
        <v>14828</v>
      </c>
      <c r="RET1" s="286" t="s">
        <v>14829</v>
      </c>
      <c r="REU1" s="286" t="s">
        <v>14830</v>
      </c>
      <c r="REV1" s="286" t="s">
        <v>14831</v>
      </c>
      <c r="REW1" s="286" t="s">
        <v>14832</v>
      </c>
      <c r="REX1" s="286" t="s">
        <v>14833</v>
      </c>
      <c r="REY1" s="286" t="s">
        <v>14834</v>
      </c>
      <c r="REZ1" s="286" t="s">
        <v>14835</v>
      </c>
      <c r="RFA1" s="286" t="s">
        <v>14836</v>
      </c>
      <c r="RFB1" s="286" t="s">
        <v>14837</v>
      </c>
      <c r="RFC1" s="286" t="s">
        <v>14838</v>
      </c>
      <c r="RFD1" s="286" t="s">
        <v>14839</v>
      </c>
      <c r="RFE1" s="286" t="s">
        <v>14840</v>
      </c>
      <c r="RFF1" s="286" t="s">
        <v>14841</v>
      </c>
      <c r="RFG1" s="286" t="s">
        <v>14842</v>
      </c>
      <c r="RFH1" s="286" t="s">
        <v>14843</v>
      </c>
      <c r="RFI1" s="286" t="s">
        <v>14844</v>
      </c>
      <c r="RFJ1" s="286" t="s">
        <v>14845</v>
      </c>
      <c r="RFK1" s="286" t="s">
        <v>14846</v>
      </c>
      <c r="RFL1" s="286" t="s">
        <v>14847</v>
      </c>
      <c r="RFM1" s="286" t="s">
        <v>14848</v>
      </c>
      <c r="RFN1" s="286" t="s">
        <v>14849</v>
      </c>
      <c r="RFO1" s="286" t="s">
        <v>14850</v>
      </c>
      <c r="RFP1" s="286" t="s">
        <v>14851</v>
      </c>
      <c r="RFQ1" s="286" t="s">
        <v>14852</v>
      </c>
      <c r="RFR1" s="286" t="s">
        <v>14853</v>
      </c>
      <c r="RFS1" s="286" t="s">
        <v>14854</v>
      </c>
      <c r="RFT1" s="286" t="s">
        <v>14855</v>
      </c>
      <c r="RFU1" s="286" t="s">
        <v>14856</v>
      </c>
      <c r="RFV1" s="286" t="s">
        <v>14857</v>
      </c>
      <c r="RFW1" s="286" t="s">
        <v>14858</v>
      </c>
      <c r="RFX1" s="286" t="s">
        <v>14859</v>
      </c>
      <c r="RFY1" s="286" t="s">
        <v>14860</v>
      </c>
      <c r="RFZ1" s="286" t="s">
        <v>14861</v>
      </c>
      <c r="RGA1" s="286" t="s">
        <v>14862</v>
      </c>
      <c r="RGB1" s="286" t="s">
        <v>14863</v>
      </c>
      <c r="RGC1" s="286" t="s">
        <v>14864</v>
      </c>
      <c r="RGD1" s="286" t="s">
        <v>14865</v>
      </c>
      <c r="RGE1" s="286" t="s">
        <v>14866</v>
      </c>
      <c r="RGF1" s="286" t="s">
        <v>14867</v>
      </c>
      <c r="RGG1" s="286" t="s">
        <v>14868</v>
      </c>
      <c r="RGH1" s="286" t="s">
        <v>14869</v>
      </c>
      <c r="RGI1" s="286" t="s">
        <v>14870</v>
      </c>
      <c r="RGJ1" s="286" t="s">
        <v>14871</v>
      </c>
      <c r="RGK1" s="286" t="s">
        <v>14872</v>
      </c>
      <c r="RGL1" s="286" t="s">
        <v>14873</v>
      </c>
      <c r="RGM1" s="286" t="s">
        <v>14874</v>
      </c>
      <c r="RGN1" s="286" t="s">
        <v>14875</v>
      </c>
      <c r="RGO1" s="286" t="s">
        <v>14876</v>
      </c>
      <c r="RGP1" s="286" t="s">
        <v>14877</v>
      </c>
      <c r="RGQ1" s="286" t="s">
        <v>14878</v>
      </c>
      <c r="RGR1" s="286" t="s">
        <v>14879</v>
      </c>
      <c r="RGS1" s="286" t="s">
        <v>14880</v>
      </c>
      <c r="RGT1" s="286" t="s">
        <v>14881</v>
      </c>
      <c r="RGU1" s="286" t="s">
        <v>14882</v>
      </c>
      <c r="RGV1" s="286" t="s">
        <v>14883</v>
      </c>
      <c r="RGW1" s="286" t="s">
        <v>14884</v>
      </c>
      <c r="RGX1" s="286" t="s">
        <v>14885</v>
      </c>
      <c r="RGY1" s="286" t="s">
        <v>14886</v>
      </c>
      <c r="RGZ1" s="286" t="s">
        <v>14887</v>
      </c>
      <c r="RHA1" s="286" t="s">
        <v>14888</v>
      </c>
      <c r="RHB1" s="286" t="s">
        <v>14889</v>
      </c>
      <c r="RHC1" s="286" t="s">
        <v>14890</v>
      </c>
      <c r="RHD1" s="286" t="s">
        <v>14891</v>
      </c>
      <c r="RHE1" s="286" t="s">
        <v>14892</v>
      </c>
      <c r="RHF1" s="286" t="s">
        <v>14893</v>
      </c>
      <c r="RHG1" s="286" t="s">
        <v>14894</v>
      </c>
      <c r="RHH1" s="286" t="s">
        <v>14895</v>
      </c>
      <c r="RHI1" s="286" t="s">
        <v>14896</v>
      </c>
      <c r="RHJ1" s="286" t="s">
        <v>14897</v>
      </c>
      <c r="RHK1" s="286" t="s">
        <v>14898</v>
      </c>
      <c r="RHL1" s="286" t="s">
        <v>14899</v>
      </c>
      <c r="RHM1" s="286" t="s">
        <v>14900</v>
      </c>
      <c r="RHN1" s="286" t="s">
        <v>14901</v>
      </c>
      <c r="RHO1" s="286" t="s">
        <v>14902</v>
      </c>
      <c r="RHP1" s="286" t="s">
        <v>14903</v>
      </c>
      <c r="RHQ1" s="286" t="s">
        <v>14904</v>
      </c>
      <c r="RHR1" s="286" t="s">
        <v>14905</v>
      </c>
      <c r="RHS1" s="286" t="s">
        <v>14906</v>
      </c>
      <c r="RHT1" s="286" t="s">
        <v>14907</v>
      </c>
      <c r="RHU1" s="286" t="s">
        <v>14908</v>
      </c>
      <c r="RHV1" s="286" t="s">
        <v>14909</v>
      </c>
      <c r="RHW1" s="286" t="s">
        <v>14910</v>
      </c>
      <c r="RHX1" s="286" t="s">
        <v>14911</v>
      </c>
      <c r="RHY1" s="286" t="s">
        <v>14912</v>
      </c>
      <c r="RHZ1" s="286" t="s">
        <v>14913</v>
      </c>
      <c r="RIA1" s="286" t="s">
        <v>14914</v>
      </c>
      <c r="RIB1" s="286" t="s">
        <v>14915</v>
      </c>
      <c r="RIC1" s="286" t="s">
        <v>14916</v>
      </c>
      <c r="RID1" s="286" t="s">
        <v>14917</v>
      </c>
      <c r="RIE1" s="286" t="s">
        <v>14918</v>
      </c>
      <c r="RIF1" s="286" t="s">
        <v>14919</v>
      </c>
      <c r="RIG1" s="286" t="s">
        <v>14920</v>
      </c>
      <c r="RIH1" s="286" t="s">
        <v>14921</v>
      </c>
      <c r="RII1" s="286" t="s">
        <v>14922</v>
      </c>
      <c r="RIJ1" s="286" t="s">
        <v>14923</v>
      </c>
      <c r="RIK1" s="286" t="s">
        <v>14924</v>
      </c>
      <c r="RIL1" s="286" t="s">
        <v>14925</v>
      </c>
      <c r="RIM1" s="286" t="s">
        <v>14926</v>
      </c>
      <c r="RIN1" s="286" t="s">
        <v>14927</v>
      </c>
      <c r="RIO1" s="286" t="s">
        <v>14928</v>
      </c>
      <c r="RIP1" s="286" t="s">
        <v>14929</v>
      </c>
      <c r="RIQ1" s="286" t="s">
        <v>14930</v>
      </c>
      <c r="RIR1" s="286" t="s">
        <v>14931</v>
      </c>
      <c r="RIS1" s="286" t="s">
        <v>14932</v>
      </c>
      <c r="RIT1" s="286" t="s">
        <v>14933</v>
      </c>
      <c r="RIU1" s="286" t="s">
        <v>14934</v>
      </c>
      <c r="RIV1" s="286" t="s">
        <v>14935</v>
      </c>
      <c r="RIW1" s="286" t="s">
        <v>14936</v>
      </c>
      <c r="RIX1" s="286" t="s">
        <v>14937</v>
      </c>
      <c r="RIY1" s="286" t="s">
        <v>14938</v>
      </c>
      <c r="RIZ1" s="286" t="s">
        <v>14939</v>
      </c>
      <c r="RJA1" s="286" t="s">
        <v>14940</v>
      </c>
      <c r="RJB1" s="286" t="s">
        <v>14941</v>
      </c>
      <c r="RJC1" s="286" t="s">
        <v>14942</v>
      </c>
      <c r="RJD1" s="286" t="s">
        <v>14943</v>
      </c>
      <c r="RJE1" s="286" t="s">
        <v>14944</v>
      </c>
      <c r="RJF1" s="286" t="s">
        <v>14945</v>
      </c>
      <c r="RJG1" s="286" t="s">
        <v>14946</v>
      </c>
      <c r="RJH1" s="286" t="s">
        <v>14947</v>
      </c>
      <c r="RJI1" s="286" t="s">
        <v>14948</v>
      </c>
      <c r="RJJ1" s="286" t="s">
        <v>14949</v>
      </c>
      <c r="RJK1" s="286" t="s">
        <v>14950</v>
      </c>
      <c r="RJL1" s="286" t="s">
        <v>14951</v>
      </c>
      <c r="RJM1" s="286" t="s">
        <v>14952</v>
      </c>
      <c r="RJN1" s="286" t="s">
        <v>14953</v>
      </c>
      <c r="RJO1" s="286" t="s">
        <v>14954</v>
      </c>
      <c r="RJP1" s="286" t="s">
        <v>14955</v>
      </c>
      <c r="RJQ1" s="286" t="s">
        <v>14956</v>
      </c>
      <c r="RJR1" s="286" t="s">
        <v>14957</v>
      </c>
      <c r="RJS1" s="286" t="s">
        <v>14958</v>
      </c>
      <c r="RJT1" s="286" t="s">
        <v>14959</v>
      </c>
      <c r="RJU1" s="286" t="s">
        <v>14960</v>
      </c>
      <c r="RJV1" s="286" t="s">
        <v>14961</v>
      </c>
      <c r="RJW1" s="286" t="s">
        <v>14962</v>
      </c>
      <c r="RJX1" s="286" t="s">
        <v>14963</v>
      </c>
      <c r="RJY1" s="286" t="s">
        <v>14964</v>
      </c>
      <c r="RJZ1" s="286" t="s">
        <v>14965</v>
      </c>
      <c r="RKA1" s="286" t="s">
        <v>14966</v>
      </c>
      <c r="RKB1" s="286" t="s">
        <v>14967</v>
      </c>
      <c r="RKC1" s="286" t="s">
        <v>14968</v>
      </c>
      <c r="RKD1" s="286" t="s">
        <v>14969</v>
      </c>
      <c r="RKE1" s="286" t="s">
        <v>14970</v>
      </c>
      <c r="RKF1" s="286" t="s">
        <v>14971</v>
      </c>
      <c r="RKG1" s="286" t="s">
        <v>14972</v>
      </c>
      <c r="RKH1" s="286" t="s">
        <v>14973</v>
      </c>
      <c r="RKI1" s="286" t="s">
        <v>14974</v>
      </c>
      <c r="RKJ1" s="286" t="s">
        <v>14975</v>
      </c>
      <c r="RKK1" s="286" t="s">
        <v>14976</v>
      </c>
      <c r="RKL1" s="286" t="s">
        <v>14977</v>
      </c>
      <c r="RKM1" s="286" t="s">
        <v>14978</v>
      </c>
      <c r="RKN1" s="286" t="s">
        <v>14979</v>
      </c>
      <c r="RKO1" s="286" t="s">
        <v>14980</v>
      </c>
      <c r="RKP1" s="286" t="s">
        <v>14981</v>
      </c>
      <c r="RKQ1" s="286" t="s">
        <v>14982</v>
      </c>
      <c r="RKR1" s="286" t="s">
        <v>14983</v>
      </c>
      <c r="RKS1" s="286" t="s">
        <v>14984</v>
      </c>
      <c r="RKT1" s="286" t="s">
        <v>14985</v>
      </c>
      <c r="RKU1" s="286" t="s">
        <v>14986</v>
      </c>
      <c r="RKV1" s="286" t="s">
        <v>14987</v>
      </c>
      <c r="RKW1" s="286" t="s">
        <v>14988</v>
      </c>
      <c r="RKX1" s="286" t="s">
        <v>14989</v>
      </c>
      <c r="RKY1" s="286" t="s">
        <v>14990</v>
      </c>
      <c r="RKZ1" s="286" t="s">
        <v>14991</v>
      </c>
      <c r="RLA1" s="286" t="s">
        <v>14992</v>
      </c>
      <c r="RLB1" s="286" t="s">
        <v>14993</v>
      </c>
      <c r="RLC1" s="286" t="s">
        <v>14994</v>
      </c>
      <c r="RLD1" s="286" t="s">
        <v>14995</v>
      </c>
      <c r="RLE1" s="286" t="s">
        <v>14996</v>
      </c>
      <c r="RLF1" s="286" t="s">
        <v>14997</v>
      </c>
      <c r="RLG1" s="286" t="s">
        <v>14998</v>
      </c>
      <c r="RLH1" s="286" t="s">
        <v>14999</v>
      </c>
      <c r="RLI1" s="286" t="s">
        <v>15000</v>
      </c>
      <c r="RLJ1" s="286" t="s">
        <v>15001</v>
      </c>
      <c r="RLK1" s="286" t="s">
        <v>15002</v>
      </c>
      <c r="RLL1" s="286" t="s">
        <v>15003</v>
      </c>
      <c r="RLM1" s="286" t="s">
        <v>15004</v>
      </c>
      <c r="RLN1" s="286" t="s">
        <v>15005</v>
      </c>
      <c r="RLO1" s="286" t="s">
        <v>15006</v>
      </c>
      <c r="RLP1" s="286" t="s">
        <v>15007</v>
      </c>
      <c r="RLQ1" s="286" t="s">
        <v>15008</v>
      </c>
      <c r="RLR1" s="286" t="s">
        <v>15009</v>
      </c>
      <c r="RLS1" s="286" t="s">
        <v>15010</v>
      </c>
      <c r="RLT1" s="286" t="s">
        <v>15011</v>
      </c>
      <c r="RLU1" s="286" t="s">
        <v>15012</v>
      </c>
      <c r="RLV1" s="286" t="s">
        <v>15013</v>
      </c>
      <c r="RLW1" s="286" t="s">
        <v>15014</v>
      </c>
      <c r="RLX1" s="286" t="s">
        <v>15015</v>
      </c>
      <c r="RLY1" s="286" t="s">
        <v>15016</v>
      </c>
      <c r="RLZ1" s="286" t="s">
        <v>15017</v>
      </c>
      <c r="RMA1" s="286" t="s">
        <v>15018</v>
      </c>
      <c r="RMB1" s="286" t="s">
        <v>15019</v>
      </c>
      <c r="RMC1" s="286" t="s">
        <v>15020</v>
      </c>
      <c r="RMD1" s="286" t="s">
        <v>15021</v>
      </c>
      <c r="RME1" s="286" t="s">
        <v>15022</v>
      </c>
      <c r="RMF1" s="286" t="s">
        <v>15023</v>
      </c>
      <c r="RMG1" s="286" t="s">
        <v>15024</v>
      </c>
      <c r="RMH1" s="286" t="s">
        <v>15025</v>
      </c>
      <c r="RMI1" s="286" t="s">
        <v>15026</v>
      </c>
      <c r="RMJ1" s="286" t="s">
        <v>15027</v>
      </c>
      <c r="RMK1" s="286" t="s">
        <v>15028</v>
      </c>
      <c r="RML1" s="286" t="s">
        <v>15029</v>
      </c>
      <c r="RMM1" s="286" t="s">
        <v>15030</v>
      </c>
      <c r="RMN1" s="286" t="s">
        <v>15031</v>
      </c>
      <c r="RMO1" s="286" t="s">
        <v>15032</v>
      </c>
      <c r="RMP1" s="286" t="s">
        <v>15033</v>
      </c>
      <c r="RMQ1" s="286" t="s">
        <v>15034</v>
      </c>
      <c r="RMR1" s="286" t="s">
        <v>15035</v>
      </c>
      <c r="RMS1" s="286" t="s">
        <v>15036</v>
      </c>
      <c r="RMT1" s="286" t="s">
        <v>15037</v>
      </c>
      <c r="RMU1" s="286" t="s">
        <v>15038</v>
      </c>
      <c r="RMV1" s="286" t="s">
        <v>15039</v>
      </c>
      <c r="RMW1" s="286" t="s">
        <v>15040</v>
      </c>
      <c r="RMX1" s="286" t="s">
        <v>15041</v>
      </c>
      <c r="RMY1" s="286" t="s">
        <v>15042</v>
      </c>
      <c r="RMZ1" s="286" t="s">
        <v>15043</v>
      </c>
      <c r="RNA1" s="286" t="s">
        <v>15044</v>
      </c>
      <c r="RNB1" s="286" t="s">
        <v>15045</v>
      </c>
      <c r="RNC1" s="286" t="s">
        <v>15046</v>
      </c>
      <c r="RND1" s="286" t="s">
        <v>15047</v>
      </c>
      <c r="RNE1" s="286" t="s">
        <v>15048</v>
      </c>
      <c r="RNF1" s="286" t="s">
        <v>15049</v>
      </c>
      <c r="RNG1" s="286" t="s">
        <v>15050</v>
      </c>
      <c r="RNH1" s="286" t="s">
        <v>15051</v>
      </c>
      <c r="RNI1" s="286" t="s">
        <v>15052</v>
      </c>
      <c r="RNJ1" s="286" t="s">
        <v>15053</v>
      </c>
      <c r="RNK1" s="286" t="s">
        <v>15054</v>
      </c>
      <c r="RNL1" s="286" t="s">
        <v>15055</v>
      </c>
      <c r="RNM1" s="286" t="s">
        <v>15056</v>
      </c>
      <c r="RNN1" s="286" t="s">
        <v>15057</v>
      </c>
      <c r="RNO1" s="286" t="s">
        <v>15058</v>
      </c>
      <c r="RNP1" s="286" t="s">
        <v>15059</v>
      </c>
      <c r="RNQ1" s="286" t="s">
        <v>15060</v>
      </c>
      <c r="RNR1" s="286" t="s">
        <v>15061</v>
      </c>
      <c r="RNS1" s="286" t="s">
        <v>15062</v>
      </c>
      <c r="RNT1" s="286" t="s">
        <v>15063</v>
      </c>
      <c r="RNU1" s="286" t="s">
        <v>15064</v>
      </c>
      <c r="RNV1" s="286" t="s">
        <v>15065</v>
      </c>
      <c r="RNW1" s="286" t="s">
        <v>15066</v>
      </c>
      <c r="RNX1" s="286" t="s">
        <v>15067</v>
      </c>
      <c r="RNY1" s="286" t="s">
        <v>15068</v>
      </c>
      <c r="RNZ1" s="286" t="s">
        <v>15069</v>
      </c>
      <c r="ROA1" s="286" t="s">
        <v>15070</v>
      </c>
      <c r="ROB1" s="286" t="s">
        <v>15071</v>
      </c>
      <c r="ROC1" s="286" t="s">
        <v>15072</v>
      </c>
      <c r="ROD1" s="286" t="s">
        <v>15073</v>
      </c>
      <c r="ROE1" s="286" t="s">
        <v>15074</v>
      </c>
      <c r="ROF1" s="286" t="s">
        <v>15075</v>
      </c>
      <c r="ROG1" s="286" t="s">
        <v>15076</v>
      </c>
      <c r="ROH1" s="286" t="s">
        <v>15077</v>
      </c>
      <c r="ROI1" s="286" t="s">
        <v>15078</v>
      </c>
      <c r="ROJ1" s="286" t="s">
        <v>15079</v>
      </c>
      <c r="ROK1" s="286" t="s">
        <v>15080</v>
      </c>
      <c r="ROL1" s="286" t="s">
        <v>15081</v>
      </c>
      <c r="ROM1" s="286" t="s">
        <v>15082</v>
      </c>
      <c r="RON1" s="286" t="s">
        <v>15083</v>
      </c>
      <c r="ROO1" s="286" t="s">
        <v>15084</v>
      </c>
      <c r="ROP1" s="286" t="s">
        <v>15085</v>
      </c>
      <c r="ROQ1" s="286" t="s">
        <v>15086</v>
      </c>
      <c r="ROR1" s="286" t="s">
        <v>15087</v>
      </c>
      <c r="ROS1" s="286" t="s">
        <v>15088</v>
      </c>
      <c r="ROT1" s="286" t="s">
        <v>15089</v>
      </c>
      <c r="ROU1" s="286" t="s">
        <v>15090</v>
      </c>
      <c r="ROV1" s="286" t="s">
        <v>15091</v>
      </c>
      <c r="ROW1" s="286" t="s">
        <v>15092</v>
      </c>
      <c r="ROX1" s="286" t="s">
        <v>15093</v>
      </c>
      <c r="ROY1" s="286" t="s">
        <v>15094</v>
      </c>
      <c r="ROZ1" s="286" t="s">
        <v>15095</v>
      </c>
      <c r="RPA1" s="286" t="s">
        <v>15096</v>
      </c>
      <c r="RPB1" s="286" t="s">
        <v>15097</v>
      </c>
      <c r="RPC1" s="286" t="s">
        <v>15098</v>
      </c>
      <c r="RPD1" s="286" t="s">
        <v>15099</v>
      </c>
      <c r="RPE1" s="286" t="s">
        <v>15100</v>
      </c>
      <c r="RPF1" s="286" t="s">
        <v>15101</v>
      </c>
      <c r="RPG1" s="286" t="s">
        <v>15102</v>
      </c>
      <c r="RPH1" s="286" t="s">
        <v>15103</v>
      </c>
      <c r="RPI1" s="286" t="s">
        <v>15104</v>
      </c>
      <c r="RPJ1" s="286" t="s">
        <v>15105</v>
      </c>
      <c r="RPK1" s="286" t="s">
        <v>15106</v>
      </c>
      <c r="RPL1" s="286" t="s">
        <v>15107</v>
      </c>
      <c r="RPM1" s="286" t="s">
        <v>15108</v>
      </c>
      <c r="RPN1" s="286" t="s">
        <v>15109</v>
      </c>
      <c r="RPO1" s="286" t="s">
        <v>15110</v>
      </c>
      <c r="RPP1" s="286" t="s">
        <v>15111</v>
      </c>
      <c r="RPQ1" s="286" t="s">
        <v>15112</v>
      </c>
      <c r="RPR1" s="286" t="s">
        <v>15113</v>
      </c>
      <c r="RPS1" s="286" t="s">
        <v>15114</v>
      </c>
      <c r="RPT1" s="286" t="s">
        <v>15115</v>
      </c>
      <c r="RPU1" s="286" t="s">
        <v>15116</v>
      </c>
      <c r="RPV1" s="286" t="s">
        <v>15117</v>
      </c>
      <c r="RPW1" s="286" t="s">
        <v>15118</v>
      </c>
      <c r="RPX1" s="286" t="s">
        <v>15119</v>
      </c>
      <c r="RPY1" s="286" t="s">
        <v>15120</v>
      </c>
      <c r="RPZ1" s="286" t="s">
        <v>15121</v>
      </c>
      <c r="RQA1" s="286" t="s">
        <v>15122</v>
      </c>
      <c r="RQB1" s="286" t="s">
        <v>15123</v>
      </c>
      <c r="RQC1" s="286" t="s">
        <v>15124</v>
      </c>
      <c r="RQD1" s="286" t="s">
        <v>15125</v>
      </c>
      <c r="RQE1" s="286" t="s">
        <v>15126</v>
      </c>
      <c r="RQF1" s="286" t="s">
        <v>15127</v>
      </c>
      <c r="RQG1" s="286" t="s">
        <v>15128</v>
      </c>
      <c r="RQH1" s="286" t="s">
        <v>15129</v>
      </c>
      <c r="RQI1" s="286" t="s">
        <v>15130</v>
      </c>
      <c r="RQJ1" s="286" t="s">
        <v>15131</v>
      </c>
      <c r="RQK1" s="286" t="s">
        <v>15132</v>
      </c>
      <c r="RQL1" s="286" t="s">
        <v>15133</v>
      </c>
      <c r="RQM1" s="286" t="s">
        <v>15134</v>
      </c>
      <c r="RQN1" s="286" t="s">
        <v>15135</v>
      </c>
      <c r="RQO1" s="286" t="s">
        <v>15136</v>
      </c>
      <c r="RQP1" s="286" t="s">
        <v>15137</v>
      </c>
      <c r="RQQ1" s="286" t="s">
        <v>15138</v>
      </c>
      <c r="RQR1" s="286" t="s">
        <v>15139</v>
      </c>
      <c r="RQS1" s="286" t="s">
        <v>15140</v>
      </c>
      <c r="RQT1" s="286" t="s">
        <v>15141</v>
      </c>
      <c r="RQU1" s="286" t="s">
        <v>15142</v>
      </c>
      <c r="RQV1" s="286" t="s">
        <v>15143</v>
      </c>
      <c r="RQW1" s="286" t="s">
        <v>15144</v>
      </c>
      <c r="RQX1" s="286" t="s">
        <v>15145</v>
      </c>
      <c r="RQY1" s="286" t="s">
        <v>15146</v>
      </c>
      <c r="RQZ1" s="286" t="s">
        <v>15147</v>
      </c>
      <c r="RRA1" s="286" t="s">
        <v>15148</v>
      </c>
      <c r="RRB1" s="286" t="s">
        <v>15149</v>
      </c>
      <c r="RRC1" s="286" t="s">
        <v>15150</v>
      </c>
      <c r="RRD1" s="286" t="s">
        <v>15151</v>
      </c>
      <c r="RRE1" s="286" t="s">
        <v>15152</v>
      </c>
      <c r="RRF1" s="286" t="s">
        <v>15153</v>
      </c>
      <c r="RRG1" s="286" t="s">
        <v>15154</v>
      </c>
      <c r="RRH1" s="286" t="s">
        <v>15155</v>
      </c>
      <c r="RRI1" s="286" t="s">
        <v>15156</v>
      </c>
      <c r="RRJ1" s="286" t="s">
        <v>15157</v>
      </c>
      <c r="RRK1" s="286" t="s">
        <v>15158</v>
      </c>
      <c r="RRL1" s="286" t="s">
        <v>15159</v>
      </c>
      <c r="RRM1" s="286" t="s">
        <v>15160</v>
      </c>
      <c r="RRN1" s="286" t="s">
        <v>15161</v>
      </c>
      <c r="RRO1" s="286" t="s">
        <v>15162</v>
      </c>
      <c r="RRP1" s="286" t="s">
        <v>15163</v>
      </c>
      <c r="RRQ1" s="286" t="s">
        <v>15164</v>
      </c>
      <c r="RRR1" s="286" t="s">
        <v>15165</v>
      </c>
      <c r="RRS1" s="286" t="s">
        <v>15166</v>
      </c>
      <c r="RRT1" s="286" t="s">
        <v>15167</v>
      </c>
      <c r="RRU1" s="286" t="s">
        <v>15168</v>
      </c>
      <c r="RRV1" s="286" t="s">
        <v>15169</v>
      </c>
      <c r="RRW1" s="286" t="s">
        <v>15170</v>
      </c>
      <c r="RRX1" s="286" t="s">
        <v>15171</v>
      </c>
      <c r="RRY1" s="286" t="s">
        <v>15172</v>
      </c>
      <c r="RRZ1" s="286" t="s">
        <v>15173</v>
      </c>
      <c r="RSA1" s="286" t="s">
        <v>15174</v>
      </c>
      <c r="RSB1" s="286" t="s">
        <v>15175</v>
      </c>
      <c r="RSC1" s="286" t="s">
        <v>15176</v>
      </c>
      <c r="RSD1" s="286" t="s">
        <v>15177</v>
      </c>
      <c r="RSE1" s="286" t="s">
        <v>15178</v>
      </c>
      <c r="RSF1" s="286" t="s">
        <v>15179</v>
      </c>
      <c r="RSG1" s="286" t="s">
        <v>15180</v>
      </c>
      <c r="RSH1" s="286" t="s">
        <v>15181</v>
      </c>
      <c r="RSI1" s="286" t="s">
        <v>15182</v>
      </c>
      <c r="RSJ1" s="286" t="s">
        <v>15183</v>
      </c>
      <c r="RSK1" s="286" t="s">
        <v>15184</v>
      </c>
      <c r="RSL1" s="286" t="s">
        <v>15185</v>
      </c>
      <c r="RSM1" s="286" t="s">
        <v>15186</v>
      </c>
      <c r="RSN1" s="286" t="s">
        <v>15187</v>
      </c>
      <c r="RSO1" s="286" t="s">
        <v>15188</v>
      </c>
      <c r="RSP1" s="286" t="s">
        <v>15189</v>
      </c>
      <c r="RSQ1" s="286" t="s">
        <v>15190</v>
      </c>
      <c r="RSR1" s="286" t="s">
        <v>15191</v>
      </c>
      <c r="RSS1" s="286" t="s">
        <v>15192</v>
      </c>
      <c r="RST1" s="286" t="s">
        <v>15193</v>
      </c>
      <c r="RSU1" s="286" t="s">
        <v>15194</v>
      </c>
      <c r="RSV1" s="286" t="s">
        <v>15195</v>
      </c>
      <c r="RSW1" s="286" t="s">
        <v>15196</v>
      </c>
      <c r="RSX1" s="286" t="s">
        <v>15197</v>
      </c>
      <c r="RSY1" s="286" t="s">
        <v>15198</v>
      </c>
      <c r="RSZ1" s="286" t="s">
        <v>15199</v>
      </c>
      <c r="RTA1" s="286" t="s">
        <v>15200</v>
      </c>
      <c r="RTB1" s="286" t="s">
        <v>15201</v>
      </c>
      <c r="RTC1" s="286" t="s">
        <v>15202</v>
      </c>
      <c r="RTD1" s="286" t="s">
        <v>15203</v>
      </c>
      <c r="RTE1" s="286" t="s">
        <v>15204</v>
      </c>
      <c r="RTF1" s="286" t="s">
        <v>15205</v>
      </c>
      <c r="RTG1" s="286" t="s">
        <v>15206</v>
      </c>
      <c r="RTH1" s="286" t="s">
        <v>15207</v>
      </c>
      <c r="RTI1" s="286" t="s">
        <v>15208</v>
      </c>
      <c r="RTJ1" s="286" t="s">
        <v>15209</v>
      </c>
      <c r="RTK1" s="286" t="s">
        <v>15210</v>
      </c>
      <c r="RTL1" s="286" t="s">
        <v>15211</v>
      </c>
      <c r="RTM1" s="286" t="s">
        <v>15212</v>
      </c>
      <c r="RTN1" s="286" t="s">
        <v>15213</v>
      </c>
      <c r="RTO1" s="286" t="s">
        <v>15214</v>
      </c>
      <c r="RTP1" s="286" t="s">
        <v>15215</v>
      </c>
      <c r="RTQ1" s="286" t="s">
        <v>15216</v>
      </c>
      <c r="RTR1" s="286" t="s">
        <v>15217</v>
      </c>
      <c r="RTS1" s="286" t="s">
        <v>15218</v>
      </c>
      <c r="RTT1" s="286" t="s">
        <v>15219</v>
      </c>
      <c r="RTU1" s="286" t="s">
        <v>15220</v>
      </c>
      <c r="RTV1" s="286" t="s">
        <v>15221</v>
      </c>
      <c r="RTW1" s="286" t="s">
        <v>15222</v>
      </c>
      <c r="RTX1" s="286" t="s">
        <v>15223</v>
      </c>
      <c r="RTY1" s="286" t="s">
        <v>15224</v>
      </c>
      <c r="RTZ1" s="286" t="s">
        <v>15225</v>
      </c>
      <c r="RUA1" s="286" t="s">
        <v>15226</v>
      </c>
      <c r="RUB1" s="286" t="s">
        <v>15227</v>
      </c>
      <c r="RUC1" s="286" t="s">
        <v>15228</v>
      </c>
      <c r="RUD1" s="286" t="s">
        <v>15229</v>
      </c>
      <c r="RUE1" s="286" t="s">
        <v>15230</v>
      </c>
      <c r="RUF1" s="286" t="s">
        <v>15231</v>
      </c>
      <c r="RUG1" s="286" t="s">
        <v>15232</v>
      </c>
      <c r="RUH1" s="286" t="s">
        <v>15233</v>
      </c>
      <c r="RUI1" s="286" t="s">
        <v>15234</v>
      </c>
      <c r="RUJ1" s="286" t="s">
        <v>15235</v>
      </c>
      <c r="RUK1" s="286" t="s">
        <v>15236</v>
      </c>
      <c r="RUL1" s="286" t="s">
        <v>15237</v>
      </c>
      <c r="RUM1" s="286" t="s">
        <v>15238</v>
      </c>
      <c r="RUN1" s="286" t="s">
        <v>15239</v>
      </c>
      <c r="RUO1" s="286" t="s">
        <v>15240</v>
      </c>
      <c r="RUP1" s="286" t="s">
        <v>15241</v>
      </c>
      <c r="RUQ1" s="286" t="s">
        <v>15242</v>
      </c>
      <c r="RUR1" s="286" t="s">
        <v>15243</v>
      </c>
      <c r="RUS1" s="286" t="s">
        <v>15244</v>
      </c>
      <c r="RUT1" s="286" t="s">
        <v>15245</v>
      </c>
      <c r="RUU1" s="286" t="s">
        <v>15246</v>
      </c>
      <c r="RUV1" s="286" t="s">
        <v>15247</v>
      </c>
      <c r="RUW1" s="286" t="s">
        <v>15248</v>
      </c>
      <c r="RUX1" s="286" t="s">
        <v>15249</v>
      </c>
      <c r="RUY1" s="286" t="s">
        <v>15250</v>
      </c>
      <c r="RUZ1" s="286" t="s">
        <v>15251</v>
      </c>
      <c r="RVA1" s="286" t="s">
        <v>15252</v>
      </c>
      <c r="RVB1" s="286" t="s">
        <v>15253</v>
      </c>
      <c r="RVC1" s="286" t="s">
        <v>15254</v>
      </c>
      <c r="RVD1" s="286" t="s">
        <v>15255</v>
      </c>
      <c r="RVE1" s="286" t="s">
        <v>15256</v>
      </c>
      <c r="RVF1" s="286" t="s">
        <v>15257</v>
      </c>
      <c r="RVG1" s="286" t="s">
        <v>15258</v>
      </c>
      <c r="RVH1" s="286" t="s">
        <v>15259</v>
      </c>
      <c r="RVI1" s="286" t="s">
        <v>15260</v>
      </c>
      <c r="RVJ1" s="286" t="s">
        <v>15261</v>
      </c>
      <c r="RVK1" s="286" t="s">
        <v>15262</v>
      </c>
      <c r="RVL1" s="286" t="s">
        <v>15263</v>
      </c>
      <c r="RVM1" s="286" t="s">
        <v>15264</v>
      </c>
      <c r="RVN1" s="286" t="s">
        <v>15265</v>
      </c>
      <c r="RVO1" s="286" t="s">
        <v>15266</v>
      </c>
      <c r="RVP1" s="286" t="s">
        <v>15267</v>
      </c>
      <c r="RVQ1" s="286" t="s">
        <v>15268</v>
      </c>
      <c r="RVR1" s="286" t="s">
        <v>15269</v>
      </c>
      <c r="RVS1" s="286" t="s">
        <v>15270</v>
      </c>
      <c r="RVT1" s="286" t="s">
        <v>15271</v>
      </c>
      <c r="RVU1" s="286" t="s">
        <v>15272</v>
      </c>
      <c r="RVV1" s="286" t="s">
        <v>15273</v>
      </c>
      <c r="RVW1" s="286" t="s">
        <v>15274</v>
      </c>
      <c r="RVX1" s="286" t="s">
        <v>15275</v>
      </c>
      <c r="RVY1" s="286" t="s">
        <v>15276</v>
      </c>
      <c r="RVZ1" s="286" t="s">
        <v>15277</v>
      </c>
      <c r="RWA1" s="286" t="s">
        <v>15278</v>
      </c>
      <c r="RWB1" s="286" t="s">
        <v>15279</v>
      </c>
      <c r="RWC1" s="286" t="s">
        <v>15280</v>
      </c>
      <c r="RWD1" s="286" t="s">
        <v>15281</v>
      </c>
      <c r="RWE1" s="286" t="s">
        <v>15282</v>
      </c>
      <c r="RWF1" s="286" t="s">
        <v>15283</v>
      </c>
      <c r="RWG1" s="286" t="s">
        <v>15284</v>
      </c>
      <c r="RWH1" s="286" t="s">
        <v>15285</v>
      </c>
      <c r="RWI1" s="286" t="s">
        <v>15286</v>
      </c>
      <c r="RWJ1" s="286" t="s">
        <v>15287</v>
      </c>
      <c r="RWK1" s="286" t="s">
        <v>15288</v>
      </c>
      <c r="RWL1" s="286" t="s">
        <v>15289</v>
      </c>
      <c r="RWM1" s="286" t="s">
        <v>15290</v>
      </c>
      <c r="RWN1" s="286" t="s">
        <v>15291</v>
      </c>
      <c r="RWO1" s="286" t="s">
        <v>15292</v>
      </c>
      <c r="RWP1" s="286" t="s">
        <v>15293</v>
      </c>
      <c r="RWQ1" s="286" t="s">
        <v>15294</v>
      </c>
      <c r="RWR1" s="286" t="s">
        <v>15295</v>
      </c>
      <c r="RWS1" s="286" t="s">
        <v>15296</v>
      </c>
      <c r="RWT1" s="286" t="s">
        <v>15297</v>
      </c>
      <c r="RWU1" s="286" t="s">
        <v>15298</v>
      </c>
      <c r="RWV1" s="286" t="s">
        <v>15299</v>
      </c>
      <c r="RWW1" s="286" t="s">
        <v>15300</v>
      </c>
      <c r="RWX1" s="286" t="s">
        <v>15301</v>
      </c>
      <c r="RWY1" s="286" t="s">
        <v>15302</v>
      </c>
      <c r="RWZ1" s="286" t="s">
        <v>15303</v>
      </c>
      <c r="RXA1" s="286" t="s">
        <v>15304</v>
      </c>
      <c r="RXB1" s="286" t="s">
        <v>15305</v>
      </c>
      <c r="RXC1" s="286" t="s">
        <v>15306</v>
      </c>
      <c r="RXD1" s="286" t="s">
        <v>15307</v>
      </c>
      <c r="RXE1" s="286" t="s">
        <v>15308</v>
      </c>
      <c r="RXF1" s="286" t="s">
        <v>15309</v>
      </c>
      <c r="RXG1" s="286" t="s">
        <v>15310</v>
      </c>
      <c r="RXH1" s="286" t="s">
        <v>15311</v>
      </c>
      <c r="RXI1" s="286" t="s">
        <v>15312</v>
      </c>
      <c r="RXJ1" s="286" t="s">
        <v>15313</v>
      </c>
      <c r="RXK1" s="286" t="s">
        <v>15314</v>
      </c>
      <c r="RXL1" s="286" t="s">
        <v>15315</v>
      </c>
      <c r="RXM1" s="286" t="s">
        <v>15316</v>
      </c>
      <c r="RXN1" s="286" t="s">
        <v>15317</v>
      </c>
      <c r="RXO1" s="286" t="s">
        <v>15318</v>
      </c>
      <c r="RXP1" s="286" t="s">
        <v>15319</v>
      </c>
      <c r="RXQ1" s="286" t="s">
        <v>15320</v>
      </c>
      <c r="RXR1" s="286" t="s">
        <v>15321</v>
      </c>
      <c r="RXS1" s="286" t="s">
        <v>15322</v>
      </c>
      <c r="RXT1" s="286" t="s">
        <v>15323</v>
      </c>
      <c r="RXU1" s="286" t="s">
        <v>15324</v>
      </c>
      <c r="RXV1" s="286" t="s">
        <v>15325</v>
      </c>
      <c r="RXW1" s="286" t="s">
        <v>15326</v>
      </c>
      <c r="RXX1" s="286" t="s">
        <v>15327</v>
      </c>
      <c r="RXY1" s="286" t="s">
        <v>15328</v>
      </c>
      <c r="RXZ1" s="286" t="s">
        <v>15329</v>
      </c>
      <c r="RYA1" s="286" t="s">
        <v>15330</v>
      </c>
      <c r="RYB1" s="286" t="s">
        <v>15331</v>
      </c>
      <c r="RYC1" s="286" t="s">
        <v>15332</v>
      </c>
      <c r="RYD1" s="286" t="s">
        <v>15333</v>
      </c>
      <c r="RYE1" s="286" t="s">
        <v>15334</v>
      </c>
      <c r="RYF1" s="286" t="s">
        <v>15335</v>
      </c>
      <c r="RYG1" s="286" t="s">
        <v>15336</v>
      </c>
      <c r="RYH1" s="286" t="s">
        <v>15337</v>
      </c>
      <c r="RYI1" s="286" t="s">
        <v>15338</v>
      </c>
      <c r="RYJ1" s="286" t="s">
        <v>15339</v>
      </c>
      <c r="RYK1" s="286" t="s">
        <v>15340</v>
      </c>
      <c r="RYL1" s="286" t="s">
        <v>15341</v>
      </c>
      <c r="RYM1" s="286" t="s">
        <v>15342</v>
      </c>
      <c r="RYN1" s="286" t="s">
        <v>15343</v>
      </c>
      <c r="RYO1" s="286" t="s">
        <v>15344</v>
      </c>
      <c r="RYP1" s="286" t="s">
        <v>15345</v>
      </c>
      <c r="RYQ1" s="286" t="s">
        <v>15346</v>
      </c>
      <c r="RYR1" s="286" t="s">
        <v>15347</v>
      </c>
      <c r="RYS1" s="286" t="s">
        <v>15348</v>
      </c>
      <c r="RYT1" s="286" t="s">
        <v>15349</v>
      </c>
      <c r="RYU1" s="286" t="s">
        <v>15350</v>
      </c>
      <c r="RYV1" s="286" t="s">
        <v>15351</v>
      </c>
      <c r="RYW1" s="286" t="s">
        <v>15352</v>
      </c>
      <c r="RYX1" s="286" t="s">
        <v>15353</v>
      </c>
      <c r="RYY1" s="286" t="s">
        <v>15354</v>
      </c>
      <c r="RYZ1" s="286" t="s">
        <v>15355</v>
      </c>
      <c r="RZA1" s="286" t="s">
        <v>15356</v>
      </c>
      <c r="RZB1" s="286" t="s">
        <v>15357</v>
      </c>
      <c r="RZC1" s="286" t="s">
        <v>15358</v>
      </c>
      <c r="RZD1" s="286" t="s">
        <v>15359</v>
      </c>
      <c r="RZE1" s="286" t="s">
        <v>15360</v>
      </c>
      <c r="RZF1" s="286" t="s">
        <v>15361</v>
      </c>
      <c r="RZG1" s="286" t="s">
        <v>15362</v>
      </c>
      <c r="RZH1" s="286" t="s">
        <v>15363</v>
      </c>
      <c r="RZI1" s="286" t="s">
        <v>15364</v>
      </c>
      <c r="RZJ1" s="286" t="s">
        <v>15365</v>
      </c>
      <c r="RZK1" s="286" t="s">
        <v>15366</v>
      </c>
      <c r="RZL1" s="286" t="s">
        <v>15367</v>
      </c>
      <c r="RZM1" s="286" t="s">
        <v>15368</v>
      </c>
      <c r="RZN1" s="286" t="s">
        <v>15369</v>
      </c>
      <c r="RZO1" s="286" t="s">
        <v>15370</v>
      </c>
      <c r="RZP1" s="286" t="s">
        <v>15371</v>
      </c>
      <c r="RZQ1" s="286" t="s">
        <v>15372</v>
      </c>
      <c r="RZR1" s="286" t="s">
        <v>15373</v>
      </c>
      <c r="RZS1" s="286" t="s">
        <v>15374</v>
      </c>
      <c r="RZT1" s="286" t="s">
        <v>15375</v>
      </c>
      <c r="RZU1" s="286" t="s">
        <v>15376</v>
      </c>
      <c r="RZV1" s="286" t="s">
        <v>15377</v>
      </c>
      <c r="RZW1" s="286" t="s">
        <v>15378</v>
      </c>
      <c r="RZX1" s="286" t="s">
        <v>15379</v>
      </c>
      <c r="RZY1" s="286" t="s">
        <v>15380</v>
      </c>
      <c r="RZZ1" s="286" t="s">
        <v>15381</v>
      </c>
      <c r="SAA1" s="286" t="s">
        <v>15382</v>
      </c>
      <c r="SAB1" s="286" t="s">
        <v>15383</v>
      </c>
      <c r="SAC1" s="286" t="s">
        <v>15384</v>
      </c>
      <c r="SAD1" s="286" t="s">
        <v>15385</v>
      </c>
      <c r="SAE1" s="286" t="s">
        <v>15386</v>
      </c>
      <c r="SAF1" s="286" t="s">
        <v>15387</v>
      </c>
      <c r="SAG1" s="286" t="s">
        <v>15388</v>
      </c>
      <c r="SAH1" s="286" t="s">
        <v>15389</v>
      </c>
      <c r="SAI1" s="286" t="s">
        <v>15390</v>
      </c>
      <c r="SAJ1" s="286" t="s">
        <v>15391</v>
      </c>
      <c r="SAK1" s="286" t="s">
        <v>15392</v>
      </c>
      <c r="SAL1" s="286" t="s">
        <v>15393</v>
      </c>
      <c r="SAM1" s="286" t="s">
        <v>15394</v>
      </c>
      <c r="SAN1" s="286" t="s">
        <v>15395</v>
      </c>
      <c r="SAO1" s="286" t="s">
        <v>15396</v>
      </c>
      <c r="SAP1" s="286" t="s">
        <v>15397</v>
      </c>
      <c r="SAQ1" s="286" t="s">
        <v>15398</v>
      </c>
      <c r="SAR1" s="286" t="s">
        <v>15399</v>
      </c>
      <c r="SAS1" s="286" t="s">
        <v>15400</v>
      </c>
      <c r="SAT1" s="286" t="s">
        <v>15401</v>
      </c>
      <c r="SAU1" s="286" t="s">
        <v>15402</v>
      </c>
      <c r="SAV1" s="286" t="s">
        <v>15403</v>
      </c>
      <c r="SAW1" s="286" t="s">
        <v>15404</v>
      </c>
      <c r="SAX1" s="286" t="s">
        <v>15405</v>
      </c>
      <c r="SAY1" s="286" t="s">
        <v>15406</v>
      </c>
      <c r="SAZ1" s="286" t="s">
        <v>15407</v>
      </c>
      <c r="SBA1" s="286" t="s">
        <v>15408</v>
      </c>
      <c r="SBB1" s="286" t="s">
        <v>15409</v>
      </c>
      <c r="SBC1" s="286" t="s">
        <v>15410</v>
      </c>
      <c r="SBD1" s="286" t="s">
        <v>15411</v>
      </c>
      <c r="SBE1" s="286" t="s">
        <v>15412</v>
      </c>
      <c r="SBF1" s="286" t="s">
        <v>15413</v>
      </c>
      <c r="SBG1" s="286" t="s">
        <v>15414</v>
      </c>
      <c r="SBH1" s="286" t="s">
        <v>15415</v>
      </c>
      <c r="SBI1" s="286" t="s">
        <v>15416</v>
      </c>
      <c r="SBJ1" s="286" t="s">
        <v>15417</v>
      </c>
      <c r="SBK1" s="286" t="s">
        <v>15418</v>
      </c>
      <c r="SBL1" s="286" t="s">
        <v>15419</v>
      </c>
      <c r="SBM1" s="286" t="s">
        <v>15420</v>
      </c>
      <c r="SBN1" s="286" t="s">
        <v>15421</v>
      </c>
      <c r="SBO1" s="286" t="s">
        <v>15422</v>
      </c>
      <c r="SBP1" s="286" t="s">
        <v>15423</v>
      </c>
      <c r="SBQ1" s="286" t="s">
        <v>15424</v>
      </c>
      <c r="SBR1" s="286" t="s">
        <v>15425</v>
      </c>
      <c r="SBS1" s="286" t="s">
        <v>15426</v>
      </c>
      <c r="SBT1" s="286" t="s">
        <v>15427</v>
      </c>
      <c r="SBU1" s="286" t="s">
        <v>15428</v>
      </c>
      <c r="SBV1" s="286" t="s">
        <v>15429</v>
      </c>
      <c r="SBW1" s="286" t="s">
        <v>15430</v>
      </c>
      <c r="SBX1" s="286" t="s">
        <v>15431</v>
      </c>
      <c r="SBY1" s="286" t="s">
        <v>15432</v>
      </c>
      <c r="SBZ1" s="286" t="s">
        <v>15433</v>
      </c>
      <c r="SCA1" s="286" t="s">
        <v>15434</v>
      </c>
      <c r="SCB1" s="286" t="s">
        <v>15435</v>
      </c>
      <c r="SCC1" s="286" t="s">
        <v>15436</v>
      </c>
      <c r="SCD1" s="286" t="s">
        <v>15437</v>
      </c>
      <c r="SCE1" s="286" t="s">
        <v>15438</v>
      </c>
      <c r="SCF1" s="286" t="s">
        <v>15439</v>
      </c>
      <c r="SCG1" s="286" t="s">
        <v>15440</v>
      </c>
      <c r="SCH1" s="286" t="s">
        <v>15441</v>
      </c>
      <c r="SCI1" s="286" t="s">
        <v>15442</v>
      </c>
      <c r="SCJ1" s="286" t="s">
        <v>15443</v>
      </c>
      <c r="SCK1" s="286" t="s">
        <v>15444</v>
      </c>
      <c r="SCL1" s="286" t="s">
        <v>15445</v>
      </c>
      <c r="SCM1" s="286" t="s">
        <v>15446</v>
      </c>
      <c r="SCN1" s="286" t="s">
        <v>15447</v>
      </c>
      <c r="SCO1" s="286" t="s">
        <v>15448</v>
      </c>
      <c r="SCP1" s="286" t="s">
        <v>15449</v>
      </c>
      <c r="SCQ1" s="286" t="s">
        <v>15450</v>
      </c>
      <c r="SCR1" s="286" t="s">
        <v>15451</v>
      </c>
      <c r="SCS1" s="286" t="s">
        <v>15452</v>
      </c>
      <c r="SCT1" s="286" t="s">
        <v>15453</v>
      </c>
      <c r="SCU1" s="286" t="s">
        <v>15454</v>
      </c>
      <c r="SCV1" s="286" t="s">
        <v>15455</v>
      </c>
      <c r="SCW1" s="286" t="s">
        <v>15456</v>
      </c>
      <c r="SCX1" s="286" t="s">
        <v>15457</v>
      </c>
      <c r="SCY1" s="286" t="s">
        <v>15458</v>
      </c>
      <c r="SCZ1" s="286" t="s">
        <v>15459</v>
      </c>
      <c r="SDA1" s="286" t="s">
        <v>15460</v>
      </c>
      <c r="SDB1" s="286" t="s">
        <v>15461</v>
      </c>
      <c r="SDC1" s="286" t="s">
        <v>15462</v>
      </c>
      <c r="SDD1" s="286" t="s">
        <v>15463</v>
      </c>
      <c r="SDE1" s="286" t="s">
        <v>15464</v>
      </c>
      <c r="SDF1" s="286" t="s">
        <v>15465</v>
      </c>
      <c r="SDG1" s="286" t="s">
        <v>15466</v>
      </c>
      <c r="SDH1" s="286" t="s">
        <v>15467</v>
      </c>
      <c r="SDI1" s="286" t="s">
        <v>15468</v>
      </c>
      <c r="SDJ1" s="286" t="s">
        <v>15469</v>
      </c>
      <c r="SDK1" s="286" t="s">
        <v>15470</v>
      </c>
      <c r="SDL1" s="286" t="s">
        <v>15471</v>
      </c>
      <c r="SDM1" s="286" t="s">
        <v>15472</v>
      </c>
      <c r="SDN1" s="286" t="s">
        <v>15473</v>
      </c>
      <c r="SDO1" s="286" t="s">
        <v>15474</v>
      </c>
      <c r="SDP1" s="286" t="s">
        <v>15475</v>
      </c>
      <c r="SDQ1" s="286" t="s">
        <v>15476</v>
      </c>
      <c r="SDR1" s="286" t="s">
        <v>15477</v>
      </c>
      <c r="SDS1" s="286" t="s">
        <v>15478</v>
      </c>
      <c r="SDT1" s="286" t="s">
        <v>15479</v>
      </c>
      <c r="SDU1" s="286" t="s">
        <v>15480</v>
      </c>
      <c r="SDV1" s="286" t="s">
        <v>15481</v>
      </c>
      <c r="SDW1" s="286" t="s">
        <v>15482</v>
      </c>
      <c r="SDX1" s="286" t="s">
        <v>15483</v>
      </c>
      <c r="SDY1" s="286" t="s">
        <v>15484</v>
      </c>
      <c r="SDZ1" s="286" t="s">
        <v>15485</v>
      </c>
      <c r="SEA1" s="286" t="s">
        <v>15486</v>
      </c>
      <c r="SEB1" s="286" t="s">
        <v>15487</v>
      </c>
      <c r="SEC1" s="286" t="s">
        <v>15488</v>
      </c>
      <c r="SED1" s="286" t="s">
        <v>15489</v>
      </c>
      <c r="SEE1" s="286" t="s">
        <v>15490</v>
      </c>
      <c r="SEF1" s="286" t="s">
        <v>15491</v>
      </c>
      <c r="SEG1" s="286" t="s">
        <v>15492</v>
      </c>
      <c r="SEH1" s="286" t="s">
        <v>15493</v>
      </c>
      <c r="SEI1" s="286" t="s">
        <v>15494</v>
      </c>
      <c r="SEJ1" s="286" t="s">
        <v>15495</v>
      </c>
      <c r="SEK1" s="286" t="s">
        <v>15496</v>
      </c>
      <c r="SEL1" s="286" t="s">
        <v>15497</v>
      </c>
      <c r="SEM1" s="286" t="s">
        <v>15498</v>
      </c>
      <c r="SEN1" s="286" t="s">
        <v>15499</v>
      </c>
      <c r="SEO1" s="286" t="s">
        <v>15500</v>
      </c>
      <c r="SEP1" s="286" t="s">
        <v>15501</v>
      </c>
      <c r="SEQ1" s="286" t="s">
        <v>15502</v>
      </c>
      <c r="SER1" s="286" t="s">
        <v>15503</v>
      </c>
      <c r="SES1" s="286" t="s">
        <v>15504</v>
      </c>
      <c r="SET1" s="286" t="s">
        <v>15505</v>
      </c>
      <c r="SEU1" s="286" t="s">
        <v>15506</v>
      </c>
      <c r="SEV1" s="286" t="s">
        <v>15507</v>
      </c>
      <c r="SEW1" s="286" t="s">
        <v>15508</v>
      </c>
      <c r="SEX1" s="286" t="s">
        <v>15509</v>
      </c>
      <c r="SEY1" s="286" t="s">
        <v>15510</v>
      </c>
      <c r="SEZ1" s="286" t="s">
        <v>15511</v>
      </c>
      <c r="SFA1" s="286" t="s">
        <v>15512</v>
      </c>
      <c r="SFB1" s="286" t="s">
        <v>15513</v>
      </c>
      <c r="SFC1" s="286" t="s">
        <v>15514</v>
      </c>
      <c r="SFD1" s="286" t="s">
        <v>15515</v>
      </c>
      <c r="SFE1" s="286" t="s">
        <v>15516</v>
      </c>
      <c r="SFF1" s="286" t="s">
        <v>15517</v>
      </c>
      <c r="SFG1" s="286" t="s">
        <v>15518</v>
      </c>
      <c r="SFH1" s="286" t="s">
        <v>15519</v>
      </c>
      <c r="SFI1" s="286" t="s">
        <v>15520</v>
      </c>
      <c r="SFJ1" s="286" t="s">
        <v>15521</v>
      </c>
      <c r="SFK1" s="286" t="s">
        <v>15522</v>
      </c>
      <c r="SFL1" s="286" t="s">
        <v>15523</v>
      </c>
      <c r="SFM1" s="286" t="s">
        <v>15524</v>
      </c>
      <c r="SFN1" s="286" t="s">
        <v>15525</v>
      </c>
      <c r="SFO1" s="286" t="s">
        <v>15526</v>
      </c>
      <c r="SFP1" s="286" t="s">
        <v>15527</v>
      </c>
      <c r="SFQ1" s="286" t="s">
        <v>15528</v>
      </c>
      <c r="SFR1" s="286" t="s">
        <v>15529</v>
      </c>
      <c r="SFS1" s="286" t="s">
        <v>15530</v>
      </c>
      <c r="SFT1" s="286" t="s">
        <v>15531</v>
      </c>
      <c r="SFU1" s="286" t="s">
        <v>15532</v>
      </c>
      <c r="SFV1" s="286" t="s">
        <v>15533</v>
      </c>
      <c r="SFW1" s="286" t="s">
        <v>15534</v>
      </c>
      <c r="SFX1" s="286" t="s">
        <v>15535</v>
      </c>
      <c r="SFY1" s="286" t="s">
        <v>15536</v>
      </c>
      <c r="SFZ1" s="286" t="s">
        <v>15537</v>
      </c>
      <c r="SGA1" s="286" t="s">
        <v>15538</v>
      </c>
      <c r="SGB1" s="286" t="s">
        <v>15539</v>
      </c>
      <c r="SGC1" s="286" t="s">
        <v>15540</v>
      </c>
      <c r="SGD1" s="286" t="s">
        <v>15541</v>
      </c>
      <c r="SGE1" s="286" t="s">
        <v>15542</v>
      </c>
      <c r="SGF1" s="286" t="s">
        <v>15543</v>
      </c>
      <c r="SGG1" s="286" t="s">
        <v>15544</v>
      </c>
      <c r="SGH1" s="286" t="s">
        <v>15545</v>
      </c>
      <c r="SGI1" s="286" t="s">
        <v>15546</v>
      </c>
      <c r="SGJ1" s="286" t="s">
        <v>15547</v>
      </c>
      <c r="SGK1" s="286" t="s">
        <v>15548</v>
      </c>
      <c r="SGL1" s="286" t="s">
        <v>15549</v>
      </c>
      <c r="SGM1" s="286" t="s">
        <v>15550</v>
      </c>
      <c r="SGN1" s="286" t="s">
        <v>15551</v>
      </c>
      <c r="SGO1" s="286" t="s">
        <v>15552</v>
      </c>
      <c r="SGP1" s="286" t="s">
        <v>15553</v>
      </c>
      <c r="SGQ1" s="286" t="s">
        <v>15554</v>
      </c>
      <c r="SGR1" s="286" t="s">
        <v>15555</v>
      </c>
      <c r="SGS1" s="286" t="s">
        <v>15556</v>
      </c>
      <c r="SGT1" s="286" t="s">
        <v>15557</v>
      </c>
      <c r="SGU1" s="286" t="s">
        <v>15558</v>
      </c>
      <c r="SGV1" s="286" t="s">
        <v>15559</v>
      </c>
      <c r="SGW1" s="286" t="s">
        <v>15560</v>
      </c>
      <c r="SGX1" s="286" t="s">
        <v>15561</v>
      </c>
      <c r="SGY1" s="286" t="s">
        <v>15562</v>
      </c>
      <c r="SGZ1" s="286" t="s">
        <v>15563</v>
      </c>
      <c r="SHA1" s="286" t="s">
        <v>15564</v>
      </c>
      <c r="SHB1" s="286" t="s">
        <v>15565</v>
      </c>
      <c r="SHC1" s="286" t="s">
        <v>15566</v>
      </c>
      <c r="SHD1" s="286" t="s">
        <v>15567</v>
      </c>
      <c r="SHE1" s="286" t="s">
        <v>15568</v>
      </c>
      <c r="SHF1" s="286" t="s">
        <v>15569</v>
      </c>
      <c r="SHG1" s="286" t="s">
        <v>15570</v>
      </c>
      <c r="SHH1" s="286" t="s">
        <v>15571</v>
      </c>
      <c r="SHI1" s="286" t="s">
        <v>15572</v>
      </c>
      <c r="SHJ1" s="286" t="s">
        <v>15573</v>
      </c>
      <c r="SHK1" s="286" t="s">
        <v>15574</v>
      </c>
      <c r="SHL1" s="286" t="s">
        <v>15575</v>
      </c>
      <c r="SHM1" s="286" t="s">
        <v>15576</v>
      </c>
      <c r="SHN1" s="286" t="s">
        <v>15577</v>
      </c>
      <c r="SHO1" s="286" t="s">
        <v>15578</v>
      </c>
      <c r="SHP1" s="286" t="s">
        <v>15579</v>
      </c>
      <c r="SHQ1" s="286" t="s">
        <v>15580</v>
      </c>
      <c r="SHR1" s="286" t="s">
        <v>15581</v>
      </c>
      <c r="SHS1" s="286" t="s">
        <v>15582</v>
      </c>
      <c r="SHT1" s="286" t="s">
        <v>15583</v>
      </c>
      <c r="SHU1" s="286" t="s">
        <v>15584</v>
      </c>
      <c r="SHV1" s="286" t="s">
        <v>15585</v>
      </c>
      <c r="SHW1" s="286" t="s">
        <v>15586</v>
      </c>
      <c r="SHX1" s="286" t="s">
        <v>15587</v>
      </c>
      <c r="SHY1" s="286" t="s">
        <v>15588</v>
      </c>
      <c r="SHZ1" s="286" t="s">
        <v>15589</v>
      </c>
      <c r="SIA1" s="286" t="s">
        <v>15590</v>
      </c>
      <c r="SIB1" s="286" t="s">
        <v>15591</v>
      </c>
      <c r="SIC1" s="286" t="s">
        <v>15592</v>
      </c>
      <c r="SID1" s="286" t="s">
        <v>15593</v>
      </c>
      <c r="SIE1" s="286" t="s">
        <v>15594</v>
      </c>
      <c r="SIF1" s="286" t="s">
        <v>15595</v>
      </c>
      <c r="SIG1" s="286" t="s">
        <v>15596</v>
      </c>
      <c r="SIH1" s="286" t="s">
        <v>15597</v>
      </c>
      <c r="SII1" s="286" t="s">
        <v>15598</v>
      </c>
      <c r="SIJ1" s="286" t="s">
        <v>15599</v>
      </c>
      <c r="SIK1" s="286" t="s">
        <v>15600</v>
      </c>
      <c r="SIL1" s="286" t="s">
        <v>15601</v>
      </c>
      <c r="SIM1" s="286" t="s">
        <v>15602</v>
      </c>
      <c r="SIN1" s="286" t="s">
        <v>15603</v>
      </c>
      <c r="SIO1" s="286" t="s">
        <v>15604</v>
      </c>
      <c r="SIP1" s="286" t="s">
        <v>15605</v>
      </c>
      <c r="SIQ1" s="286" t="s">
        <v>15606</v>
      </c>
      <c r="SIR1" s="286" t="s">
        <v>15607</v>
      </c>
      <c r="SIS1" s="286" t="s">
        <v>15608</v>
      </c>
      <c r="SIT1" s="286" t="s">
        <v>15609</v>
      </c>
      <c r="SIU1" s="286" t="s">
        <v>15610</v>
      </c>
      <c r="SIV1" s="286" t="s">
        <v>15611</v>
      </c>
      <c r="SIW1" s="286" t="s">
        <v>15612</v>
      </c>
      <c r="SIX1" s="286" t="s">
        <v>15613</v>
      </c>
      <c r="SIY1" s="286" t="s">
        <v>15614</v>
      </c>
      <c r="SIZ1" s="286" t="s">
        <v>15615</v>
      </c>
      <c r="SJA1" s="286" t="s">
        <v>15616</v>
      </c>
      <c r="SJB1" s="286" t="s">
        <v>15617</v>
      </c>
      <c r="SJC1" s="286" t="s">
        <v>15618</v>
      </c>
      <c r="SJD1" s="286" t="s">
        <v>15619</v>
      </c>
      <c r="SJE1" s="286" t="s">
        <v>15620</v>
      </c>
      <c r="SJF1" s="286" t="s">
        <v>15621</v>
      </c>
      <c r="SJG1" s="286" t="s">
        <v>15622</v>
      </c>
      <c r="SJH1" s="286" t="s">
        <v>15623</v>
      </c>
      <c r="SJI1" s="286" t="s">
        <v>15624</v>
      </c>
      <c r="SJJ1" s="286" t="s">
        <v>15625</v>
      </c>
      <c r="SJK1" s="286" t="s">
        <v>15626</v>
      </c>
      <c r="SJL1" s="286" t="s">
        <v>15627</v>
      </c>
      <c r="SJM1" s="286" t="s">
        <v>15628</v>
      </c>
      <c r="SJN1" s="286" t="s">
        <v>15629</v>
      </c>
      <c r="SJO1" s="286" t="s">
        <v>15630</v>
      </c>
      <c r="SJP1" s="286" t="s">
        <v>15631</v>
      </c>
      <c r="SJQ1" s="286" t="s">
        <v>15632</v>
      </c>
      <c r="SJR1" s="286" t="s">
        <v>15633</v>
      </c>
      <c r="SJS1" s="286" t="s">
        <v>15634</v>
      </c>
      <c r="SJT1" s="286" t="s">
        <v>15635</v>
      </c>
      <c r="SJU1" s="286" t="s">
        <v>15636</v>
      </c>
      <c r="SJV1" s="286" t="s">
        <v>15637</v>
      </c>
      <c r="SJW1" s="286" t="s">
        <v>15638</v>
      </c>
      <c r="SJX1" s="286" t="s">
        <v>15639</v>
      </c>
      <c r="SJY1" s="286" t="s">
        <v>15640</v>
      </c>
      <c r="SJZ1" s="286" t="s">
        <v>15641</v>
      </c>
      <c r="SKA1" s="286" t="s">
        <v>15642</v>
      </c>
      <c r="SKB1" s="286" t="s">
        <v>15643</v>
      </c>
      <c r="SKC1" s="286" t="s">
        <v>15644</v>
      </c>
      <c r="SKD1" s="286" t="s">
        <v>15645</v>
      </c>
      <c r="SKE1" s="286" t="s">
        <v>15646</v>
      </c>
      <c r="SKF1" s="286" t="s">
        <v>15647</v>
      </c>
      <c r="SKG1" s="286" t="s">
        <v>15648</v>
      </c>
      <c r="SKH1" s="286" t="s">
        <v>15649</v>
      </c>
      <c r="SKI1" s="286" t="s">
        <v>15650</v>
      </c>
      <c r="SKJ1" s="286" t="s">
        <v>15651</v>
      </c>
      <c r="SKK1" s="286" t="s">
        <v>15652</v>
      </c>
      <c r="SKL1" s="286" t="s">
        <v>15653</v>
      </c>
      <c r="SKM1" s="286" t="s">
        <v>15654</v>
      </c>
      <c r="SKN1" s="286" t="s">
        <v>15655</v>
      </c>
      <c r="SKO1" s="286" t="s">
        <v>15656</v>
      </c>
      <c r="SKP1" s="286" t="s">
        <v>15657</v>
      </c>
      <c r="SKQ1" s="286" t="s">
        <v>15658</v>
      </c>
      <c r="SKR1" s="286" t="s">
        <v>15659</v>
      </c>
      <c r="SKS1" s="286" t="s">
        <v>15660</v>
      </c>
      <c r="SKT1" s="286" t="s">
        <v>15661</v>
      </c>
      <c r="SKU1" s="286" t="s">
        <v>15662</v>
      </c>
      <c r="SKV1" s="286" t="s">
        <v>15663</v>
      </c>
      <c r="SKW1" s="286" t="s">
        <v>15664</v>
      </c>
      <c r="SKX1" s="286" t="s">
        <v>15665</v>
      </c>
      <c r="SKY1" s="286" t="s">
        <v>15666</v>
      </c>
      <c r="SKZ1" s="286" t="s">
        <v>15667</v>
      </c>
      <c r="SLA1" s="286" t="s">
        <v>15668</v>
      </c>
      <c r="SLB1" s="286" t="s">
        <v>15669</v>
      </c>
      <c r="SLC1" s="286" t="s">
        <v>15670</v>
      </c>
      <c r="SLD1" s="286" t="s">
        <v>15671</v>
      </c>
      <c r="SLE1" s="286" t="s">
        <v>15672</v>
      </c>
      <c r="SLF1" s="286" t="s">
        <v>15673</v>
      </c>
      <c r="SLG1" s="286" t="s">
        <v>15674</v>
      </c>
      <c r="SLH1" s="286" t="s">
        <v>15675</v>
      </c>
      <c r="SLI1" s="286" t="s">
        <v>15676</v>
      </c>
      <c r="SLJ1" s="286" t="s">
        <v>15677</v>
      </c>
      <c r="SLK1" s="286" t="s">
        <v>15678</v>
      </c>
      <c r="SLL1" s="286" t="s">
        <v>15679</v>
      </c>
      <c r="SLM1" s="286" t="s">
        <v>15680</v>
      </c>
      <c r="SLN1" s="286" t="s">
        <v>15681</v>
      </c>
      <c r="SLO1" s="286" t="s">
        <v>15682</v>
      </c>
      <c r="SLP1" s="286" t="s">
        <v>15683</v>
      </c>
      <c r="SLQ1" s="286" t="s">
        <v>15684</v>
      </c>
      <c r="SLR1" s="286" t="s">
        <v>15685</v>
      </c>
      <c r="SLS1" s="286" t="s">
        <v>15686</v>
      </c>
      <c r="SLT1" s="286" t="s">
        <v>15687</v>
      </c>
      <c r="SLU1" s="286" t="s">
        <v>15688</v>
      </c>
      <c r="SLV1" s="286" t="s">
        <v>15689</v>
      </c>
      <c r="SLW1" s="286" t="s">
        <v>15690</v>
      </c>
      <c r="SLX1" s="286" t="s">
        <v>15691</v>
      </c>
      <c r="SLY1" s="286" t="s">
        <v>15692</v>
      </c>
      <c r="SLZ1" s="286" t="s">
        <v>15693</v>
      </c>
      <c r="SMA1" s="286" t="s">
        <v>15694</v>
      </c>
      <c r="SMB1" s="286" t="s">
        <v>15695</v>
      </c>
      <c r="SMC1" s="286" t="s">
        <v>15696</v>
      </c>
      <c r="SMD1" s="286" t="s">
        <v>15697</v>
      </c>
      <c r="SME1" s="286" t="s">
        <v>15698</v>
      </c>
      <c r="SMF1" s="286" t="s">
        <v>15699</v>
      </c>
      <c r="SMG1" s="286" t="s">
        <v>15700</v>
      </c>
      <c r="SMH1" s="286" t="s">
        <v>15701</v>
      </c>
      <c r="SMI1" s="286" t="s">
        <v>15702</v>
      </c>
      <c r="SMJ1" s="286" t="s">
        <v>15703</v>
      </c>
      <c r="SMK1" s="286" t="s">
        <v>15704</v>
      </c>
      <c r="SML1" s="286" t="s">
        <v>15705</v>
      </c>
      <c r="SMM1" s="286" t="s">
        <v>15706</v>
      </c>
      <c r="SMN1" s="286" t="s">
        <v>15707</v>
      </c>
      <c r="SMO1" s="286" t="s">
        <v>15708</v>
      </c>
      <c r="SMP1" s="286" t="s">
        <v>15709</v>
      </c>
      <c r="SMQ1" s="286" t="s">
        <v>15710</v>
      </c>
      <c r="SMR1" s="286" t="s">
        <v>15711</v>
      </c>
      <c r="SMS1" s="286" t="s">
        <v>15712</v>
      </c>
      <c r="SMT1" s="286" t="s">
        <v>15713</v>
      </c>
      <c r="SMU1" s="286" t="s">
        <v>15714</v>
      </c>
      <c r="SMV1" s="286" t="s">
        <v>15715</v>
      </c>
      <c r="SMW1" s="286" t="s">
        <v>15716</v>
      </c>
      <c r="SMX1" s="286" t="s">
        <v>15717</v>
      </c>
      <c r="SMY1" s="286" t="s">
        <v>15718</v>
      </c>
      <c r="SMZ1" s="286" t="s">
        <v>15719</v>
      </c>
      <c r="SNA1" s="286" t="s">
        <v>15720</v>
      </c>
      <c r="SNB1" s="286" t="s">
        <v>15721</v>
      </c>
      <c r="SNC1" s="286" t="s">
        <v>15722</v>
      </c>
      <c r="SND1" s="286" t="s">
        <v>15723</v>
      </c>
      <c r="SNE1" s="286" t="s">
        <v>15724</v>
      </c>
      <c r="SNF1" s="286" t="s">
        <v>15725</v>
      </c>
      <c r="SNG1" s="286" t="s">
        <v>15726</v>
      </c>
      <c r="SNH1" s="286" t="s">
        <v>15727</v>
      </c>
      <c r="SNI1" s="286" t="s">
        <v>15728</v>
      </c>
      <c r="SNJ1" s="286" t="s">
        <v>15729</v>
      </c>
      <c r="SNK1" s="286" t="s">
        <v>15730</v>
      </c>
      <c r="SNL1" s="286" t="s">
        <v>15731</v>
      </c>
      <c r="SNM1" s="286" t="s">
        <v>15732</v>
      </c>
      <c r="SNN1" s="286" t="s">
        <v>15733</v>
      </c>
      <c r="SNO1" s="286" t="s">
        <v>15734</v>
      </c>
      <c r="SNP1" s="286" t="s">
        <v>15735</v>
      </c>
      <c r="SNQ1" s="286" t="s">
        <v>15736</v>
      </c>
      <c r="SNR1" s="286" t="s">
        <v>15737</v>
      </c>
      <c r="SNS1" s="286" t="s">
        <v>15738</v>
      </c>
      <c r="SNT1" s="286" t="s">
        <v>15739</v>
      </c>
      <c r="SNU1" s="286" t="s">
        <v>15740</v>
      </c>
      <c r="SNV1" s="286" t="s">
        <v>15741</v>
      </c>
      <c r="SNW1" s="286" t="s">
        <v>15742</v>
      </c>
      <c r="SNX1" s="286" t="s">
        <v>15743</v>
      </c>
      <c r="SNY1" s="286" t="s">
        <v>15744</v>
      </c>
      <c r="SNZ1" s="286" t="s">
        <v>15745</v>
      </c>
      <c r="SOA1" s="286" t="s">
        <v>15746</v>
      </c>
      <c r="SOB1" s="286" t="s">
        <v>15747</v>
      </c>
      <c r="SOC1" s="286" t="s">
        <v>15748</v>
      </c>
      <c r="SOD1" s="286" t="s">
        <v>15749</v>
      </c>
      <c r="SOE1" s="286" t="s">
        <v>15750</v>
      </c>
      <c r="SOF1" s="286" t="s">
        <v>15751</v>
      </c>
      <c r="SOG1" s="286" t="s">
        <v>15752</v>
      </c>
      <c r="SOH1" s="286" t="s">
        <v>15753</v>
      </c>
      <c r="SOI1" s="286" t="s">
        <v>15754</v>
      </c>
      <c r="SOJ1" s="286" t="s">
        <v>15755</v>
      </c>
      <c r="SOK1" s="286" t="s">
        <v>15756</v>
      </c>
      <c r="SOL1" s="286" t="s">
        <v>15757</v>
      </c>
      <c r="SOM1" s="286" t="s">
        <v>15758</v>
      </c>
      <c r="SON1" s="286" t="s">
        <v>15759</v>
      </c>
      <c r="SOO1" s="286" t="s">
        <v>15760</v>
      </c>
      <c r="SOP1" s="286" t="s">
        <v>15761</v>
      </c>
      <c r="SOQ1" s="286" t="s">
        <v>15762</v>
      </c>
      <c r="SOR1" s="286" t="s">
        <v>15763</v>
      </c>
      <c r="SOS1" s="286" t="s">
        <v>15764</v>
      </c>
      <c r="SOT1" s="286" t="s">
        <v>15765</v>
      </c>
      <c r="SOU1" s="286" t="s">
        <v>15766</v>
      </c>
      <c r="SOV1" s="286" t="s">
        <v>15767</v>
      </c>
      <c r="SOW1" s="286" t="s">
        <v>15768</v>
      </c>
      <c r="SOX1" s="286" t="s">
        <v>15769</v>
      </c>
      <c r="SOY1" s="286" t="s">
        <v>15770</v>
      </c>
      <c r="SOZ1" s="286" t="s">
        <v>15771</v>
      </c>
      <c r="SPA1" s="286" t="s">
        <v>15772</v>
      </c>
      <c r="SPB1" s="286" t="s">
        <v>15773</v>
      </c>
      <c r="SPC1" s="286" t="s">
        <v>15774</v>
      </c>
      <c r="SPD1" s="286" t="s">
        <v>15775</v>
      </c>
      <c r="SPE1" s="286" t="s">
        <v>15776</v>
      </c>
      <c r="SPF1" s="286" t="s">
        <v>15777</v>
      </c>
      <c r="SPG1" s="286" t="s">
        <v>15778</v>
      </c>
      <c r="SPH1" s="286" t="s">
        <v>15779</v>
      </c>
      <c r="SPI1" s="286" t="s">
        <v>15780</v>
      </c>
      <c r="SPJ1" s="286" t="s">
        <v>15781</v>
      </c>
      <c r="SPK1" s="286" t="s">
        <v>15782</v>
      </c>
      <c r="SPL1" s="286" t="s">
        <v>15783</v>
      </c>
      <c r="SPM1" s="286" t="s">
        <v>15784</v>
      </c>
      <c r="SPN1" s="286" t="s">
        <v>15785</v>
      </c>
      <c r="SPO1" s="286" t="s">
        <v>15786</v>
      </c>
      <c r="SPP1" s="286" t="s">
        <v>15787</v>
      </c>
      <c r="SPQ1" s="286" t="s">
        <v>15788</v>
      </c>
      <c r="SPR1" s="286" t="s">
        <v>15789</v>
      </c>
      <c r="SPS1" s="286" t="s">
        <v>15790</v>
      </c>
      <c r="SPT1" s="286" t="s">
        <v>15791</v>
      </c>
      <c r="SPU1" s="286" t="s">
        <v>15792</v>
      </c>
      <c r="SPV1" s="286" t="s">
        <v>15793</v>
      </c>
      <c r="SPW1" s="286" t="s">
        <v>15794</v>
      </c>
      <c r="SPX1" s="286" t="s">
        <v>15795</v>
      </c>
      <c r="SPY1" s="286" t="s">
        <v>15796</v>
      </c>
      <c r="SPZ1" s="286" t="s">
        <v>15797</v>
      </c>
      <c r="SQA1" s="286" t="s">
        <v>15798</v>
      </c>
      <c r="SQB1" s="286" t="s">
        <v>15799</v>
      </c>
      <c r="SQC1" s="286" t="s">
        <v>15800</v>
      </c>
      <c r="SQD1" s="286" t="s">
        <v>15801</v>
      </c>
      <c r="SQE1" s="286" t="s">
        <v>15802</v>
      </c>
      <c r="SQF1" s="286" t="s">
        <v>15803</v>
      </c>
      <c r="SQG1" s="286" t="s">
        <v>15804</v>
      </c>
      <c r="SQH1" s="286" t="s">
        <v>15805</v>
      </c>
      <c r="SQI1" s="286" t="s">
        <v>15806</v>
      </c>
      <c r="SQJ1" s="286" t="s">
        <v>15807</v>
      </c>
      <c r="SQK1" s="286" t="s">
        <v>15808</v>
      </c>
      <c r="SQL1" s="286" t="s">
        <v>15809</v>
      </c>
      <c r="SQM1" s="286" t="s">
        <v>15810</v>
      </c>
      <c r="SQN1" s="286" t="s">
        <v>15811</v>
      </c>
      <c r="SQO1" s="286" t="s">
        <v>15812</v>
      </c>
      <c r="SQP1" s="286" t="s">
        <v>15813</v>
      </c>
      <c r="SQQ1" s="286" t="s">
        <v>15814</v>
      </c>
      <c r="SQR1" s="286" t="s">
        <v>15815</v>
      </c>
      <c r="SQS1" s="286" t="s">
        <v>15816</v>
      </c>
      <c r="SQT1" s="286" t="s">
        <v>15817</v>
      </c>
      <c r="SQU1" s="286" t="s">
        <v>15818</v>
      </c>
      <c r="SQV1" s="286" t="s">
        <v>15819</v>
      </c>
      <c r="SQW1" s="286" t="s">
        <v>15820</v>
      </c>
      <c r="SQX1" s="286" t="s">
        <v>15821</v>
      </c>
      <c r="SQY1" s="286" t="s">
        <v>15822</v>
      </c>
      <c r="SQZ1" s="286" t="s">
        <v>15823</v>
      </c>
      <c r="SRA1" s="286" t="s">
        <v>15824</v>
      </c>
      <c r="SRB1" s="286" t="s">
        <v>15825</v>
      </c>
      <c r="SRC1" s="286" t="s">
        <v>15826</v>
      </c>
      <c r="SRD1" s="286" t="s">
        <v>15827</v>
      </c>
      <c r="SRE1" s="286" t="s">
        <v>15828</v>
      </c>
      <c r="SRF1" s="286" t="s">
        <v>15829</v>
      </c>
      <c r="SRG1" s="286" t="s">
        <v>15830</v>
      </c>
      <c r="SRH1" s="286" t="s">
        <v>15831</v>
      </c>
      <c r="SRI1" s="286" t="s">
        <v>15832</v>
      </c>
      <c r="SRJ1" s="286" t="s">
        <v>15833</v>
      </c>
      <c r="SRK1" s="286" t="s">
        <v>15834</v>
      </c>
      <c r="SRL1" s="286" t="s">
        <v>15835</v>
      </c>
      <c r="SRM1" s="286" t="s">
        <v>15836</v>
      </c>
      <c r="SRN1" s="286" t="s">
        <v>15837</v>
      </c>
      <c r="SRO1" s="286" t="s">
        <v>15838</v>
      </c>
      <c r="SRP1" s="286" t="s">
        <v>15839</v>
      </c>
      <c r="SRQ1" s="286" t="s">
        <v>15840</v>
      </c>
      <c r="SRR1" s="286" t="s">
        <v>15841</v>
      </c>
      <c r="SRS1" s="286" t="s">
        <v>15842</v>
      </c>
      <c r="SRT1" s="286" t="s">
        <v>15843</v>
      </c>
      <c r="SRU1" s="286" t="s">
        <v>15844</v>
      </c>
      <c r="SRV1" s="286" t="s">
        <v>15845</v>
      </c>
      <c r="SRW1" s="286" t="s">
        <v>15846</v>
      </c>
      <c r="SRX1" s="286" t="s">
        <v>15847</v>
      </c>
      <c r="SRY1" s="286" t="s">
        <v>15848</v>
      </c>
      <c r="SRZ1" s="286" t="s">
        <v>15849</v>
      </c>
      <c r="SSA1" s="286" t="s">
        <v>15850</v>
      </c>
      <c r="SSB1" s="286" t="s">
        <v>15851</v>
      </c>
      <c r="SSC1" s="286" t="s">
        <v>15852</v>
      </c>
      <c r="SSD1" s="286" t="s">
        <v>15853</v>
      </c>
      <c r="SSE1" s="286" t="s">
        <v>15854</v>
      </c>
      <c r="SSF1" s="286" t="s">
        <v>15855</v>
      </c>
      <c r="SSG1" s="286" t="s">
        <v>15856</v>
      </c>
      <c r="SSH1" s="286" t="s">
        <v>15857</v>
      </c>
      <c r="SSI1" s="286" t="s">
        <v>15858</v>
      </c>
      <c r="SSJ1" s="286" t="s">
        <v>15859</v>
      </c>
      <c r="SSK1" s="286" t="s">
        <v>15860</v>
      </c>
      <c r="SSL1" s="286" t="s">
        <v>15861</v>
      </c>
      <c r="SSM1" s="286" t="s">
        <v>15862</v>
      </c>
      <c r="SSN1" s="286" t="s">
        <v>15863</v>
      </c>
      <c r="SSO1" s="286" t="s">
        <v>15864</v>
      </c>
      <c r="SSP1" s="286" t="s">
        <v>15865</v>
      </c>
      <c r="SSQ1" s="286" t="s">
        <v>15866</v>
      </c>
      <c r="SSR1" s="286" t="s">
        <v>15867</v>
      </c>
      <c r="SSS1" s="286" t="s">
        <v>15868</v>
      </c>
      <c r="SST1" s="286" t="s">
        <v>15869</v>
      </c>
      <c r="SSU1" s="286" t="s">
        <v>15870</v>
      </c>
      <c r="SSV1" s="286" t="s">
        <v>15871</v>
      </c>
      <c r="SSW1" s="286" t="s">
        <v>15872</v>
      </c>
      <c r="SSX1" s="286" t="s">
        <v>15873</v>
      </c>
      <c r="SSY1" s="286" t="s">
        <v>15874</v>
      </c>
      <c r="SSZ1" s="286" t="s">
        <v>15875</v>
      </c>
      <c r="STA1" s="286" t="s">
        <v>15876</v>
      </c>
      <c r="STB1" s="286" t="s">
        <v>15877</v>
      </c>
      <c r="STC1" s="286" t="s">
        <v>15878</v>
      </c>
      <c r="STD1" s="286" t="s">
        <v>15879</v>
      </c>
      <c r="STE1" s="286" t="s">
        <v>15880</v>
      </c>
      <c r="STF1" s="286" t="s">
        <v>15881</v>
      </c>
      <c r="STG1" s="286" t="s">
        <v>15882</v>
      </c>
      <c r="STH1" s="286" t="s">
        <v>15883</v>
      </c>
      <c r="STI1" s="286" t="s">
        <v>15884</v>
      </c>
      <c r="STJ1" s="286" t="s">
        <v>15885</v>
      </c>
      <c r="STK1" s="286" t="s">
        <v>15886</v>
      </c>
      <c r="STL1" s="286" t="s">
        <v>15887</v>
      </c>
      <c r="STM1" s="286" t="s">
        <v>15888</v>
      </c>
      <c r="STN1" s="286" t="s">
        <v>15889</v>
      </c>
      <c r="STO1" s="286" t="s">
        <v>15890</v>
      </c>
      <c r="STP1" s="286" t="s">
        <v>15891</v>
      </c>
      <c r="STQ1" s="286" t="s">
        <v>15892</v>
      </c>
      <c r="STR1" s="286" t="s">
        <v>15893</v>
      </c>
      <c r="STS1" s="286" t="s">
        <v>15894</v>
      </c>
      <c r="STT1" s="286" t="s">
        <v>15895</v>
      </c>
      <c r="STU1" s="286" t="s">
        <v>15896</v>
      </c>
      <c r="STV1" s="286" t="s">
        <v>15897</v>
      </c>
      <c r="STW1" s="286" t="s">
        <v>15898</v>
      </c>
      <c r="STX1" s="286" t="s">
        <v>15899</v>
      </c>
      <c r="STY1" s="286" t="s">
        <v>15900</v>
      </c>
      <c r="STZ1" s="286" t="s">
        <v>15901</v>
      </c>
      <c r="SUA1" s="286" t="s">
        <v>15902</v>
      </c>
      <c r="SUB1" s="286" t="s">
        <v>15903</v>
      </c>
      <c r="SUC1" s="286" t="s">
        <v>15904</v>
      </c>
      <c r="SUD1" s="286" t="s">
        <v>15905</v>
      </c>
      <c r="SUE1" s="286" t="s">
        <v>15906</v>
      </c>
      <c r="SUF1" s="286" t="s">
        <v>15907</v>
      </c>
      <c r="SUG1" s="286" t="s">
        <v>15908</v>
      </c>
      <c r="SUH1" s="286" t="s">
        <v>15909</v>
      </c>
      <c r="SUI1" s="286" t="s">
        <v>15910</v>
      </c>
      <c r="SUJ1" s="286" t="s">
        <v>15911</v>
      </c>
      <c r="SUK1" s="286" t="s">
        <v>15912</v>
      </c>
      <c r="SUL1" s="286" t="s">
        <v>15913</v>
      </c>
      <c r="SUM1" s="286" t="s">
        <v>15914</v>
      </c>
      <c r="SUN1" s="286" t="s">
        <v>15915</v>
      </c>
      <c r="SUO1" s="286" t="s">
        <v>15916</v>
      </c>
      <c r="SUP1" s="286" t="s">
        <v>15917</v>
      </c>
      <c r="SUQ1" s="286" t="s">
        <v>15918</v>
      </c>
      <c r="SUR1" s="286" t="s">
        <v>15919</v>
      </c>
      <c r="SUS1" s="286" t="s">
        <v>15920</v>
      </c>
      <c r="SUT1" s="286" t="s">
        <v>15921</v>
      </c>
      <c r="SUU1" s="286" t="s">
        <v>15922</v>
      </c>
      <c r="SUV1" s="286" t="s">
        <v>15923</v>
      </c>
      <c r="SUW1" s="286" t="s">
        <v>15924</v>
      </c>
      <c r="SUX1" s="286" t="s">
        <v>15925</v>
      </c>
      <c r="SUY1" s="286" t="s">
        <v>15926</v>
      </c>
      <c r="SUZ1" s="286" t="s">
        <v>15927</v>
      </c>
      <c r="SVA1" s="286" t="s">
        <v>15928</v>
      </c>
      <c r="SVB1" s="286" t="s">
        <v>15929</v>
      </c>
      <c r="SVC1" s="286" t="s">
        <v>15930</v>
      </c>
      <c r="SVD1" s="286" t="s">
        <v>15931</v>
      </c>
      <c r="SVE1" s="286" t="s">
        <v>15932</v>
      </c>
      <c r="SVF1" s="286" t="s">
        <v>15933</v>
      </c>
      <c r="SVG1" s="286" t="s">
        <v>15934</v>
      </c>
      <c r="SVH1" s="286" t="s">
        <v>15935</v>
      </c>
      <c r="SVI1" s="286" t="s">
        <v>15936</v>
      </c>
      <c r="SVJ1" s="286" t="s">
        <v>15937</v>
      </c>
      <c r="SVK1" s="286" t="s">
        <v>15938</v>
      </c>
      <c r="SVL1" s="286" t="s">
        <v>15939</v>
      </c>
      <c r="SVM1" s="286" t="s">
        <v>15940</v>
      </c>
      <c r="SVN1" s="286" t="s">
        <v>15941</v>
      </c>
      <c r="SVO1" s="286" t="s">
        <v>15942</v>
      </c>
      <c r="SVP1" s="286" t="s">
        <v>15943</v>
      </c>
      <c r="SVQ1" s="286" t="s">
        <v>15944</v>
      </c>
      <c r="SVR1" s="286" t="s">
        <v>15945</v>
      </c>
      <c r="SVS1" s="286" t="s">
        <v>15946</v>
      </c>
      <c r="SVT1" s="286" t="s">
        <v>15947</v>
      </c>
      <c r="SVU1" s="286" t="s">
        <v>15948</v>
      </c>
      <c r="SVV1" s="286" t="s">
        <v>15949</v>
      </c>
      <c r="SVW1" s="286" t="s">
        <v>15950</v>
      </c>
      <c r="SVX1" s="286" t="s">
        <v>15951</v>
      </c>
      <c r="SVY1" s="286" t="s">
        <v>15952</v>
      </c>
      <c r="SVZ1" s="286" t="s">
        <v>15953</v>
      </c>
      <c r="SWA1" s="286" t="s">
        <v>15954</v>
      </c>
      <c r="SWB1" s="286" t="s">
        <v>15955</v>
      </c>
      <c r="SWC1" s="286" t="s">
        <v>15956</v>
      </c>
      <c r="SWD1" s="286" t="s">
        <v>15957</v>
      </c>
      <c r="SWE1" s="286" t="s">
        <v>15958</v>
      </c>
      <c r="SWF1" s="286" t="s">
        <v>15959</v>
      </c>
      <c r="SWG1" s="286" t="s">
        <v>15960</v>
      </c>
      <c r="SWH1" s="286" t="s">
        <v>15961</v>
      </c>
      <c r="SWI1" s="286" t="s">
        <v>15962</v>
      </c>
      <c r="SWJ1" s="286" t="s">
        <v>15963</v>
      </c>
      <c r="SWK1" s="286" t="s">
        <v>15964</v>
      </c>
      <c r="SWL1" s="286" t="s">
        <v>15965</v>
      </c>
      <c r="SWM1" s="286" t="s">
        <v>15966</v>
      </c>
      <c r="SWN1" s="286" t="s">
        <v>15967</v>
      </c>
      <c r="SWO1" s="286" t="s">
        <v>15968</v>
      </c>
      <c r="SWP1" s="286" t="s">
        <v>15969</v>
      </c>
      <c r="SWQ1" s="286" t="s">
        <v>15970</v>
      </c>
      <c r="SWR1" s="286" t="s">
        <v>15971</v>
      </c>
      <c r="SWS1" s="286" t="s">
        <v>15972</v>
      </c>
      <c r="SWT1" s="286" t="s">
        <v>15973</v>
      </c>
      <c r="SWU1" s="286" t="s">
        <v>15974</v>
      </c>
      <c r="SWV1" s="286" t="s">
        <v>15975</v>
      </c>
      <c r="SWW1" s="286" t="s">
        <v>15976</v>
      </c>
      <c r="SWX1" s="286" t="s">
        <v>15977</v>
      </c>
      <c r="SWY1" s="286" t="s">
        <v>15978</v>
      </c>
      <c r="SWZ1" s="286" t="s">
        <v>15979</v>
      </c>
      <c r="SXA1" s="286" t="s">
        <v>15980</v>
      </c>
      <c r="SXB1" s="286" t="s">
        <v>15981</v>
      </c>
      <c r="SXC1" s="286" t="s">
        <v>15982</v>
      </c>
      <c r="SXD1" s="286" t="s">
        <v>15983</v>
      </c>
      <c r="SXE1" s="286" t="s">
        <v>15984</v>
      </c>
      <c r="SXF1" s="286" t="s">
        <v>15985</v>
      </c>
      <c r="SXG1" s="286" t="s">
        <v>15986</v>
      </c>
      <c r="SXH1" s="286" t="s">
        <v>15987</v>
      </c>
      <c r="SXI1" s="286" t="s">
        <v>15988</v>
      </c>
      <c r="SXJ1" s="286" t="s">
        <v>15989</v>
      </c>
      <c r="SXK1" s="286" t="s">
        <v>15990</v>
      </c>
      <c r="SXL1" s="286" t="s">
        <v>15991</v>
      </c>
      <c r="SXM1" s="286" t="s">
        <v>15992</v>
      </c>
      <c r="SXN1" s="286" t="s">
        <v>15993</v>
      </c>
      <c r="SXO1" s="286" t="s">
        <v>15994</v>
      </c>
      <c r="SXP1" s="286" t="s">
        <v>15995</v>
      </c>
      <c r="SXQ1" s="286" t="s">
        <v>15996</v>
      </c>
      <c r="SXR1" s="286" t="s">
        <v>15997</v>
      </c>
      <c r="SXS1" s="286" t="s">
        <v>15998</v>
      </c>
      <c r="SXT1" s="286" t="s">
        <v>15999</v>
      </c>
      <c r="SXU1" s="286" t="s">
        <v>16000</v>
      </c>
      <c r="SXV1" s="286" t="s">
        <v>16001</v>
      </c>
      <c r="SXW1" s="286" t="s">
        <v>16002</v>
      </c>
      <c r="SXX1" s="286" t="s">
        <v>16003</v>
      </c>
      <c r="SXY1" s="286" t="s">
        <v>16004</v>
      </c>
      <c r="SXZ1" s="286" t="s">
        <v>16005</v>
      </c>
      <c r="SYA1" s="286" t="s">
        <v>16006</v>
      </c>
      <c r="SYB1" s="286" t="s">
        <v>16007</v>
      </c>
      <c r="SYC1" s="286" t="s">
        <v>16008</v>
      </c>
      <c r="SYD1" s="286" t="s">
        <v>16009</v>
      </c>
      <c r="SYE1" s="286" t="s">
        <v>16010</v>
      </c>
      <c r="SYF1" s="286" t="s">
        <v>16011</v>
      </c>
      <c r="SYG1" s="286" t="s">
        <v>16012</v>
      </c>
      <c r="SYH1" s="286" t="s">
        <v>16013</v>
      </c>
      <c r="SYI1" s="286" t="s">
        <v>16014</v>
      </c>
      <c r="SYJ1" s="286" t="s">
        <v>16015</v>
      </c>
      <c r="SYK1" s="286" t="s">
        <v>16016</v>
      </c>
      <c r="SYL1" s="286" t="s">
        <v>16017</v>
      </c>
      <c r="SYM1" s="286" t="s">
        <v>16018</v>
      </c>
      <c r="SYN1" s="286" t="s">
        <v>16019</v>
      </c>
      <c r="SYO1" s="286" t="s">
        <v>16020</v>
      </c>
      <c r="SYP1" s="286" t="s">
        <v>16021</v>
      </c>
      <c r="SYQ1" s="286" t="s">
        <v>16022</v>
      </c>
      <c r="SYR1" s="286" t="s">
        <v>16023</v>
      </c>
      <c r="SYS1" s="286" t="s">
        <v>16024</v>
      </c>
      <c r="SYT1" s="286" t="s">
        <v>16025</v>
      </c>
      <c r="SYU1" s="286" t="s">
        <v>16026</v>
      </c>
      <c r="SYV1" s="286" t="s">
        <v>16027</v>
      </c>
      <c r="SYW1" s="286" t="s">
        <v>16028</v>
      </c>
      <c r="SYX1" s="286" t="s">
        <v>16029</v>
      </c>
      <c r="SYY1" s="286" t="s">
        <v>16030</v>
      </c>
      <c r="SYZ1" s="286" t="s">
        <v>16031</v>
      </c>
      <c r="SZA1" s="286" t="s">
        <v>16032</v>
      </c>
      <c r="SZB1" s="286" t="s">
        <v>16033</v>
      </c>
      <c r="SZC1" s="286" t="s">
        <v>16034</v>
      </c>
      <c r="SZD1" s="286" t="s">
        <v>16035</v>
      </c>
      <c r="SZE1" s="286" t="s">
        <v>16036</v>
      </c>
      <c r="SZF1" s="286" t="s">
        <v>16037</v>
      </c>
      <c r="SZG1" s="286" t="s">
        <v>16038</v>
      </c>
      <c r="SZH1" s="286" t="s">
        <v>16039</v>
      </c>
      <c r="SZI1" s="286" t="s">
        <v>16040</v>
      </c>
      <c r="SZJ1" s="286" t="s">
        <v>16041</v>
      </c>
      <c r="SZK1" s="286" t="s">
        <v>16042</v>
      </c>
      <c r="SZL1" s="286" t="s">
        <v>16043</v>
      </c>
      <c r="SZM1" s="286" t="s">
        <v>16044</v>
      </c>
      <c r="SZN1" s="286" t="s">
        <v>16045</v>
      </c>
      <c r="SZO1" s="286" t="s">
        <v>16046</v>
      </c>
      <c r="SZP1" s="286" t="s">
        <v>16047</v>
      </c>
      <c r="SZQ1" s="286" t="s">
        <v>16048</v>
      </c>
      <c r="SZR1" s="286" t="s">
        <v>16049</v>
      </c>
      <c r="SZS1" s="286" t="s">
        <v>16050</v>
      </c>
      <c r="SZT1" s="286" t="s">
        <v>16051</v>
      </c>
      <c r="SZU1" s="286" t="s">
        <v>16052</v>
      </c>
      <c r="SZV1" s="286" t="s">
        <v>16053</v>
      </c>
      <c r="SZW1" s="286" t="s">
        <v>16054</v>
      </c>
      <c r="SZX1" s="286" t="s">
        <v>16055</v>
      </c>
      <c r="SZY1" s="286" t="s">
        <v>16056</v>
      </c>
      <c r="SZZ1" s="286" t="s">
        <v>16057</v>
      </c>
      <c r="TAA1" s="286" t="s">
        <v>16058</v>
      </c>
      <c r="TAB1" s="286" t="s">
        <v>16059</v>
      </c>
      <c r="TAC1" s="286" t="s">
        <v>16060</v>
      </c>
      <c r="TAD1" s="286" t="s">
        <v>16061</v>
      </c>
      <c r="TAE1" s="286" t="s">
        <v>16062</v>
      </c>
      <c r="TAF1" s="286" t="s">
        <v>16063</v>
      </c>
      <c r="TAG1" s="286" t="s">
        <v>16064</v>
      </c>
      <c r="TAH1" s="286" t="s">
        <v>16065</v>
      </c>
      <c r="TAI1" s="286" t="s">
        <v>16066</v>
      </c>
      <c r="TAJ1" s="286" t="s">
        <v>16067</v>
      </c>
      <c r="TAK1" s="286" t="s">
        <v>16068</v>
      </c>
      <c r="TAL1" s="286" t="s">
        <v>16069</v>
      </c>
      <c r="TAM1" s="286" t="s">
        <v>16070</v>
      </c>
      <c r="TAN1" s="286" t="s">
        <v>16071</v>
      </c>
      <c r="TAO1" s="286" t="s">
        <v>16072</v>
      </c>
      <c r="TAP1" s="286" t="s">
        <v>16073</v>
      </c>
      <c r="TAQ1" s="286" t="s">
        <v>16074</v>
      </c>
      <c r="TAR1" s="286" t="s">
        <v>16075</v>
      </c>
      <c r="TAS1" s="286" t="s">
        <v>16076</v>
      </c>
      <c r="TAT1" s="286" t="s">
        <v>16077</v>
      </c>
      <c r="TAU1" s="286" t="s">
        <v>16078</v>
      </c>
      <c r="TAV1" s="286" t="s">
        <v>16079</v>
      </c>
      <c r="TAW1" s="286" t="s">
        <v>16080</v>
      </c>
      <c r="TAX1" s="286" t="s">
        <v>16081</v>
      </c>
      <c r="TAY1" s="286" t="s">
        <v>16082</v>
      </c>
      <c r="TAZ1" s="286" t="s">
        <v>16083</v>
      </c>
      <c r="TBA1" s="286" t="s">
        <v>16084</v>
      </c>
      <c r="TBB1" s="286" t="s">
        <v>16085</v>
      </c>
      <c r="TBC1" s="286" t="s">
        <v>16086</v>
      </c>
      <c r="TBD1" s="286" t="s">
        <v>16087</v>
      </c>
      <c r="TBE1" s="286" t="s">
        <v>16088</v>
      </c>
      <c r="TBF1" s="286" t="s">
        <v>16089</v>
      </c>
      <c r="TBG1" s="286" t="s">
        <v>16090</v>
      </c>
      <c r="TBH1" s="286" t="s">
        <v>16091</v>
      </c>
      <c r="TBI1" s="286" t="s">
        <v>16092</v>
      </c>
      <c r="TBJ1" s="286" t="s">
        <v>16093</v>
      </c>
      <c r="TBK1" s="286" t="s">
        <v>16094</v>
      </c>
      <c r="TBL1" s="286" t="s">
        <v>16095</v>
      </c>
      <c r="TBM1" s="286" t="s">
        <v>16096</v>
      </c>
      <c r="TBN1" s="286" t="s">
        <v>16097</v>
      </c>
      <c r="TBO1" s="286" t="s">
        <v>16098</v>
      </c>
      <c r="TBP1" s="286" t="s">
        <v>16099</v>
      </c>
      <c r="TBQ1" s="286" t="s">
        <v>16100</v>
      </c>
      <c r="TBR1" s="286" t="s">
        <v>16101</v>
      </c>
      <c r="TBS1" s="286" t="s">
        <v>16102</v>
      </c>
      <c r="TBT1" s="286" t="s">
        <v>16103</v>
      </c>
      <c r="TBU1" s="286" t="s">
        <v>16104</v>
      </c>
      <c r="TBV1" s="286" t="s">
        <v>16105</v>
      </c>
      <c r="TBW1" s="286" t="s">
        <v>16106</v>
      </c>
      <c r="TBX1" s="286" t="s">
        <v>16107</v>
      </c>
      <c r="TBY1" s="286" t="s">
        <v>16108</v>
      </c>
      <c r="TBZ1" s="286" t="s">
        <v>16109</v>
      </c>
      <c r="TCA1" s="286" t="s">
        <v>16110</v>
      </c>
      <c r="TCB1" s="286" t="s">
        <v>16111</v>
      </c>
      <c r="TCC1" s="286" t="s">
        <v>16112</v>
      </c>
      <c r="TCD1" s="286" t="s">
        <v>16113</v>
      </c>
      <c r="TCE1" s="286" t="s">
        <v>16114</v>
      </c>
      <c r="TCF1" s="286" t="s">
        <v>16115</v>
      </c>
      <c r="TCG1" s="286" t="s">
        <v>16116</v>
      </c>
      <c r="TCH1" s="286" t="s">
        <v>16117</v>
      </c>
      <c r="TCI1" s="286" t="s">
        <v>16118</v>
      </c>
      <c r="TCJ1" s="286" t="s">
        <v>16119</v>
      </c>
      <c r="TCK1" s="286" t="s">
        <v>16120</v>
      </c>
      <c r="TCL1" s="286" t="s">
        <v>16121</v>
      </c>
      <c r="TCM1" s="286" t="s">
        <v>16122</v>
      </c>
      <c r="TCN1" s="286" t="s">
        <v>16123</v>
      </c>
      <c r="TCO1" s="286" t="s">
        <v>16124</v>
      </c>
      <c r="TCP1" s="286" t="s">
        <v>16125</v>
      </c>
      <c r="TCQ1" s="286" t="s">
        <v>16126</v>
      </c>
      <c r="TCR1" s="286" t="s">
        <v>16127</v>
      </c>
      <c r="TCS1" s="286" t="s">
        <v>16128</v>
      </c>
      <c r="TCT1" s="286" t="s">
        <v>16129</v>
      </c>
      <c r="TCU1" s="286" t="s">
        <v>16130</v>
      </c>
      <c r="TCV1" s="286" t="s">
        <v>16131</v>
      </c>
      <c r="TCW1" s="286" t="s">
        <v>16132</v>
      </c>
      <c r="TCX1" s="286" t="s">
        <v>16133</v>
      </c>
      <c r="TCY1" s="286" t="s">
        <v>16134</v>
      </c>
      <c r="TCZ1" s="286" t="s">
        <v>16135</v>
      </c>
      <c r="TDA1" s="286" t="s">
        <v>16136</v>
      </c>
      <c r="TDB1" s="286" t="s">
        <v>16137</v>
      </c>
      <c r="TDC1" s="286" t="s">
        <v>16138</v>
      </c>
      <c r="TDD1" s="286" t="s">
        <v>16139</v>
      </c>
      <c r="TDE1" s="286" t="s">
        <v>16140</v>
      </c>
      <c r="TDF1" s="286" t="s">
        <v>16141</v>
      </c>
      <c r="TDG1" s="286" t="s">
        <v>16142</v>
      </c>
      <c r="TDH1" s="286" t="s">
        <v>16143</v>
      </c>
      <c r="TDI1" s="286" t="s">
        <v>16144</v>
      </c>
      <c r="TDJ1" s="286" t="s">
        <v>16145</v>
      </c>
      <c r="TDK1" s="286" t="s">
        <v>16146</v>
      </c>
      <c r="TDL1" s="286" t="s">
        <v>16147</v>
      </c>
      <c r="TDM1" s="286" t="s">
        <v>16148</v>
      </c>
      <c r="TDN1" s="286" t="s">
        <v>16149</v>
      </c>
      <c r="TDO1" s="286" t="s">
        <v>16150</v>
      </c>
      <c r="TDP1" s="286" t="s">
        <v>16151</v>
      </c>
      <c r="TDQ1" s="286" t="s">
        <v>16152</v>
      </c>
      <c r="TDR1" s="286" t="s">
        <v>16153</v>
      </c>
      <c r="TDS1" s="286" t="s">
        <v>16154</v>
      </c>
      <c r="TDT1" s="286" t="s">
        <v>16155</v>
      </c>
      <c r="TDU1" s="286" t="s">
        <v>16156</v>
      </c>
      <c r="TDV1" s="286" t="s">
        <v>16157</v>
      </c>
      <c r="TDW1" s="286" t="s">
        <v>16158</v>
      </c>
      <c r="TDX1" s="286" t="s">
        <v>16159</v>
      </c>
      <c r="TDY1" s="286" t="s">
        <v>16160</v>
      </c>
      <c r="TDZ1" s="286" t="s">
        <v>16161</v>
      </c>
      <c r="TEA1" s="286" t="s">
        <v>16162</v>
      </c>
      <c r="TEB1" s="286" t="s">
        <v>16163</v>
      </c>
      <c r="TEC1" s="286" t="s">
        <v>16164</v>
      </c>
      <c r="TED1" s="286" t="s">
        <v>16165</v>
      </c>
      <c r="TEE1" s="286" t="s">
        <v>16166</v>
      </c>
      <c r="TEF1" s="286" t="s">
        <v>16167</v>
      </c>
      <c r="TEG1" s="286" t="s">
        <v>16168</v>
      </c>
      <c r="TEH1" s="286" t="s">
        <v>16169</v>
      </c>
      <c r="TEI1" s="286" t="s">
        <v>16170</v>
      </c>
      <c r="TEJ1" s="286" t="s">
        <v>16171</v>
      </c>
      <c r="TEK1" s="286" t="s">
        <v>16172</v>
      </c>
      <c r="TEL1" s="286" t="s">
        <v>16173</v>
      </c>
      <c r="TEM1" s="286" t="s">
        <v>16174</v>
      </c>
      <c r="TEN1" s="286" t="s">
        <v>16175</v>
      </c>
      <c r="TEO1" s="286" t="s">
        <v>16176</v>
      </c>
      <c r="TEP1" s="286" t="s">
        <v>16177</v>
      </c>
      <c r="TEQ1" s="286" t="s">
        <v>16178</v>
      </c>
      <c r="TER1" s="286" t="s">
        <v>16179</v>
      </c>
      <c r="TES1" s="286" t="s">
        <v>16180</v>
      </c>
      <c r="TET1" s="286" t="s">
        <v>16181</v>
      </c>
      <c r="TEU1" s="286" t="s">
        <v>16182</v>
      </c>
      <c r="TEV1" s="286" t="s">
        <v>16183</v>
      </c>
      <c r="TEW1" s="286" t="s">
        <v>16184</v>
      </c>
      <c r="TEX1" s="286" t="s">
        <v>16185</v>
      </c>
      <c r="TEY1" s="286" t="s">
        <v>16186</v>
      </c>
      <c r="TEZ1" s="286" t="s">
        <v>16187</v>
      </c>
      <c r="TFA1" s="286" t="s">
        <v>16188</v>
      </c>
      <c r="TFB1" s="286" t="s">
        <v>16189</v>
      </c>
      <c r="TFC1" s="286" t="s">
        <v>16190</v>
      </c>
      <c r="TFD1" s="286" t="s">
        <v>16191</v>
      </c>
      <c r="TFE1" s="286" t="s">
        <v>16192</v>
      </c>
      <c r="TFF1" s="286" t="s">
        <v>16193</v>
      </c>
      <c r="TFG1" s="286" t="s">
        <v>16194</v>
      </c>
      <c r="TFH1" s="286" t="s">
        <v>16195</v>
      </c>
      <c r="TFI1" s="286" t="s">
        <v>16196</v>
      </c>
      <c r="TFJ1" s="286" t="s">
        <v>16197</v>
      </c>
      <c r="TFK1" s="286" t="s">
        <v>16198</v>
      </c>
      <c r="TFL1" s="286" t="s">
        <v>16199</v>
      </c>
      <c r="TFM1" s="286" t="s">
        <v>16200</v>
      </c>
      <c r="TFN1" s="286" t="s">
        <v>16201</v>
      </c>
      <c r="TFO1" s="286" t="s">
        <v>16202</v>
      </c>
      <c r="TFP1" s="286" t="s">
        <v>16203</v>
      </c>
      <c r="TFQ1" s="286" t="s">
        <v>16204</v>
      </c>
      <c r="TFR1" s="286" t="s">
        <v>16205</v>
      </c>
      <c r="TFS1" s="286" t="s">
        <v>16206</v>
      </c>
      <c r="TFT1" s="286" t="s">
        <v>16207</v>
      </c>
      <c r="TFU1" s="286" t="s">
        <v>16208</v>
      </c>
      <c r="TFV1" s="286" t="s">
        <v>16209</v>
      </c>
      <c r="TFW1" s="286" t="s">
        <v>16210</v>
      </c>
      <c r="TFX1" s="286" t="s">
        <v>16211</v>
      </c>
      <c r="TFY1" s="286" t="s">
        <v>16212</v>
      </c>
      <c r="TFZ1" s="286" t="s">
        <v>16213</v>
      </c>
      <c r="TGA1" s="286" t="s">
        <v>16214</v>
      </c>
      <c r="TGB1" s="286" t="s">
        <v>16215</v>
      </c>
      <c r="TGC1" s="286" t="s">
        <v>16216</v>
      </c>
      <c r="TGD1" s="286" t="s">
        <v>16217</v>
      </c>
      <c r="TGE1" s="286" t="s">
        <v>16218</v>
      </c>
      <c r="TGF1" s="286" t="s">
        <v>16219</v>
      </c>
      <c r="TGG1" s="286" t="s">
        <v>16220</v>
      </c>
      <c r="TGH1" s="286" t="s">
        <v>16221</v>
      </c>
      <c r="TGI1" s="286" t="s">
        <v>16222</v>
      </c>
      <c r="TGJ1" s="286" t="s">
        <v>16223</v>
      </c>
      <c r="TGK1" s="286" t="s">
        <v>16224</v>
      </c>
      <c r="TGL1" s="286" t="s">
        <v>16225</v>
      </c>
      <c r="TGM1" s="286" t="s">
        <v>16226</v>
      </c>
      <c r="TGN1" s="286" t="s">
        <v>16227</v>
      </c>
      <c r="TGO1" s="286" t="s">
        <v>16228</v>
      </c>
      <c r="TGP1" s="286" t="s">
        <v>16229</v>
      </c>
      <c r="TGQ1" s="286" t="s">
        <v>16230</v>
      </c>
      <c r="TGR1" s="286" t="s">
        <v>16231</v>
      </c>
      <c r="TGS1" s="286" t="s">
        <v>16232</v>
      </c>
      <c r="TGT1" s="286" t="s">
        <v>16233</v>
      </c>
      <c r="TGU1" s="286" t="s">
        <v>16234</v>
      </c>
      <c r="TGV1" s="286" t="s">
        <v>16235</v>
      </c>
      <c r="TGW1" s="286" t="s">
        <v>16236</v>
      </c>
      <c r="TGX1" s="286" t="s">
        <v>16237</v>
      </c>
      <c r="TGY1" s="286" t="s">
        <v>16238</v>
      </c>
      <c r="TGZ1" s="286" t="s">
        <v>16239</v>
      </c>
      <c r="THA1" s="286" t="s">
        <v>16240</v>
      </c>
      <c r="THB1" s="286" t="s">
        <v>16241</v>
      </c>
      <c r="THC1" s="286" t="s">
        <v>16242</v>
      </c>
      <c r="THD1" s="286" t="s">
        <v>16243</v>
      </c>
      <c r="THE1" s="286" t="s">
        <v>16244</v>
      </c>
      <c r="THF1" s="286" t="s">
        <v>16245</v>
      </c>
      <c r="THG1" s="286" t="s">
        <v>16246</v>
      </c>
      <c r="THH1" s="286" t="s">
        <v>16247</v>
      </c>
      <c r="THI1" s="286" t="s">
        <v>16248</v>
      </c>
      <c r="THJ1" s="286" t="s">
        <v>16249</v>
      </c>
      <c r="THK1" s="286" t="s">
        <v>16250</v>
      </c>
      <c r="THL1" s="286" t="s">
        <v>16251</v>
      </c>
      <c r="THM1" s="286" t="s">
        <v>16252</v>
      </c>
      <c r="THN1" s="286" t="s">
        <v>16253</v>
      </c>
      <c r="THO1" s="286" t="s">
        <v>16254</v>
      </c>
      <c r="THP1" s="286" t="s">
        <v>16255</v>
      </c>
      <c r="THQ1" s="286" t="s">
        <v>16256</v>
      </c>
      <c r="THR1" s="286" t="s">
        <v>16257</v>
      </c>
      <c r="THS1" s="286" t="s">
        <v>16258</v>
      </c>
      <c r="THT1" s="286" t="s">
        <v>16259</v>
      </c>
      <c r="THU1" s="286" t="s">
        <v>16260</v>
      </c>
      <c r="THV1" s="286" t="s">
        <v>16261</v>
      </c>
      <c r="THW1" s="286" t="s">
        <v>16262</v>
      </c>
      <c r="THX1" s="286" t="s">
        <v>16263</v>
      </c>
      <c r="THY1" s="286" t="s">
        <v>16264</v>
      </c>
      <c r="THZ1" s="286" t="s">
        <v>16265</v>
      </c>
      <c r="TIA1" s="286" t="s">
        <v>16266</v>
      </c>
      <c r="TIB1" s="286" t="s">
        <v>16267</v>
      </c>
      <c r="TIC1" s="286" t="s">
        <v>16268</v>
      </c>
      <c r="TID1" s="286" t="s">
        <v>16269</v>
      </c>
      <c r="TIE1" s="286" t="s">
        <v>16270</v>
      </c>
      <c r="TIF1" s="286" t="s">
        <v>16271</v>
      </c>
      <c r="TIG1" s="286" t="s">
        <v>16272</v>
      </c>
      <c r="TIH1" s="286" t="s">
        <v>16273</v>
      </c>
      <c r="TII1" s="286" t="s">
        <v>16274</v>
      </c>
      <c r="TIJ1" s="286" t="s">
        <v>16275</v>
      </c>
      <c r="TIK1" s="286" t="s">
        <v>16276</v>
      </c>
      <c r="TIL1" s="286" t="s">
        <v>16277</v>
      </c>
      <c r="TIM1" s="286" t="s">
        <v>16278</v>
      </c>
      <c r="TIN1" s="286" t="s">
        <v>16279</v>
      </c>
      <c r="TIO1" s="286" t="s">
        <v>16280</v>
      </c>
      <c r="TIP1" s="286" t="s">
        <v>16281</v>
      </c>
      <c r="TIQ1" s="286" t="s">
        <v>16282</v>
      </c>
      <c r="TIR1" s="286" t="s">
        <v>16283</v>
      </c>
      <c r="TIS1" s="286" t="s">
        <v>16284</v>
      </c>
      <c r="TIT1" s="286" t="s">
        <v>16285</v>
      </c>
      <c r="TIU1" s="286" t="s">
        <v>16286</v>
      </c>
      <c r="TIV1" s="286" t="s">
        <v>16287</v>
      </c>
      <c r="TIW1" s="286" t="s">
        <v>16288</v>
      </c>
      <c r="TIX1" s="286" t="s">
        <v>16289</v>
      </c>
      <c r="TIY1" s="286" t="s">
        <v>16290</v>
      </c>
      <c r="TIZ1" s="286" t="s">
        <v>16291</v>
      </c>
      <c r="TJA1" s="286" t="s">
        <v>16292</v>
      </c>
      <c r="TJB1" s="286" t="s">
        <v>16293</v>
      </c>
      <c r="TJC1" s="286" t="s">
        <v>16294</v>
      </c>
      <c r="TJD1" s="286" t="s">
        <v>16295</v>
      </c>
      <c r="TJE1" s="286" t="s">
        <v>16296</v>
      </c>
      <c r="TJF1" s="286" t="s">
        <v>16297</v>
      </c>
      <c r="TJG1" s="286" t="s">
        <v>16298</v>
      </c>
      <c r="TJH1" s="286" t="s">
        <v>16299</v>
      </c>
      <c r="TJI1" s="286" t="s">
        <v>16300</v>
      </c>
      <c r="TJJ1" s="286" t="s">
        <v>16301</v>
      </c>
      <c r="TJK1" s="286" t="s">
        <v>16302</v>
      </c>
      <c r="TJL1" s="286" t="s">
        <v>16303</v>
      </c>
      <c r="TJM1" s="286" t="s">
        <v>16304</v>
      </c>
      <c r="TJN1" s="286" t="s">
        <v>16305</v>
      </c>
      <c r="TJO1" s="286" t="s">
        <v>16306</v>
      </c>
      <c r="TJP1" s="286" t="s">
        <v>16307</v>
      </c>
      <c r="TJQ1" s="286" t="s">
        <v>16308</v>
      </c>
      <c r="TJR1" s="286" t="s">
        <v>16309</v>
      </c>
      <c r="TJS1" s="286" t="s">
        <v>16310</v>
      </c>
      <c r="TJT1" s="286" t="s">
        <v>16311</v>
      </c>
      <c r="TJU1" s="286" t="s">
        <v>16312</v>
      </c>
      <c r="TJV1" s="286" t="s">
        <v>16313</v>
      </c>
      <c r="TJW1" s="286" t="s">
        <v>16314</v>
      </c>
      <c r="TJX1" s="286" t="s">
        <v>16315</v>
      </c>
      <c r="TJY1" s="286" t="s">
        <v>16316</v>
      </c>
      <c r="TJZ1" s="286" t="s">
        <v>16317</v>
      </c>
      <c r="TKA1" s="286" t="s">
        <v>16318</v>
      </c>
      <c r="TKB1" s="286" t="s">
        <v>16319</v>
      </c>
      <c r="TKC1" s="286" t="s">
        <v>16320</v>
      </c>
      <c r="TKD1" s="286" t="s">
        <v>16321</v>
      </c>
      <c r="TKE1" s="286" t="s">
        <v>16322</v>
      </c>
      <c r="TKF1" s="286" t="s">
        <v>16323</v>
      </c>
      <c r="TKG1" s="286" t="s">
        <v>16324</v>
      </c>
      <c r="TKH1" s="286" t="s">
        <v>16325</v>
      </c>
      <c r="TKI1" s="286" t="s">
        <v>16326</v>
      </c>
      <c r="TKJ1" s="286" t="s">
        <v>16327</v>
      </c>
      <c r="TKK1" s="286" t="s">
        <v>16328</v>
      </c>
      <c r="TKL1" s="286" t="s">
        <v>16329</v>
      </c>
      <c r="TKM1" s="286" t="s">
        <v>16330</v>
      </c>
      <c r="TKN1" s="286" t="s">
        <v>16331</v>
      </c>
      <c r="TKO1" s="286" t="s">
        <v>16332</v>
      </c>
      <c r="TKP1" s="286" t="s">
        <v>16333</v>
      </c>
      <c r="TKQ1" s="286" t="s">
        <v>16334</v>
      </c>
      <c r="TKR1" s="286" t="s">
        <v>16335</v>
      </c>
      <c r="TKS1" s="286" t="s">
        <v>16336</v>
      </c>
      <c r="TKT1" s="286" t="s">
        <v>16337</v>
      </c>
      <c r="TKU1" s="286" t="s">
        <v>16338</v>
      </c>
      <c r="TKV1" s="286" t="s">
        <v>16339</v>
      </c>
      <c r="TKW1" s="286" t="s">
        <v>16340</v>
      </c>
      <c r="TKX1" s="286" t="s">
        <v>16341</v>
      </c>
      <c r="TKY1" s="286" t="s">
        <v>16342</v>
      </c>
      <c r="TKZ1" s="286" t="s">
        <v>16343</v>
      </c>
      <c r="TLA1" s="286" t="s">
        <v>16344</v>
      </c>
      <c r="TLB1" s="286" t="s">
        <v>16345</v>
      </c>
      <c r="TLC1" s="286" t="s">
        <v>16346</v>
      </c>
      <c r="TLD1" s="286" t="s">
        <v>16347</v>
      </c>
      <c r="TLE1" s="286" t="s">
        <v>16348</v>
      </c>
      <c r="TLF1" s="286" t="s">
        <v>16349</v>
      </c>
      <c r="TLG1" s="286" t="s">
        <v>16350</v>
      </c>
      <c r="TLH1" s="286" t="s">
        <v>16351</v>
      </c>
      <c r="TLI1" s="286" t="s">
        <v>16352</v>
      </c>
      <c r="TLJ1" s="286" t="s">
        <v>16353</v>
      </c>
      <c r="TLK1" s="286" t="s">
        <v>16354</v>
      </c>
      <c r="TLL1" s="286" t="s">
        <v>16355</v>
      </c>
      <c r="TLM1" s="286" t="s">
        <v>16356</v>
      </c>
      <c r="TLN1" s="286" t="s">
        <v>16357</v>
      </c>
      <c r="TLO1" s="286" t="s">
        <v>16358</v>
      </c>
      <c r="TLP1" s="286" t="s">
        <v>16359</v>
      </c>
      <c r="TLQ1" s="286" t="s">
        <v>16360</v>
      </c>
      <c r="TLR1" s="286" t="s">
        <v>16361</v>
      </c>
      <c r="TLS1" s="286" t="s">
        <v>16362</v>
      </c>
      <c r="TLT1" s="286" t="s">
        <v>16363</v>
      </c>
      <c r="TLU1" s="286" t="s">
        <v>16364</v>
      </c>
      <c r="TLV1" s="286" t="s">
        <v>16365</v>
      </c>
      <c r="TLW1" s="286" t="s">
        <v>16366</v>
      </c>
      <c r="TLX1" s="286" t="s">
        <v>16367</v>
      </c>
      <c r="TLY1" s="286" t="s">
        <v>16368</v>
      </c>
      <c r="TLZ1" s="286" t="s">
        <v>16369</v>
      </c>
      <c r="TMA1" s="286" t="s">
        <v>16370</v>
      </c>
      <c r="TMB1" s="286" t="s">
        <v>16371</v>
      </c>
      <c r="TMC1" s="286" t="s">
        <v>16372</v>
      </c>
      <c r="TMD1" s="286" t="s">
        <v>16373</v>
      </c>
      <c r="TME1" s="286" t="s">
        <v>16374</v>
      </c>
      <c r="TMF1" s="286" t="s">
        <v>16375</v>
      </c>
      <c r="TMG1" s="286" t="s">
        <v>16376</v>
      </c>
      <c r="TMH1" s="286" t="s">
        <v>16377</v>
      </c>
      <c r="TMI1" s="286" t="s">
        <v>16378</v>
      </c>
      <c r="TMJ1" s="286" t="s">
        <v>16379</v>
      </c>
      <c r="TMK1" s="286" t="s">
        <v>16380</v>
      </c>
      <c r="TML1" s="286" t="s">
        <v>16381</v>
      </c>
      <c r="TMM1" s="286" t="s">
        <v>16382</v>
      </c>
      <c r="TMN1" s="286" t="s">
        <v>16383</v>
      </c>
      <c r="TMO1" s="286" t="s">
        <v>16384</v>
      </c>
      <c r="TMP1" s="286" t="s">
        <v>16385</v>
      </c>
      <c r="TMQ1" s="286" t="s">
        <v>16386</v>
      </c>
      <c r="TMR1" s="286" t="s">
        <v>16387</v>
      </c>
      <c r="TMS1" s="286" t="s">
        <v>16388</v>
      </c>
      <c r="TMT1" s="286" t="s">
        <v>16389</v>
      </c>
      <c r="TMU1" s="286" t="s">
        <v>16390</v>
      </c>
      <c r="TMV1" s="286" t="s">
        <v>16391</v>
      </c>
      <c r="TMW1" s="286" t="s">
        <v>16392</v>
      </c>
      <c r="TMX1" s="286" t="s">
        <v>16393</v>
      </c>
      <c r="TMY1" s="286" t="s">
        <v>16394</v>
      </c>
      <c r="TMZ1" s="286" t="s">
        <v>16395</v>
      </c>
      <c r="TNA1" s="286" t="s">
        <v>16396</v>
      </c>
      <c r="TNB1" s="286" t="s">
        <v>16397</v>
      </c>
      <c r="TNC1" s="286" t="s">
        <v>16398</v>
      </c>
      <c r="TND1" s="286" t="s">
        <v>16399</v>
      </c>
      <c r="TNE1" s="286" t="s">
        <v>16400</v>
      </c>
      <c r="TNF1" s="286" t="s">
        <v>16401</v>
      </c>
      <c r="TNG1" s="286" t="s">
        <v>16402</v>
      </c>
      <c r="TNH1" s="286" t="s">
        <v>16403</v>
      </c>
      <c r="TNI1" s="286" t="s">
        <v>16404</v>
      </c>
      <c r="TNJ1" s="286" t="s">
        <v>16405</v>
      </c>
      <c r="TNK1" s="286" t="s">
        <v>16406</v>
      </c>
      <c r="TNL1" s="286" t="s">
        <v>16407</v>
      </c>
      <c r="TNM1" s="286" t="s">
        <v>16408</v>
      </c>
      <c r="TNN1" s="286" t="s">
        <v>16409</v>
      </c>
      <c r="TNO1" s="286" t="s">
        <v>16410</v>
      </c>
      <c r="TNP1" s="286" t="s">
        <v>16411</v>
      </c>
      <c r="TNQ1" s="286" t="s">
        <v>16412</v>
      </c>
      <c r="TNR1" s="286" t="s">
        <v>16413</v>
      </c>
      <c r="TNS1" s="286" t="s">
        <v>16414</v>
      </c>
      <c r="TNT1" s="286" t="s">
        <v>16415</v>
      </c>
      <c r="TNU1" s="286" t="s">
        <v>16416</v>
      </c>
      <c r="TNV1" s="286" t="s">
        <v>16417</v>
      </c>
      <c r="TNW1" s="286" t="s">
        <v>16418</v>
      </c>
      <c r="TNX1" s="286" t="s">
        <v>16419</v>
      </c>
      <c r="TNY1" s="286" t="s">
        <v>16420</v>
      </c>
      <c r="TNZ1" s="286" t="s">
        <v>16421</v>
      </c>
      <c r="TOA1" s="286" t="s">
        <v>16422</v>
      </c>
      <c r="TOB1" s="286" t="s">
        <v>16423</v>
      </c>
      <c r="TOC1" s="286" t="s">
        <v>16424</v>
      </c>
      <c r="TOD1" s="286" t="s">
        <v>16425</v>
      </c>
      <c r="TOE1" s="286" t="s">
        <v>16426</v>
      </c>
      <c r="TOF1" s="286" t="s">
        <v>16427</v>
      </c>
      <c r="TOG1" s="286" t="s">
        <v>16428</v>
      </c>
      <c r="TOH1" s="286" t="s">
        <v>16429</v>
      </c>
      <c r="TOI1" s="286" t="s">
        <v>16430</v>
      </c>
      <c r="TOJ1" s="286" t="s">
        <v>16431</v>
      </c>
      <c r="TOK1" s="286" t="s">
        <v>16432</v>
      </c>
      <c r="TOL1" s="286" t="s">
        <v>16433</v>
      </c>
      <c r="TOM1" s="286" t="s">
        <v>16434</v>
      </c>
      <c r="TON1" s="286" t="s">
        <v>16435</v>
      </c>
      <c r="TOO1" s="286" t="s">
        <v>16436</v>
      </c>
      <c r="TOP1" s="286" t="s">
        <v>16437</v>
      </c>
      <c r="TOQ1" s="286" t="s">
        <v>16438</v>
      </c>
      <c r="TOR1" s="286" t="s">
        <v>16439</v>
      </c>
      <c r="TOS1" s="286" t="s">
        <v>16440</v>
      </c>
      <c r="TOT1" s="286" t="s">
        <v>16441</v>
      </c>
      <c r="TOU1" s="286" t="s">
        <v>16442</v>
      </c>
      <c r="TOV1" s="286" t="s">
        <v>16443</v>
      </c>
      <c r="TOW1" s="286" t="s">
        <v>16444</v>
      </c>
      <c r="TOX1" s="286" t="s">
        <v>16445</v>
      </c>
      <c r="TOY1" s="286" t="s">
        <v>16446</v>
      </c>
      <c r="TOZ1" s="286" t="s">
        <v>16447</v>
      </c>
      <c r="TPA1" s="286" t="s">
        <v>16448</v>
      </c>
      <c r="TPB1" s="286" t="s">
        <v>16449</v>
      </c>
      <c r="TPC1" s="286" t="s">
        <v>16450</v>
      </c>
      <c r="TPD1" s="286" t="s">
        <v>16451</v>
      </c>
      <c r="TPE1" s="286" t="s">
        <v>16452</v>
      </c>
      <c r="TPF1" s="286" t="s">
        <v>16453</v>
      </c>
      <c r="TPG1" s="286" t="s">
        <v>16454</v>
      </c>
      <c r="TPH1" s="286" t="s">
        <v>16455</v>
      </c>
      <c r="TPI1" s="286" t="s">
        <v>16456</v>
      </c>
      <c r="TPJ1" s="286" t="s">
        <v>16457</v>
      </c>
      <c r="TPK1" s="286" t="s">
        <v>16458</v>
      </c>
      <c r="TPL1" s="286" t="s">
        <v>16459</v>
      </c>
      <c r="TPM1" s="286" t="s">
        <v>16460</v>
      </c>
      <c r="TPN1" s="286" t="s">
        <v>16461</v>
      </c>
      <c r="TPO1" s="286" t="s">
        <v>16462</v>
      </c>
      <c r="TPP1" s="286" t="s">
        <v>16463</v>
      </c>
      <c r="TPQ1" s="286" t="s">
        <v>16464</v>
      </c>
      <c r="TPR1" s="286" t="s">
        <v>16465</v>
      </c>
      <c r="TPS1" s="286" t="s">
        <v>16466</v>
      </c>
      <c r="TPT1" s="286" t="s">
        <v>16467</v>
      </c>
      <c r="TPU1" s="286" t="s">
        <v>16468</v>
      </c>
      <c r="TPV1" s="286" t="s">
        <v>16469</v>
      </c>
      <c r="TPW1" s="286" t="s">
        <v>16470</v>
      </c>
      <c r="TPX1" s="286" t="s">
        <v>16471</v>
      </c>
      <c r="TPY1" s="286" t="s">
        <v>16472</v>
      </c>
      <c r="TPZ1" s="286" t="s">
        <v>16473</v>
      </c>
      <c r="TQA1" s="286" t="s">
        <v>16474</v>
      </c>
      <c r="TQB1" s="286" t="s">
        <v>16475</v>
      </c>
      <c r="TQC1" s="286" t="s">
        <v>16476</v>
      </c>
      <c r="TQD1" s="286" t="s">
        <v>16477</v>
      </c>
      <c r="TQE1" s="286" t="s">
        <v>16478</v>
      </c>
      <c r="TQF1" s="286" t="s">
        <v>16479</v>
      </c>
      <c r="TQG1" s="286" t="s">
        <v>16480</v>
      </c>
      <c r="TQH1" s="286" t="s">
        <v>16481</v>
      </c>
      <c r="TQI1" s="286" t="s">
        <v>16482</v>
      </c>
      <c r="TQJ1" s="286" t="s">
        <v>16483</v>
      </c>
      <c r="TQK1" s="286" t="s">
        <v>16484</v>
      </c>
      <c r="TQL1" s="286" t="s">
        <v>16485</v>
      </c>
      <c r="TQM1" s="286" t="s">
        <v>16486</v>
      </c>
      <c r="TQN1" s="286" t="s">
        <v>16487</v>
      </c>
      <c r="TQO1" s="286" t="s">
        <v>16488</v>
      </c>
      <c r="TQP1" s="286" t="s">
        <v>16489</v>
      </c>
      <c r="TQQ1" s="286" t="s">
        <v>16490</v>
      </c>
      <c r="TQR1" s="286" t="s">
        <v>16491</v>
      </c>
      <c r="TQS1" s="286" t="s">
        <v>16492</v>
      </c>
      <c r="TQT1" s="286" t="s">
        <v>16493</v>
      </c>
      <c r="TQU1" s="286" t="s">
        <v>16494</v>
      </c>
      <c r="TQV1" s="286" t="s">
        <v>16495</v>
      </c>
      <c r="TQW1" s="286" t="s">
        <v>16496</v>
      </c>
      <c r="TQX1" s="286" t="s">
        <v>16497</v>
      </c>
      <c r="TQY1" s="286" t="s">
        <v>16498</v>
      </c>
      <c r="TQZ1" s="286" t="s">
        <v>16499</v>
      </c>
      <c r="TRA1" s="286" t="s">
        <v>16500</v>
      </c>
      <c r="TRB1" s="286" t="s">
        <v>16501</v>
      </c>
      <c r="TRC1" s="286" t="s">
        <v>16502</v>
      </c>
      <c r="TRD1" s="286" t="s">
        <v>16503</v>
      </c>
      <c r="TRE1" s="286" t="s">
        <v>16504</v>
      </c>
      <c r="TRF1" s="286" t="s">
        <v>16505</v>
      </c>
      <c r="TRG1" s="286" t="s">
        <v>16506</v>
      </c>
      <c r="TRH1" s="286" t="s">
        <v>16507</v>
      </c>
      <c r="TRI1" s="286" t="s">
        <v>16508</v>
      </c>
      <c r="TRJ1" s="286" t="s">
        <v>16509</v>
      </c>
      <c r="TRK1" s="286" t="s">
        <v>16510</v>
      </c>
      <c r="TRL1" s="286" t="s">
        <v>16511</v>
      </c>
      <c r="TRM1" s="286" t="s">
        <v>16512</v>
      </c>
      <c r="TRN1" s="286" t="s">
        <v>16513</v>
      </c>
      <c r="TRO1" s="286" t="s">
        <v>16514</v>
      </c>
      <c r="TRP1" s="286" t="s">
        <v>16515</v>
      </c>
      <c r="TRQ1" s="286" t="s">
        <v>16516</v>
      </c>
      <c r="TRR1" s="286" t="s">
        <v>16517</v>
      </c>
      <c r="TRS1" s="286" t="s">
        <v>16518</v>
      </c>
      <c r="TRT1" s="286" t="s">
        <v>16519</v>
      </c>
      <c r="TRU1" s="286" t="s">
        <v>16520</v>
      </c>
      <c r="TRV1" s="286" t="s">
        <v>16521</v>
      </c>
      <c r="TRW1" s="286" t="s">
        <v>16522</v>
      </c>
      <c r="TRX1" s="286" t="s">
        <v>16523</v>
      </c>
      <c r="TRY1" s="286" t="s">
        <v>16524</v>
      </c>
      <c r="TRZ1" s="286" t="s">
        <v>16525</v>
      </c>
      <c r="TSA1" s="286" t="s">
        <v>16526</v>
      </c>
      <c r="TSB1" s="286" t="s">
        <v>16527</v>
      </c>
      <c r="TSC1" s="286" t="s">
        <v>16528</v>
      </c>
      <c r="TSD1" s="286" t="s">
        <v>16529</v>
      </c>
      <c r="TSE1" s="286" t="s">
        <v>16530</v>
      </c>
      <c r="TSF1" s="286" t="s">
        <v>16531</v>
      </c>
      <c r="TSG1" s="286" t="s">
        <v>16532</v>
      </c>
      <c r="TSH1" s="286" t="s">
        <v>16533</v>
      </c>
      <c r="TSI1" s="286" t="s">
        <v>16534</v>
      </c>
      <c r="TSJ1" s="286" t="s">
        <v>16535</v>
      </c>
      <c r="TSK1" s="286" t="s">
        <v>16536</v>
      </c>
      <c r="TSL1" s="286" t="s">
        <v>16537</v>
      </c>
      <c r="TSM1" s="286" t="s">
        <v>16538</v>
      </c>
      <c r="TSN1" s="286" t="s">
        <v>16539</v>
      </c>
      <c r="TSO1" s="286" t="s">
        <v>16540</v>
      </c>
      <c r="TSP1" s="286" t="s">
        <v>16541</v>
      </c>
      <c r="TSQ1" s="286" t="s">
        <v>16542</v>
      </c>
      <c r="TSR1" s="286" t="s">
        <v>16543</v>
      </c>
      <c r="TSS1" s="286" t="s">
        <v>16544</v>
      </c>
      <c r="TST1" s="286" t="s">
        <v>16545</v>
      </c>
      <c r="TSU1" s="286" t="s">
        <v>16546</v>
      </c>
      <c r="TSV1" s="286" t="s">
        <v>16547</v>
      </c>
      <c r="TSW1" s="286" t="s">
        <v>16548</v>
      </c>
      <c r="TSX1" s="286" t="s">
        <v>16549</v>
      </c>
      <c r="TSY1" s="286" t="s">
        <v>16550</v>
      </c>
      <c r="TSZ1" s="286" t="s">
        <v>16551</v>
      </c>
      <c r="TTA1" s="286" t="s">
        <v>16552</v>
      </c>
      <c r="TTB1" s="286" t="s">
        <v>16553</v>
      </c>
      <c r="TTC1" s="286" t="s">
        <v>16554</v>
      </c>
      <c r="TTD1" s="286" t="s">
        <v>16555</v>
      </c>
      <c r="TTE1" s="286" t="s">
        <v>16556</v>
      </c>
      <c r="TTF1" s="286" t="s">
        <v>16557</v>
      </c>
      <c r="TTG1" s="286" t="s">
        <v>16558</v>
      </c>
      <c r="TTH1" s="286" t="s">
        <v>16559</v>
      </c>
      <c r="TTI1" s="286" t="s">
        <v>16560</v>
      </c>
      <c r="TTJ1" s="286" t="s">
        <v>16561</v>
      </c>
      <c r="TTK1" s="286" t="s">
        <v>16562</v>
      </c>
      <c r="TTL1" s="286" t="s">
        <v>16563</v>
      </c>
      <c r="TTM1" s="286" t="s">
        <v>16564</v>
      </c>
      <c r="TTN1" s="286" t="s">
        <v>16565</v>
      </c>
      <c r="TTO1" s="286" t="s">
        <v>16566</v>
      </c>
      <c r="TTP1" s="286" t="s">
        <v>16567</v>
      </c>
      <c r="TTQ1" s="286" t="s">
        <v>16568</v>
      </c>
      <c r="TTR1" s="286" t="s">
        <v>16569</v>
      </c>
      <c r="TTS1" s="286" t="s">
        <v>16570</v>
      </c>
      <c r="TTT1" s="286" t="s">
        <v>16571</v>
      </c>
      <c r="TTU1" s="286" t="s">
        <v>16572</v>
      </c>
      <c r="TTV1" s="286" t="s">
        <v>16573</v>
      </c>
      <c r="TTW1" s="286" t="s">
        <v>16574</v>
      </c>
      <c r="TTX1" s="286" t="s">
        <v>16575</v>
      </c>
      <c r="TTY1" s="286" t="s">
        <v>16576</v>
      </c>
      <c r="TTZ1" s="286" t="s">
        <v>16577</v>
      </c>
      <c r="TUA1" s="286" t="s">
        <v>16578</v>
      </c>
      <c r="TUB1" s="286" t="s">
        <v>16579</v>
      </c>
      <c r="TUC1" s="286" t="s">
        <v>16580</v>
      </c>
      <c r="TUD1" s="286" t="s">
        <v>16581</v>
      </c>
      <c r="TUE1" s="286" t="s">
        <v>16582</v>
      </c>
      <c r="TUF1" s="286" t="s">
        <v>16583</v>
      </c>
      <c r="TUG1" s="286" t="s">
        <v>16584</v>
      </c>
      <c r="TUH1" s="286" t="s">
        <v>16585</v>
      </c>
      <c r="TUI1" s="286" t="s">
        <v>16586</v>
      </c>
      <c r="TUJ1" s="286" t="s">
        <v>16587</v>
      </c>
      <c r="TUK1" s="286" t="s">
        <v>16588</v>
      </c>
      <c r="TUL1" s="286" t="s">
        <v>16589</v>
      </c>
      <c r="TUM1" s="286" t="s">
        <v>16590</v>
      </c>
      <c r="TUN1" s="286" t="s">
        <v>16591</v>
      </c>
      <c r="TUO1" s="286" t="s">
        <v>16592</v>
      </c>
      <c r="TUP1" s="286" t="s">
        <v>16593</v>
      </c>
      <c r="TUQ1" s="286" t="s">
        <v>16594</v>
      </c>
      <c r="TUR1" s="286" t="s">
        <v>16595</v>
      </c>
      <c r="TUS1" s="286" t="s">
        <v>16596</v>
      </c>
      <c r="TUT1" s="286" t="s">
        <v>16597</v>
      </c>
      <c r="TUU1" s="286" t="s">
        <v>16598</v>
      </c>
      <c r="TUV1" s="286" t="s">
        <v>16599</v>
      </c>
      <c r="TUW1" s="286" t="s">
        <v>16600</v>
      </c>
      <c r="TUX1" s="286" t="s">
        <v>16601</v>
      </c>
      <c r="TUY1" s="286" t="s">
        <v>16602</v>
      </c>
      <c r="TUZ1" s="286" t="s">
        <v>16603</v>
      </c>
      <c r="TVA1" s="286" t="s">
        <v>16604</v>
      </c>
      <c r="TVB1" s="286" t="s">
        <v>16605</v>
      </c>
      <c r="TVC1" s="286" t="s">
        <v>16606</v>
      </c>
      <c r="TVD1" s="286" t="s">
        <v>16607</v>
      </c>
      <c r="TVE1" s="286" t="s">
        <v>16608</v>
      </c>
      <c r="TVF1" s="286" t="s">
        <v>16609</v>
      </c>
      <c r="TVG1" s="286" t="s">
        <v>16610</v>
      </c>
      <c r="TVH1" s="286" t="s">
        <v>16611</v>
      </c>
      <c r="TVI1" s="286" t="s">
        <v>16612</v>
      </c>
      <c r="TVJ1" s="286" t="s">
        <v>16613</v>
      </c>
      <c r="TVK1" s="286" t="s">
        <v>16614</v>
      </c>
      <c r="TVL1" s="286" t="s">
        <v>16615</v>
      </c>
      <c r="TVM1" s="286" t="s">
        <v>16616</v>
      </c>
      <c r="TVN1" s="286" t="s">
        <v>16617</v>
      </c>
      <c r="TVO1" s="286" t="s">
        <v>16618</v>
      </c>
      <c r="TVP1" s="286" t="s">
        <v>16619</v>
      </c>
      <c r="TVQ1" s="286" t="s">
        <v>16620</v>
      </c>
      <c r="TVR1" s="286" t="s">
        <v>16621</v>
      </c>
      <c r="TVS1" s="286" t="s">
        <v>16622</v>
      </c>
      <c r="TVT1" s="286" t="s">
        <v>16623</v>
      </c>
      <c r="TVU1" s="286" t="s">
        <v>16624</v>
      </c>
      <c r="TVV1" s="286" t="s">
        <v>16625</v>
      </c>
      <c r="TVW1" s="286" t="s">
        <v>16626</v>
      </c>
      <c r="TVX1" s="286" t="s">
        <v>16627</v>
      </c>
      <c r="TVY1" s="286" t="s">
        <v>16628</v>
      </c>
      <c r="TVZ1" s="286" t="s">
        <v>16629</v>
      </c>
      <c r="TWA1" s="286" t="s">
        <v>16630</v>
      </c>
      <c r="TWB1" s="286" t="s">
        <v>16631</v>
      </c>
      <c r="TWC1" s="286" t="s">
        <v>16632</v>
      </c>
      <c r="TWD1" s="286" t="s">
        <v>16633</v>
      </c>
      <c r="TWE1" s="286" t="s">
        <v>16634</v>
      </c>
      <c r="TWF1" s="286" t="s">
        <v>16635</v>
      </c>
      <c r="TWG1" s="286" t="s">
        <v>16636</v>
      </c>
      <c r="TWH1" s="286" t="s">
        <v>16637</v>
      </c>
      <c r="TWI1" s="286" t="s">
        <v>16638</v>
      </c>
      <c r="TWJ1" s="286" t="s">
        <v>16639</v>
      </c>
      <c r="TWK1" s="286" t="s">
        <v>16640</v>
      </c>
      <c r="TWL1" s="286" t="s">
        <v>16641</v>
      </c>
      <c r="TWM1" s="286" t="s">
        <v>16642</v>
      </c>
      <c r="TWN1" s="286" t="s">
        <v>16643</v>
      </c>
      <c r="TWO1" s="286" t="s">
        <v>16644</v>
      </c>
      <c r="TWP1" s="286" t="s">
        <v>16645</v>
      </c>
      <c r="TWQ1" s="286" t="s">
        <v>16646</v>
      </c>
      <c r="TWR1" s="286" t="s">
        <v>16647</v>
      </c>
      <c r="TWS1" s="286" t="s">
        <v>16648</v>
      </c>
      <c r="TWT1" s="286" t="s">
        <v>16649</v>
      </c>
      <c r="TWU1" s="286" t="s">
        <v>16650</v>
      </c>
      <c r="TWV1" s="286" t="s">
        <v>16651</v>
      </c>
      <c r="TWW1" s="286" t="s">
        <v>16652</v>
      </c>
      <c r="TWX1" s="286" t="s">
        <v>16653</v>
      </c>
      <c r="TWY1" s="286" t="s">
        <v>16654</v>
      </c>
      <c r="TWZ1" s="286" t="s">
        <v>16655</v>
      </c>
      <c r="TXA1" s="286" t="s">
        <v>16656</v>
      </c>
      <c r="TXB1" s="286" t="s">
        <v>16657</v>
      </c>
      <c r="TXC1" s="286" t="s">
        <v>16658</v>
      </c>
      <c r="TXD1" s="286" t="s">
        <v>16659</v>
      </c>
      <c r="TXE1" s="286" t="s">
        <v>16660</v>
      </c>
      <c r="TXF1" s="286" t="s">
        <v>16661</v>
      </c>
      <c r="TXG1" s="286" t="s">
        <v>16662</v>
      </c>
      <c r="TXH1" s="286" t="s">
        <v>16663</v>
      </c>
      <c r="TXI1" s="286" t="s">
        <v>16664</v>
      </c>
      <c r="TXJ1" s="286" t="s">
        <v>16665</v>
      </c>
      <c r="TXK1" s="286" t="s">
        <v>16666</v>
      </c>
      <c r="TXL1" s="286" t="s">
        <v>16667</v>
      </c>
      <c r="TXM1" s="286" t="s">
        <v>16668</v>
      </c>
      <c r="TXN1" s="286" t="s">
        <v>16669</v>
      </c>
      <c r="TXO1" s="286" t="s">
        <v>16670</v>
      </c>
      <c r="TXP1" s="286" t="s">
        <v>16671</v>
      </c>
      <c r="TXQ1" s="286" t="s">
        <v>16672</v>
      </c>
      <c r="TXR1" s="286" t="s">
        <v>16673</v>
      </c>
      <c r="TXS1" s="286" t="s">
        <v>16674</v>
      </c>
      <c r="TXT1" s="286" t="s">
        <v>16675</v>
      </c>
      <c r="TXU1" s="286" t="s">
        <v>16676</v>
      </c>
      <c r="TXV1" s="286" t="s">
        <v>16677</v>
      </c>
      <c r="TXW1" s="286" t="s">
        <v>16678</v>
      </c>
      <c r="TXX1" s="286" t="s">
        <v>16679</v>
      </c>
      <c r="TXY1" s="286" t="s">
        <v>16680</v>
      </c>
      <c r="TXZ1" s="286" t="s">
        <v>16681</v>
      </c>
      <c r="TYA1" s="286" t="s">
        <v>16682</v>
      </c>
      <c r="TYB1" s="286" t="s">
        <v>16683</v>
      </c>
      <c r="TYC1" s="286" t="s">
        <v>16684</v>
      </c>
      <c r="TYD1" s="286" t="s">
        <v>16685</v>
      </c>
      <c r="TYE1" s="286" t="s">
        <v>16686</v>
      </c>
      <c r="TYF1" s="286" t="s">
        <v>16687</v>
      </c>
      <c r="TYG1" s="286" t="s">
        <v>16688</v>
      </c>
      <c r="TYH1" s="286" t="s">
        <v>16689</v>
      </c>
      <c r="TYI1" s="286" t="s">
        <v>16690</v>
      </c>
      <c r="TYJ1" s="286" t="s">
        <v>16691</v>
      </c>
      <c r="TYK1" s="286" t="s">
        <v>16692</v>
      </c>
      <c r="TYL1" s="286" t="s">
        <v>16693</v>
      </c>
      <c r="TYM1" s="286" t="s">
        <v>16694</v>
      </c>
      <c r="TYN1" s="286" t="s">
        <v>16695</v>
      </c>
      <c r="TYO1" s="286" t="s">
        <v>16696</v>
      </c>
      <c r="TYP1" s="286" t="s">
        <v>16697</v>
      </c>
      <c r="TYQ1" s="286" t="s">
        <v>16698</v>
      </c>
      <c r="TYR1" s="286" t="s">
        <v>16699</v>
      </c>
      <c r="TYS1" s="286" t="s">
        <v>16700</v>
      </c>
      <c r="TYT1" s="286" t="s">
        <v>16701</v>
      </c>
      <c r="TYU1" s="286" t="s">
        <v>16702</v>
      </c>
      <c r="TYV1" s="286" t="s">
        <v>16703</v>
      </c>
      <c r="TYW1" s="286" t="s">
        <v>16704</v>
      </c>
      <c r="TYX1" s="286" t="s">
        <v>16705</v>
      </c>
      <c r="TYY1" s="286" t="s">
        <v>16706</v>
      </c>
      <c r="TYZ1" s="286" t="s">
        <v>16707</v>
      </c>
      <c r="TZA1" s="286" t="s">
        <v>16708</v>
      </c>
      <c r="TZB1" s="286" t="s">
        <v>16709</v>
      </c>
      <c r="TZC1" s="286" t="s">
        <v>16710</v>
      </c>
      <c r="TZD1" s="286" t="s">
        <v>16711</v>
      </c>
      <c r="TZE1" s="286" t="s">
        <v>16712</v>
      </c>
      <c r="TZF1" s="286" t="s">
        <v>16713</v>
      </c>
      <c r="TZG1" s="286" t="s">
        <v>16714</v>
      </c>
      <c r="TZH1" s="286" t="s">
        <v>16715</v>
      </c>
      <c r="TZI1" s="286" t="s">
        <v>16716</v>
      </c>
      <c r="TZJ1" s="286" t="s">
        <v>16717</v>
      </c>
      <c r="TZK1" s="286" t="s">
        <v>16718</v>
      </c>
      <c r="TZL1" s="286" t="s">
        <v>16719</v>
      </c>
      <c r="TZM1" s="286" t="s">
        <v>16720</v>
      </c>
      <c r="TZN1" s="286" t="s">
        <v>16721</v>
      </c>
      <c r="TZO1" s="286" t="s">
        <v>16722</v>
      </c>
      <c r="TZP1" s="286" t="s">
        <v>16723</v>
      </c>
      <c r="TZQ1" s="286" t="s">
        <v>16724</v>
      </c>
      <c r="TZR1" s="286" t="s">
        <v>16725</v>
      </c>
      <c r="TZS1" s="286" t="s">
        <v>16726</v>
      </c>
      <c r="TZT1" s="286" t="s">
        <v>16727</v>
      </c>
      <c r="TZU1" s="286" t="s">
        <v>16728</v>
      </c>
      <c r="TZV1" s="286" t="s">
        <v>16729</v>
      </c>
      <c r="TZW1" s="286" t="s">
        <v>16730</v>
      </c>
      <c r="TZX1" s="286" t="s">
        <v>16731</v>
      </c>
      <c r="TZY1" s="286" t="s">
        <v>16732</v>
      </c>
      <c r="TZZ1" s="286" t="s">
        <v>16733</v>
      </c>
      <c r="UAA1" s="286" t="s">
        <v>16734</v>
      </c>
      <c r="UAB1" s="286" t="s">
        <v>16735</v>
      </c>
      <c r="UAC1" s="286" t="s">
        <v>16736</v>
      </c>
      <c r="UAD1" s="286" t="s">
        <v>16737</v>
      </c>
      <c r="UAE1" s="286" t="s">
        <v>16738</v>
      </c>
      <c r="UAF1" s="286" t="s">
        <v>16739</v>
      </c>
      <c r="UAG1" s="286" t="s">
        <v>16740</v>
      </c>
      <c r="UAH1" s="286" t="s">
        <v>16741</v>
      </c>
      <c r="UAI1" s="286" t="s">
        <v>16742</v>
      </c>
      <c r="UAJ1" s="286" t="s">
        <v>16743</v>
      </c>
      <c r="UAK1" s="286" t="s">
        <v>16744</v>
      </c>
      <c r="UAL1" s="286" t="s">
        <v>16745</v>
      </c>
      <c r="UAM1" s="286" t="s">
        <v>16746</v>
      </c>
      <c r="UAN1" s="286" t="s">
        <v>16747</v>
      </c>
      <c r="UAO1" s="286" t="s">
        <v>16748</v>
      </c>
      <c r="UAP1" s="286" t="s">
        <v>16749</v>
      </c>
      <c r="UAQ1" s="286" t="s">
        <v>16750</v>
      </c>
      <c r="UAR1" s="286" t="s">
        <v>16751</v>
      </c>
      <c r="UAS1" s="286" t="s">
        <v>16752</v>
      </c>
      <c r="UAT1" s="286" t="s">
        <v>16753</v>
      </c>
      <c r="UAU1" s="286" t="s">
        <v>16754</v>
      </c>
      <c r="UAV1" s="286" t="s">
        <v>16755</v>
      </c>
      <c r="UAW1" s="286" t="s">
        <v>16756</v>
      </c>
      <c r="UAX1" s="286" t="s">
        <v>16757</v>
      </c>
      <c r="UAY1" s="286" t="s">
        <v>16758</v>
      </c>
      <c r="UAZ1" s="286" t="s">
        <v>16759</v>
      </c>
      <c r="UBA1" s="286" t="s">
        <v>16760</v>
      </c>
      <c r="UBB1" s="286" t="s">
        <v>16761</v>
      </c>
      <c r="UBC1" s="286" t="s">
        <v>16762</v>
      </c>
      <c r="UBD1" s="286" t="s">
        <v>16763</v>
      </c>
      <c r="UBE1" s="286" t="s">
        <v>16764</v>
      </c>
      <c r="UBF1" s="286" t="s">
        <v>16765</v>
      </c>
      <c r="UBG1" s="286" t="s">
        <v>16766</v>
      </c>
      <c r="UBH1" s="286" t="s">
        <v>16767</v>
      </c>
      <c r="UBI1" s="286" t="s">
        <v>16768</v>
      </c>
      <c r="UBJ1" s="286" t="s">
        <v>16769</v>
      </c>
      <c r="UBK1" s="286" t="s">
        <v>16770</v>
      </c>
      <c r="UBL1" s="286" t="s">
        <v>16771</v>
      </c>
      <c r="UBM1" s="286" t="s">
        <v>16772</v>
      </c>
      <c r="UBN1" s="286" t="s">
        <v>16773</v>
      </c>
      <c r="UBO1" s="286" t="s">
        <v>16774</v>
      </c>
      <c r="UBP1" s="286" t="s">
        <v>16775</v>
      </c>
      <c r="UBQ1" s="286" t="s">
        <v>16776</v>
      </c>
      <c r="UBR1" s="286" t="s">
        <v>16777</v>
      </c>
      <c r="UBS1" s="286" t="s">
        <v>16778</v>
      </c>
      <c r="UBT1" s="286" t="s">
        <v>16779</v>
      </c>
      <c r="UBU1" s="286" t="s">
        <v>16780</v>
      </c>
      <c r="UBV1" s="286" t="s">
        <v>16781</v>
      </c>
      <c r="UBW1" s="286" t="s">
        <v>16782</v>
      </c>
      <c r="UBX1" s="286" t="s">
        <v>16783</v>
      </c>
      <c r="UBY1" s="286" t="s">
        <v>16784</v>
      </c>
      <c r="UBZ1" s="286" t="s">
        <v>16785</v>
      </c>
      <c r="UCA1" s="286" t="s">
        <v>16786</v>
      </c>
      <c r="UCB1" s="286" t="s">
        <v>16787</v>
      </c>
      <c r="UCC1" s="286" t="s">
        <v>16788</v>
      </c>
      <c r="UCD1" s="286" t="s">
        <v>16789</v>
      </c>
      <c r="UCE1" s="286" t="s">
        <v>16790</v>
      </c>
      <c r="UCF1" s="286" t="s">
        <v>16791</v>
      </c>
      <c r="UCG1" s="286" t="s">
        <v>16792</v>
      </c>
      <c r="UCH1" s="286" t="s">
        <v>16793</v>
      </c>
      <c r="UCI1" s="286" t="s">
        <v>16794</v>
      </c>
      <c r="UCJ1" s="286" t="s">
        <v>16795</v>
      </c>
      <c r="UCK1" s="286" t="s">
        <v>16796</v>
      </c>
      <c r="UCL1" s="286" t="s">
        <v>16797</v>
      </c>
      <c r="UCM1" s="286" t="s">
        <v>16798</v>
      </c>
      <c r="UCN1" s="286" t="s">
        <v>16799</v>
      </c>
      <c r="UCO1" s="286" t="s">
        <v>16800</v>
      </c>
      <c r="UCP1" s="286" t="s">
        <v>16801</v>
      </c>
      <c r="UCQ1" s="286" t="s">
        <v>16802</v>
      </c>
      <c r="UCR1" s="286" t="s">
        <v>16803</v>
      </c>
      <c r="UCS1" s="286" t="s">
        <v>16804</v>
      </c>
      <c r="UCT1" s="286" t="s">
        <v>16805</v>
      </c>
      <c r="UCU1" s="286" t="s">
        <v>16806</v>
      </c>
      <c r="UCV1" s="286" t="s">
        <v>16807</v>
      </c>
      <c r="UCW1" s="286" t="s">
        <v>16808</v>
      </c>
      <c r="UCX1" s="286" t="s">
        <v>16809</v>
      </c>
      <c r="UCY1" s="286" t="s">
        <v>16810</v>
      </c>
      <c r="UCZ1" s="286" t="s">
        <v>16811</v>
      </c>
      <c r="UDA1" s="286" t="s">
        <v>16812</v>
      </c>
      <c r="UDB1" s="286" t="s">
        <v>16813</v>
      </c>
      <c r="UDC1" s="286" t="s">
        <v>16814</v>
      </c>
      <c r="UDD1" s="286" t="s">
        <v>16815</v>
      </c>
      <c r="UDE1" s="286" t="s">
        <v>16816</v>
      </c>
      <c r="UDF1" s="286" t="s">
        <v>16817</v>
      </c>
      <c r="UDG1" s="286" t="s">
        <v>16818</v>
      </c>
      <c r="UDH1" s="286" t="s">
        <v>16819</v>
      </c>
      <c r="UDI1" s="286" t="s">
        <v>16820</v>
      </c>
      <c r="UDJ1" s="286" t="s">
        <v>16821</v>
      </c>
      <c r="UDK1" s="286" t="s">
        <v>16822</v>
      </c>
      <c r="UDL1" s="286" t="s">
        <v>16823</v>
      </c>
      <c r="UDM1" s="286" t="s">
        <v>16824</v>
      </c>
      <c r="UDN1" s="286" t="s">
        <v>16825</v>
      </c>
      <c r="UDO1" s="286" t="s">
        <v>16826</v>
      </c>
      <c r="UDP1" s="286" t="s">
        <v>16827</v>
      </c>
      <c r="UDQ1" s="286" t="s">
        <v>16828</v>
      </c>
      <c r="UDR1" s="286" t="s">
        <v>16829</v>
      </c>
      <c r="UDS1" s="286" t="s">
        <v>16830</v>
      </c>
      <c r="UDT1" s="286" t="s">
        <v>16831</v>
      </c>
      <c r="UDU1" s="286" t="s">
        <v>16832</v>
      </c>
      <c r="UDV1" s="286" t="s">
        <v>16833</v>
      </c>
      <c r="UDW1" s="286" t="s">
        <v>16834</v>
      </c>
      <c r="UDX1" s="286" t="s">
        <v>16835</v>
      </c>
      <c r="UDY1" s="286" t="s">
        <v>16836</v>
      </c>
      <c r="UDZ1" s="286" t="s">
        <v>16837</v>
      </c>
      <c r="UEA1" s="286" t="s">
        <v>16838</v>
      </c>
      <c r="UEB1" s="286" t="s">
        <v>16839</v>
      </c>
      <c r="UEC1" s="286" t="s">
        <v>16840</v>
      </c>
      <c r="UED1" s="286" t="s">
        <v>16841</v>
      </c>
      <c r="UEE1" s="286" t="s">
        <v>16842</v>
      </c>
      <c r="UEF1" s="286" t="s">
        <v>16843</v>
      </c>
      <c r="UEG1" s="286" t="s">
        <v>16844</v>
      </c>
      <c r="UEH1" s="286" t="s">
        <v>16845</v>
      </c>
      <c r="UEI1" s="286" t="s">
        <v>16846</v>
      </c>
      <c r="UEJ1" s="286" t="s">
        <v>16847</v>
      </c>
      <c r="UEK1" s="286" t="s">
        <v>16848</v>
      </c>
      <c r="UEL1" s="286" t="s">
        <v>16849</v>
      </c>
      <c r="UEM1" s="286" t="s">
        <v>16850</v>
      </c>
      <c r="UEN1" s="286" t="s">
        <v>16851</v>
      </c>
      <c r="UEO1" s="286" t="s">
        <v>16852</v>
      </c>
      <c r="UEP1" s="286" t="s">
        <v>16853</v>
      </c>
      <c r="UEQ1" s="286" t="s">
        <v>16854</v>
      </c>
      <c r="UER1" s="286" t="s">
        <v>16855</v>
      </c>
      <c r="UES1" s="286" t="s">
        <v>16856</v>
      </c>
      <c r="UET1" s="286" t="s">
        <v>16857</v>
      </c>
      <c r="UEU1" s="286" t="s">
        <v>16858</v>
      </c>
      <c r="UEV1" s="286" t="s">
        <v>16859</v>
      </c>
      <c r="UEW1" s="286" t="s">
        <v>16860</v>
      </c>
      <c r="UEX1" s="286" t="s">
        <v>16861</v>
      </c>
      <c r="UEY1" s="286" t="s">
        <v>16862</v>
      </c>
      <c r="UEZ1" s="286" t="s">
        <v>16863</v>
      </c>
      <c r="UFA1" s="286" t="s">
        <v>16864</v>
      </c>
      <c r="UFB1" s="286" t="s">
        <v>16865</v>
      </c>
      <c r="UFC1" s="286" t="s">
        <v>16866</v>
      </c>
      <c r="UFD1" s="286" t="s">
        <v>16867</v>
      </c>
      <c r="UFE1" s="286" t="s">
        <v>16868</v>
      </c>
      <c r="UFF1" s="286" t="s">
        <v>16869</v>
      </c>
      <c r="UFG1" s="286" t="s">
        <v>16870</v>
      </c>
      <c r="UFH1" s="286" t="s">
        <v>16871</v>
      </c>
      <c r="UFI1" s="286" t="s">
        <v>16872</v>
      </c>
      <c r="UFJ1" s="286" t="s">
        <v>16873</v>
      </c>
      <c r="UFK1" s="286" t="s">
        <v>16874</v>
      </c>
      <c r="UFL1" s="286" t="s">
        <v>16875</v>
      </c>
      <c r="UFM1" s="286" t="s">
        <v>16876</v>
      </c>
      <c r="UFN1" s="286" t="s">
        <v>16877</v>
      </c>
      <c r="UFO1" s="286" t="s">
        <v>16878</v>
      </c>
      <c r="UFP1" s="286" t="s">
        <v>16879</v>
      </c>
      <c r="UFQ1" s="286" t="s">
        <v>16880</v>
      </c>
      <c r="UFR1" s="286" t="s">
        <v>16881</v>
      </c>
      <c r="UFS1" s="286" t="s">
        <v>16882</v>
      </c>
      <c r="UFT1" s="286" t="s">
        <v>16883</v>
      </c>
      <c r="UFU1" s="286" t="s">
        <v>16884</v>
      </c>
      <c r="UFV1" s="286" t="s">
        <v>16885</v>
      </c>
      <c r="UFW1" s="286" t="s">
        <v>16886</v>
      </c>
      <c r="UFX1" s="286" t="s">
        <v>16887</v>
      </c>
      <c r="UFY1" s="286" t="s">
        <v>16888</v>
      </c>
      <c r="UFZ1" s="286" t="s">
        <v>16889</v>
      </c>
      <c r="UGA1" s="286" t="s">
        <v>16890</v>
      </c>
      <c r="UGB1" s="286" t="s">
        <v>16891</v>
      </c>
      <c r="UGC1" s="286" t="s">
        <v>16892</v>
      </c>
      <c r="UGD1" s="286" t="s">
        <v>16893</v>
      </c>
      <c r="UGE1" s="286" t="s">
        <v>16894</v>
      </c>
      <c r="UGF1" s="286" t="s">
        <v>16895</v>
      </c>
      <c r="UGG1" s="286" t="s">
        <v>16896</v>
      </c>
      <c r="UGH1" s="286" t="s">
        <v>16897</v>
      </c>
      <c r="UGI1" s="286" t="s">
        <v>16898</v>
      </c>
      <c r="UGJ1" s="286" t="s">
        <v>16899</v>
      </c>
      <c r="UGK1" s="286" t="s">
        <v>16900</v>
      </c>
      <c r="UGL1" s="286" t="s">
        <v>16901</v>
      </c>
      <c r="UGM1" s="286" t="s">
        <v>16902</v>
      </c>
      <c r="UGN1" s="286" t="s">
        <v>16903</v>
      </c>
      <c r="UGO1" s="286" t="s">
        <v>16904</v>
      </c>
      <c r="UGP1" s="286" t="s">
        <v>16905</v>
      </c>
      <c r="UGQ1" s="286" t="s">
        <v>16906</v>
      </c>
      <c r="UGR1" s="286" t="s">
        <v>16907</v>
      </c>
      <c r="UGS1" s="286" t="s">
        <v>16908</v>
      </c>
      <c r="UGT1" s="286" t="s">
        <v>16909</v>
      </c>
      <c r="UGU1" s="286" t="s">
        <v>16910</v>
      </c>
      <c r="UGV1" s="286" t="s">
        <v>16911</v>
      </c>
      <c r="UGW1" s="286" t="s">
        <v>16912</v>
      </c>
      <c r="UGX1" s="286" t="s">
        <v>16913</v>
      </c>
      <c r="UGY1" s="286" t="s">
        <v>16914</v>
      </c>
      <c r="UGZ1" s="286" t="s">
        <v>16915</v>
      </c>
      <c r="UHA1" s="286" t="s">
        <v>16916</v>
      </c>
      <c r="UHB1" s="286" t="s">
        <v>16917</v>
      </c>
      <c r="UHC1" s="286" t="s">
        <v>16918</v>
      </c>
      <c r="UHD1" s="286" t="s">
        <v>16919</v>
      </c>
      <c r="UHE1" s="286" t="s">
        <v>16920</v>
      </c>
      <c r="UHF1" s="286" t="s">
        <v>16921</v>
      </c>
      <c r="UHG1" s="286" t="s">
        <v>16922</v>
      </c>
      <c r="UHH1" s="286" t="s">
        <v>16923</v>
      </c>
      <c r="UHI1" s="286" t="s">
        <v>16924</v>
      </c>
      <c r="UHJ1" s="286" t="s">
        <v>16925</v>
      </c>
      <c r="UHK1" s="286" t="s">
        <v>16926</v>
      </c>
      <c r="UHL1" s="286" t="s">
        <v>16927</v>
      </c>
      <c r="UHM1" s="286" t="s">
        <v>16928</v>
      </c>
      <c r="UHN1" s="286" t="s">
        <v>16929</v>
      </c>
      <c r="UHO1" s="286" t="s">
        <v>16930</v>
      </c>
      <c r="UHP1" s="286" t="s">
        <v>16931</v>
      </c>
      <c r="UHQ1" s="286" t="s">
        <v>16932</v>
      </c>
      <c r="UHR1" s="286" t="s">
        <v>16933</v>
      </c>
      <c r="UHS1" s="286" t="s">
        <v>16934</v>
      </c>
      <c r="UHT1" s="286" t="s">
        <v>16935</v>
      </c>
      <c r="UHU1" s="286" t="s">
        <v>16936</v>
      </c>
      <c r="UHV1" s="286" t="s">
        <v>16937</v>
      </c>
      <c r="UHW1" s="286" t="s">
        <v>16938</v>
      </c>
      <c r="UHX1" s="286" t="s">
        <v>16939</v>
      </c>
      <c r="UHY1" s="286" t="s">
        <v>16940</v>
      </c>
      <c r="UHZ1" s="286" t="s">
        <v>16941</v>
      </c>
      <c r="UIA1" s="286" t="s">
        <v>16942</v>
      </c>
      <c r="UIB1" s="286" t="s">
        <v>16943</v>
      </c>
      <c r="UIC1" s="286" t="s">
        <v>16944</v>
      </c>
      <c r="UID1" s="286" t="s">
        <v>16945</v>
      </c>
      <c r="UIE1" s="286" t="s">
        <v>16946</v>
      </c>
      <c r="UIF1" s="286" t="s">
        <v>16947</v>
      </c>
      <c r="UIG1" s="286" t="s">
        <v>16948</v>
      </c>
      <c r="UIH1" s="286" t="s">
        <v>16949</v>
      </c>
      <c r="UII1" s="286" t="s">
        <v>16950</v>
      </c>
      <c r="UIJ1" s="286" t="s">
        <v>16951</v>
      </c>
      <c r="UIK1" s="286" t="s">
        <v>16952</v>
      </c>
      <c r="UIL1" s="286" t="s">
        <v>16953</v>
      </c>
      <c r="UIM1" s="286" t="s">
        <v>16954</v>
      </c>
      <c r="UIN1" s="286" t="s">
        <v>16955</v>
      </c>
      <c r="UIO1" s="286" t="s">
        <v>16956</v>
      </c>
      <c r="UIP1" s="286" t="s">
        <v>16957</v>
      </c>
      <c r="UIQ1" s="286" t="s">
        <v>16958</v>
      </c>
      <c r="UIR1" s="286" t="s">
        <v>16959</v>
      </c>
      <c r="UIS1" s="286" t="s">
        <v>16960</v>
      </c>
      <c r="UIT1" s="286" t="s">
        <v>16961</v>
      </c>
      <c r="UIU1" s="286" t="s">
        <v>16962</v>
      </c>
      <c r="UIV1" s="286" t="s">
        <v>16963</v>
      </c>
      <c r="UIW1" s="286" t="s">
        <v>16964</v>
      </c>
      <c r="UIX1" s="286" t="s">
        <v>16965</v>
      </c>
      <c r="UIY1" s="286" t="s">
        <v>16966</v>
      </c>
      <c r="UIZ1" s="286" t="s">
        <v>16967</v>
      </c>
      <c r="UJA1" s="286" t="s">
        <v>16968</v>
      </c>
      <c r="UJB1" s="286" t="s">
        <v>16969</v>
      </c>
      <c r="UJC1" s="286" t="s">
        <v>16970</v>
      </c>
      <c r="UJD1" s="286" t="s">
        <v>16971</v>
      </c>
      <c r="UJE1" s="286" t="s">
        <v>16972</v>
      </c>
      <c r="UJF1" s="286" t="s">
        <v>16973</v>
      </c>
      <c r="UJG1" s="286" t="s">
        <v>16974</v>
      </c>
      <c r="UJH1" s="286" t="s">
        <v>16975</v>
      </c>
      <c r="UJI1" s="286" t="s">
        <v>16976</v>
      </c>
      <c r="UJJ1" s="286" t="s">
        <v>16977</v>
      </c>
      <c r="UJK1" s="286" t="s">
        <v>16978</v>
      </c>
      <c r="UJL1" s="286" t="s">
        <v>16979</v>
      </c>
      <c r="UJM1" s="286" t="s">
        <v>16980</v>
      </c>
      <c r="UJN1" s="286" t="s">
        <v>16981</v>
      </c>
      <c r="UJO1" s="286" t="s">
        <v>16982</v>
      </c>
      <c r="UJP1" s="286" t="s">
        <v>16983</v>
      </c>
      <c r="UJQ1" s="286" t="s">
        <v>16984</v>
      </c>
      <c r="UJR1" s="286" t="s">
        <v>16985</v>
      </c>
      <c r="UJS1" s="286" t="s">
        <v>16986</v>
      </c>
      <c r="UJT1" s="286" t="s">
        <v>16987</v>
      </c>
      <c r="UJU1" s="286" t="s">
        <v>16988</v>
      </c>
      <c r="UJV1" s="286" t="s">
        <v>16989</v>
      </c>
      <c r="UJW1" s="286" t="s">
        <v>16990</v>
      </c>
      <c r="UJX1" s="286" t="s">
        <v>16991</v>
      </c>
      <c r="UJY1" s="286" t="s">
        <v>16992</v>
      </c>
      <c r="UJZ1" s="286" t="s">
        <v>16993</v>
      </c>
      <c r="UKA1" s="286" t="s">
        <v>16994</v>
      </c>
      <c r="UKB1" s="286" t="s">
        <v>16995</v>
      </c>
      <c r="UKC1" s="286" t="s">
        <v>16996</v>
      </c>
      <c r="UKD1" s="286" t="s">
        <v>16997</v>
      </c>
      <c r="UKE1" s="286" t="s">
        <v>16998</v>
      </c>
      <c r="UKF1" s="286" t="s">
        <v>16999</v>
      </c>
      <c r="UKG1" s="286" t="s">
        <v>17000</v>
      </c>
      <c r="UKH1" s="286" t="s">
        <v>17001</v>
      </c>
      <c r="UKI1" s="286" t="s">
        <v>17002</v>
      </c>
      <c r="UKJ1" s="286" t="s">
        <v>17003</v>
      </c>
      <c r="UKK1" s="286" t="s">
        <v>17004</v>
      </c>
      <c r="UKL1" s="286" t="s">
        <v>17005</v>
      </c>
      <c r="UKM1" s="286" t="s">
        <v>17006</v>
      </c>
      <c r="UKN1" s="286" t="s">
        <v>17007</v>
      </c>
      <c r="UKO1" s="286" t="s">
        <v>17008</v>
      </c>
      <c r="UKP1" s="286" t="s">
        <v>17009</v>
      </c>
      <c r="UKQ1" s="286" t="s">
        <v>17010</v>
      </c>
      <c r="UKR1" s="286" t="s">
        <v>17011</v>
      </c>
      <c r="UKS1" s="286" t="s">
        <v>17012</v>
      </c>
      <c r="UKT1" s="286" t="s">
        <v>17013</v>
      </c>
      <c r="UKU1" s="286" t="s">
        <v>17014</v>
      </c>
      <c r="UKV1" s="286" t="s">
        <v>17015</v>
      </c>
      <c r="UKW1" s="286" t="s">
        <v>17016</v>
      </c>
      <c r="UKX1" s="286" t="s">
        <v>17017</v>
      </c>
      <c r="UKY1" s="286" t="s">
        <v>17018</v>
      </c>
      <c r="UKZ1" s="286" t="s">
        <v>17019</v>
      </c>
      <c r="ULA1" s="286" t="s">
        <v>17020</v>
      </c>
      <c r="ULB1" s="286" t="s">
        <v>17021</v>
      </c>
      <c r="ULC1" s="286" t="s">
        <v>17022</v>
      </c>
      <c r="ULD1" s="286" t="s">
        <v>17023</v>
      </c>
      <c r="ULE1" s="286" t="s">
        <v>17024</v>
      </c>
      <c r="ULF1" s="286" t="s">
        <v>17025</v>
      </c>
      <c r="ULG1" s="286" t="s">
        <v>17026</v>
      </c>
      <c r="ULH1" s="286" t="s">
        <v>17027</v>
      </c>
      <c r="ULI1" s="286" t="s">
        <v>17028</v>
      </c>
      <c r="ULJ1" s="286" t="s">
        <v>17029</v>
      </c>
      <c r="ULK1" s="286" t="s">
        <v>17030</v>
      </c>
      <c r="ULL1" s="286" t="s">
        <v>17031</v>
      </c>
      <c r="ULM1" s="286" t="s">
        <v>17032</v>
      </c>
      <c r="ULN1" s="286" t="s">
        <v>17033</v>
      </c>
      <c r="ULO1" s="286" t="s">
        <v>17034</v>
      </c>
      <c r="ULP1" s="286" t="s">
        <v>17035</v>
      </c>
      <c r="ULQ1" s="286" t="s">
        <v>17036</v>
      </c>
      <c r="ULR1" s="286" t="s">
        <v>17037</v>
      </c>
      <c r="ULS1" s="286" t="s">
        <v>17038</v>
      </c>
      <c r="ULT1" s="286" t="s">
        <v>17039</v>
      </c>
      <c r="ULU1" s="286" t="s">
        <v>17040</v>
      </c>
      <c r="ULV1" s="286" t="s">
        <v>17041</v>
      </c>
      <c r="ULW1" s="286" t="s">
        <v>17042</v>
      </c>
      <c r="ULX1" s="286" t="s">
        <v>17043</v>
      </c>
      <c r="ULY1" s="286" t="s">
        <v>17044</v>
      </c>
      <c r="ULZ1" s="286" t="s">
        <v>17045</v>
      </c>
      <c r="UMA1" s="286" t="s">
        <v>17046</v>
      </c>
      <c r="UMB1" s="286" t="s">
        <v>17047</v>
      </c>
      <c r="UMC1" s="286" t="s">
        <v>17048</v>
      </c>
      <c r="UMD1" s="286" t="s">
        <v>17049</v>
      </c>
      <c r="UME1" s="286" t="s">
        <v>17050</v>
      </c>
      <c r="UMF1" s="286" t="s">
        <v>17051</v>
      </c>
      <c r="UMG1" s="286" t="s">
        <v>17052</v>
      </c>
      <c r="UMH1" s="286" t="s">
        <v>17053</v>
      </c>
      <c r="UMI1" s="286" t="s">
        <v>17054</v>
      </c>
      <c r="UMJ1" s="286" t="s">
        <v>17055</v>
      </c>
      <c r="UMK1" s="286" t="s">
        <v>17056</v>
      </c>
      <c r="UML1" s="286" t="s">
        <v>17057</v>
      </c>
      <c r="UMM1" s="286" t="s">
        <v>17058</v>
      </c>
      <c r="UMN1" s="286" t="s">
        <v>17059</v>
      </c>
      <c r="UMO1" s="286" t="s">
        <v>17060</v>
      </c>
      <c r="UMP1" s="286" t="s">
        <v>17061</v>
      </c>
      <c r="UMQ1" s="286" t="s">
        <v>17062</v>
      </c>
      <c r="UMR1" s="286" t="s">
        <v>17063</v>
      </c>
      <c r="UMS1" s="286" t="s">
        <v>17064</v>
      </c>
      <c r="UMT1" s="286" t="s">
        <v>17065</v>
      </c>
      <c r="UMU1" s="286" t="s">
        <v>17066</v>
      </c>
      <c r="UMV1" s="286" t="s">
        <v>17067</v>
      </c>
      <c r="UMW1" s="286" t="s">
        <v>17068</v>
      </c>
      <c r="UMX1" s="286" t="s">
        <v>17069</v>
      </c>
      <c r="UMY1" s="286" t="s">
        <v>17070</v>
      </c>
      <c r="UMZ1" s="286" t="s">
        <v>17071</v>
      </c>
      <c r="UNA1" s="286" t="s">
        <v>17072</v>
      </c>
      <c r="UNB1" s="286" t="s">
        <v>17073</v>
      </c>
      <c r="UNC1" s="286" t="s">
        <v>17074</v>
      </c>
      <c r="UND1" s="286" t="s">
        <v>17075</v>
      </c>
      <c r="UNE1" s="286" t="s">
        <v>17076</v>
      </c>
      <c r="UNF1" s="286" t="s">
        <v>17077</v>
      </c>
      <c r="UNG1" s="286" t="s">
        <v>17078</v>
      </c>
      <c r="UNH1" s="286" t="s">
        <v>17079</v>
      </c>
      <c r="UNI1" s="286" t="s">
        <v>17080</v>
      </c>
      <c r="UNJ1" s="286" t="s">
        <v>17081</v>
      </c>
      <c r="UNK1" s="286" t="s">
        <v>17082</v>
      </c>
      <c r="UNL1" s="286" t="s">
        <v>17083</v>
      </c>
      <c r="UNM1" s="286" t="s">
        <v>17084</v>
      </c>
      <c r="UNN1" s="286" t="s">
        <v>17085</v>
      </c>
      <c r="UNO1" s="286" t="s">
        <v>17086</v>
      </c>
      <c r="UNP1" s="286" t="s">
        <v>17087</v>
      </c>
      <c r="UNQ1" s="286" t="s">
        <v>17088</v>
      </c>
      <c r="UNR1" s="286" t="s">
        <v>17089</v>
      </c>
      <c r="UNS1" s="286" t="s">
        <v>17090</v>
      </c>
      <c r="UNT1" s="286" t="s">
        <v>17091</v>
      </c>
      <c r="UNU1" s="286" t="s">
        <v>17092</v>
      </c>
      <c r="UNV1" s="286" t="s">
        <v>17093</v>
      </c>
      <c r="UNW1" s="286" t="s">
        <v>17094</v>
      </c>
      <c r="UNX1" s="286" t="s">
        <v>17095</v>
      </c>
      <c r="UNY1" s="286" t="s">
        <v>17096</v>
      </c>
      <c r="UNZ1" s="286" t="s">
        <v>17097</v>
      </c>
      <c r="UOA1" s="286" t="s">
        <v>17098</v>
      </c>
      <c r="UOB1" s="286" t="s">
        <v>17099</v>
      </c>
      <c r="UOC1" s="286" t="s">
        <v>17100</v>
      </c>
      <c r="UOD1" s="286" t="s">
        <v>17101</v>
      </c>
      <c r="UOE1" s="286" t="s">
        <v>17102</v>
      </c>
      <c r="UOF1" s="286" t="s">
        <v>17103</v>
      </c>
      <c r="UOG1" s="286" t="s">
        <v>17104</v>
      </c>
      <c r="UOH1" s="286" t="s">
        <v>17105</v>
      </c>
      <c r="UOI1" s="286" t="s">
        <v>17106</v>
      </c>
      <c r="UOJ1" s="286" t="s">
        <v>17107</v>
      </c>
      <c r="UOK1" s="286" t="s">
        <v>17108</v>
      </c>
      <c r="UOL1" s="286" t="s">
        <v>17109</v>
      </c>
      <c r="UOM1" s="286" t="s">
        <v>17110</v>
      </c>
      <c r="UON1" s="286" t="s">
        <v>17111</v>
      </c>
      <c r="UOO1" s="286" t="s">
        <v>17112</v>
      </c>
      <c r="UOP1" s="286" t="s">
        <v>17113</v>
      </c>
      <c r="UOQ1" s="286" t="s">
        <v>17114</v>
      </c>
      <c r="UOR1" s="286" t="s">
        <v>17115</v>
      </c>
      <c r="UOS1" s="286" t="s">
        <v>17116</v>
      </c>
      <c r="UOT1" s="286" t="s">
        <v>17117</v>
      </c>
      <c r="UOU1" s="286" t="s">
        <v>17118</v>
      </c>
      <c r="UOV1" s="286" t="s">
        <v>17119</v>
      </c>
      <c r="UOW1" s="286" t="s">
        <v>17120</v>
      </c>
      <c r="UOX1" s="286" t="s">
        <v>17121</v>
      </c>
      <c r="UOY1" s="286" t="s">
        <v>17122</v>
      </c>
      <c r="UOZ1" s="286" t="s">
        <v>17123</v>
      </c>
      <c r="UPA1" s="286" t="s">
        <v>17124</v>
      </c>
      <c r="UPB1" s="286" t="s">
        <v>17125</v>
      </c>
      <c r="UPC1" s="286" t="s">
        <v>17126</v>
      </c>
      <c r="UPD1" s="286" t="s">
        <v>17127</v>
      </c>
      <c r="UPE1" s="286" t="s">
        <v>17128</v>
      </c>
      <c r="UPF1" s="286" t="s">
        <v>17129</v>
      </c>
      <c r="UPG1" s="286" t="s">
        <v>17130</v>
      </c>
      <c r="UPH1" s="286" t="s">
        <v>17131</v>
      </c>
      <c r="UPI1" s="286" t="s">
        <v>17132</v>
      </c>
      <c r="UPJ1" s="286" t="s">
        <v>17133</v>
      </c>
      <c r="UPK1" s="286" t="s">
        <v>17134</v>
      </c>
      <c r="UPL1" s="286" t="s">
        <v>17135</v>
      </c>
      <c r="UPM1" s="286" t="s">
        <v>17136</v>
      </c>
      <c r="UPN1" s="286" t="s">
        <v>17137</v>
      </c>
      <c r="UPO1" s="286" t="s">
        <v>17138</v>
      </c>
      <c r="UPP1" s="286" t="s">
        <v>17139</v>
      </c>
      <c r="UPQ1" s="286" t="s">
        <v>17140</v>
      </c>
      <c r="UPR1" s="286" t="s">
        <v>17141</v>
      </c>
      <c r="UPS1" s="286" t="s">
        <v>17142</v>
      </c>
      <c r="UPT1" s="286" t="s">
        <v>17143</v>
      </c>
      <c r="UPU1" s="286" t="s">
        <v>17144</v>
      </c>
      <c r="UPV1" s="286" t="s">
        <v>17145</v>
      </c>
      <c r="UPW1" s="286" t="s">
        <v>17146</v>
      </c>
      <c r="UPX1" s="286" t="s">
        <v>17147</v>
      </c>
      <c r="UPY1" s="286" t="s">
        <v>17148</v>
      </c>
      <c r="UPZ1" s="286" t="s">
        <v>17149</v>
      </c>
      <c r="UQA1" s="286" t="s">
        <v>17150</v>
      </c>
      <c r="UQB1" s="286" t="s">
        <v>17151</v>
      </c>
      <c r="UQC1" s="286" t="s">
        <v>17152</v>
      </c>
      <c r="UQD1" s="286" t="s">
        <v>17153</v>
      </c>
      <c r="UQE1" s="286" t="s">
        <v>17154</v>
      </c>
      <c r="UQF1" s="286" t="s">
        <v>17155</v>
      </c>
      <c r="UQG1" s="286" t="s">
        <v>17156</v>
      </c>
      <c r="UQH1" s="286" t="s">
        <v>17157</v>
      </c>
      <c r="UQI1" s="286" t="s">
        <v>17158</v>
      </c>
      <c r="UQJ1" s="286" t="s">
        <v>17159</v>
      </c>
      <c r="UQK1" s="286" t="s">
        <v>17160</v>
      </c>
      <c r="UQL1" s="286" t="s">
        <v>17161</v>
      </c>
      <c r="UQM1" s="286" t="s">
        <v>17162</v>
      </c>
      <c r="UQN1" s="286" t="s">
        <v>17163</v>
      </c>
      <c r="UQO1" s="286" t="s">
        <v>17164</v>
      </c>
      <c r="UQP1" s="286" t="s">
        <v>17165</v>
      </c>
      <c r="UQQ1" s="286" t="s">
        <v>17166</v>
      </c>
      <c r="UQR1" s="286" t="s">
        <v>17167</v>
      </c>
      <c r="UQS1" s="286" t="s">
        <v>17168</v>
      </c>
      <c r="UQT1" s="286" t="s">
        <v>17169</v>
      </c>
      <c r="UQU1" s="286" t="s">
        <v>17170</v>
      </c>
      <c r="UQV1" s="286" t="s">
        <v>17171</v>
      </c>
      <c r="UQW1" s="286" t="s">
        <v>17172</v>
      </c>
      <c r="UQX1" s="286" t="s">
        <v>17173</v>
      </c>
      <c r="UQY1" s="286" t="s">
        <v>17174</v>
      </c>
      <c r="UQZ1" s="286" t="s">
        <v>17175</v>
      </c>
      <c r="URA1" s="286" t="s">
        <v>17176</v>
      </c>
      <c r="URB1" s="286" t="s">
        <v>17177</v>
      </c>
      <c r="URC1" s="286" t="s">
        <v>17178</v>
      </c>
      <c r="URD1" s="286" t="s">
        <v>17179</v>
      </c>
      <c r="URE1" s="286" t="s">
        <v>17180</v>
      </c>
      <c r="URF1" s="286" t="s">
        <v>17181</v>
      </c>
      <c r="URG1" s="286" t="s">
        <v>17182</v>
      </c>
      <c r="URH1" s="286" t="s">
        <v>17183</v>
      </c>
      <c r="URI1" s="286" t="s">
        <v>17184</v>
      </c>
      <c r="URJ1" s="286" t="s">
        <v>17185</v>
      </c>
      <c r="URK1" s="286" t="s">
        <v>17186</v>
      </c>
      <c r="URL1" s="286" t="s">
        <v>17187</v>
      </c>
      <c r="URM1" s="286" t="s">
        <v>17188</v>
      </c>
      <c r="URN1" s="286" t="s">
        <v>17189</v>
      </c>
      <c r="URO1" s="286" t="s">
        <v>17190</v>
      </c>
      <c r="URP1" s="286" t="s">
        <v>17191</v>
      </c>
      <c r="URQ1" s="286" t="s">
        <v>17192</v>
      </c>
      <c r="URR1" s="286" t="s">
        <v>17193</v>
      </c>
      <c r="URS1" s="286" t="s">
        <v>17194</v>
      </c>
      <c r="URT1" s="286" t="s">
        <v>17195</v>
      </c>
      <c r="URU1" s="286" t="s">
        <v>17196</v>
      </c>
      <c r="URV1" s="286" t="s">
        <v>17197</v>
      </c>
      <c r="URW1" s="286" t="s">
        <v>17198</v>
      </c>
      <c r="URX1" s="286" t="s">
        <v>17199</v>
      </c>
      <c r="URY1" s="286" t="s">
        <v>17200</v>
      </c>
      <c r="URZ1" s="286" t="s">
        <v>17201</v>
      </c>
      <c r="USA1" s="286" t="s">
        <v>17202</v>
      </c>
      <c r="USB1" s="286" t="s">
        <v>17203</v>
      </c>
      <c r="USC1" s="286" t="s">
        <v>17204</v>
      </c>
      <c r="USD1" s="286" t="s">
        <v>17205</v>
      </c>
      <c r="USE1" s="286" t="s">
        <v>17206</v>
      </c>
      <c r="USF1" s="286" t="s">
        <v>17207</v>
      </c>
      <c r="USG1" s="286" t="s">
        <v>17208</v>
      </c>
      <c r="USH1" s="286" t="s">
        <v>17209</v>
      </c>
      <c r="USI1" s="286" t="s">
        <v>17210</v>
      </c>
      <c r="USJ1" s="286" t="s">
        <v>17211</v>
      </c>
      <c r="USK1" s="286" t="s">
        <v>17212</v>
      </c>
      <c r="USL1" s="286" t="s">
        <v>17213</v>
      </c>
      <c r="USM1" s="286" t="s">
        <v>17214</v>
      </c>
      <c r="USN1" s="286" t="s">
        <v>17215</v>
      </c>
      <c r="USO1" s="286" t="s">
        <v>17216</v>
      </c>
      <c r="USP1" s="286" t="s">
        <v>17217</v>
      </c>
      <c r="USQ1" s="286" t="s">
        <v>17218</v>
      </c>
      <c r="USR1" s="286" t="s">
        <v>17219</v>
      </c>
      <c r="USS1" s="286" t="s">
        <v>17220</v>
      </c>
      <c r="UST1" s="286" t="s">
        <v>17221</v>
      </c>
      <c r="USU1" s="286" t="s">
        <v>17222</v>
      </c>
      <c r="USV1" s="286" t="s">
        <v>17223</v>
      </c>
      <c r="USW1" s="286" t="s">
        <v>17224</v>
      </c>
      <c r="USX1" s="286" t="s">
        <v>17225</v>
      </c>
      <c r="USY1" s="286" t="s">
        <v>17226</v>
      </c>
      <c r="USZ1" s="286" t="s">
        <v>17227</v>
      </c>
      <c r="UTA1" s="286" t="s">
        <v>17228</v>
      </c>
      <c r="UTB1" s="286" t="s">
        <v>17229</v>
      </c>
      <c r="UTC1" s="286" t="s">
        <v>17230</v>
      </c>
      <c r="UTD1" s="286" t="s">
        <v>17231</v>
      </c>
      <c r="UTE1" s="286" t="s">
        <v>17232</v>
      </c>
      <c r="UTF1" s="286" t="s">
        <v>17233</v>
      </c>
      <c r="UTG1" s="286" t="s">
        <v>17234</v>
      </c>
      <c r="UTH1" s="286" t="s">
        <v>17235</v>
      </c>
      <c r="UTI1" s="286" t="s">
        <v>17236</v>
      </c>
      <c r="UTJ1" s="286" t="s">
        <v>17237</v>
      </c>
      <c r="UTK1" s="286" t="s">
        <v>17238</v>
      </c>
      <c r="UTL1" s="286" t="s">
        <v>17239</v>
      </c>
      <c r="UTM1" s="286" t="s">
        <v>17240</v>
      </c>
      <c r="UTN1" s="286" t="s">
        <v>17241</v>
      </c>
      <c r="UTO1" s="286" t="s">
        <v>17242</v>
      </c>
      <c r="UTP1" s="286" t="s">
        <v>17243</v>
      </c>
      <c r="UTQ1" s="286" t="s">
        <v>17244</v>
      </c>
      <c r="UTR1" s="286" t="s">
        <v>17245</v>
      </c>
      <c r="UTS1" s="286" t="s">
        <v>17246</v>
      </c>
      <c r="UTT1" s="286" t="s">
        <v>17247</v>
      </c>
      <c r="UTU1" s="286" t="s">
        <v>17248</v>
      </c>
      <c r="UTV1" s="286" t="s">
        <v>17249</v>
      </c>
      <c r="UTW1" s="286" t="s">
        <v>17250</v>
      </c>
      <c r="UTX1" s="286" t="s">
        <v>17251</v>
      </c>
      <c r="UTY1" s="286" t="s">
        <v>17252</v>
      </c>
      <c r="UTZ1" s="286" t="s">
        <v>17253</v>
      </c>
      <c r="UUA1" s="286" t="s">
        <v>17254</v>
      </c>
      <c r="UUB1" s="286" t="s">
        <v>17255</v>
      </c>
      <c r="UUC1" s="286" t="s">
        <v>17256</v>
      </c>
      <c r="UUD1" s="286" t="s">
        <v>17257</v>
      </c>
      <c r="UUE1" s="286" t="s">
        <v>17258</v>
      </c>
      <c r="UUF1" s="286" t="s">
        <v>17259</v>
      </c>
      <c r="UUG1" s="286" t="s">
        <v>17260</v>
      </c>
      <c r="UUH1" s="286" t="s">
        <v>17261</v>
      </c>
      <c r="UUI1" s="286" t="s">
        <v>17262</v>
      </c>
      <c r="UUJ1" s="286" t="s">
        <v>17263</v>
      </c>
      <c r="UUK1" s="286" t="s">
        <v>17264</v>
      </c>
      <c r="UUL1" s="286" t="s">
        <v>17265</v>
      </c>
      <c r="UUM1" s="286" t="s">
        <v>17266</v>
      </c>
      <c r="UUN1" s="286" t="s">
        <v>17267</v>
      </c>
      <c r="UUO1" s="286" t="s">
        <v>17268</v>
      </c>
      <c r="UUP1" s="286" t="s">
        <v>17269</v>
      </c>
      <c r="UUQ1" s="286" t="s">
        <v>17270</v>
      </c>
      <c r="UUR1" s="286" t="s">
        <v>17271</v>
      </c>
      <c r="UUS1" s="286" t="s">
        <v>17272</v>
      </c>
      <c r="UUT1" s="286" t="s">
        <v>17273</v>
      </c>
      <c r="UUU1" s="286" t="s">
        <v>17274</v>
      </c>
      <c r="UUV1" s="286" t="s">
        <v>17275</v>
      </c>
      <c r="UUW1" s="286" t="s">
        <v>17276</v>
      </c>
      <c r="UUX1" s="286" t="s">
        <v>17277</v>
      </c>
      <c r="UUY1" s="286" t="s">
        <v>17278</v>
      </c>
      <c r="UUZ1" s="286" t="s">
        <v>17279</v>
      </c>
      <c r="UVA1" s="286" t="s">
        <v>17280</v>
      </c>
      <c r="UVB1" s="286" t="s">
        <v>17281</v>
      </c>
      <c r="UVC1" s="286" t="s">
        <v>17282</v>
      </c>
      <c r="UVD1" s="286" t="s">
        <v>17283</v>
      </c>
      <c r="UVE1" s="286" t="s">
        <v>17284</v>
      </c>
      <c r="UVF1" s="286" t="s">
        <v>17285</v>
      </c>
      <c r="UVG1" s="286" t="s">
        <v>17286</v>
      </c>
      <c r="UVH1" s="286" t="s">
        <v>17287</v>
      </c>
      <c r="UVI1" s="286" t="s">
        <v>17288</v>
      </c>
      <c r="UVJ1" s="286" t="s">
        <v>17289</v>
      </c>
      <c r="UVK1" s="286" t="s">
        <v>17290</v>
      </c>
      <c r="UVL1" s="286" t="s">
        <v>17291</v>
      </c>
      <c r="UVM1" s="286" t="s">
        <v>17292</v>
      </c>
      <c r="UVN1" s="286" t="s">
        <v>17293</v>
      </c>
      <c r="UVO1" s="286" t="s">
        <v>17294</v>
      </c>
      <c r="UVP1" s="286" t="s">
        <v>17295</v>
      </c>
      <c r="UVQ1" s="286" t="s">
        <v>17296</v>
      </c>
      <c r="UVR1" s="286" t="s">
        <v>17297</v>
      </c>
      <c r="UVS1" s="286" t="s">
        <v>17298</v>
      </c>
      <c r="UVT1" s="286" t="s">
        <v>17299</v>
      </c>
      <c r="UVU1" s="286" t="s">
        <v>17300</v>
      </c>
      <c r="UVV1" s="286" t="s">
        <v>17301</v>
      </c>
      <c r="UVW1" s="286" t="s">
        <v>17302</v>
      </c>
      <c r="UVX1" s="286" t="s">
        <v>17303</v>
      </c>
      <c r="UVY1" s="286" t="s">
        <v>17304</v>
      </c>
      <c r="UVZ1" s="286" t="s">
        <v>17305</v>
      </c>
      <c r="UWA1" s="286" t="s">
        <v>17306</v>
      </c>
      <c r="UWB1" s="286" t="s">
        <v>17307</v>
      </c>
      <c r="UWC1" s="286" t="s">
        <v>17308</v>
      </c>
      <c r="UWD1" s="286" t="s">
        <v>17309</v>
      </c>
      <c r="UWE1" s="286" t="s">
        <v>17310</v>
      </c>
      <c r="UWF1" s="286" t="s">
        <v>17311</v>
      </c>
      <c r="UWG1" s="286" t="s">
        <v>17312</v>
      </c>
      <c r="UWH1" s="286" t="s">
        <v>17313</v>
      </c>
      <c r="UWI1" s="286" t="s">
        <v>17314</v>
      </c>
      <c r="UWJ1" s="286" t="s">
        <v>17315</v>
      </c>
      <c r="UWK1" s="286" t="s">
        <v>17316</v>
      </c>
      <c r="UWL1" s="286" t="s">
        <v>17317</v>
      </c>
      <c r="UWM1" s="286" t="s">
        <v>17318</v>
      </c>
      <c r="UWN1" s="286" t="s">
        <v>17319</v>
      </c>
      <c r="UWO1" s="286" t="s">
        <v>17320</v>
      </c>
      <c r="UWP1" s="286" t="s">
        <v>17321</v>
      </c>
      <c r="UWQ1" s="286" t="s">
        <v>17322</v>
      </c>
      <c r="UWR1" s="286" t="s">
        <v>17323</v>
      </c>
      <c r="UWS1" s="286" t="s">
        <v>17324</v>
      </c>
      <c r="UWT1" s="286" t="s">
        <v>17325</v>
      </c>
      <c r="UWU1" s="286" t="s">
        <v>17326</v>
      </c>
      <c r="UWV1" s="286" t="s">
        <v>17327</v>
      </c>
      <c r="UWW1" s="286" t="s">
        <v>17328</v>
      </c>
      <c r="UWX1" s="286" t="s">
        <v>17329</v>
      </c>
      <c r="UWY1" s="286" t="s">
        <v>17330</v>
      </c>
      <c r="UWZ1" s="286" t="s">
        <v>17331</v>
      </c>
      <c r="UXA1" s="286" t="s">
        <v>17332</v>
      </c>
      <c r="UXB1" s="286" t="s">
        <v>17333</v>
      </c>
      <c r="UXC1" s="286" t="s">
        <v>17334</v>
      </c>
      <c r="UXD1" s="286" t="s">
        <v>17335</v>
      </c>
      <c r="UXE1" s="286" t="s">
        <v>17336</v>
      </c>
      <c r="UXF1" s="286" t="s">
        <v>17337</v>
      </c>
      <c r="UXG1" s="286" t="s">
        <v>17338</v>
      </c>
      <c r="UXH1" s="286" t="s">
        <v>17339</v>
      </c>
      <c r="UXI1" s="286" t="s">
        <v>17340</v>
      </c>
      <c r="UXJ1" s="286" t="s">
        <v>17341</v>
      </c>
      <c r="UXK1" s="286" t="s">
        <v>17342</v>
      </c>
      <c r="UXL1" s="286" t="s">
        <v>17343</v>
      </c>
      <c r="UXM1" s="286" t="s">
        <v>17344</v>
      </c>
      <c r="UXN1" s="286" t="s">
        <v>17345</v>
      </c>
      <c r="UXO1" s="286" t="s">
        <v>17346</v>
      </c>
      <c r="UXP1" s="286" t="s">
        <v>17347</v>
      </c>
      <c r="UXQ1" s="286" t="s">
        <v>17348</v>
      </c>
      <c r="UXR1" s="286" t="s">
        <v>17349</v>
      </c>
      <c r="UXS1" s="286" t="s">
        <v>17350</v>
      </c>
      <c r="UXT1" s="286" t="s">
        <v>17351</v>
      </c>
      <c r="UXU1" s="286" t="s">
        <v>17352</v>
      </c>
      <c r="UXV1" s="286" t="s">
        <v>17353</v>
      </c>
      <c r="UXW1" s="286" t="s">
        <v>17354</v>
      </c>
      <c r="UXX1" s="286" t="s">
        <v>17355</v>
      </c>
      <c r="UXY1" s="286" t="s">
        <v>17356</v>
      </c>
      <c r="UXZ1" s="286" t="s">
        <v>17357</v>
      </c>
      <c r="UYA1" s="286" t="s">
        <v>17358</v>
      </c>
      <c r="UYB1" s="286" t="s">
        <v>17359</v>
      </c>
      <c r="UYC1" s="286" t="s">
        <v>17360</v>
      </c>
      <c r="UYD1" s="286" t="s">
        <v>17361</v>
      </c>
      <c r="UYE1" s="286" t="s">
        <v>17362</v>
      </c>
      <c r="UYF1" s="286" t="s">
        <v>17363</v>
      </c>
      <c r="UYG1" s="286" t="s">
        <v>17364</v>
      </c>
      <c r="UYH1" s="286" t="s">
        <v>17365</v>
      </c>
      <c r="UYI1" s="286" t="s">
        <v>17366</v>
      </c>
      <c r="UYJ1" s="286" t="s">
        <v>17367</v>
      </c>
      <c r="UYK1" s="286" t="s">
        <v>17368</v>
      </c>
      <c r="UYL1" s="286" t="s">
        <v>17369</v>
      </c>
      <c r="UYM1" s="286" t="s">
        <v>17370</v>
      </c>
      <c r="UYN1" s="286" t="s">
        <v>17371</v>
      </c>
      <c r="UYO1" s="286" t="s">
        <v>17372</v>
      </c>
      <c r="UYP1" s="286" t="s">
        <v>17373</v>
      </c>
      <c r="UYQ1" s="286" t="s">
        <v>17374</v>
      </c>
      <c r="UYR1" s="286" t="s">
        <v>17375</v>
      </c>
      <c r="UYS1" s="286" t="s">
        <v>17376</v>
      </c>
      <c r="UYT1" s="286" t="s">
        <v>17377</v>
      </c>
      <c r="UYU1" s="286" t="s">
        <v>17378</v>
      </c>
      <c r="UYV1" s="286" t="s">
        <v>17379</v>
      </c>
      <c r="UYW1" s="286" t="s">
        <v>17380</v>
      </c>
      <c r="UYX1" s="286" t="s">
        <v>17381</v>
      </c>
      <c r="UYY1" s="286" t="s">
        <v>17382</v>
      </c>
      <c r="UYZ1" s="286" t="s">
        <v>17383</v>
      </c>
      <c r="UZA1" s="286" t="s">
        <v>17384</v>
      </c>
      <c r="UZB1" s="286" t="s">
        <v>17385</v>
      </c>
      <c r="UZC1" s="286" t="s">
        <v>17386</v>
      </c>
      <c r="UZD1" s="286" t="s">
        <v>17387</v>
      </c>
      <c r="UZE1" s="286" t="s">
        <v>17388</v>
      </c>
      <c r="UZF1" s="286" t="s">
        <v>17389</v>
      </c>
      <c r="UZG1" s="286" t="s">
        <v>17390</v>
      </c>
      <c r="UZH1" s="286" t="s">
        <v>17391</v>
      </c>
      <c r="UZI1" s="286" t="s">
        <v>17392</v>
      </c>
      <c r="UZJ1" s="286" t="s">
        <v>17393</v>
      </c>
      <c r="UZK1" s="286" t="s">
        <v>17394</v>
      </c>
      <c r="UZL1" s="286" t="s">
        <v>17395</v>
      </c>
      <c r="UZM1" s="286" t="s">
        <v>17396</v>
      </c>
      <c r="UZN1" s="286" t="s">
        <v>17397</v>
      </c>
      <c r="UZO1" s="286" t="s">
        <v>17398</v>
      </c>
      <c r="UZP1" s="286" t="s">
        <v>17399</v>
      </c>
      <c r="UZQ1" s="286" t="s">
        <v>17400</v>
      </c>
      <c r="UZR1" s="286" t="s">
        <v>17401</v>
      </c>
      <c r="UZS1" s="286" t="s">
        <v>17402</v>
      </c>
      <c r="UZT1" s="286" t="s">
        <v>17403</v>
      </c>
      <c r="UZU1" s="286" t="s">
        <v>17404</v>
      </c>
      <c r="UZV1" s="286" t="s">
        <v>17405</v>
      </c>
      <c r="UZW1" s="286" t="s">
        <v>17406</v>
      </c>
      <c r="UZX1" s="286" t="s">
        <v>17407</v>
      </c>
      <c r="UZY1" s="286" t="s">
        <v>17408</v>
      </c>
      <c r="UZZ1" s="286" t="s">
        <v>17409</v>
      </c>
      <c r="VAA1" s="286" t="s">
        <v>17410</v>
      </c>
      <c r="VAB1" s="286" t="s">
        <v>17411</v>
      </c>
      <c r="VAC1" s="286" t="s">
        <v>17412</v>
      </c>
      <c r="VAD1" s="286" t="s">
        <v>17413</v>
      </c>
      <c r="VAE1" s="286" t="s">
        <v>17414</v>
      </c>
      <c r="VAF1" s="286" t="s">
        <v>17415</v>
      </c>
      <c r="VAG1" s="286" t="s">
        <v>17416</v>
      </c>
      <c r="VAH1" s="286" t="s">
        <v>17417</v>
      </c>
      <c r="VAI1" s="286" t="s">
        <v>17418</v>
      </c>
      <c r="VAJ1" s="286" t="s">
        <v>17419</v>
      </c>
      <c r="VAK1" s="286" t="s">
        <v>17420</v>
      </c>
      <c r="VAL1" s="286" t="s">
        <v>17421</v>
      </c>
      <c r="VAM1" s="286" t="s">
        <v>17422</v>
      </c>
      <c r="VAN1" s="286" t="s">
        <v>17423</v>
      </c>
      <c r="VAO1" s="286" t="s">
        <v>17424</v>
      </c>
      <c r="VAP1" s="286" t="s">
        <v>17425</v>
      </c>
      <c r="VAQ1" s="286" t="s">
        <v>17426</v>
      </c>
      <c r="VAR1" s="286" t="s">
        <v>17427</v>
      </c>
      <c r="VAS1" s="286" t="s">
        <v>17428</v>
      </c>
      <c r="VAT1" s="286" t="s">
        <v>17429</v>
      </c>
      <c r="VAU1" s="286" t="s">
        <v>17430</v>
      </c>
      <c r="VAV1" s="286" t="s">
        <v>17431</v>
      </c>
      <c r="VAW1" s="286" t="s">
        <v>17432</v>
      </c>
      <c r="VAX1" s="286" t="s">
        <v>17433</v>
      </c>
      <c r="VAY1" s="286" t="s">
        <v>17434</v>
      </c>
      <c r="VAZ1" s="286" t="s">
        <v>17435</v>
      </c>
      <c r="VBA1" s="286" t="s">
        <v>17436</v>
      </c>
      <c r="VBB1" s="286" t="s">
        <v>17437</v>
      </c>
      <c r="VBC1" s="286" t="s">
        <v>17438</v>
      </c>
      <c r="VBD1" s="286" t="s">
        <v>17439</v>
      </c>
      <c r="VBE1" s="286" t="s">
        <v>17440</v>
      </c>
      <c r="VBF1" s="286" t="s">
        <v>17441</v>
      </c>
      <c r="VBG1" s="286" t="s">
        <v>17442</v>
      </c>
      <c r="VBH1" s="286" t="s">
        <v>17443</v>
      </c>
      <c r="VBI1" s="286" t="s">
        <v>17444</v>
      </c>
      <c r="VBJ1" s="286" t="s">
        <v>17445</v>
      </c>
      <c r="VBK1" s="286" t="s">
        <v>17446</v>
      </c>
      <c r="VBL1" s="286" t="s">
        <v>17447</v>
      </c>
      <c r="VBM1" s="286" t="s">
        <v>17448</v>
      </c>
      <c r="VBN1" s="286" t="s">
        <v>17449</v>
      </c>
      <c r="VBO1" s="286" t="s">
        <v>17450</v>
      </c>
      <c r="VBP1" s="286" t="s">
        <v>17451</v>
      </c>
      <c r="VBQ1" s="286" t="s">
        <v>17452</v>
      </c>
      <c r="VBR1" s="286" t="s">
        <v>17453</v>
      </c>
      <c r="VBS1" s="286" t="s">
        <v>17454</v>
      </c>
      <c r="VBT1" s="286" t="s">
        <v>17455</v>
      </c>
      <c r="VBU1" s="286" t="s">
        <v>17456</v>
      </c>
      <c r="VBV1" s="286" t="s">
        <v>17457</v>
      </c>
      <c r="VBW1" s="286" t="s">
        <v>17458</v>
      </c>
      <c r="VBX1" s="286" t="s">
        <v>17459</v>
      </c>
      <c r="VBY1" s="286" t="s">
        <v>17460</v>
      </c>
      <c r="VBZ1" s="286" t="s">
        <v>17461</v>
      </c>
      <c r="VCA1" s="286" t="s">
        <v>17462</v>
      </c>
      <c r="VCB1" s="286" t="s">
        <v>17463</v>
      </c>
      <c r="VCC1" s="286" t="s">
        <v>17464</v>
      </c>
      <c r="VCD1" s="286" t="s">
        <v>17465</v>
      </c>
      <c r="VCE1" s="286" t="s">
        <v>17466</v>
      </c>
      <c r="VCF1" s="286" t="s">
        <v>17467</v>
      </c>
      <c r="VCG1" s="286" t="s">
        <v>17468</v>
      </c>
      <c r="VCH1" s="286" t="s">
        <v>17469</v>
      </c>
      <c r="VCI1" s="286" t="s">
        <v>17470</v>
      </c>
      <c r="VCJ1" s="286" t="s">
        <v>17471</v>
      </c>
      <c r="VCK1" s="286" t="s">
        <v>17472</v>
      </c>
      <c r="VCL1" s="286" t="s">
        <v>17473</v>
      </c>
      <c r="VCM1" s="286" t="s">
        <v>17474</v>
      </c>
      <c r="VCN1" s="286" t="s">
        <v>17475</v>
      </c>
      <c r="VCO1" s="286" t="s">
        <v>17476</v>
      </c>
      <c r="VCP1" s="286" t="s">
        <v>17477</v>
      </c>
      <c r="VCQ1" s="286" t="s">
        <v>17478</v>
      </c>
      <c r="VCR1" s="286" t="s">
        <v>17479</v>
      </c>
      <c r="VCS1" s="286" t="s">
        <v>17480</v>
      </c>
      <c r="VCT1" s="286" t="s">
        <v>17481</v>
      </c>
      <c r="VCU1" s="286" t="s">
        <v>17482</v>
      </c>
      <c r="VCV1" s="286" t="s">
        <v>17483</v>
      </c>
      <c r="VCW1" s="286" t="s">
        <v>17484</v>
      </c>
      <c r="VCX1" s="286" t="s">
        <v>17485</v>
      </c>
      <c r="VCY1" s="286" t="s">
        <v>17486</v>
      </c>
      <c r="VCZ1" s="286" t="s">
        <v>17487</v>
      </c>
      <c r="VDA1" s="286" t="s">
        <v>17488</v>
      </c>
      <c r="VDB1" s="286" t="s">
        <v>17489</v>
      </c>
      <c r="VDC1" s="286" t="s">
        <v>17490</v>
      </c>
      <c r="VDD1" s="286" t="s">
        <v>17491</v>
      </c>
      <c r="VDE1" s="286" t="s">
        <v>17492</v>
      </c>
      <c r="VDF1" s="286" t="s">
        <v>17493</v>
      </c>
      <c r="VDG1" s="286" t="s">
        <v>17494</v>
      </c>
      <c r="VDH1" s="286" t="s">
        <v>17495</v>
      </c>
      <c r="VDI1" s="286" t="s">
        <v>17496</v>
      </c>
      <c r="VDJ1" s="286" t="s">
        <v>17497</v>
      </c>
      <c r="VDK1" s="286" t="s">
        <v>17498</v>
      </c>
      <c r="VDL1" s="286" t="s">
        <v>17499</v>
      </c>
      <c r="VDM1" s="286" t="s">
        <v>17500</v>
      </c>
      <c r="VDN1" s="286" t="s">
        <v>17501</v>
      </c>
      <c r="VDO1" s="286" t="s">
        <v>17502</v>
      </c>
      <c r="VDP1" s="286" t="s">
        <v>17503</v>
      </c>
      <c r="VDQ1" s="286" t="s">
        <v>17504</v>
      </c>
      <c r="VDR1" s="286" t="s">
        <v>17505</v>
      </c>
      <c r="VDS1" s="286" t="s">
        <v>17506</v>
      </c>
      <c r="VDT1" s="286" t="s">
        <v>17507</v>
      </c>
      <c r="VDU1" s="286" t="s">
        <v>17508</v>
      </c>
      <c r="VDV1" s="286" t="s">
        <v>17509</v>
      </c>
      <c r="VDW1" s="286" t="s">
        <v>17510</v>
      </c>
      <c r="VDX1" s="286" t="s">
        <v>17511</v>
      </c>
      <c r="VDY1" s="286" t="s">
        <v>17512</v>
      </c>
      <c r="VDZ1" s="286" t="s">
        <v>17513</v>
      </c>
      <c r="VEA1" s="286" t="s">
        <v>17514</v>
      </c>
      <c r="VEB1" s="286" t="s">
        <v>17515</v>
      </c>
      <c r="VEC1" s="286" t="s">
        <v>17516</v>
      </c>
      <c r="VED1" s="286" t="s">
        <v>17517</v>
      </c>
      <c r="VEE1" s="286" t="s">
        <v>17518</v>
      </c>
      <c r="VEF1" s="286" t="s">
        <v>17519</v>
      </c>
      <c r="VEG1" s="286" t="s">
        <v>17520</v>
      </c>
      <c r="VEH1" s="286" t="s">
        <v>17521</v>
      </c>
      <c r="VEI1" s="286" t="s">
        <v>17522</v>
      </c>
      <c r="VEJ1" s="286" t="s">
        <v>17523</v>
      </c>
      <c r="VEK1" s="286" t="s">
        <v>17524</v>
      </c>
      <c r="VEL1" s="286" t="s">
        <v>17525</v>
      </c>
      <c r="VEM1" s="286" t="s">
        <v>17526</v>
      </c>
      <c r="VEN1" s="286" t="s">
        <v>17527</v>
      </c>
      <c r="VEO1" s="286" t="s">
        <v>17528</v>
      </c>
      <c r="VEP1" s="286" t="s">
        <v>17529</v>
      </c>
      <c r="VEQ1" s="286" t="s">
        <v>17530</v>
      </c>
      <c r="VER1" s="286" t="s">
        <v>17531</v>
      </c>
      <c r="VES1" s="286" t="s">
        <v>17532</v>
      </c>
      <c r="VET1" s="286" t="s">
        <v>17533</v>
      </c>
      <c r="VEU1" s="286" t="s">
        <v>17534</v>
      </c>
      <c r="VEV1" s="286" t="s">
        <v>17535</v>
      </c>
      <c r="VEW1" s="286" t="s">
        <v>17536</v>
      </c>
      <c r="VEX1" s="286" t="s">
        <v>17537</v>
      </c>
      <c r="VEY1" s="286" t="s">
        <v>17538</v>
      </c>
      <c r="VEZ1" s="286" t="s">
        <v>17539</v>
      </c>
      <c r="VFA1" s="286" t="s">
        <v>17540</v>
      </c>
      <c r="VFB1" s="286" t="s">
        <v>17541</v>
      </c>
      <c r="VFC1" s="286" t="s">
        <v>17542</v>
      </c>
      <c r="VFD1" s="286" t="s">
        <v>17543</v>
      </c>
      <c r="VFE1" s="286" t="s">
        <v>17544</v>
      </c>
      <c r="VFF1" s="286" t="s">
        <v>17545</v>
      </c>
      <c r="VFG1" s="286" t="s">
        <v>17546</v>
      </c>
      <c r="VFH1" s="286" t="s">
        <v>17547</v>
      </c>
      <c r="VFI1" s="286" t="s">
        <v>17548</v>
      </c>
      <c r="VFJ1" s="286" t="s">
        <v>17549</v>
      </c>
      <c r="VFK1" s="286" t="s">
        <v>17550</v>
      </c>
      <c r="VFL1" s="286" t="s">
        <v>17551</v>
      </c>
      <c r="VFM1" s="286" t="s">
        <v>17552</v>
      </c>
      <c r="VFN1" s="286" t="s">
        <v>17553</v>
      </c>
      <c r="VFO1" s="286" t="s">
        <v>17554</v>
      </c>
      <c r="VFP1" s="286" t="s">
        <v>17555</v>
      </c>
      <c r="VFQ1" s="286" t="s">
        <v>17556</v>
      </c>
      <c r="VFR1" s="286" t="s">
        <v>17557</v>
      </c>
      <c r="VFS1" s="286" t="s">
        <v>17558</v>
      </c>
      <c r="VFT1" s="286" t="s">
        <v>17559</v>
      </c>
      <c r="VFU1" s="286" t="s">
        <v>17560</v>
      </c>
      <c r="VFV1" s="286" t="s">
        <v>17561</v>
      </c>
      <c r="VFW1" s="286" t="s">
        <v>17562</v>
      </c>
      <c r="VFX1" s="286" t="s">
        <v>17563</v>
      </c>
      <c r="VFY1" s="286" t="s">
        <v>17564</v>
      </c>
      <c r="VFZ1" s="286" t="s">
        <v>17565</v>
      </c>
      <c r="VGA1" s="286" t="s">
        <v>17566</v>
      </c>
      <c r="VGB1" s="286" t="s">
        <v>17567</v>
      </c>
      <c r="VGC1" s="286" t="s">
        <v>17568</v>
      </c>
      <c r="VGD1" s="286" t="s">
        <v>17569</v>
      </c>
      <c r="VGE1" s="286" t="s">
        <v>17570</v>
      </c>
      <c r="VGF1" s="286" t="s">
        <v>17571</v>
      </c>
      <c r="VGG1" s="286" t="s">
        <v>17572</v>
      </c>
      <c r="VGH1" s="286" t="s">
        <v>17573</v>
      </c>
      <c r="VGI1" s="286" t="s">
        <v>17574</v>
      </c>
      <c r="VGJ1" s="286" t="s">
        <v>17575</v>
      </c>
      <c r="VGK1" s="286" t="s">
        <v>17576</v>
      </c>
      <c r="VGL1" s="286" t="s">
        <v>17577</v>
      </c>
      <c r="VGM1" s="286" t="s">
        <v>17578</v>
      </c>
      <c r="VGN1" s="286" t="s">
        <v>17579</v>
      </c>
      <c r="VGO1" s="286" t="s">
        <v>17580</v>
      </c>
      <c r="VGP1" s="286" t="s">
        <v>17581</v>
      </c>
      <c r="VGQ1" s="286" t="s">
        <v>17582</v>
      </c>
      <c r="VGR1" s="286" t="s">
        <v>17583</v>
      </c>
      <c r="VGS1" s="286" t="s">
        <v>17584</v>
      </c>
      <c r="VGT1" s="286" t="s">
        <v>17585</v>
      </c>
      <c r="VGU1" s="286" t="s">
        <v>17586</v>
      </c>
      <c r="VGV1" s="286" t="s">
        <v>17587</v>
      </c>
      <c r="VGW1" s="286" t="s">
        <v>17588</v>
      </c>
      <c r="VGX1" s="286" t="s">
        <v>17589</v>
      </c>
      <c r="VGY1" s="286" t="s">
        <v>17590</v>
      </c>
      <c r="VGZ1" s="286" t="s">
        <v>17591</v>
      </c>
      <c r="VHA1" s="286" t="s">
        <v>17592</v>
      </c>
      <c r="VHB1" s="286" t="s">
        <v>17593</v>
      </c>
      <c r="VHC1" s="286" t="s">
        <v>17594</v>
      </c>
      <c r="VHD1" s="286" t="s">
        <v>17595</v>
      </c>
      <c r="VHE1" s="286" t="s">
        <v>17596</v>
      </c>
      <c r="VHF1" s="286" t="s">
        <v>17597</v>
      </c>
      <c r="VHG1" s="286" t="s">
        <v>17598</v>
      </c>
      <c r="VHH1" s="286" t="s">
        <v>17599</v>
      </c>
      <c r="VHI1" s="286" t="s">
        <v>17600</v>
      </c>
      <c r="VHJ1" s="286" t="s">
        <v>17601</v>
      </c>
      <c r="VHK1" s="286" t="s">
        <v>17602</v>
      </c>
      <c r="VHL1" s="286" t="s">
        <v>17603</v>
      </c>
      <c r="VHM1" s="286" t="s">
        <v>17604</v>
      </c>
      <c r="VHN1" s="286" t="s">
        <v>17605</v>
      </c>
      <c r="VHO1" s="286" t="s">
        <v>17606</v>
      </c>
      <c r="VHP1" s="286" t="s">
        <v>17607</v>
      </c>
      <c r="VHQ1" s="286" t="s">
        <v>17608</v>
      </c>
      <c r="VHR1" s="286" t="s">
        <v>17609</v>
      </c>
      <c r="VHS1" s="286" t="s">
        <v>17610</v>
      </c>
      <c r="VHT1" s="286" t="s">
        <v>17611</v>
      </c>
      <c r="VHU1" s="286" t="s">
        <v>17612</v>
      </c>
      <c r="VHV1" s="286" t="s">
        <v>17613</v>
      </c>
      <c r="VHW1" s="286" t="s">
        <v>17614</v>
      </c>
      <c r="VHX1" s="286" t="s">
        <v>17615</v>
      </c>
      <c r="VHY1" s="286" t="s">
        <v>17616</v>
      </c>
      <c r="VHZ1" s="286" t="s">
        <v>17617</v>
      </c>
      <c r="VIA1" s="286" t="s">
        <v>17618</v>
      </c>
      <c r="VIB1" s="286" t="s">
        <v>17619</v>
      </c>
      <c r="VIC1" s="286" t="s">
        <v>17620</v>
      </c>
      <c r="VID1" s="286" t="s">
        <v>17621</v>
      </c>
      <c r="VIE1" s="286" t="s">
        <v>17622</v>
      </c>
      <c r="VIF1" s="286" t="s">
        <v>17623</v>
      </c>
      <c r="VIG1" s="286" t="s">
        <v>17624</v>
      </c>
      <c r="VIH1" s="286" t="s">
        <v>17625</v>
      </c>
      <c r="VII1" s="286" t="s">
        <v>17626</v>
      </c>
      <c r="VIJ1" s="286" t="s">
        <v>17627</v>
      </c>
      <c r="VIK1" s="286" t="s">
        <v>17628</v>
      </c>
      <c r="VIL1" s="286" t="s">
        <v>17629</v>
      </c>
      <c r="VIM1" s="286" t="s">
        <v>17630</v>
      </c>
      <c r="VIN1" s="286" t="s">
        <v>17631</v>
      </c>
      <c r="VIO1" s="286" t="s">
        <v>17632</v>
      </c>
      <c r="VIP1" s="286" t="s">
        <v>17633</v>
      </c>
      <c r="VIQ1" s="286" t="s">
        <v>17634</v>
      </c>
      <c r="VIR1" s="286" t="s">
        <v>17635</v>
      </c>
      <c r="VIS1" s="286" t="s">
        <v>17636</v>
      </c>
      <c r="VIT1" s="286" t="s">
        <v>17637</v>
      </c>
      <c r="VIU1" s="286" t="s">
        <v>17638</v>
      </c>
      <c r="VIV1" s="286" t="s">
        <v>17639</v>
      </c>
      <c r="VIW1" s="286" t="s">
        <v>17640</v>
      </c>
      <c r="VIX1" s="286" t="s">
        <v>17641</v>
      </c>
      <c r="VIY1" s="286" t="s">
        <v>17642</v>
      </c>
      <c r="VIZ1" s="286" t="s">
        <v>17643</v>
      </c>
      <c r="VJA1" s="286" t="s">
        <v>17644</v>
      </c>
      <c r="VJB1" s="286" t="s">
        <v>17645</v>
      </c>
      <c r="VJC1" s="286" t="s">
        <v>17646</v>
      </c>
      <c r="VJD1" s="286" t="s">
        <v>17647</v>
      </c>
      <c r="VJE1" s="286" t="s">
        <v>17648</v>
      </c>
      <c r="VJF1" s="286" t="s">
        <v>17649</v>
      </c>
      <c r="VJG1" s="286" t="s">
        <v>17650</v>
      </c>
      <c r="VJH1" s="286" t="s">
        <v>17651</v>
      </c>
      <c r="VJI1" s="286" t="s">
        <v>17652</v>
      </c>
      <c r="VJJ1" s="286" t="s">
        <v>17653</v>
      </c>
      <c r="VJK1" s="286" t="s">
        <v>17654</v>
      </c>
      <c r="VJL1" s="286" t="s">
        <v>17655</v>
      </c>
      <c r="VJM1" s="286" t="s">
        <v>17656</v>
      </c>
      <c r="VJN1" s="286" t="s">
        <v>17657</v>
      </c>
      <c r="VJO1" s="286" t="s">
        <v>17658</v>
      </c>
      <c r="VJP1" s="286" t="s">
        <v>17659</v>
      </c>
      <c r="VJQ1" s="286" t="s">
        <v>17660</v>
      </c>
      <c r="VJR1" s="286" t="s">
        <v>17661</v>
      </c>
      <c r="VJS1" s="286" t="s">
        <v>17662</v>
      </c>
      <c r="VJT1" s="286" t="s">
        <v>17663</v>
      </c>
      <c r="VJU1" s="286" t="s">
        <v>17664</v>
      </c>
      <c r="VJV1" s="286" t="s">
        <v>17665</v>
      </c>
      <c r="VJW1" s="286" t="s">
        <v>17666</v>
      </c>
      <c r="VJX1" s="286" t="s">
        <v>17667</v>
      </c>
      <c r="VJY1" s="286" t="s">
        <v>17668</v>
      </c>
      <c r="VJZ1" s="286" t="s">
        <v>17669</v>
      </c>
      <c r="VKA1" s="286" t="s">
        <v>17670</v>
      </c>
      <c r="VKB1" s="286" t="s">
        <v>17671</v>
      </c>
      <c r="VKC1" s="286" t="s">
        <v>17672</v>
      </c>
      <c r="VKD1" s="286" t="s">
        <v>17673</v>
      </c>
      <c r="VKE1" s="286" t="s">
        <v>17674</v>
      </c>
      <c r="VKF1" s="286" t="s">
        <v>17675</v>
      </c>
      <c r="VKG1" s="286" t="s">
        <v>17676</v>
      </c>
      <c r="VKH1" s="286" t="s">
        <v>17677</v>
      </c>
      <c r="VKI1" s="286" t="s">
        <v>17678</v>
      </c>
      <c r="VKJ1" s="286" t="s">
        <v>17679</v>
      </c>
      <c r="VKK1" s="286" t="s">
        <v>17680</v>
      </c>
      <c r="VKL1" s="286" t="s">
        <v>17681</v>
      </c>
      <c r="VKM1" s="286" t="s">
        <v>17682</v>
      </c>
      <c r="VKN1" s="286" t="s">
        <v>17683</v>
      </c>
      <c r="VKO1" s="286" t="s">
        <v>17684</v>
      </c>
      <c r="VKP1" s="286" t="s">
        <v>17685</v>
      </c>
      <c r="VKQ1" s="286" t="s">
        <v>17686</v>
      </c>
      <c r="VKR1" s="286" t="s">
        <v>17687</v>
      </c>
      <c r="VKS1" s="286" t="s">
        <v>17688</v>
      </c>
      <c r="VKT1" s="286" t="s">
        <v>17689</v>
      </c>
      <c r="VKU1" s="286" t="s">
        <v>17690</v>
      </c>
      <c r="VKV1" s="286" t="s">
        <v>17691</v>
      </c>
      <c r="VKW1" s="286" t="s">
        <v>17692</v>
      </c>
      <c r="VKX1" s="286" t="s">
        <v>17693</v>
      </c>
      <c r="VKY1" s="286" t="s">
        <v>17694</v>
      </c>
      <c r="VKZ1" s="286" t="s">
        <v>17695</v>
      </c>
      <c r="VLA1" s="286" t="s">
        <v>17696</v>
      </c>
      <c r="VLB1" s="286" t="s">
        <v>17697</v>
      </c>
      <c r="VLC1" s="286" t="s">
        <v>17698</v>
      </c>
      <c r="VLD1" s="286" t="s">
        <v>17699</v>
      </c>
      <c r="VLE1" s="286" t="s">
        <v>17700</v>
      </c>
      <c r="VLF1" s="286" t="s">
        <v>17701</v>
      </c>
      <c r="VLG1" s="286" t="s">
        <v>17702</v>
      </c>
      <c r="VLH1" s="286" t="s">
        <v>17703</v>
      </c>
      <c r="VLI1" s="286" t="s">
        <v>17704</v>
      </c>
      <c r="VLJ1" s="286" t="s">
        <v>17705</v>
      </c>
      <c r="VLK1" s="286" t="s">
        <v>17706</v>
      </c>
      <c r="VLL1" s="286" t="s">
        <v>17707</v>
      </c>
      <c r="VLM1" s="286" t="s">
        <v>17708</v>
      </c>
      <c r="VLN1" s="286" t="s">
        <v>17709</v>
      </c>
      <c r="VLO1" s="286" t="s">
        <v>17710</v>
      </c>
      <c r="VLP1" s="286" t="s">
        <v>17711</v>
      </c>
      <c r="VLQ1" s="286" t="s">
        <v>17712</v>
      </c>
      <c r="VLR1" s="286" t="s">
        <v>17713</v>
      </c>
      <c r="VLS1" s="286" t="s">
        <v>17714</v>
      </c>
      <c r="VLT1" s="286" t="s">
        <v>17715</v>
      </c>
      <c r="VLU1" s="286" t="s">
        <v>17716</v>
      </c>
      <c r="VLV1" s="286" t="s">
        <v>17717</v>
      </c>
      <c r="VLW1" s="286" t="s">
        <v>17718</v>
      </c>
      <c r="VLX1" s="286" t="s">
        <v>17719</v>
      </c>
      <c r="VLY1" s="286" t="s">
        <v>17720</v>
      </c>
      <c r="VLZ1" s="286" t="s">
        <v>17721</v>
      </c>
      <c r="VMA1" s="286" t="s">
        <v>17722</v>
      </c>
      <c r="VMB1" s="286" t="s">
        <v>17723</v>
      </c>
      <c r="VMC1" s="286" t="s">
        <v>17724</v>
      </c>
      <c r="VMD1" s="286" t="s">
        <v>17725</v>
      </c>
      <c r="VME1" s="286" t="s">
        <v>17726</v>
      </c>
      <c r="VMF1" s="286" t="s">
        <v>17727</v>
      </c>
      <c r="VMG1" s="286" t="s">
        <v>17728</v>
      </c>
      <c r="VMH1" s="286" t="s">
        <v>17729</v>
      </c>
      <c r="VMI1" s="286" t="s">
        <v>17730</v>
      </c>
      <c r="VMJ1" s="286" t="s">
        <v>17731</v>
      </c>
      <c r="VMK1" s="286" t="s">
        <v>17732</v>
      </c>
      <c r="VML1" s="286" t="s">
        <v>17733</v>
      </c>
      <c r="VMM1" s="286" t="s">
        <v>17734</v>
      </c>
      <c r="VMN1" s="286" t="s">
        <v>17735</v>
      </c>
      <c r="VMO1" s="286" t="s">
        <v>17736</v>
      </c>
      <c r="VMP1" s="286" t="s">
        <v>17737</v>
      </c>
      <c r="VMQ1" s="286" t="s">
        <v>17738</v>
      </c>
      <c r="VMR1" s="286" t="s">
        <v>17739</v>
      </c>
      <c r="VMS1" s="286" t="s">
        <v>17740</v>
      </c>
      <c r="VMT1" s="286" t="s">
        <v>17741</v>
      </c>
      <c r="VMU1" s="286" t="s">
        <v>17742</v>
      </c>
      <c r="VMV1" s="286" t="s">
        <v>17743</v>
      </c>
      <c r="VMW1" s="286" t="s">
        <v>17744</v>
      </c>
      <c r="VMX1" s="286" t="s">
        <v>17745</v>
      </c>
      <c r="VMY1" s="286" t="s">
        <v>17746</v>
      </c>
      <c r="VMZ1" s="286" t="s">
        <v>17747</v>
      </c>
      <c r="VNA1" s="286" t="s">
        <v>17748</v>
      </c>
      <c r="VNB1" s="286" t="s">
        <v>17749</v>
      </c>
      <c r="VNC1" s="286" t="s">
        <v>17750</v>
      </c>
      <c r="VND1" s="286" t="s">
        <v>17751</v>
      </c>
      <c r="VNE1" s="286" t="s">
        <v>17752</v>
      </c>
      <c r="VNF1" s="286" t="s">
        <v>17753</v>
      </c>
      <c r="VNG1" s="286" t="s">
        <v>17754</v>
      </c>
      <c r="VNH1" s="286" t="s">
        <v>17755</v>
      </c>
      <c r="VNI1" s="286" t="s">
        <v>17756</v>
      </c>
      <c r="VNJ1" s="286" t="s">
        <v>17757</v>
      </c>
      <c r="VNK1" s="286" t="s">
        <v>17758</v>
      </c>
      <c r="VNL1" s="286" t="s">
        <v>17759</v>
      </c>
      <c r="VNM1" s="286" t="s">
        <v>17760</v>
      </c>
      <c r="VNN1" s="286" t="s">
        <v>17761</v>
      </c>
      <c r="VNO1" s="286" t="s">
        <v>17762</v>
      </c>
      <c r="VNP1" s="286" t="s">
        <v>17763</v>
      </c>
      <c r="VNQ1" s="286" t="s">
        <v>17764</v>
      </c>
      <c r="VNR1" s="286" t="s">
        <v>17765</v>
      </c>
      <c r="VNS1" s="286" t="s">
        <v>17766</v>
      </c>
      <c r="VNT1" s="286" t="s">
        <v>17767</v>
      </c>
      <c r="VNU1" s="286" t="s">
        <v>17768</v>
      </c>
      <c r="VNV1" s="286" t="s">
        <v>17769</v>
      </c>
      <c r="VNW1" s="286" t="s">
        <v>17770</v>
      </c>
      <c r="VNX1" s="286" t="s">
        <v>17771</v>
      </c>
      <c r="VNY1" s="286" t="s">
        <v>17772</v>
      </c>
      <c r="VNZ1" s="286" t="s">
        <v>17773</v>
      </c>
      <c r="VOA1" s="286" t="s">
        <v>17774</v>
      </c>
      <c r="VOB1" s="286" t="s">
        <v>17775</v>
      </c>
      <c r="VOC1" s="286" t="s">
        <v>17776</v>
      </c>
      <c r="VOD1" s="286" t="s">
        <v>17777</v>
      </c>
      <c r="VOE1" s="286" t="s">
        <v>17778</v>
      </c>
      <c r="VOF1" s="286" t="s">
        <v>17779</v>
      </c>
      <c r="VOG1" s="286" t="s">
        <v>17780</v>
      </c>
      <c r="VOH1" s="286" t="s">
        <v>17781</v>
      </c>
      <c r="VOI1" s="286" t="s">
        <v>17782</v>
      </c>
      <c r="VOJ1" s="286" t="s">
        <v>17783</v>
      </c>
      <c r="VOK1" s="286" t="s">
        <v>17784</v>
      </c>
      <c r="VOL1" s="286" t="s">
        <v>17785</v>
      </c>
      <c r="VOM1" s="286" t="s">
        <v>17786</v>
      </c>
      <c r="VON1" s="286" t="s">
        <v>17787</v>
      </c>
      <c r="VOO1" s="286" t="s">
        <v>17788</v>
      </c>
      <c r="VOP1" s="286" t="s">
        <v>17789</v>
      </c>
      <c r="VOQ1" s="286" t="s">
        <v>17790</v>
      </c>
      <c r="VOR1" s="286" t="s">
        <v>17791</v>
      </c>
      <c r="VOS1" s="286" t="s">
        <v>17792</v>
      </c>
      <c r="VOT1" s="286" t="s">
        <v>17793</v>
      </c>
      <c r="VOU1" s="286" t="s">
        <v>17794</v>
      </c>
      <c r="VOV1" s="286" t="s">
        <v>17795</v>
      </c>
      <c r="VOW1" s="286" t="s">
        <v>17796</v>
      </c>
      <c r="VOX1" s="286" t="s">
        <v>17797</v>
      </c>
      <c r="VOY1" s="286" t="s">
        <v>17798</v>
      </c>
      <c r="VOZ1" s="286" t="s">
        <v>17799</v>
      </c>
      <c r="VPA1" s="286" t="s">
        <v>17800</v>
      </c>
      <c r="VPB1" s="286" t="s">
        <v>17801</v>
      </c>
      <c r="VPC1" s="286" t="s">
        <v>17802</v>
      </c>
      <c r="VPD1" s="286" t="s">
        <v>17803</v>
      </c>
      <c r="VPE1" s="286" t="s">
        <v>17804</v>
      </c>
      <c r="VPF1" s="286" t="s">
        <v>17805</v>
      </c>
      <c r="VPG1" s="286" t="s">
        <v>17806</v>
      </c>
      <c r="VPH1" s="286" t="s">
        <v>17807</v>
      </c>
      <c r="VPI1" s="286" t="s">
        <v>17808</v>
      </c>
      <c r="VPJ1" s="286" t="s">
        <v>17809</v>
      </c>
      <c r="VPK1" s="286" t="s">
        <v>17810</v>
      </c>
      <c r="VPL1" s="286" t="s">
        <v>17811</v>
      </c>
      <c r="VPM1" s="286" t="s">
        <v>17812</v>
      </c>
      <c r="VPN1" s="286" t="s">
        <v>17813</v>
      </c>
      <c r="VPO1" s="286" t="s">
        <v>17814</v>
      </c>
      <c r="VPP1" s="286" t="s">
        <v>17815</v>
      </c>
      <c r="VPQ1" s="286" t="s">
        <v>17816</v>
      </c>
      <c r="VPR1" s="286" t="s">
        <v>17817</v>
      </c>
      <c r="VPS1" s="286" t="s">
        <v>17818</v>
      </c>
      <c r="VPT1" s="286" t="s">
        <v>17819</v>
      </c>
      <c r="VPU1" s="286" t="s">
        <v>17820</v>
      </c>
      <c r="VPV1" s="286" t="s">
        <v>17821</v>
      </c>
      <c r="VPW1" s="286" t="s">
        <v>17822</v>
      </c>
      <c r="VPX1" s="286" t="s">
        <v>17823</v>
      </c>
      <c r="VPY1" s="286" t="s">
        <v>17824</v>
      </c>
      <c r="VPZ1" s="286" t="s">
        <v>17825</v>
      </c>
      <c r="VQA1" s="286" t="s">
        <v>17826</v>
      </c>
      <c r="VQB1" s="286" t="s">
        <v>17827</v>
      </c>
      <c r="VQC1" s="286" t="s">
        <v>17828</v>
      </c>
      <c r="VQD1" s="286" t="s">
        <v>17829</v>
      </c>
      <c r="VQE1" s="286" t="s">
        <v>17830</v>
      </c>
      <c r="VQF1" s="286" t="s">
        <v>17831</v>
      </c>
      <c r="VQG1" s="286" t="s">
        <v>17832</v>
      </c>
      <c r="VQH1" s="286" t="s">
        <v>17833</v>
      </c>
      <c r="VQI1" s="286" t="s">
        <v>17834</v>
      </c>
      <c r="VQJ1" s="286" t="s">
        <v>17835</v>
      </c>
      <c r="VQK1" s="286" t="s">
        <v>17836</v>
      </c>
      <c r="VQL1" s="286" t="s">
        <v>17837</v>
      </c>
      <c r="VQM1" s="286" t="s">
        <v>17838</v>
      </c>
      <c r="VQN1" s="286" t="s">
        <v>17839</v>
      </c>
      <c r="VQO1" s="286" t="s">
        <v>17840</v>
      </c>
      <c r="VQP1" s="286" t="s">
        <v>17841</v>
      </c>
      <c r="VQQ1" s="286" t="s">
        <v>17842</v>
      </c>
      <c r="VQR1" s="286" t="s">
        <v>17843</v>
      </c>
      <c r="VQS1" s="286" t="s">
        <v>17844</v>
      </c>
      <c r="VQT1" s="286" t="s">
        <v>17845</v>
      </c>
      <c r="VQU1" s="286" t="s">
        <v>17846</v>
      </c>
      <c r="VQV1" s="286" t="s">
        <v>17847</v>
      </c>
      <c r="VQW1" s="286" t="s">
        <v>17848</v>
      </c>
      <c r="VQX1" s="286" t="s">
        <v>17849</v>
      </c>
      <c r="VQY1" s="286" t="s">
        <v>17850</v>
      </c>
      <c r="VQZ1" s="286" t="s">
        <v>17851</v>
      </c>
      <c r="VRA1" s="286" t="s">
        <v>17852</v>
      </c>
      <c r="VRB1" s="286" t="s">
        <v>17853</v>
      </c>
      <c r="VRC1" s="286" t="s">
        <v>17854</v>
      </c>
      <c r="VRD1" s="286" t="s">
        <v>17855</v>
      </c>
      <c r="VRE1" s="286" t="s">
        <v>17856</v>
      </c>
      <c r="VRF1" s="286" t="s">
        <v>17857</v>
      </c>
      <c r="VRG1" s="286" t="s">
        <v>17858</v>
      </c>
      <c r="VRH1" s="286" t="s">
        <v>17859</v>
      </c>
      <c r="VRI1" s="286" t="s">
        <v>17860</v>
      </c>
      <c r="VRJ1" s="286" t="s">
        <v>17861</v>
      </c>
      <c r="VRK1" s="286" t="s">
        <v>17862</v>
      </c>
      <c r="VRL1" s="286" t="s">
        <v>17863</v>
      </c>
      <c r="VRM1" s="286" t="s">
        <v>17864</v>
      </c>
      <c r="VRN1" s="286" t="s">
        <v>17865</v>
      </c>
      <c r="VRO1" s="286" t="s">
        <v>17866</v>
      </c>
      <c r="VRP1" s="286" t="s">
        <v>17867</v>
      </c>
      <c r="VRQ1" s="286" t="s">
        <v>17868</v>
      </c>
      <c r="VRR1" s="286" t="s">
        <v>17869</v>
      </c>
      <c r="VRS1" s="286" t="s">
        <v>17870</v>
      </c>
      <c r="VRT1" s="286" t="s">
        <v>17871</v>
      </c>
      <c r="VRU1" s="286" t="s">
        <v>17872</v>
      </c>
      <c r="VRV1" s="286" t="s">
        <v>17873</v>
      </c>
      <c r="VRW1" s="286" t="s">
        <v>17874</v>
      </c>
      <c r="VRX1" s="286" t="s">
        <v>17875</v>
      </c>
      <c r="VRY1" s="286" t="s">
        <v>17876</v>
      </c>
      <c r="VRZ1" s="286" t="s">
        <v>17877</v>
      </c>
      <c r="VSA1" s="286" t="s">
        <v>17878</v>
      </c>
      <c r="VSB1" s="286" t="s">
        <v>17879</v>
      </c>
      <c r="VSC1" s="286" t="s">
        <v>17880</v>
      </c>
      <c r="VSD1" s="286" t="s">
        <v>17881</v>
      </c>
      <c r="VSE1" s="286" t="s">
        <v>17882</v>
      </c>
      <c r="VSF1" s="286" t="s">
        <v>17883</v>
      </c>
      <c r="VSG1" s="286" t="s">
        <v>17884</v>
      </c>
      <c r="VSH1" s="286" t="s">
        <v>17885</v>
      </c>
      <c r="VSI1" s="286" t="s">
        <v>17886</v>
      </c>
      <c r="VSJ1" s="286" t="s">
        <v>17887</v>
      </c>
      <c r="VSK1" s="286" t="s">
        <v>17888</v>
      </c>
      <c r="VSL1" s="286" t="s">
        <v>17889</v>
      </c>
      <c r="VSM1" s="286" t="s">
        <v>17890</v>
      </c>
      <c r="VSN1" s="286" t="s">
        <v>17891</v>
      </c>
      <c r="VSO1" s="286" t="s">
        <v>17892</v>
      </c>
      <c r="VSP1" s="286" t="s">
        <v>17893</v>
      </c>
      <c r="VSQ1" s="286" t="s">
        <v>17894</v>
      </c>
      <c r="VSR1" s="286" t="s">
        <v>17895</v>
      </c>
      <c r="VSS1" s="286" t="s">
        <v>17896</v>
      </c>
      <c r="VST1" s="286" t="s">
        <v>17897</v>
      </c>
      <c r="VSU1" s="286" t="s">
        <v>17898</v>
      </c>
      <c r="VSV1" s="286" t="s">
        <v>17899</v>
      </c>
      <c r="VSW1" s="286" t="s">
        <v>17900</v>
      </c>
      <c r="VSX1" s="286" t="s">
        <v>17901</v>
      </c>
      <c r="VSY1" s="286" t="s">
        <v>17902</v>
      </c>
      <c r="VSZ1" s="286" t="s">
        <v>17903</v>
      </c>
      <c r="VTA1" s="286" t="s">
        <v>17904</v>
      </c>
      <c r="VTB1" s="286" t="s">
        <v>17905</v>
      </c>
      <c r="VTC1" s="286" t="s">
        <v>17906</v>
      </c>
      <c r="VTD1" s="286" t="s">
        <v>17907</v>
      </c>
      <c r="VTE1" s="286" t="s">
        <v>17908</v>
      </c>
      <c r="VTF1" s="286" t="s">
        <v>17909</v>
      </c>
      <c r="VTG1" s="286" t="s">
        <v>17910</v>
      </c>
      <c r="VTH1" s="286" t="s">
        <v>17911</v>
      </c>
      <c r="VTI1" s="286" t="s">
        <v>17912</v>
      </c>
      <c r="VTJ1" s="286" t="s">
        <v>17913</v>
      </c>
      <c r="VTK1" s="286" t="s">
        <v>17914</v>
      </c>
      <c r="VTL1" s="286" t="s">
        <v>17915</v>
      </c>
      <c r="VTM1" s="286" t="s">
        <v>17916</v>
      </c>
      <c r="VTN1" s="286" t="s">
        <v>17917</v>
      </c>
      <c r="VTO1" s="286" t="s">
        <v>17918</v>
      </c>
      <c r="VTP1" s="286" t="s">
        <v>17919</v>
      </c>
      <c r="VTQ1" s="286" t="s">
        <v>17920</v>
      </c>
      <c r="VTR1" s="286" t="s">
        <v>17921</v>
      </c>
      <c r="VTS1" s="286" t="s">
        <v>17922</v>
      </c>
      <c r="VTT1" s="286" t="s">
        <v>17923</v>
      </c>
      <c r="VTU1" s="286" t="s">
        <v>17924</v>
      </c>
      <c r="VTV1" s="286" t="s">
        <v>17925</v>
      </c>
      <c r="VTW1" s="286" t="s">
        <v>17926</v>
      </c>
      <c r="VTX1" s="286" t="s">
        <v>17927</v>
      </c>
      <c r="VTY1" s="286" t="s">
        <v>17928</v>
      </c>
      <c r="VTZ1" s="286" t="s">
        <v>17929</v>
      </c>
      <c r="VUA1" s="286" t="s">
        <v>17930</v>
      </c>
      <c r="VUB1" s="286" t="s">
        <v>17931</v>
      </c>
      <c r="VUC1" s="286" t="s">
        <v>17932</v>
      </c>
      <c r="VUD1" s="286" t="s">
        <v>17933</v>
      </c>
      <c r="VUE1" s="286" t="s">
        <v>17934</v>
      </c>
      <c r="VUF1" s="286" t="s">
        <v>17935</v>
      </c>
      <c r="VUG1" s="286" t="s">
        <v>17936</v>
      </c>
      <c r="VUH1" s="286" t="s">
        <v>17937</v>
      </c>
      <c r="VUI1" s="286" t="s">
        <v>17938</v>
      </c>
      <c r="VUJ1" s="286" t="s">
        <v>17939</v>
      </c>
      <c r="VUK1" s="286" t="s">
        <v>17940</v>
      </c>
      <c r="VUL1" s="286" t="s">
        <v>17941</v>
      </c>
      <c r="VUM1" s="286" t="s">
        <v>17942</v>
      </c>
      <c r="VUN1" s="286" t="s">
        <v>17943</v>
      </c>
      <c r="VUO1" s="286" t="s">
        <v>17944</v>
      </c>
      <c r="VUP1" s="286" t="s">
        <v>17945</v>
      </c>
      <c r="VUQ1" s="286" t="s">
        <v>17946</v>
      </c>
      <c r="VUR1" s="286" t="s">
        <v>17947</v>
      </c>
      <c r="VUS1" s="286" t="s">
        <v>17948</v>
      </c>
      <c r="VUT1" s="286" t="s">
        <v>17949</v>
      </c>
      <c r="VUU1" s="286" t="s">
        <v>17950</v>
      </c>
      <c r="VUV1" s="286" t="s">
        <v>17951</v>
      </c>
      <c r="VUW1" s="286" t="s">
        <v>17952</v>
      </c>
      <c r="VUX1" s="286" t="s">
        <v>17953</v>
      </c>
      <c r="VUY1" s="286" t="s">
        <v>17954</v>
      </c>
      <c r="VUZ1" s="286" t="s">
        <v>17955</v>
      </c>
      <c r="VVA1" s="286" t="s">
        <v>17956</v>
      </c>
      <c r="VVB1" s="286" t="s">
        <v>17957</v>
      </c>
      <c r="VVC1" s="286" t="s">
        <v>17958</v>
      </c>
      <c r="VVD1" s="286" t="s">
        <v>17959</v>
      </c>
      <c r="VVE1" s="286" t="s">
        <v>17960</v>
      </c>
      <c r="VVF1" s="286" t="s">
        <v>17961</v>
      </c>
      <c r="VVG1" s="286" t="s">
        <v>17962</v>
      </c>
      <c r="VVH1" s="286" t="s">
        <v>17963</v>
      </c>
      <c r="VVI1" s="286" t="s">
        <v>17964</v>
      </c>
      <c r="VVJ1" s="286" t="s">
        <v>17965</v>
      </c>
      <c r="VVK1" s="286" t="s">
        <v>17966</v>
      </c>
      <c r="VVL1" s="286" t="s">
        <v>17967</v>
      </c>
      <c r="VVM1" s="286" t="s">
        <v>17968</v>
      </c>
      <c r="VVN1" s="286" t="s">
        <v>17969</v>
      </c>
      <c r="VVO1" s="286" t="s">
        <v>17970</v>
      </c>
      <c r="VVP1" s="286" t="s">
        <v>17971</v>
      </c>
      <c r="VVQ1" s="286" t="s">
        <v>17972</v>
      </c>
      <c r="VVR1" s="286" t="s">
        <v>17973</v>
      </c>
      <c r="VVS1" s="286" t="s">
        <v>17974</v>
      </c>
      <c r="VVT1" s="286" t="s">
        <v>17975</v>
      </c>
      <c r="VVU1" s="286" t="s">
        <v>17976</v>
      </c>
      <c r="VVV1" s="286" t="s">
        <v>17977</v>
      </c>
      <c r="VVW1" s="286" t="s">
        <v>17978</v>
      </c>
      <c r="VVX1" s="286" t="s">
        <v>17979</v>
      </c>
      <c r="VVY1" s="286" t="s">
        <v>17980</v>
      </c>
      <c r="VVZ1" s="286" t="s">
        <v>17981</v>
      </c>
      <c r="VWA1" s="286" t="s">
        <v>17982</v>
      </c>
      <c r="VWB1" s="286" t="s">
        <v>17983</v>
      </c>
      <c r="VWC1" s="286" t="s">
        <v>17984</v>
      </c>
      <c r="VWD1" s="286" t="s">
        <v>17985</v>
      </c>
      <c r="VWE1" s="286" t="s">
        <v>17986</v>
      </c>
      <c r="VWF1" s="286" t="s">
        <v>17987</v>
      </c>
      <c r="VWG1" s="286" t="s">
        <v>17988</v>
      </c>
      <c r="VWH1" s="286" t="s">
        <v>17989</v>
      </c>
      <c r="VWI1" s="286" t="s">
        <v>17990</v>
      </c>
      <c r="VWJ1" s="286" t="s">
        <v>17991</v>
      </c>
      <c r="VWK1" s="286" t="s">
        <v>17992</v>
      </c>
      <c r="VWL1" s="286" t="s">
        <v>17993</v>
      </c>
      <c r="VWM1" s="286" t="s">
        <v>17994</v>
      </c>
      <c r="VWN1" s="286" t="s">
        <v>17995</v>
      </c>
      <c r="VWO1" s="286" t="s">
        <v>17996</v>
      </c>
      <c r="VWP1" s="286" t="s">
        <v>17997</v>
      </c>
      <c r="VWQ1" s="286" t="s">
        <v>17998</v>
      </c>
      <c r="VWR1" s="286" t="s">
        <v>17999</v>
      </c>
      <c r="VWS1" s="286" t="s">
        <v>18000</v>
      </c>
      <c r="VWT1" s="286" t="s">
        <v>18001</v>
      </c>
      <c r="VWU1" s="286" t="s">
        <v>18002</v>
      </c>
      <c r="VWV1" s="286" t="s">
        <v>18003</v>
      </c>
      <c r="VWW1" s="286" t="s">
        <v>18004</v>
      </c>
      <c r="VWX1" s="286" t="s">
        <v>18005</v>
      </c>
      <c r="VWY1" s="286" t="s">
        <v>18006</v>
      </c>
      <c r="VWZ1" s="286" t="s">
        <v>18007</v>
      </c>
      <c r="VXA1" s="286" t="s">
        <v>18008</v>
      </c>
      <c r="VXB1" s="286" t="s">
        <v>18009</v>
      </c>
      <c r="VXC1" s="286" t="s">
        <v>18010</v>
      </c>
      <c r="VXD1" s="286" t="s">
        <v>18011</v>
      </c>
      <c r="VXE1" s="286" t="s">
        <v>18012</v>
      </c>
      <c r="VXF1" s="286" t="s">
        <v>18013</v>
      </c>
      <c r="VXG1" s="286" t="s">
        <v>18014</v>
      </c>
      <c r="VXH1" s="286" t="s">
        <v>18015</v>
      </c>
      <c r="VXI1" s="286" t="s">
        <v>18016</v>
      </c>
      <c r="VXJ1" s="286" t="s">
        <v>18017</v>
      </c>
      <c r="VXK1" s="286" t="s">
        <v>18018</v>
      </c>
      <c r="VXL1" s="286" t="s">
        <v>18019</v>
      </c>
      <c r="VXM1" s="286" t="s">
        <v>18020</v>
      </c>
      <c r="VXN1" s="286" t="s">
        <v>18021</v>
      </c>
      <c r="VXO1" s="286" t="s">
        <v>18022</v>
      </c>
      <c r="VXP1" s="286" t="s">
        <v>18023</v>
      </c>
      <c r="VXQ1" s="286" t="s">
        <v>18024</v>
      </c>
      <c r="VXR1" s="286" t="s">
        <v>18025</v>
      </c>
      <c r="VXS1" s="286" t="s">
        <v>18026</v>
      </c>
      <c r="VXT1" s="286" t="s">
        <v>18027</v>
      </c>
      <c r="VXU1" s="286" t="s">
        <v>18028</v>
      </c>
      <c r="VXV1" s="286" t="s">
        <v>18029</v>
      </c>
      <c r="VXW1" s="286" t="s">
        <v>18030</v>
      </c>
      <c r="VXX1" s="286" t="s">
        <v>18031</v>
      </c>
      <c r="VXY1" s="286" t="s">
        <v>18032</v>
      </c>
      <c r="VXZ1" s="286" t="s">
        <v>18033</v>
      </c>
      <c r="VYA1" s="286" t="s">
        <v>18034</v>
      </c>
      <c r="VYB1" s="286" t="s">
        <v>18035</v>
      </c>
      <c r="VYC1" s="286" t="s">
        <v>18036</v>
      </c>
      <c r="VYD1" s="286" t="s">
        <v>18037</v>
      </c>
      <c r="VYE1" s="286" t="s">
        <v>18038</v>
      </c>
      <c r="VYF1" s="286" t="s">
        <v>18039</v>
      </c>
      <c r="VYG1" s="286" t="s">
        <v>18040</v>
      </c>
      <c r="VYH1" s="286" t="s">
        <v>18041</v>
      </c>
      <c r="VYI1" s="286" t="s">
        <v>18042</v>
      </c>
      <c r="VYJ1" s="286" t="s">
        <v>18043</v>
      </c>
      <c r="VYK1" s="286" t="s">
        <v>18044</v>
      </c>
      <c r="VYL1" s="286" t="s">
        <v>18045</v>
      </c>
      <c r="VYM1" s="286" t="s">
        <v>18046</v>
      </c>
      <c r="VYN1" s="286" t="s">
        <v>18047</v>
      </c>
      <c r="VYO1" s="286" t="s">
        <v>18048</v>
      </c>
      <c r="VYP1" s="286" t="s">
        <v>18049</v>
      </c>
      <c r="VYQ1" s="286" t="s">
        <v>18050</v>
      </c>
      <c r="VYR1" s="286" t="s">
        <v>18051</v>
      </c>
      <c r="VYS1" s="286" t="s">
        <v>18052</v>
      </c>
      <c r="VYT1" s="286" t="s">
        <v>18053</v>
      </c>
      <c r="VYU1" s="286" t="s">
        <v>18054</v>
      </c>
      <c r="VYV1" s="286" t="s">
        <v>18055</v>
      </c>
      <c r="VYW1" s="286" t="s">
        <v>18056</v>
      </c>
      <c r="VYX1" s="286" t="s">
        <v>18057</v>
      </c>
      <c r="VYY1" s="286" t="s">
        <v>18058</v>
      </c>
      <c r="VYZ1" s="286" t="s">
        <v>18059</v>
      </c>
      <c r="VZA1" s="286" t="s">
        <v>18060</v>
      </c>
      <c r="VZB1" s="286" t="s">
        <v>18061</v>
      </c>
      <c r="VZC1" s="286" t="s">
        <v>18062</v>
      </c>
      <c r="VZD1" s="286" t="s">
        <v>18063</v>
      </c>
      <c r="VZE1" s="286" t="s">
        <v>18064</v>
      </c>
      <c r="VZF1" s="286" t="s">
        <v>18065</v>
      </c>
      <c r="VZG1" s="286" t="s">
        <v>18066</v>
      </c>
      <c r="VZH1" s="286" t="s">
        <v>18067</v>
      </c>
      <c r="VZI1" s="286" t="s">
        <v>18068</v>
      </c>
      <c r="VZJ1" s="286" t="s">
        <v>18069</v>
      </c>
      <c r="VZK1" s="286" t="s">
        <v>18070</v>
      </c>
      <c r="VZL1" s="286" t="s">
        <v>18071</v>
      </c>
      <c r="VZM1" s="286" t="s">
        <v>18072</v>
      </c>
      <c r="VZN1" s="286" t="s">
        <v>18073</v>
      </c>
      <c r="VZO1" s="286" t="s">
        <v>18074</v>
      </c>
      <c r="VZP1" s="286" t="s">
        <v>18075</v>
      </c>
      <c r="VZQ1" s="286" t="s">
        <v>18076</v>
      </c>
      <c r="VZR1" s="286" t="s">
        <v>18077</v>
      </c>
      <c r="VZS1" s="286" t="s">
        <v>18078</v>
      </c>
      <c r="VZT1" s="286" t="s">
        <v>18079</v>
      </c>
      <c r="VZU1" s="286" t="s">
        <v>18080</v>
      </c>
      <c r="VZV1" s="286" t="s">
        <v>18081</v>
      </c>
      <c r="VZW1" s="286" t="s">
        <v>18082</v>
      </c>
      <c r="VZX1" s="286" t="s">
        <v>18083</v>
      </c>
      <c r="VZY1" s="286" t="s">
        <v>18084</v>
      </c>
      <c r="VZZ1" s="286" t="s">
        <v>18085</v>
      </c>
      <c r="WAA1" s="286" t="s">
        <v>18086</v>
      </c>
      <c r="WAB1" s="286" t="s">
        <v>18087</v>
      </c>
      <c r="WAC1" s="286" t="s">
        <v>18088</v>
      </c>
      <c r="WAD1" s="286" t="s">
        <v>18089</v>
      </c>
      <c r="WAE1" s="286" t="s">
        <v>18090</v>
      </c>
      <c r="WAF1" s="286" t="s">
        <v>18091</v>
      </c>
      <c r="WAG1" s="286" t="s">
        <v>18092</v>
      </c>
      <c r="WAH1" s="286" t="s">
        <v>18093</v>
      </c>
      <c r="WAI1" s="286" t="s">
        <v>18094</v>
      </c>
      <c r="WAJ1" s="286" t="s">
        <v>18095</v>
      </c>
      <c r="WAK1" s="286" t="s">
        <v>18096</v>
      </c>
      <c r="WAL1" s="286" t="s">
        <v>18097</v>
      </c>
      <c r="WAM1" s="286" t="s">
        <v>18098</v>
      </c>
      <c r="WAN1" s="286" t="s">
        <v>18099</v>
      </c>
      <c r="WAO1" s="286" t="s">
        <v>18100</v>
      </c>
      <c r="WAP1" s="286" t="s">
        <v>18101</v>
      </c>
      <c r="WAQ1" s="286" t="s">
        <v>18102</v>
      </c>
      <c r="WAR1" s="286" t="s">
        <v>18103</v>
      </c>
      <c r="WAS1" s="286" t="s">
        <v>18104</v>
      </c>
      <c r="WAT1" s="286" t="s">
        <v>18105</v>
      </c>
      <c r="WAU1" s="286" t="s">
        <v>18106</v>
      </c>
      <c r="WAV1" s="286" t="s">
        <v>18107</v>
      </c>
      <c r="WAW1" s="286" t="s">
        <v>18108</v>
      </c>
      <c r="WAX1" s="286" t="s">
        <v>18109</v>
      </c>
      <c r="WAY1" s="286" t="s">
        <v>18110</v>
      </c>
      <c r="WAZ1" s="286" t="s">
        <v>18111</v>
      </c>
      <c r="WBA1" s="286" t="s">
        <v>18112</v>
      </c>
      <c r="WBB1" s="286" t="s">
        <v>18113</v>
      </c>
      <c r="WBC1" s="286" t="s">
        <v>18114</v>
      </c>
      <c r="WBD1" s="286" t="s">
        <v>18115</v>
      </c>
      <c r="WBE1" s="286" t="s">
        <v>18116</v>
      </c>
      <c r="WBF1" s="286" t="s">
        <v>18117</v>
      </c>
      <c r="WBG1" s="286" t="s">
        <v>18118</v>
      </c>
      <c r="WBH1" s="286" t="s">
        <v>18119</v>
      </c>
      <c r="WBI1" s="286" t="s">
        <v>18120</v>
      </c>
      <c r="WBJ1" s="286" t="s">
        <v>18121</v>
      </c>
      <c r="WBK1" s="286" t="s">
        <v>18122</v>
      </c>
      <c r="WBL1" s="286" t="s">
        <v>18123</v>
      </c>
      <c r="WBM1" s="286" t="s">
        <v>18124</v>
      </c>
      <c r="WBN1" s="286" t="s">
        <v>18125</v>
      </c>
      <c r="WBO1" s="286" t="s">
        <v>18126</v>
      </c>
      <c r="WBP1" s="286" t="s">
        <v>18127</v>
      </c>
      <c r="WBQ1" s="286" t="s">
        <v>18128</v>
      </c>
      <c r="WBR1" s="286" t="s">
        <v>18129</v>
      </c>
      <c r="WBS1" s="286" t="s">
        <v>18130</v>
      </c>
      <c r="WBT1" s="286" t="s">
        <v>18131</v>
      </c>
      <c r="WBU1" s="286" t="s">
        <v>18132</v>
      </c>
      <c r="WBV1" s="286" t="s">
        <v>18133</v>
      </c>
      <c r="WBW1" s="286" t="s">
        <v>18134</v>
      </c>
      <c r="WBX1" s="286" t="s">
        <v>18135</v>
      </c>
      <c r="WBY1" s="286" t="s">
        <v>18136</v>
      </c>
      <c r="WBZ1" s="286" t="s">
        <v>18137</v>
      </c>
      <c r="WCA1" s="286" t="s">
        <v>18138</v>
      </c>
      <c r="WCB1" s="286" t="s">
        <v>18139</v>
      </c>
      <c r="WCC1" s="286" t="s">
        <v>18140</v>
      </c>
      <c r="WCD1" s="286" t="s">
        <v>18141</v>
      </c>
      <c r="WCE1" s="286" t="s">
        <v>18142</v>
      </c>
      <c r="WCF1" s="286" t="s">
        <v>18143</v>
      </c>
      <c r="WCG1" s="286" t="s">
        <v>18144</v>
      </c>
      <c r="WCH1" s="286" t="s">
        <v>18145</v>
      </c>
      <c r="WCI1" s="286" t="s">
        <v>18146</v>
      </c>
      <c r="WCJ1" s="286" t="s">
        <v>18147</v>
      </c>
      <c r="WCK1" s="286" t="s">
        <v>18148</v>
      </c>
      <c r="WCL1" s="286" t="s">
        <v>18149</v>
      </c>
      <c r="WCM1" s="286" t="s">
        <v>18150</v>
      </c>
      <c r="WCN1" s="286" t="s">
        <v>18151</v>
      </c>
      <c r="WCO1" s="286" t="s">
        <v>18152</v>
      </c>
      <c r="WCP1" s="286" t="s">
        <v>18153</v>
      </c>
      <c r="WCQ1" s="286" t="s">
        <v>18154</v>
      </c>
      <c r="WCR1" s="286" t="s">
        <v>18155</v>
      </c>
      <c r="WCS1" s="286" t="s">
        <v>18156</v>
      </c>
      <c r="WCT1" s="286" t="s">
        <v>18157</v>
      </c>
      <c r="WCU1" s="286" t="s">
        <v>18158</v>
      </c>
      <c r="WCV1" s="286" t="s">
        <v>18159</v>
      </c>
      <c r="WCW1" s="286" t="s">
        <v>18160</v>
      </c>
      <c r="WCX1" s="286" t="s">
        <v>18161</v>
      </c>
      <c r="WCY1" s="286" t="s">
        <v>18162</v>
      </c>
      <c r="WCZ1" s="286" t="s">
        <v>18163</v>
      </c>
      <c r="WDA1" s="286" t="s">
        <v>18164</v>
      </c>
      <c r="WDB1" s="286" t="s">
        <v>18165</v>
      </c>
      <c r="WDC1" s="286" t="s">
        <v>18166</v>
      </c>
      <c r="WDD1" s="286" t="s">
        <v>18167</v>
      </c>
      <c r="WDE1" s="286" t="s">
        <v>18168</v>
      </c>
      <c r="WDF1" s="286" t="s">
        <v>18169</v>
      </c>
      <c r="WDG1" s="286" t="s">
        <v>18170</v>
      </c>
      <c r="WDH1" s="286" t="s">
        <v>18171</v>
      </c>
      <c r="WDI1" s="286" t="s">
        <v>18172</v>
      </c>
      <c r="WDJ1" s="286" t="s">
        <v>18173</v>
      </c>
      <c r="WDK1" s="286" t="s">
        <v>18174</v>
      </c>
      <c r="WDL1" s="286" t="s">
        <v>18175</v>
      </c>
      <c r="WDM1" s="286" t="s">
        <v>18176</v>
      </c>
      <c r="WDN1" s="286" t="s">
        <v>18177</v>
      </c>
      <c r="WDO1" s="286" t="s">
        <v>18178</v>
      </c>
      <c r="WDP1" s="286" t="s">
        <v>18179</v>
      </c>
      <c r="WDQ1" s="286" t="s">
        <v>18180</v>
      </c>
      <c r="WDR1" s="286" t="s">
        <v>18181</v>
      </c>
      <c r="WDS1" s="286" t="s">
        <v>18182</v>
      </c>
      <c r="WDT1" s="286" t="s">
        <v>18183</v>
      </c>
      <c r="WDU1" s="286" t="s">
        <v>18184</v>
      </c>
      <c r="WDV1" s="286" t="s">
        <v>18185</v>
      </c>
      <c r="WDW1" s="286" t="s">
        <v>18186</v>
      </c>
      <c r="WDX1" s="286" t="s">
        <v>18187</v>
      </c>
      <c r="WDY1" s="286" t="s">
        <v>18188</v>
      </c>
      <c r="WDZ1" s="286" t="s">
        <v>18189</v>
      </c>
      <c r="WEA1" s="286" t="s">
        <v>18190</v>
      </c>
      <c r="WEB1" s="286" t="s">
        <v>18191</v>
      </c>
      <c r="WEC1" s="286" t="s">
        <v>18192</v>
      </c>
      <c r="WED1" s="286" t="s">
        <v>18193</v>
      </c>
      <c r="WEE1" s="286" t="s">
        <v>18194</v>
      </c>
      <c r="WEF1" s="286" t="s">
        <v>18195</v>
      </c>
      <c r="WEG1" s="286" t="s">
        <v>18196</v>
      </c>
      <c r="WEH1" s="286" t="s">
        <v>18197</v>
      </c>
      <c r="WEI1" s="286" t="s">
        <v>18198</v>
      </c>
      <c r="WEJ1" s="286" t="s">
        <v>18199</v>
      </c>
      <c r="WEK1" s="286" t="s">
        <v>18200</v>
      </c>
      <c r="WEL1" s="286" t="s">
        <v>18201</v>
      </c>
      <c r="WEM1" s="286" t="s">
        <v>18202</v>
      </c>
      <c r="WEN1" s="286" t="s">
        <v>18203</v>
      </c>
      <c r="WEO1" s="286" t="s">
        <v>18204</v>
      </c>
      <c r="WEP1" s="286" t="s">
        <v>18205</v>
      </c>
      <c r="WEQ1" s="286" t="s">
        <v>18206</v>
      </c>
      <c r="WER1" s="286" t="s">
        <v>18207</v>
      </c>
      <c r="WES1" s="286" t="s">
        <v>18208</v>
      </c>
      <c r="WET1" s="286" t="s">
        <v>18209</v>
      </c>
      <c r="WEU1" s="286" t="s">
        <v>18210</v>
      </c>
      <c r="WEV1" s="286" t="s">
        <v>18211</v>
      </c>
      <c r="WEW1" s="286" t="s">
        <v>18212</v>
      </c>
      <c r="WEX1" s="286" t="s">
        <v>18213</v>
      </c>
      <c r="WEY1" s="286" t="s">
        <v>18214</v>
      </c>
      <c r="WEZ1" s="286" t="s">
        <v>18215</v>
      </c>
      <c r="WFA1" s="286" t="s">
        <v>18216</v>
      </c>
      <c r="WFB1" s="286" t="s">
        <v>18217</v>
      </c>
      <c r="WFC1" s="286" t="s">
        <v>18218</v>
      </c>
      <c r="WFD1" s="286" t="s">
        <v>18219</v>
      </c>
      <c r="WFE1" s="286" t="s">
        <v>18220</v>
      </c>
      <c r="WFF1" s="286" t="s">
        <v>18221</v>
      </c>
      <c r="WFG1" s="286" t="s">
        <v>18222</v>
      </c>
      <c r="WFH1" s="286" t="s">
        <v>18223</v>
      </c>
      <c r="WFI1" s="286" t="s">
        <v>18224</v>
      </c>
      <c r="WFJ1" s="286" t="s">
        <v>18225</v>
      </c>
      <c r="WFK1" s="286" t="s">
        <v>18226</v>
      </c>
      <c r="WFL1" s="286" t="s">
        <v>18227</v>
      </c>
      <c r="WFM1" s="286" t="s">
        <v>18228</v>
      </c>
      <c r="WFN1" s="286" t="s">
        <v>18229</v>
      </c>
      <c r="WFO1" s="286" t="s">
        <v>18230</v>
      </c>
      <c r="WFP1" s="286" t="s">
        <v>18231</v>
      </c>
      <c r="WFQ1" s="286" t="s">
        <v>18232</v>
      </c>
      <c r="WFR1" s="286" t="s">
        <v>18233</v>
      </c>
      <c r="WFS1" s="286" t="s">
        <v>18234</v>
      </c>
      <c r="WFT1" s="286" t="s">
        <v>18235</v>
      </c>
      <c r="WFU1" s="286" t="s">
        <v>18236</v>
      </c>
      <c r="WFV1" s="286" t="s">
        <v>18237</v>
      </c>
      <c r="WFW1" s="286" t="s">
        <v>18238</v>
      </c>
      <c r="WFX1" s="286" t="s">
        <v>18239</v>
      </c>
      <c r="WFY1" s="286" t="s">
        <v>18240</v>
      </c>
      <c r="WFZ1" s="286" t="s">
        <v>18241</v>
      </c>
      <c r="WGA1" s="286" t="s">
        <v>18242</v>
      </c>
      <c r="WGB1" s="286" t="s">
        <v>18243</v>
      </c>
      <c r="WGC1" s="286" t="s">
        <v>18244</v>
      </c>
      <c r="WGD1" s="286" t="s">
        <v>18245</v>
      </c>
      <c r="WGE1" s="286" t="s">
        <v>18246</v>
      </c>
      <c r="WGF1" s="286" t="s">
        <v>18247</v>
      </c>
      <c r="WGG1" s="286" t="s">
        <v>18248</v>
      </c>
      <c r="WGH1" s="286" t="s">
        <v>18249</v>
      </c>
      <c r="WGI1" s="286" t="s">
        <v>18250</v>
      </c>
      <c r="WGJ1" s="286" t="s">
        <v>18251</v>
      </c>
      <c r="WGK1" s="286" t="s">
        <v>18252</v>
      </c>
      <c r="WGL1" s="286" t="s">
        <v>18253</v>
      </c>
      <c r="WGM1" s="286" t="s">
        <v>18254</v>
      </c>
      <c r="WGN1" s="286" t="s">
        <v>18255</v>
      </c>
      <c r="WGO1" s="286" t="s">
        <v>18256</v>
      </c>
      <c r="WGP1" s="286" t="s">
        <v>18257</v>
      </c>
      <c r="WGQ1" s="286" t="s">
        <v>18258</v>
      </c>
      <c r="WGR1" s="286" t="s">
        <v>18259</v>
      </c>
      <c r="WGS1" s="286" t="s">
        <v>18260</v>
      </c>
      <c r="WGT1" s="286" t="s">
        <v>18261</v>
      </c>
      <c r="WGU1" s="286" t="s">
        <v>18262</v>
      </c>
      <c r="WGV1" s="286" t="s">
        <v>18263</v>
      </c>
      <c r="WGW1" s="286" t="s">
        <v>18264</v>
      </c>
      <c r="WGX1" s="286" t="s">
        <v>18265</v>
      </c>
      <c r="WGY1" s="286" t="s">
        <v>18266</v>
      </c>
      <c r="WGZ1" s="286" t="s">
        <v>18267</v>
      </c>
      <c r="WHA1" s="286" t="s">
        <v>18268</v>
      </c>
      <c r="WHB1" s="286" t="s">
        <v>18269</v>
      </c>
      <c r="WHC1" s="286" t="s">
        <v>18270</v>
      </c>
      <c r="WHD1" s="286" t="s">
        <v>18271</v>
      </c>
      <c r="WHE1" s="286" t="s">
        <v>18272</v>
      </c>
      <c r="WHF1" s="286" t="s">
        <v>18273</v>
      </c>
      <c r="WHG1" s="286" t="s">
        <v>18274</v>
      </c>
      <c r="WHH1" s="286" t="s">
        <v>18275</v>
      </c>
      <c r="WHI1" s="286" t="s">
        <v>18276</v>
      </c>
      <c r="WHJ1" s="286" t="s">
        <v>18277</v>
      </c>
      <c r="WHK1" s="286" t="s">
        <v>18278</v>
      </c>
      <c r="WHL1" s="286" t="s">
        <v>18279</v>
      </c>
      <c r="WHM1" s="286" t="s">
        <v>18280</v>
      </c>
      <c r="WHN1" s="286" t="s">
        <v>18281</v>
      </c>
      <c r="WHO1" s="286" t="s">
        <v>18282</v>
      </c>
      <c r="WHP1" s="286" t="s">
        <v>18283</v>
      </c>
      <c r="WHQ1" s="286" t="s">
        <v>18284</v>
      </c>
      <c r="WHR1" s="286" t="s">
        <v>18285</v>
      </c>
      <c r="WHS1" s="286" t="s">
        <v>18286</v>
      </c>
      <c r="WHT1" s="286" t="s">
        <v>18287</v>
      </c>
      <c r="WHU1" s="286" t="s">
        <v>18288</v>
      </c>
      <c r="WHV1" s="286" t="s">
        <v>18289</v>
      </c>
      <c r="WHW1" s="286" t="s">
        <v>18290</v>
      </c>
      <c r="WHX1" s="286" t="s">
        <v>18291</v>
      </c>
      <c r="WHY1" s="286" t="s">
        <v>18292</v>
      </c>
      <c r="WHZ1" s="286" t="s">
        <v>18293</v>
      </c>
      <c r="WIA1" s="286" t="s">
        <v>18294</v>
      </c>
      <c r="WIB1" s="286" t="s">
        <v>18295</v>
      </c>
      <c r="WIC1" s="286" t="s">
        <v>18296</v>
      </c>
      <c r="WID1" s="286" t="s">
        <v>18297</v>
      </c>
      <c r="WIE1" s="286" t="s">
        <v>18298</v>
      </c>
      <c r="WIF1" s="286" t="s">
        <v>18299</v>
      </c>
      <c r="WIG1" s="286" t="s">
        <v>18300</v>
      </c>
      <c r="WIH1" s="286" t="s">
        <v>18301</v>
      </c>
      <c r="WII1" s="286" t="s">
        <v>18302</v>
      </c>
      <c r="WIJ1" s="286" t="s">
        <v>18303</v>
      </c>
      <c r="WIK1" s="286" t="s">
        <v>18304</v>
      </c>
      <c r="WIL1" s="286" t="s">
        <v>18305</v>
      </c>
      <c r="WIM1" s="286" t="s">
        <v>18306</v>
      </c>
      <c r="WIN1" s="286" t="s">
        <v>18307</v>
      </c>
      <c r="WIO1" s="286" t="s">
        <v>18308</v>
      </c>
      <c r="WIP1" s="286" t="s">
        <v>18309</v>
      </c>
      <c r="WIQ1" s="286" t="s">
        <v>18310</v>
      </c>
      <c r="WIR1" s="286" t="s">
        <v>18311</v>
      </c>
      <c r="WIS1" s="286" t="s">
        <v>18312</v>
      </c>
      <c r="WIT1" s="286" t="s">
        <v>18313</v>
      </c>
      <c r="WIU1" s="286" t="s">
        <v>18314</v>
      </c>
      <c r="WIV1" s="286" t="s">
        <v>18315</v>
      </c>
      <c r="WIW1" s="286" t="s">
        <v>18316</v>
      </c>
      <c r="WIX1" s="286" t="s">
        <v>18317</v>
      </c>
      <c r="WIY1" s="286" t="s">
        <v>18318</v>
      </c>
      <c r="WIZ1" s="286" t="s">
        <v>18319</v>
      </c>
      <c r="WJA1" s="286" t="s">
        <v>18320</v>
      </c>
      <c r="WJB1" s="286" t="s">
        <v>18321</v>
      </c>
      <c r="WJC1" s="286" t="s">
        <v>18322</v>
      </c>
      <c r="WJD1" s="286" t="s">
        <v>18323</v>
      </c>
      <c r="WJE1" s="286" t="s">
        <v>18324</v>
      </c>
      <c r="WJF1" s="286" t="s">
        <v>18325</v>
      </c>
      <c r="WJG1" s="286" t="s">
        <v>18326</v>
      </c>
      <c r="WJH1" s="286" t="s">
        <v>18327</v>
      </c>
      <c r="WJI1" s="286" t="s">
        <v>18328</v>
      </c>
      <c r="WJJ1" s="286" t="s">
        <v>18329</v>
      </c>
      <c r="WJK1" s="286" t="s">
        <v>18330</v>
      </c>
      <c r="WJL1" s="286" t="s">
        <v>18331</v>
      </c>
      <c r="WJM1" s="286" t="s">
        <v>18332</v>
      </c>
      <c r="WJN1" s="286" t="s">
        <v>18333</v>
      </c>
      <c r="WJO1" s="286" t="s">
        <v>18334</v>
      </c>
      <c r="WJP1" s="286" t="s">
        <v>18335</v>
      </c>
      <c r="WJQ1" s="286" t="s">
        <v>18336</v>
      </c>
      <c r="WJR1" s="286" t="s">
        <v>18337</v>
      </c>
      <c r="WJS1" s="286" t="s">
        <v>18338</v>
      </c>
      <c r="WJT1" s="286" t="s">
        <v>18339</v>
      </c>
      <c r="WJU1" s="286" t="s">
        <v>18340</v>
      </c>
      <c r="WJV1" s="286" t="s">
        <v>18341</v>
      </c>
      <c r="WJW1" s="286" t="s">
        <v>18342</v>
      </c>
      <c r="WJX1" s="286" t="s">
        <v>18343</v>
      </c>
      <c r="WJY1" s="286" t="s">
        <v>18344</v>
      </c>
      <c r="WJZ1" s="286" t="s">
        <v>18345</v>
      </c>
      <c r="WKA1" s="286" t="s">
        <v>18346</v>
      </c>
      <c r="WKB1" s="286" t="s">
        <v>18347</v>
      </c>
      <c r="WKC1" s="286" t="s">
        <v>18348</v>
      </c>
      <c r="WKD1" s="286" t="s">
        <v>18349</v>
      </c>
      <c r="WKE1" s="286" t="s">
        <v>18350</v>
      </c>
      <c r="WKF1" s="286" t="s">
        <v>18351</v>
      </c>
      <c r="WKG1" s="286" t="s">
        <v>18352</v>
      </c>
      <c r="WKH1" s="286" t="s">
        <v>18353</v>
      </c>
      <c r="WKI1" s="286" t="s">
        <v>18354</v>
      </c>
      <c r="WKJ1" s="286" t="s">
        <v>18355</v>
      </c>
      <c r="WKK1" s="286" t="s">
        <v>18356</v>
      </c>
      <c r="WKL1" s="286" t="s">
        <v>18357</v>
      </c>
      <c r="WKM1" s="286" t="s">
        <v>18358</v>
      </c>
      <c r="WKN1" s="286" t="s">
        <v>18359</v>
      </c>
      <c r="WKO1" s="286" t="s">
        <v>18360</v>
      </c>
      <c r="WKP1" s="286" t="s">
        <v>18361</v>
      </c>
      <c r="WKQ1" s="286" t="s">
        <v>18362</v>
      </c>
      <c r="WKR1" s="286" t="s">
        <v>18363</v>
      </c>
      <c r="WKS1" s="286" t="s">
        <v>18364</v>
      </c>
      <c r="WKT1" s="286" t="s">
        <v>18365</v>
      </c>
      <c r="WKU1" s="286" t="s">
        <v>18366</v>
      </c>
      <c r="WKV1" s="286" t="s">
        <v>18367</v>
      </c>
      <c r="WKW1" s="286" t="s">
        <v>18368</v>
      </c>
      <c r="WKX1" s="286" t="s">
        <v>18369</v>
      </c>
      <c r="WKY1" s="286" t="s">
        <v>18370</v>
      </c>
      <c r="WKZ1" s="286" t="s">
        <v>18371</v>
      </c>
      <c r="WLA1" s="286" t="s">
        <v>18372</v>
      </c>
      <c r="WLB1" s="286" t="s">
        <v>18373</v>
      </c>
      <c r="WLC1" s="286" t="s">
        <v>18374</v>
      </c>
      <c r="WLD1" s="286" t="s">
        <v>18375</v>
      </c>
      <c r="WLE1" s="286" t="s">
        <v>18376</v>
      </c>
      <c r="WLF1" s="286" t="s">
        <v>18377</v>
      </c>
      <c r="WLG1" s="286" t="s">
        <v>18378</v>
      </c>
      <c r="WLH1" s="286" t="s">
        <v>18379</v>
      </c>
      <c r="WLI1" s="286" t="s">
        <v>18380</v>
      </c>
      <c r="WLJ1" s="286" t="s">
        <v>18381</v>
      </c>
      <c r="WLK1" s="286" t="s">
        <v>18382</v>
      </c>
      <c r="WLL1" s="286" t="s">
        <v>18383</v>
      </c>
      <c r="WLM1" s="286" t="s">
        <v>18384</v>
      </c>
      <c r="WLN1" s="286" t="s">
        <v>18385</v>
      </c>
      <c r="WLO1" s="286" t="s">
        <v>18386</v>
      </c>
      <c r="WLP1" s="286" t="s">
        <v>18387</v>
      </c>
      <c r="WLQ1" s="286" t="s">
        <v>18388</v>
      </c>
      <c r="WLR1" s="286" t="s">
        <v>18389</v>
      </c>
      <c r="WLS1" s="286" t="s">
        <v>18390</v>
      </c>
      <c r="WLT1" s="286" t="s">
        <v>18391</v>
      </c>
      <c r="WLU1" s="286" t="s">
        <v>18392</v>
      </c>
      <c r="WLV1" s="286" t="s">
        <v>18393</v>
      </c>
      <c r="WLW1" s="286" t="s">
        <v>18394</v>
      </c>
      <c r="WLX1" s="286" t="s">
        <v>18395</v>
      </c>
      <c r="WLY1" s="286" t="s">
        <v>18396</v>
      </c>
      <c r="WLZ1" s="286" t="s">
        <v>18397</v>
      </c>
      <c r="WMA1" s="286" t="s">
        <v>18398</v>
      </c>
      <c r="WMB1" s="286" t="s">
        <v>18399</v>
      </c>
      <c r="WMC1" s="286" t="s">
        <v>18400</v>
      </c>
      <c r="WMD1" s="286" t="s">
        <v>18401</v>
      </c>
      <c r="WME1" s="286" t="s">
        <v>18402</v>
      </c>
      <c r="WMF1" s="286" t="s">
        <v>18403</v>
      </c>
      <c r="WMG1" s="286" t="s">
        <v>18404</v>
      </c>
      <c r="WMH1" s="286" t="s">
        <v>18405</v>
      </c>
      <c r="WMI1" s="286" t="s">
        <v>18406</v>
      </c>
      <c r="WMJ1" s="286" t="s">
        <v>18407</v>
      </c>
      <c r="WMK1" s="286" t="s">
        <v>18408</v>
      </c>
      <c r="WML1" s="286" t="s">
        <v>18409</v>
      </c>
      <c r="WMM1" s="286" t="s">
        <v>18410</v>
      </c>
      <c r="WMN1" s="286" t="s">
        <v>18411</v>
      </c>
      <c r="WMO1" s="286" t="s">
        <v>18412</v>
      </c>
      <c r="WMP1" s="286" t="s">
        <v>18413</v>
      </c>
      <c r="WMQ1" s="286" t="s">
        <v>18414</v>
      </c>
      <c r="WMR1" s="286" t="s">
        <v>18415</v>
      </c>
      <c r="WMS1" s="286" t="s">
        <v>18416</v>
      </c>
      <c r="WMT1" s="286" t="s">
        <v>18417</v>
      </c>
      <c r="WMU1" s="286" t="s">
        <v>18418</v>
      </c>
      <c r="WMV1" s="286" t="s">
        <v>18419</v>
      </c>
      <c r="WMW1" s="286" t="s">
        <v>18420</v>
      </c>
      <c r="WMX1" s="286" t="s">
        <v>18421</v>
      </c>
      <c r="WMY1" s="286" t="s">
        <v>18422</v>
      </c>
      <c r="WMZ1" s="286" t="s">
        <v>18423</v>
      </c>
      <c r="WNA1" s="286" t="s">
        <v>18424</v>
      </c>
      <c r="WNB1" s="286" t="s">
        <v>18425</v>
      </c>
      <c r="WNC1" s="286" t="s">
        <v>18426</v>
      </c>
      <c r="WND1" s="286" t="s">
        <v>18427</v>
      </c>
      <c r="WNE1" s="286" t="s">
        <v>18428</v>
      </c>
      <c r="WNF1" s="286" t="s">
        <v>18429</v>
      </c>
      <c r="WNG1" s="286" t="s">
        <v>18430</v>
      </c>
      <c r="WNH1" s="286" t="s">
        <v>18431</v>
      </c>
      <c r="WNI1" s="286" t="s">
        <v>18432</v>
      </c>
      <c r="WNJ1" s="286" t="s">
        <v>18433</v>
      </c>
      <c r="WNK1" s="286" t="s">
        <v>18434</v>
      </c>
      <c r="WNL1" s="286" t="s">
        <v>18435</v>
      </c>
      <c r="WNM1" s="286" t="s">
        <v>18436</v>
      </c>
      <c r="WNN1" s="286" t="s">
        <v>18437</v>
      </c>
      <c r="WNO1" s="286" t="s">
        <v>18438</v>
      </c>
      <c r="WNP1" s="286" t="s">
        <v>18439</v>
      </c>
      <c r="WNQ1" s="286" t="s">
        <v>18440</v>
      </c>
      <c r="WNR1" s="286" t="s">
        <v>18441</v>
      </c>
      <c r="WNS1" s="286" t="s">
        <v>18442</v>
      </c>
      <c r="WNT1" s="286" t="s">
        <v>18443</v>
      </c>
      <c r="WNU1" s="286" t="s">
        <v>18444</v>
      </c>
      <c r="WNV1" s="286" t="s">
        <v>18445</v>
      </c>
      <c r="WNW1" s="286" t="s">
        <v>18446</v>
      </c>
      <c r="WNX1" s="286" t="s">
        <v>18447</v>
      </c>
      <c r="WNY1" s="286" t="s">
        <v>18448</v>
      </c>
      <c r="WNZ1" s="286" t="s">
        <v>18449</v>
      </c>
      <c r="WOA1" s="286" t="s">
        <v>18450</v>
      </c>
      <c r="WOB1" s="286" t="s">
        <v>18451</v>
      </c>
      <c r="WOC1" s="286" t="s">
        <v>18452</v>
      </c>
      <c r="WOD1" s="286" t="s">
        <v>18453</v>
      </c>
      <c r="WOE1" s="286" t="s">
        <v>18454</v>
      </c>
      <c r="WOF1" s="286" t="s">
        <v>18455</v>
      </c>
      <c r="WOG1" s="286" t="s">
        <v>18456</v>
      </c>
      <c r="WOH1" s="286" t="s">
        <v>18457</v>
      </c>
      <c r="WOI1" s="286" t="s">
        <v>18458</v>
      </c>
      <c r="WOJ1" s="286" t="s">
        <v>18459</v>
      </c>
      <c r="WOK1" s="286" t="s">
        <v>18460</v>
      </c>
      <c r="WOL1" s="286" t="s">
        <v>18461</v>
      </c>
      <c r="WOM1" s="286" t="s">
        <v>18462</v>
      </c>
      <c r="WON1" s="286" t="s">
        <v>18463</v>
      </c>
      <c r="WOO1" s="286" t="s">
        <v>18464</v>
      </c>
      <c r="WOP1" s="286" t="s">
        <v>18465</v>
      </c>
      <c r="WOQ1" s="286" t="s">
        <v>18466</v>
      </c>
      <c r="WOR1" s="286" t="s">
        <v>18467</v>
      </c>
      <c r="WOS1" s="286" t="s">
        <v>18468</v>
      </c>
      <c r="WOT1" s="286" t="s">
        <v>18469</v>
      </c>
      <c r="WOU1" s="286" t="s">
        <v>18470</v>
      </c>
      <c r="WOV1" s="286" t="s">
        <v>18471</v>
      </c>
      <c r="WOW1" s="286" t="s">
        <v>18472</v>
      </c>
      <c r="WOX1" s="286" t="s">
        <v>18473</v>
      </c>
      <c r="WOY1" s="286" t="s">
        <v>18474</v>
      </c>
      <c r="WOZ1" s="286" t="s">
        <v>18475</v>
      </c>
      <c r="WPA1" s="286" t="s">
        <v>18476</v>
      </c>
      <c r="WPB1" s="286" t="s">
        <v>18477</v>
      </c>
      <c r="WPC1" s="286" t="s">
        <v>18478</v>
      </c>
      <c r="WPD1" s="286" t="s">
        <v>18479</v>
      </c>
      <c r="WPE1" s="286" t="s">
        <v>18480</v>
      </c>
      <c r="WPF1" s="286" t="s">
        <v>18481</v>
      </c>
      <c r="WPG1" s="286" t="s">
        <v>18482</v>
      </c>
      <c r="WPH1" s="286" t="s">
        <v>18483</v>
      </c>
      <c r="WPI1" s="286" t="s">
        <v>18484</v>
      </c>
      <c r="WPJ1" s="286" t="s">
        <v>18485</v>
      </c>
      <c r="WPK1" s="286" t="s">
        <v>18486</v>
      </c>
      <c r="WPL1" s="286" t="s">
        <v>18487</v>
      </c>
      <c r="WPM1" s="286" t="s">
        <v>18488</v>
      </c>
      <c r="WPN1" s="286" t="s">
        <v>18489</v>
      </c>
      <c r="WPO1" s="286" t="s">
        <v>18490</v>
      </c>
      <c r="WPP1" s="286" t="s">
        <v>18491</v>
      </c>
      <c r="WPQ1" s="286" t="s">
        <v>18492</v>
      </c>
      <c r="WPR1" s="286" t="s">
        <v>18493</v>
      </c>
      <c r="WPS1" s="286" t="s">
        <v>18494</v>
      </c>
      <c r="WPT1" s="286" t="s">
        <v>18495</v>
      </c>
      <c r="WPU1" s="286" t="s">
        <v>18496</v>
      </c>
      <c r="WPV1" s="286" t="s">
        <v>18497</v>
      </c>
      <c r="WPW1" s="286" t="s">
        <v>18498</v>
      </c>
      <c r="WPX1" s="286" t="s">
        <v>18499</v>
      </c>
      <c r="WPY1" s="286" t="s">
        <v>18500</v>
      </c>
      <c r="WPZ1" s="286" t="s">
        <v>18501</v>
      </c>
      <c r="WQA1" s="286" t="s">
        <v>18502</v>
      </c>
      <c r="WQB1" s="286" t="s">
        <v>18503</v>
      </c>
      <c r="WQC1" s="286" t="s">
        <v>18504</v>
      </c>
      <c r="WQD1" s="286" t="s">
        <v>18505</v>
      </c>
      <c r="WQE1" s="286" t="s">
        <v>18506</v>
      </c>
      <c r="WQF1" s="286" t="s">
        <v>18507</v>
      </c>
      <c r="WQG1" s="286" t="s">
        <v>18508</v>
      </c>
      <c r="WQH1" s="286" t="s">
        <v>18509</v>
      </c>
      <c r="WQI1" s="286" t="s">
        <v>18510</v>
      </c>
      <c r="WQJ1" s="286" t="s">
        <v>18511</v>
      </c>
      <c r="WQK1" s="286" t="s">
        <v>18512</v>
      </c>
      <c r="WQL1" s="286" t="s">
        <v>18513</v>
      </c>
      <c r="WQM1" s="286" t="s">
        <v>18514</v>
      </c>
      <c r="WQN1" s="286" t="s">
        <v>18515</v>
      </c>
      <c r="WQO1" s="286" t="s">
        <v>18516</v>
      </c>
      <c r="WQP1" s="286" t="s">
        <v>18517</v>
      </c>
      <c r="WQQ1" s="286" t="s">
        <v>18518</v>
      </c>
      <c r="WQR1" s="286" t="s">
        <v>18519</v>
      </c>
      <c r="WQS1" s="286" t="s">
        <v>18520</v>
      </c>
      <c r="WQT1" s="286" t="s">
        <v>18521</v>
      </c>
      <c r="WQU1" s="286" t="s">
        <v>18522</v>
      </c>
      <c r="WQV1" s="286" t="s">
        <v>18523</v>
      </c>
      <c r="WQW1" s="286" t="s">
        <v>18524</v>
      </c>
      <c r="WQX1" s="286" t="s">
        <v>18525</v>
      </c>
      <c r="WQY1" s="286" t="s">
        <v>18526</v>
      </c>
      <c r="WQZ1" s="286" t="s">
        <v>18527</v>
      </c>
      <c r="WRA1" s="286" t="s">
        <v>18528</v>
      </c>
      <c r="WRB1" s="286" t="s">
        <v>18529</v>
      </c>
      <c r="WRC1" s="286" t="s">
        <v>18530</v>
      </c>
      <c r="WRD1" s="286" t="s">
        <v>18531</v>
      </c>
      <c r="WRE1" s="286" t="s">
        <v>18532</v>
      </c>
      <c r="WRF1" s="286" t="s">
        <v>18533</v>
      </c>
      <c r="WRG1" s="286" t="s">
        <v>18534</v>
      </c>
      <c r="WRH1" s="286" t="s">
        <v>18535</v>
      </c>
      <c r="WRI1" s="286" t="s">
        <v>18536</v>
      </c>
      <c r="WRJ1" s="286" t="s">
        <v>18537</v>
      </c>
      <c r="WRK1" s="286" t="s">
        <v>18538</v>
      </c>
      <c r="WRL1" s="286" t="s">
        <v>18539</v>
      </c>
      <c r="WRM1" s="286" t="s">
        <v>18540</v>
      </c>
      <c r="WRN1" s="286" t="s">
        <v>18541</v>
      </c>
      <c r="WRO1" s="286" t="s">
        <v>18542</v>
      </c>
      <c r="WRP1" s="286" t="s">
        <v>18543</v>
      </c>
      <c r="WRQ1" s="286" t="s">
        <v>18544</v>
      </c>
      <c r="WRR1" s="286" t="s">
        <v>18545</v>
      </c>
      <c r="WRS1" s="286" t="s">
        <v>18546</v>
      </c>
      <c r="WRT1" s="286" t="s">
        <v>18547</v>
      </c>
      <c r="WRU1" s="286" t="s">
        <v>18548</v>
      </c>
      <c r="WRV1" s="286" t="s">
        <v>18549</v>
      </c>
      <c r="WRW1" s="286" t="s">
        <v>18550</v>
      </c>
      <c r="WRX1" s="286" t="s">
        <v>18551</v>
      </c>
      <c r="WRY1" s="286" t="s">
        <v>18552</v>
      </c>
      <c r="WRZ1" s="286" t="s">
        <v>18553</v>
      </c>
      <c r="WSA1" s="286" t="s">
        <v>18554</v>
      </c>
      <c r="WSB1" s="286" t="s">
        <v>18555</v>
      </c>
      <c r="WSC1" s="286" t="s">
        <v>18556</v>
      </c>
      <c r="WSD1" s="286" t="s">
        <v>18557</v>
      </c>
      <c r="WSE1" s="286" t="s">
        <v>18558</v>
      </c>
      <c r="WSF1" s="286" t="s">
        <v>18559</v>
      </c>
      <c r="WSG1" s="286" t="s">
        <v>18560</v>
      </c>
      <c r="WSH1" s="286" t="s">
        <v>18561</v>
      </c>
      <c r="WSI1" s="286" t="s">
        <v>18562</v>
      </c>
      <c r="WSJ1" s="286" t="s">
        <v>18563</v>
      </c>
      <c r="WSK1" s="286" t="s">
        <v>18564</v>
      </c>
      <c r="WSL1" s="286" t="s">
        <v>18565</v>
      </c>
      <c r="WSM1" s="286" t="s">
        <v>18566</v>
      </c>
      <c r="WSN1" s="286" t="s">
        <v>18567</v>
      </c>
      <c r="WSO1" s="286" t="s">
        <v>18568</v>
      </c>
      <c r="WSP1" s="286" t="s">
        <v>18569</v>
      </c>
      <c r="WSQ1" s="286" t="s">
        <v>18570</v>
      </c>
      <c r="WSR1" s="286" t="s">
        <v>18571</v>
      </c>
      <c r="WSS1" s="286" t="s">
        <v>18572</v>
      </c>
      <c r="WST1" s="286" t="s">
        <v>18573</v>
      </c>
      <c r="WSU1" s="286" t="s">
        <v>18574</v>
      </c>
      <c r="WSV1" s="286" t="s">
        <v>18575</v>
      </c>
      <c r="WSW1" s="286" t="s">
        <v>18576</v>
      </c>
      <c r="WSX1" s="286" t="s">
        <v>18577</v>
      </c>
      <c r="WSY1" s="286" t="s">
        <v>18578</v>
      </c>
      <c r="WSZ1" s="286" t="s">
        <v>18579</v>
      </c>
      <c r="WTA1" s="286" t="s">
        <v>18580</v>
      </c>
      <c r="WTB1" s="286" t="s">
        <v>18581</v>
      </c>
      <c r="WTC1" s="286" t="s">
        <v>18582</v>
      </c>
      <c r="WTD1" s="286" t="s">
        <v>18583</v>
      </c>
      <c r="WTE1" s="286" t="s">
        <v>18584</v>
      </c>
      <c r="WTF1" s="286" t="s">
        <v>18585</v>
      </c>
      <c r="WTG1" s="286" t="s">
        <v>18586</v>
      </c>
      <c r="WTH1" s="286" t="s">
        <v>18587</v>
      </c>
      <c r="WTI1" s="286" t="s">
        <v>18588</v>
      </c>
      <c r="WTJ1" s="286" t="s">
        <v>18589</v>
      </c>
      <c r="WTK1" s="286" t="s">
        <v>18590</v>
      </c>
      <c r="WTL1" s="286" t="s">
        <v>18591</v>
      </c>
      <c r="WTM1" s="286" t="s">
        <v>18592</v>
      </c>
      <c r="WTN1" s="286" t="s">
        <v>18593</v>
      </c>
      <c r="WTO1" s="286" t="s">
        <v>18594</v>
      </c>
      <c r="WTP1" s="286" t="s">
        <v>18595</v>
      </c>
      <c r="WTQ1" s="286" t="s">
        <v>18596</v>
      </c>
      <c r="WTR1" s="286" t="s">
        <v>18597</v>
      </c>
      <c r="WTS1" s="286" t="s">
        <v>18598</v>
      </c>
      <c r="WTT1" s="286" t="s">
        <v>18599</v>
      </c>
      <c r="WTU1" s="286" t="s">
        <v>18600</v>
      </c>
      <c r="WTV1" s="286" t="s">
        <v>18601</v>
      </c>
      <c r="WTW1" s="286" t="s">
        <v>18602</v>
      </c>
      <c r="WTX1" s="286" t="s">
        <v>18603</v>
      </c>
      <c r="WTY1" s="286" t="s">
        <v>18604</v>
      </c>
      <c r="WTZ1" s="286" t="s">
        <v>18605</v>
      </c>
      <c r="WUA1" s="286" t="s">
        <v>18606</v>
      </c>
      <c r="WUB1" s="286" t="s">
        <v>18607</v>
      </c>
      <c r="WUC1" s="286" t="s">
        <v>18608</v>
      </c>
      <c r="WUD1" s="286" t="s">
        <v>18609</v>
      </c>
      <c r="WUE1" s="286" t="s">
        <v>18610</v>
      </c>
      <c r="WUF1" s="286" t="s">
        <v>18611</v>
      </c>
      <c r="WUG1" s="286" t="s">
        <v>18612</v>
      </c>
      <c r="WUH1" s="286" t="s">
        <v>18613</v>
      </c>
      <c r="WUI1" s="286" t="s">
        <v>18614</v>
      </c>
      <c r="WUJ1" s="286" t="s">
        <v>18615</v>
      </c>
      <c r="WUK1" s="286" t="s">
        <v>18616</v>
      </c>
      <c r="WUL1" s="286" t="s">
        <v>18617</v>
      </c>
      <c r="WUM1" s="286" t="s">
        <v>18618</v>
      </c>
      <c r="WUN1" s="286" t="s">
        <v>18619</v>
      </c>
      <c r="WUO1" s="286" t="s">
        <v>18620</v>
      </c>
      <c r="WUP1" s="286" t="s">
        <v>18621</v>
      </c>
      <c r="WUQ1" s="286" t="s">
        <v>18622</v>
      </c>
      <c r="WUR1" s="286" t="s">
        <v>18623</v>
      </c>
      <c r="WUS1" s="286" t="s">
        <v>18624</v>
      </c>
      <c r="WUT1" s="286" t="s">
        <v>18625</v>
      </c>
      <c r="WUU1" s="286" t="s">
        <v>18626</v>
      </c>
      <c r="WUV1" s="286" t="s">
        <v>18627</v>
      </c>
      <c r="WUW1" s="286" t="s">
        <v>18628</v>
      </c>
      <c r="WUX1" s="286" t="s">
        <v>18629</v>
      </c>
      <c r="WUY1" s="286" t="s">
        <v>18630</v>
      </c>
      <c r="WUZ1" s="286" t="s">
        <v>18631</v>
      </c>
      <c r="WVA1" s="286" t="s">
        <v>18632</v>
      </c>
      <c r="WVB1" s="286" t="s">
        <v>18633</v>
      </c>
      <c r="WVC1" s="286" t="s">
        <v>18634</v>
      </c>
      <c r="WVD1" s="286" t="s">
        <v>18635</v>
      </c>
      <c r="WVE1" s="286" t="s">
        <v>18636</v>
      </c>
      <c r="WVF1" s="286" t="s">
        <v>18637</v>
      </c>
      <c r="WVG1" s="286" t="s">
        <v>18638</v>
      </c>
      <c r="WVH1" s="286" t="s">
        <v>18639</v>
      </c>
      <c r="WVI1" s="286" t="s">
        <v>18640</v>
      </c>
      <c r="WVJ1" s="286" t="s">
        <v>18641</v>
      </c>
      <c r="WVK1" s="286" t="s">
        <v>18642</v>
      </c>
      <c r="WVL1" s="286" t="s">
        <v>18643</v>
      </c>
      <c r="WVM1" s="286" t="s">
        <v>18644</v>
      </c>
      <c r="WVN1" s="286" t="s">
        <v>18645</v>
      </c>
      <c r="WVO1" s="286" t="s">
        <v>18646</v>
      </c>
      <c r="WVP1" s="286" t="s">
        <v>18647</v>
      </c>
      <c r="WVQ1" s="286" t="s">
        <v>18648</v>
      </c>
      <c r="WVR1" s="286" t="s">
        <v>18649</v>
      </c>
      <c r="WVS1" s="286" t="s">
        <v>18650</v>
      </c>
      <c r="WVT1" s="286" t="s">
        <v>18651</v>
      </c>
      <c r="WVU1" s="286" t="s">
        <v>18652</v>
      </c>
      <c r="WVV1" s="286" t="s">
        <v>18653</v>
      </c>
      <c r="WVW1" s="286" t="s">
        <v>18654</v>
      </c>
      <c r="WVX1" s="286" t="s">
        <v>18655</v>
      </c>
      <c r="WVY1" s="286" t="s">
        <v>18656</v>
      </c>
      <c r="WVZ1" s="286" t="s">
        <v>18657</v>
      </c>
      <c r="WWA1" s="286" t="s">
        <v>18658</v>
      </c>
      <c r="WWB1" s="286" t="s">
        <v>18659</v>
      </c>
      <c r="WWC1" s="286" t="s">
        <v>18660</v>
      </c>
      <c r="WWD1" s="286" t="s">
        <v>18661</v>
      </c>
      <c r="WWE1" s="286" t="s">
        <v>18662</v>
      </c>
      <c r="WWF1" s="286" t="s">
        <v>18663</v>
      </c>
      <c r="WWG1" s="286" t="s">
        <v>18664</v>
      </c>
      <c r="WWH1" s="286" t="s">
        <v>18665</v>
      </c>
      <c r="WWI1" s="286" t="s">
        <v>18666</v>
      </c>
      <c r="WWJ1" s="286" t="s">
        <v>18667</v>
      </c>
      <c r="WWK1" s="286" t="s">
        <v>18668</v>
      </c>
      <c r="WWL1" s="286" t="s">
        <v>18669</v>
      </c>
      <c r="WWM1" s="286" t="s">
        <v>18670</v>
      </c>
      <c r="WWN1" s="286" t="s">
        <v>18671</v>
      </c>
      <c r="WWO1" s="286" t="s">
        <v>18672</v>
      </c>
      <c r="WWP1" s="286" t="s">
        <v>18673</v>
      </c>
      <c r="WWQ1" s="286" t="s">
        <v>18674</v>
      </c>
      <c r="WWR1" s="286" t="s">
        <v>18675</v>
      </c>
      <c r="WWS1" s="286" t="s">
        <v>18676</v>
      </c>
      <c r="WWT1" s="286" t="s">
        <v>18677</v>
      </c>
      <c r="WWU1" s="286" t="s">
        <v>18678</v>
      </c>
      <c r="WWV1" s="286" t="s">
        <v>18679</v>
      </c>
      <c r="WWW1" s="286" t="s">
        <v>18680</v>
      </c>
      <c r="WWX1" s="286" t="s">
        <v>18681</v>
      </c>
      <c r="WWY1" s="286" t="s">
        <v>18682</v>
      </c>
      <c r="WWZ1" s="286" t="s">
        <v>18683</v>
      </c>
      <c r="WXA1" s="286" t="s">
        <v>18684</v>
      </c>
      <c r="WXB1" s="286" t="s">
        <v>18685</v>
      </c>
      <c r="WXC1" s="286" t="s">
        <v>18686</v>
      </c>
      <c r="WXD1" s="286" t="s">
        <v>18687</v>
      </c>
      <c r="WXE1" s="286" t="s">
        <v>18688</v>
      </c>
      <c r="WXF1" s="286" t="s">
        <v>18689</v>
      </c>
      <c r="WXG1" s="286" t="s">
        <v>18690</v>
      </c>
      <c r="WXH1" s="286" t="s">
        <v>18691</v>
      </c>
      <c r="WXI1" s="286" t="s">
        <v>18692</v>
      </c>
      <c r="WXJ1" s="286" t="s">
        <v>18693</v>
      </c>
      <c r="WXK1" s="286" t="s">
        <v>18694</v>
      </c>
      <c r="WXL1" s="286" t="s">
        <v>18695</v>
      </c>
      <c r="WXM1" s="286" t="s">
        <v>18696</v>
      </c>
      <c r="WXN1" s="286" t="s">
        <v>18697</v>
      </c>
      <c r="WXO1" s="286" t="s">
        <v>18698</v>
      </c>
      <c r="WXP1" s="286" t="s">
        <v>18699</v>
      </c>
      <c r="WXQ1" s="286" t="s">
        <v>18700</v>
      </c>
      <c r="WXR1" s="286" t="s">
        <v>18701</v>
      </c>
      <c r="WXS1" s="286" t="s">
        <v>18702</v>
      </c>
      <c r="WXT1" s="286" t="s">
        <v>18703</v>
      </c>
      <c r="WXU1" s="286" t="s">
        <v>18704</v>
      </c>
      <c r="WXV1" s="286" t="s">
        <v>18705</v>
      </c>
      <c r="WXW1" s="286" t="s">
        <v>18706</v>
      </c>
      <c r="WXX1" s="286" t="s">
        <v>18707</v>
      </c>
      <c r="WXY1" s="286" t="s">
        <v>18708</v>
      </c>
      <c r="WXZ1" s="286" t="s">
        <v>18709</v>
      </c>
      <c r="WYA1" s="286" t="s">
        <v>18710</v>
      </c>
      <c r="WYB1" s="286" t="s">
        <v>18711</v>
      </c>
      <c r="WYC1" s="286" t="s">
        <v>18712</v>
      </c>
      <c r="WYD1" s="286" t="s">
        <v>18713</v>
      </c>
      <c r="WYE1" s="286" t="s">
        <v>18714</v>
      </c>
      <c r="WYF1" s="286" t="s">
        <v>18715</v>
      </c>
      <c r="WYG1" s="286" t="s">
        <v>18716</v>
      </c>
      <c r="WYH1" s="286" t="s">
        <v>18717</v>
      </c>
      <c r="WYI1" s="286" t="s">
        <v>18718</v>
      </c>
      <c r="WYJ1" s="286" t="s">
        <v>18719</v>
      </c>
      <c r="WYK1" s="286" t="s">
        <v>18720</v>
      </c>
      <c r="WYL1" s="286" t="s">
        <v>18721</v>
      </c>
      <c r="WYM1" s="286" t="s">
        <v>18722</v>
      </c>
      <c r="WYN1" s="286" t="s">
        <v>18723</v>
      </c>
      <c r="WYO1" s="286" t="s">
        <v>18724</v>
      </c>
      <c r="WYP1" s="286" t="s">
        <v>18725</v>
      </c>
      <c r="WYQ1" s="286" t="s">
        <v>18726</v>
      </c>
      <c r="WYR1" s="286" t="s">
        <v>18727</v>
      </c>
      <c r="WYS1" s="286" t="s">
        <v>18728</v>
      </c>
      <c r="WYT1" s="286" t="s">
        <v>18729</v>
      </c>
      <c r="WYU1" s="286" t="s">
        <v>18730</v>
      </c>
      <c r="WYV1" s="286" t="s">
        <v>18731</v>
      </c>
      <c r="WYW1" s="286" t="s">
        <v>18732</v>
      </c>
      <c r="WYX1" s="286" t="s">
        <v>18733</v>
      </c>
      <c r="WYY1" s="286" t="s">
        <v>18734</v>
      </c>
      <c r="WYZ1" s="286" t="s">
        <v>18735</v>
      </c>
      <c r="WZA1" s="286" t="s">
        <v>18736</v>
      </c>
      <c r="WZB1" s="286" t="s">
        <v>18737</v>
      </c>
      <c r="WZC1" s="286" t="s">
        <v>18738</v>
      </c>
      <c r="WZD1" s="286" t="s">
        <v>18739</v>
      </c>
      <c r="WZE1" s="286" t="s">
        <v>18740</v>
      </c>
      <c r="WZF1" s="286" t="s">
        <v>18741</v>
      </c>
      <c r="WZG1" s="286" t="s">
        <v>18742</v>
      </c>
      <c r="WZH1" s="286" t="s">
        <v>18743</v>
      </c>
      <c r="WZI1" s="286" t="s">
        <v>18744</v>
      </c>
      <c r="WZJ1" s="286" t="s">
        <v>18745</v>
      </c>
      <c r="WZK1" s="286" t="s">
        <v>18746</v>
      </c>
      <c r="WZL1" s="286" t="s">
        <v>18747</v>
      </c>
      <c r="WZM1" s="286" t="s">
        <v>18748</v>
      </c>
      <c r="WZN1" s="286" t="s">
        <v>18749</v>
      </c>
      <c r="WZO1" s="286" t="s">
        <v>18750</v>
      </c>
      <c r="WZP1" s="286" t="s">
        <v>18751</v>
      </c>
      <c r="WZQ1" s="286" t="s">
        <v>18752</v>
      </c>
      <c r="WZR1" s="286" t="s">
        <v>18753</v>
      </c>
      <c r="WZS1" s="286" t="s">
        <v>18754</v>
      </c>
      <c r="WZT1" s="286" t="s">
        <v>18755</v>
      </c>
      <c r="WZU1" s="286" t="s">
        <v>18756</v>
      </c>
      <c r="WZV1" s="286" t="s">
        <v>18757</v>
      </c>
      <c r="WZW1" s="286" t="s">
        <v>18758</v>
      </c>
      <c r="WZX1" s="286" t="s">
        <v>18759</v>
      </c>
      <c r="WZY1" s="286" t="s">
        <v>18760</v>
      </c>
      <c r="WZZ1" s="286" t="s">
        <v>18761</v>
      </c>
      <c r="XAA1" s="286" t="s">
        <v>18762</v>
      </c>
      <c r="XAB1" s="286" t="s">
        <v>18763</v>
      </c>
      <c r="XAC1" s="286" t="s">
        <v>18764</v>
      </c>
      <c r="XAD1" s="286" t="s">
        <v>18765</v>
      </c>
      <c r="XAE1" s="286" t="s">
        <v>18766</v>
      </c>
      <c r="XAF1" s="286" t="s">
        <v>18767</v>
      </c>
      <c r="XAG1" s="286" t="s">
        <v>18768</v>
      </c>
      <c r="XAH1" s="286" t="s">
        <v>18769</v>
      </c>
      <c r="XAI1" s="286" t="s">
        <v>18770</v>
      </c>
      <c r="XAJ1" s="286" t="s">
        <v>18771</v>
      </c>
      <c r="XAK1" s="286" t="s">
        <v>18772</v>
      </c>
      <c r="XAL1" s="286" t="s">
        <v>18773</v>
      </c>
      <c r="XAM1" s="286" t="s">
        <v>18774</v>
      </c>
      <c r="XAN1" s="286" t="s">
        <v>18775</v>
      </c>
      <c r="XAO1" s="286" t="s">
        <v>18776</v>
      </c>
      <c r="XAP1" s="286" t="s">
        <v>18777</v>
      </c>
      <c r="XAQ1" s="286" t="s">
        <v>18778</v>
      </c>
      <c r="XAR1" s="286" t="s">
        <v>18779</v>
      </c>
      <c r="XAS1" s="286" t="s">
        <v>18780</v>
      </c>
      <c r="XAT1" s="286" t="s">
        <v>18781</v>
      </c>
      <c r="XAU1" s="286" t="s">
        <v>18782</v>
      </c>
      <c r="XAV1" s="286" t="s">
        <v>18783</v>
      </c>
      <c r="XAW1" s="286" t="s">
        <v>18784</v>
      </c>
      <c r="XAX1" s="286" t="s">
        <v>18785</v>
      </c>
      <c r="XAY1" s="286" t="s">
        <v>18786</v>
      </c>
      <c r="XAZ1" s="286" t="s">
        <v>18787</v>
      </c>
      <c r="XBA1" s="286" t="s">
        <v>18788</v>
      </c>
      <c r="XBB1" s="286" t="s">
        <v>18789</v>
      </c>
      <c r="XBC1" s="286" t="s">
        <v>18790</v>
      </c>
      <c r="XBD1" s="286" t="s">
        <v>18791</v>
      </c>
      <c r="XBE1" s="286" t="s">
        <v>18792</v>
      </c>
      <c r="XBF1" s="286" t="s">
        <v>18793</v>
      </c>
      <c r="XBG1" s="286" t="s">
        <v>18794</v>
      </c>
      <c r="XBH1" s="286" t="s">
        <v>18795</v>
      </c>
      <c r="XBI1" s="286" t="s">
        <v>18796</v>
      </c>
      <c r="XBJ1" s="286" t="s">
        <v>18797</v>
      </c>
      <c r="XBK1" s="286" t="s">
        <v>18798</v>
      </c>
      <c r="XBL1" s="286" t="s">
        <v>18799</v>
      </c>
      <c r="XBM1" s="286" t="s">
        <v>18800</v>
      </c>
      <c r="XBN1" s="286" t="s">
        <v>18801</v>
      </c>
      <c r="XBO1" s="286" t="s">
        <v>18802</v>
      </c>
      <c r="XBP1" s="286" t="s">
        <v>18803</v>
      </c>
      <c r="XBQ1" s="286" t="s">
        <v>18804</v>
      </c>
      <c r="XBR1" s="286" t="s">
        <v>18805</v>
      </c>
      <c r="XBS1" s="286" t="s">
        <v>18806</v>
      </c>
      <c r="XBT1" s="286" t="s">
        <v>18807</v>
      </c>
      <c r="XBU1" s="286" t="s">
        <v>18808</v>
      </c>
      <c r="XBV1" s="286" t="s">
        <v>18809</v>
      </c>
      <c r="XBW1" s="286" t="s">
        <v>18810</v>
      </c>
      <c r="XBX1" s="286" t="s">
        <v>18811</v>
      </c>
      <c r="XBY1" s="286" t="s">
        <v>18812</v>
      </c>
      <c r="XBZ1" s="286" t="s">
        <v>18813</v>
      </c>
      <c r="XCA1" s="286" t="s">
        <v>18814</v>
      </c>
      <c r="XCB1" s="286" t="s">
        <v>18815</v>
      </c>
      <c r="XCC1" s="286" t="s">
        <v>18816</v>
      </c>
      <c r="XCD1" s="286" t="s">
        <v>18817</v>
      </c>
      <c r="XCE1" s="286" t="s">
        <v>18818</v>
      </c>
      <c r="XCF1" s="286" t="s">
        <v>18819</v>
      </c>
      <c r="XCG1" s="286" t="s">
        <v>18820</v>
      </c>
      <c r="XCH1" s="286" t="s">
        <v>18821</v>
      </c>
      <c r="XCI1" s="286" t="s">
        <v>18822</v>
      </c>
      <c r="XCJ1" s="286" t="s">
        <v>18823</v>
      </c>
      <c r="XCK1" s="286" t="s">
        <v>18824</v>
      </c>
      <c r="XCL1" s="286" t="s">
        <v>18825</v>
      </c>
      <c r="XCM1" s="286" t="s">
        <v>18826</v>
      </c>
      <c r="XCN1" s="286" t="s">
        <v>18827</v>
      </c>
      <c r="XCO1" s="286" t="s">
        <v>18828</v>
      </c>
      <c r="XCP1" s="286" t="s">
        <v>18829</v>
      </c>
      <c r="XCQ1" s="286" t="s">
        <v>18830</v>
      </c>
      <c r="XCR1" s="286" t="s">
        <v>18831</v>
      </c>
      <c r="XCS1" s="286" t="s">
        <v>18832</v>
      </c>
      <c r="XCT1" s="286" t="s">
        <v>18833</v>
      </c>
      <c r="XCU1" s="286" t="s">
        <v>18834</v>
      </c>
      <c r="XCV1" s="286" t="s">
        <v>18835</v>
      </c>
      <c r="XCW1" s="286" t="s">
        <v>18836</v>
      </c>
      <c r="XCX1" s="286" t="s">
        <v>18837</v>
      </c>
      <c r="XCY1" s="286" t="s">
        <v>18838</v>
      </c>
      <c r="XCZ1" s="286" t="s">
        <v>18839</v>
      </c>
      <c r="XDA1" s="286" t="s">
        <v>18840</v>
      </c>
      <c r="XDB1" s="286" t="s">
        <v>18841</v>
      </c>
      <c r="XDC1" s="286" t="s">
        <v>18842</v>
      </c>
      <c r="XDD1" s="286" t="s">
        <v>18843</v>
      </c>
      <c r="XDE1" s="286" t="s">
        <v>18844</v>
      </c>
      <c r="XDF1" s="286" t="s">
        <v>18845</v>
      </c>
      <c r="XDG1" s="286" t="s">
        <v>18846</v>
      </c>
      <c r="XDH1" s="286" t="s">
        <v>18847</v>
      </c>
      <c r="XDI1" s="286" t="s">
        <v>18848</v>
      </c>
      <c r="XDJ1" s="286" t="s">
        <v>18849</v>
      </c>
      <c r="XDK1" s="286" t="s">
        <v>18850</v>
      </c>
      <c r="XDL1" s="286" t="s">
        <v>18851</v>
      </c>
      <c r="XDM1" s="286" t="s">
        <v>18852</v>
      </c>
      <c r="XDN1" s="286" t="s">
        <v>18853</v>
      </c>
      <c r="XDO1" s="286" t="s">
        <v>18854</v>
      </c>
      <c r="XDP1" s="286" t="s">
        <v>18855</v>
      </c>
      <c r="XDQ1" s="286" t="s">
        <v>18856</v>
      </c>
      <c r="XDR1" s="286" t="s">
        <v>18857</v>
      </c>
      <c r="XDS1" s="286" t="s">
        <v>18858</v>
      </c>
      <c r="XDT1" s="286" t="s">
        <v>18859</v>
      </c>
      <c r="XDU1" s="286" t="s">
        <v>18860</v>
      </c>
      <c r="XDV1" s="286" t="s">
        <v>18861</v>
      </c>
      <c r="XDW1" s="286" t="s">
        <v>18862</v>
      </c>
      <c r="XDX1" s="286" t="s">
        <v>18863</v>
      </c>
      <c r="XDY1" s="286" t="s">
        <v>18864</v>
      </c>
      <c r="XDZ1" s="286" t="s">
        <v>18865</v>
      </c>
      <c r="XEA1" s="286" t="s">
        <v>18866</v>
      </c>
      <c r="XEB1" s="286" t="s">
        <v>18867</v>
      </c>
      <c r="XEC1" s="286" t="s">
        <v>18868</v>
      </c>
      <c r="XED1" s="286" t="s">
        <v>18869</v>
      </c>
      <c r="XEE1" s="286" t="s">
        <v>18870</v>
      </c>
      <c r="XEF1" s="286" t="s">
        <v>18871</v>
      </c>
      <c r="XEG1" s="286" t="s">
        <v>18872</v>
      </c>
      <c r="XEH1" s="286" t="s">
        <v>18873</v>
      </c>
      <c r="XEI1" s="286" t="s">
        <v>18874</v>
      </c>
      <c r="XEJ1" s="286" t="s">
        <v>18875</v>
      </c>
      <c r="XEK1" s="286" t="s">
        <v>18876</v>
      </c>
      <c r="XEL1" s="286" t="s">
        <v>18877</v>
      </c>
      <c r="XEM1" s="286" t="s">
        <v>18878</v>
      </c>
      <c r="XEN1" s="286" t="s">
        <v>18879</v>
      </c>
      <c r="XEO1" s="286" t="s">
        <v>18880</v>
      </c>
      <c r="XEP1" s="286" t="s">
        <v>18881</v>
      </c>
      <c r="XEQ1" s="286" t="s">
        <v>18882</v>
      </c>
      <c r="XER1" s="286" t="s">
        <v>18883</v>
      </c>
      <c r="XES1" s="286" t="s">
        <v>18884</v>
      </c>
      <c r="XET1" s="286" t="s">
        <v>18885</v>
      </c>
      <c r="XEU1" s="286" t="s">
        <v>18886</v>
      </c>
      <c r="XEV1" s="286" t="s">
        <v>18887</v>
      </c>
      <c r="XEW1" s="286" t="s">
        <v>18888</v>
      </c>
      <c r="XEX1" s="286" t="s">
        <v>18889</v>
      </c>
      <c r="XEY1" s="286" t="s">
        <v>18890</v>
      </c>
      <c r="XEZ1" s="286" t="s">
        <v>18891</v>
      </c>
      <c r="XFA1" s="286" t="s">
        <v>18892</v>
      </c>
      <c r="XFB1" s="286" t="s">
        <v>18893</v>
      </c>
      <c r="XFC1" s="286" t="s">
        <v>18894</v>
      </c>
      <c r="XFD1" s="286" t="s">
        <v>18895</v>
      </c>
    </row>
    <row r="2" spans="1:16384" s="284" customFormat="1">
      <c r="A2" s="279" t="s">
        <v>1041</v>
      </c>
      <c r="B2" s="280" t="s">
        <v>1042</v>
      </c>
      <c r="C2" s="279" t="s">
        <v>2442</v>
      </c>
      <c r="D2" s="281">
        <v>45128</v>
      </c>
      <c r="E2" s="279" t="s">
        <v>2443</v>
      </c>
      <c r="F2" s="279"/>
    </row>
    <row r="3" spans="1:16384">
      <c r="A3" s="279" t="s">
        <v>806</v>
      </c>
      <c r="B3" s="280" t="s">
        <v>807</v>
      </c>
      <c r="C3" s="279" t="s">
        <v>2444</v>
      </c>
      <c r="D3" s="281">
        <v>44834</v>
      </c>
      <c r="E3" s="279" t="s">
        <v>471</v>
      </c>
    </row>
    <row r="4" spans="1:16384">
      <c r="A4" s="279" t="s">
        <v>1114</v>
      </c>
      <c r="B4" s="280" t="s">
        <v>1115</v>
      </c>
      <c r="C4" s="279" t="s">
        <v>2445</v>
      </c>
      <c r="D4" s="281">
        <v>44895</v>
      </c>
      <c r="E4" s="279" t="s">
        <v>296</v>
      </c>
    </row>
    <row r="5" spans="1:16384">
      <c r="A5" s="279" t="s">
        <v>998</v>
      </c>
      <c r="B5" s="280" t="s">
        <v>999</v>
      </c>
      <c r="C5" s="279" t="s">
        <v>2446</v>
      </c>
      <c r="D5" s="281">
        <v>45257</v>
      </c>
      <c r="E5" s="279" t="s">
        <v>79</v>
      </c>
    </row>
    <row r="6" spans="1:16384">
      <c r="A6" s="279" t="s">
        <v>1197</v>
      </c>
      <c r="B6" s="280" t="s">
        <v>1198</v>
      </c>
      <c r="C6" s="279" t="s">
        <v>2447</v>
      </c>
      <c r="D6" s="281">
        <v>44861</v>
      </c>
      <c r="E6" s="279" t="s">
        <v>296</v>
      </c>
    </row>
    <row r="7" spans="1:16384">
      <c r="A7" s="279" t="s">
        <v>946</v>
      </c>
      <c r="B7" s="280" t="s">
        <v>947</v>
      </c>
      <c r="C7" s="279" t="s">
        <v>2448</v>
      </c>
      <c r="D7" s="281">
        <v>44827</v>
      </c>
      <c r="E7" s="279" t="s">
        <v>471</v>
      </c>
    </row>
    <row r="8" spans="1:16384">
      <c r="A8" s="279" t="s">
        <v>678</v>
      </c>
      <c r="B8" s="280" t="s">
        <v>679</v>
      </c>
      <c r="C8" s="279" t="s">
        <v>2449</v>
      </c>
      <c r="D8" s="281">
        <v>45008</v>
      </c>
      <c r="E8" s="279" t="s">
        <v>2450</v>
      </c>
    </row>
    <row r="9" spans="1:16384">
      <c r="A9" s="279" t="s">
        <v>681</v>
      </c>
      <c r="B9" s="280" t="s">
        <v>682</v>
      </c>
      <c r="C9" s="279" t="s">
        <v>2449</v>
      </c>
      <c r="D9" s="281">
        <v>45152</v>
      </c>
      <c r="E9" s="279" t="s">
        <v>2451</v>
      </c>
    </row>
    <row r="10" spans="1:16384">
      <c r="A10" s="279" t="s">
        <v>809</v>
      </c>
      <c r="B10" s="280" t="s">
        <v>810</v>
      </c>
      <c r="C10" s="279" t="s">
        <v>2444</v>
      </c>
      <c r="D10" s="281">
        <v>45279</v>
      </c>
      <c r="E10" s="279" t="s">
        <v>2452</v>
      </c>
    </row>
    <row r="11" spans="1:16384">
      <c r="A11" s="279" t="s">
        <v>1854</v>
      </c>
      <c r="B11" s="280" t="s">
        <v>2453</v>
      </c>
      <c r="C11" s="279" t="s">
        <v>2454</v>
      </c>
      <c r="D11" s="281">
        <v>44785</v>
      </c>
      <c r="E11" s="279" t="s">
        <v>2464</v>
      </c>
    </row>
    <row r="12" spans="1:16384">
      <c r="A12" s="279" t="s">
        <v>505</v>
      </c>
      <c r="B12" s="280" t="s">
        <v>506</v>
      </c>
      <c r="C12" s="279" t="s">
        <v>2458</v>
      </c>
      <c r="D12" s="281">
        <v>44993</v>
      </c>
      <c r="E12" s="279" t="s">
        <v>296</v>
      </c>
    </row>
    <row r="13" spans="1:16384">
      <c r="A13" s="279" t="s">
        <v>634</v>
      </c>
      <c r="B13" s="280" t="s">
        <v>635</v>
      </c>
      <c r="C13" s="279" t="s">
        <v>2459</v>
      </c>
      <c r="D13" s="281">
        <v>45229</v>
      </c>
      <c r="E13" s="279" t="s">
        <v>2460</v>
      </c>
    </row>
    <row r="14" spans="1:16384">
      <c r="A14" s="279" t="s">
        <v>764</v>
      </c>
      <c r="B14" s="280" t="s">
        <v>765</v>
      </c>
      <c r="C14" s="279" t="s">
        <v>2461</v>
      </c>
      <c r="D14" s="281">
        <v>45131</v>
      </c>
      <c r="E14" s="279" t="s">
        <v>2463</v>
      </c>
    </row>
    <row r="15" spans="1:16384">
      <c r="A15" s="279" t="s">
        <v>619</v>
      </c>
      <c r="B15" s="280" t="s">
        <v>620</v>
      </c>
      <c r="C15" s="279" t="s">
        <v>2465</v>
      </c>
      <c r="D15" s="281">
        <v>44880</v>
      </c>
      <c r="E15" s="279" t="s">
        <v>2466</v>
      </c>
    </row>
    <row r="16" spans="1:16384">
      <c r="A16" s="279" t="s">
        <v>766</v>
      </c>
      <c r="B16" s="280" t="s">
        <v>767</v>
      </c>
      <c r="C16" s="279" t="s">
        <v>2461</v>
      </c>
      <c r="D16" s="281">
        <v>44809</v>
      </c>
      <c r="E16" s="279" t="s">
        <v>296</v>
      </c>
    </row>
    <row r="17" spans="1:5">
      <c r="A17" s="279" t="s">
        <v>989</v>
      </c>
      <c r="B17" s="280" t="s">
        <v>990</v>
      </c>
      <c r="C17" s="279" t="s">
        <v>2467</v>
      </c>
      <c r="D17" s="281">
        <v>45044</v>
      </c>
      <c r="E17" s="279" t="s">
        <v>2466</v>
      </c>
    </row>
    <row r="18" spans="1:5">
      <c r="A18" s="279" t="s">
        <v>856</v>
      </c>
      <c r="B18" s="280" t="s">
        <v>857</v>
      </c>
      <c r="C18" s="279" t="s">
        <v>2468</v>
      </c>
      <c r="D18" s="281">
        <v>45054</v>
      </c>
      <c r="E18" s="279" t="s">
        <v>2469</v>
      </c>
    </row>
    <row r="19" spans="1:5">
      <c r="A19" s="279" t="s">
        <v>437</v>
      </c>
      <c r="B19" s="280" t="s">
        <v>438</v>
      </c>
      <c r="C19" s="279" t="s">
        <v>2471</v>
      </c>
      <c r="D19" s="281">
        <v>43160</v>
      </c>
      <c r="E19" s="279" t="s">
        <v>2472</v>
      </c>
    </row>
    <row r="20" spans="1:5">
      <c r="A20" s="279" t="s">
        <v>814</v>
      </c>
      <c r="B20" s="280" t="s">
        <v>815</v>
      </c>
      <c r="C20" s="279" t="s">
        <v>2444</v>
      </c>
      <c r="D20" s="281">
        <v>45168</v>
      </c>
      <c r="E20" s="279" t="s">
        <v>2473</v>
      </c>
    </row>
    <row r="21" spans="1:5">
      <c r="A21" s="279" t="s">
        <v>816</v>
      </c>
      <c r="B21" s="280" t="s">
        <v>817</v>
      </c>
      <c r="C21" s="279" t="s">
        <v>2444</v>
      </c>
      <c r="D21" s="281">
        <v>45232</v>
      </c>
      <c r="E21" s="279" t="s">
        <v>2474</v>
      </c>
    </row>
    <row r="22" spans="1:5">
      <c r="A22" s="279" t="s">
        <v>2475</v>
      </c>
      <c r="B22" s="280" t="s">
        <v>820</v>
      </c>
      <c r="C22" s="279" t="s">
        <v>2444</v>
      </c>
      <c r="D22" s="281">
        <v>45218</v>
      </c>
      <c r="E22" s="279" t="s">
        <v>471</v>
      </c>
    </row>
    <row r="23" spans="1:5">
      <c r="A23" s="279" t="s">
        <v>1859</v>
      </c>
      <c r="B23" s="280" t="s">
        <v>17</v>
      </c>
      <c r="C23" s="279" t="s">
        <v>13</v>
      </c>
      <c r="D23" s="281">
        <v>44708</v>
      </c>
      <c r="E23" s="279" t="s">
        <v>79</v>
      </c>
    </row>
    <row r="24" spans="1:5">
      <c r="A24" s="279" t="s">
        <v>99</v>
      </c>
      <c r="B24" s="280" t="s">
        <v>100</v>
      </c>
      <c r="C24" s="279" t="s">
        <v>96</v>
      </c>
      <c r="D24" s="281">
        <v>44994</v>
      </c>
      <c r="E24" s="282" t="s">
        <v>2476</v>
      </c>
    </row>
    <row r="25" spans="1:5">
      <c r="A25" s="279" t="s">
        <v>858</v>
      </c>
      <c r="B25" s="280" t="s">
        <v>857</v>
      </c>
      <c r="C25" s="279" t="s">
        <v>2468</v>
      </c>
      <c r="D25" s="281">
        <v>45051</v>
      </c>
      <c r="E25" s="282" t="s">
        <v>296</v>
      </c>
    </row>
    <row r="26" spans="1:5">
      <c r="A26" s="279" t="s">
        <v>440</v>
      </c>
      <c r="B26" s="280" t="s">
        <v>441</v>
      </c>
      <c r="C26" s="279" t="s">
        <v>2477</v>
      </c>
      <c r="D26" s="281">
        <v>44981</v>
      </c>
      <c r="E26" s="279" t="s">
        <v>288</v>
      </c>
    </row>
    <row r="27" spans="1:5">
      <c r="A27" s="279" t="s">
        <v>1439</v>
      </c>
      <c r="B27" s="280" t="s">
        <v>1440</v>
      </c>
      <c r="C27" s="279" t="s">
        <v>1438</v>
      </c>
      <c r="D27" s="281">
        <v>44981</v>
      </c>
      <c r="E27" s="279" t="s">
        <v>541</v>
      </c>
    </row>
    <row r="28" spans="1:5">
      <c r="A28" s="279" t="s">
        <v>180</v>
      </c>
      <c r="B28" s="280" t="s">
        <v>181</v>
      </c>
      <c r="C28" s="279" t="s">
        <v>172</v>
      </c>
      <c r="D28" s="281">
        <v>43487</v>
      </c>
      <c r="E28" s="279" t="s">
        <v>296</v>
      </c>
    </row>
    <row r="29" spans="1:5">
      <c r="A29" s="279" t="s">
        <v>381</v>
      </c>
      <c r="B29" s="280" t="s">
        <v>382</v>
      </c>
      <c r="C29" s="279" t="s">
        <v>2478</v>
      </c>
      <c r="D29" s="281">
        <v>44750</v>
      </c>
      <c r="E29" s="279" t="s">
        <v>296</v>
      </c>
    </row>
    <row r="30" spans="1:5">
      <c r="A30" s="279" t="s">
        <v>508</v>
      </c>
      <c r="B30" s="280" t="s">
        <v>509</v>
      </c>
      <c r="C30" s="279" t="s">
        <v>2458</v>
      </c>
      <c r="D30" s="281">
        <v>44736</v>
      </c>
      <c r="E30" s="276" t="s">
        <v>491</v>
      </c>
    </row>
    <row r="31" spans="1:5">
      <c r="A31" s="279" t="s">
        <v>1153</v>
      </c>
      <c r="B31" s="280" t="s">
        <v>1154</v>
      </c>
      <c r="C31" s="279" t="s">
        <v>2486</v>
      </c>
      <c r="D31" s="281">
        <v>45153</v>
      </c>
      <c r="E31" s="279" t="s">
        <v>2480</v>
      </c>
    </row>
    <row r="32" spans="1:5">
      <c r="A32" s="279" t="s">
        <v>1116</v>
      </c>
      <c r="B32" s="280" t="s">
        <v>1117</v>
      </c>
      <c r="C32" s="279" t="s">
        <v>2487</v>
      </c>
      <c r="D32" s="281">
        <v>44764</v>
      </c>
      <c r="E32" s="279" t="s">
        <v>2481</v>
      </c>
    </row>
    <row r="33" spans="1:6">
      <c r="A33" s="279" t="s">
        <v>731</v>
      </c>
      <c r="B33" s="280" t="s">
        <v>732</v>
      </c>
      <c r="C33" s="279" t="s">
        <v>2488</v>
      </c>
      <c r="D33" s="281">
        <v>44909</v>
      </c>
      <c r="E33" s="279" t="s">
        <v>541</v>
      </c>
    </row>
    <row r="34" spans="1:6">
      <c r="A34" s="279" t="s">
        <v>897</v>
      </c>
      <c r="B34" s="280" t="s">
        <v>898</v>
      </c>
      <c r="C34" s="279" t="s">
        <v>2489</v>
      </c>
      <c r="D34" s="281">
        <v>45035</v>
      </c>
      <c r="E34" s="279" t="s">
        <v>582</v>
      </c>
      <c r="F34" s="279">
        <v>2</v>
      </c>
    </row>
    <row r="35" spans="1:6">
      <c r="A35" s="279" t="s">
        <v>1000</v>
      </c>
      <c r="B35" s="280" t="s">
        <v>1001</v>
      </c>
      <c r="C35" s="279" t="s">
        <v>2490</v>
      </c>
      <c r="D35" s="281">
        <v>44806</v>
      </c>
      <c r="E35" s="279" t="s">
        <v>2482</v>
      </c>
    </row>
    <row r="36" spans="1:6">
      <c r="A36" s="279" t="s">
        <v>1003</v>
      </c>
      <c r="B36" s="280" t="s">
        <v>1004</v>
      </c>
      <c r="C36" s="279" t="s">
        <v>2490</v>
      </c>
      <c r="D36" s="281">
        <v>44771</v>
      </c>
      <c r="E36" s="279" t="s">
        <v>491</v>
      </c>
    </row>
    <row r="37" spans="1:6">
      <c r="A37" s="279" t="s">
        <v>636</v>
      </c>
      <c r="B37" s="280" t="s">
        <v>637</v>
      </c>
      <c r="C37" s="279" t="s">
        <v>2491</v>
      </c>
      <c r="D37" s="281">
        <v>44644</v>
      </c>
      <c r="E37" s="282" t="s">
        <v>296</v>
      </c>
      <c r="F37" s="279">
        <v>1</v>
      </c>
    </row>
    <row r="38" spans="1:6">
      <c r="A38" s="279" t="s">
        <v>583</v>
      </c>
      <c r="B38" s="280" t="s">
        <v>584</v>
      </c>
      <c r="C38" s="279" t="s">
        <v>2492</v>
      </c>
      <c r="D38" s="281">
        <v>44428</v>
      </c>
      <c r="E38" s="283" t="s">
        <v>2410</v>
      </c>
    </row>
    <row r="39" spans="1:6">
      <c r="A39" s="279" t="s">
        <v>1202</v>
      </c>
      <c r="B39" s="280" t="s">
        <v>1177</v>
      </c>
      <c r="C39" s="279" t="s">
        <v>2493</v>
      </c>
      <c r="D39" s="281">
        <v>43199</v>
      </c>
      <c r="E39" s="276" t="s">
        <v>474</v>
      </c>
    </row>
    <row r="40" spans="1:6">
      <c r="A40" s="279" t="s">
        <v>1207</v>
      </c>
      <c r="B40" s="280" t="s">
        <v>1208</v>
      </c>
      <c r="C40" s="279" t="s">
        <v>2493</v>
      </c>
      <c r="D40" s="281">
        <v>44742</v>
      </c>
      <c r="E40" s="279" t="s">
        <v>2480</v>
      </c>
    </row>
    <row r="41" spans="1:6">
      <c r="A41" s="279" t="s">
        <v>1210</v>
      </c>
      <c r="B41" s="280" t="s">
        <v>1211</v>
      </c>
      <c r="C41" s="279" t="s">
        <v>2493</v>
      </c>
      <c r="D41" s="281">
        <v>45163</v>
      </c>
      <c r="E41" s="279" t="s">
        <v>582</v>
      </c>
    </row>
    <row r="42" spans="1:6">
      <c r="A42" s="279" t="s">
        <v>511</v>
      </c>
      <c r="B42" s="280" t="s">
        <v>512</v>
      </c>
      <c r="C42" s="279" t="s">
        <v>2494</v>
      </c>
      <c r="D42" s="281">
        <v>44790</v>
      </c>
      <c r="E42" s="279" t="s">
        <v>2483</v>
      </c>
    </row>
    <row r="43" spans="1:6">
      <c r="A43" s="279" t="s">
        <v>639</v>
      </c>
      <c r="B43" s="280" t="s">
        <v>640</v>
      </c>
      <c r="C43" s="279" t="s">
        <v>2491</v>
      </c>
      <c r="D43" s="281">
        <v>45205</v>
      </c>
      <c r="E43" s="279" t="s">
        <v>296</v>
      </c>
    </row>
    <row r="44" spans="1:6">
      <c r="A44" s="279" t="s">
        <v>514</v>
      </c>
      <c r="B44" s="280" t="s">
        <v>515</v>
      </c>
      <c r="C44" s="279" t="s">
        <v>2494</v>
      </c>
      <c r="D44" s="281">
        <v>44869</v>
      </c>
      <c r="E44" s="279" t="s">
        <v>1100</v>
      </c>
    </row>
    <row r="45" spans="1:6">
      <c r="A45" s="279" t="s">
        <v>517</v>
      </c>
      <c r="B45" s="280" t="s">
        <v>518</v>
      </c>
      <c r="C45" s="279" t="s">
        <v>2494</v>
      </c>
      <c r="D45" s="281">
        <v>45153</v>
      </c>
      <c r="E45" s="276" t="s">
        <v>541</v>
      </c>
    </row>
    <row r="46" spans="1:6">
      <c r="A46" s="279" t="s">
        <v>1790</v>
      </c>
      <c r="B46" s="280" t="s">
        <v>1791</v>
      </c>
      <c r="C46" s="279" t="s">
        <v>1789</v>
      </c>
      <c r="D46" s="281">
        <v>43535</v>
      </c>
      <c r="E46" s="279" t="s">
        <v>2484</v>
      </c>
    </row>
    <row r="47" spans="1:6">
      <c r="A47" s="279" t="s">
        <v>1156</v>
      </c>
      <c r="B47" s="280" t="s">
        <v>1157</v>
      </c>
      <c r="C47" s="279" t="s">
        <v>2486</v>
      </c>
      <c r="D47" s="281">
        <v>40474</v>
      </c>
      <c r="E47" s="282" t="s">
        <v>296</v>
      </c>
    </row>
    <row r="48" spans="1:6">
      <c r="A48" s="279" t="s">
        <v>1158</v>
      </c>
      <c r="B48" s="280" t="s">
        <v>1159</v>
      </c>
      <c r="C48" s="279" t="s">
        <v>2486</v>
      </c>
      <c r="D48" s="281">
        <v>44840</v>
      </c>
      <c r="E48" s="279" t="s">
        <v>386</v>
      </c>
    </row>
    <row r="49" spans="1:6">
      <c r="A49" s="279" t="s">
        <v>1160</v>
      </c>
      <c r="B49" s="280" t="s">
        <v>1161</v>
      </c>
      <c r="C49" s="279" t="s">
        <v>2486</v>
      </c>
      <c r="D49" s="281">
        <v>45279</v>
      </c>
      <c r="E49" s="276" t="s">
        <v>474</v>
      </c>
    </row>
    <row r="50" spans="1:6">
      <c r="A50" s="279" t="s">
        <v>642</v>
      </c>
      <c r="B50" s="280" t="s">
        <v>643</v>
      </c>
      <c r="C50" s="279" t="s">
        <v>2491</v>
      </c>
      <c r="D50" s="281">
        <v>45114</v>
      </c>
      <c r="E50" s="276" t="s">
        <v>386</v>
      </c>
    </row>
    <row r="51" spans="1:6">
      <c r="A51" s="279" t="s">
        <v>733</v>
      </c>
      <c r="B51" s="280" t="s">
        <v>734</v>
      </c>
      <c r="C51" s="279" t="s">
        <v>2488</v>
      </c>
      <c r="D51" s="281">
        <v>44902</v>
      </c>
      <c r="E51" s="279" t="s">
        <v>474</v>
      </c>
    </row>
    <row r="52" spans="1:6">
      <c r="A52" s="279" t="s">
        <v>985</v>
      </c>
      <c r="B52" s="280" t="s">
        <v>986</v>
      </c>
      <c r="C52" s="279" t="s">
        <v>2495</v>
      </c>
      <c r="D52" s="281">
        <v>44733</v>
      </c>
      <c r="E52" s="276" t="s">
        <v>491</v>
      </c>
      <c r="F52" s="279">
        <v>1</v>
      </c>
    </row>
    <row r="53" spans="1:6">
      <c r="A53" s="279" t="s">
        <v>821</v>
      </c>
      <c r="B53" s="280" t="s">
        <v>2485</v>
      </c>
      <c r="C53" s="279" t="s">
        <v>2496</v>
      </c>
      <c r="D53" s="281">
        <v>44292</v>
      </c>
      <c r="E53" s="276" t="s">
        <v>605</v>
      </c>
    </row>
    <row r="54" spans="1:6">
      <c r="A54" s="279" t="s">
        <v>1119</v>
      </c>
      <c r="B54" s="280" t="s">
        <v>1120</v>
      </c>
      <c r="C54" s="279" t="s">
        <v>2487</v>
      </c>
      <c r="D54" s="281">
        <v>45027</v>
      </c>
      <c r="E54" s="279" t="s">
        <v>296</v>
      </c>
    </row>
    <row r="55" spans="1:6">
      <c r="A55" s="279" t="s">
        <v>1212</v>
      </c>
      <c r="B55" s="280" t="s">
        <v>1213</v>
      </c>
      <c r="C55" s="279" t="s">
        <v>2493</v>
      </c>
      <c r="D55" s="281">
        <v>44742</v>
      </c>
      <c r="E55" s="279" t="s">
        <v>296</v>
      </c>
    </row>
    <row r="56" spans="1:6">
      <c r="A56" s="279" t="s">
        <v>645</v>
      </c>
      <c r="B56" s="280" t="s">
        <v>646</v>
      </c>
      <c r="C56" s="279" t="s">
        <v>2491</v>
      </c>
      <c r="D56" s="281">
        <v>44977</v>
      </c>
      <c r="E56" s="276" t="s">
        <v>605</v>
      </c>
      <c r="F56" s="279">
        <v>1</v>
      </c>
    </row>
    <row r="57" spans="1:6">
      <c r="A57" s="279" t="s">
        <v>520</v>
      </c>
      <c r="B57" s="280" t="s">
        <v>521</v>
      </c>
      <c r="C57" s="279" t="s">
        <v>2494</v>
      </c>
      <c r="D57" s="281">
        <v>44414</v>
      </c>
      <c r="E57" s="276" t="s">
        <v>18896</v>
      </c>
      <c r="F57" s="279">
        <v>1</v>
      </c>
    </row>
    <row r="58" spans="1:6">
      <c r="A58" s="279" t="s">
        <v>859</v>
      </c>
      <c r="B58" s="280" t="s">
        <v>860</v>
      </c>
      <c r="C58" s="279" t="s">
        <v>2497</v>
      </c>
      <c r="D58" s="281">
        <v>44630</v>
      </c>
      <c r="E58" s="276" t="s">
        <v>541</v>
      </c>
    </row>
    <row r="59" spans="1:6">
      <c r="A59" s="279" t="s">
        <v>1005</v>
      </c>
      <c r="B59" s="280" t="s">
        <v>1006</v>
      </c>
      <c r="C59" s="279" t="s">
        <v>2490</v>
      </c>
      <c r="D59" s="281">
        <v>44715</v>
      </c>
      <c r="E59" s="276" t="s">
        <v>392</v>
      </c>
    </row>
    <row r="60" spans="1:6">
      <c r="A60" s="279" t="s">
        <v>443</v>
      </c>
      <c r="B60" s="280" t="s">
        <v>444</v>
      </c>
      <c r="C60" s="279" t="s">
        <v>2498</v>
      </c>
      <c r="D60" s="281">
        <v>44726</v>
      </c>
      <c r="E60" s="276" t="s">
        <v>2483</v>
      </c>
    </row>
    <row r="61" spans="1:6">
      <c r="A61" s="279" t="s">
        <v>621</v>
      </c>
      <c r="B61" s="280" t="s">
        <v>622</v>
      </c>
      <c r="C61" s="279" t="s">
        <v>2499</v>
      </c>
      <c r="D61" s="281">
        <v>43321</v>
      </c>
      <c r="E61" s="276" t="s">
        <v>2483</v>
      </c>
      <c r="F61" s="283">
        <v>1</v>
      </c>
    </row>
    <row r="62" spans="1:6">
      <c r="A62" s="279" t="s">
        <v>1881</v>
      </c>
      <c r="B62" s="280" t="s">
        <v>2500</v>
      </c>
      <c r="C62" s="279" t="s">
        <v>2488</v>
      </c>
      <c r="D62" s="281">
        <v>44784</v>
      </c>
      <c r="E62" s="276" t="s">
        <v>582</v>
      </c>
    </row>
    <row r="63" spans="1:6">
      <c r="A63" s="279" t="s">
        <v>1215</v>
      </c>
      <c r="B63" s="280" t="s">
        <v>1216</v>
      </c>
      <c r="C63" s="279" t="s">
        <v>2493</v>
      </c>
      <c r="D63" s="281">
        <v>44991</v>
      </c>
      <c r="E63" s="276" t="s">
        <v>692</v>
      </c>
    </row>
    <row r="64" spans="1:6">
      <c r="A64" s="279" t="s">
        <v>1165</v>
      </c>
      <c r="B64" s="280" t="s">
        <v>1166</v>
      </c>
      <c r="C64" s="279" t="s">
        <v>2486</v>
      </c>
      <c r="D64" s="281">
        <v>44796</v>
      </c>
      <c r="E64" s="282" t="s">
        <v>296</v>
      </c>
      <c r="F64" s="279">
        <v>1</v>
      </c>
    </row>
    <row r="65" spans="1:6">
      <c r="A65" s="279" t="s">
        <v>446</v>
      </c>
      <c r="B65" s="280" t="s">
        <v>447</v>
      </c>
      <c r="C65" s="279" t="s">
        <v>2498</v>
      </c>
      <c r="D65" s="281">
        <v>44683</v>
      </c>
      <c r="E65" s="279" t="s">
        <v>491</v>
      </c>
      <c r="F65" s="279">
        <v>1</v>
      </c>
    </row>
    <row r="66" spans="1:6">
      <c r="A66" s="279" t="s">
        <v>623</v>
      </c>
      <c r="B66" s="280" t="s">
        <v>624</v>
      </c>
      <c r="C66" s="279" t="s">
        <v>2465</v>
      </c>
      <c r="D66" s="281">
        <v>44818</v>
      </c>
      <c r="E66" s="282" t="s">
        <v>296</v>
      </c>
    </row>
    <row r="67" spans="1:6">
      <c r="A67" s="279" t="s">
        <v>384</v>
      </c>
      <c r="B67" s="280" t="s">
        <v>385</v>
      </c>
      <c r="C67" s="279" t="s">
        <v>2478</v>
      </c>
      <c r="D67" s="281">
        <v>45246</v>
      </c>
      <c r="E67" s="276" t="s">
        <v>605</v>
      </c>
    </row>
    <row r="68" spans="1:6">
      <c r="A68" s="279" t="s">
        <v>684</v>
      </c>
      <c r="B68" s="280" t="s">
        <v>685</v>
      </c>
      <c r="C68" s="279" t="s">
        <v>2449</v>
      </c>
      <c r="D68" s="281">
        <v>45070</v>
      </c>
      <c r="E68" s="279" t="s">
        <v>474</v>
      </c>
    </row>
    <row r="69" spans="1:6">
      <c r="A69" s="279" t="s">
        <v>449</v>
      </c>
      <c r="B69" s="280" t="s">
        <v>450</v>
      </c>
      <c r="C69" s="279" t="s">
        <v>2498</v>
      </c>
      <c r="D69" s="281">
        <v>44673</v>
      </c>
      <c r="E69" s="276" t="s">
        <v>582</v>
      </c>
    </row>
    <row r="70" spans="1:6">
      <c r="A70" s="279" t="s">
        <v>452</v>
      </c>
      <c r="B70" s="280" t="s">
        <v>453</v>
      </c>
      <c r="C70" s="279" t="s">
        <v>2498</v>
      </c>
      <c r="D70" s="281">
        <v>44683</v>
      </c>
      <c r="E70" s="276" t="s">
        <v>474</v>
      </c>
    </row>
    <row r="71" spans="1:6">
      <c r="A71" s="279" t="s">
        <v>687</v>
      </c>
      <c r="B71" s="280" t="s">
        <v>688</v>
      </c>
      <c r="C71" s="279" t="s">
        <v>2449</v>
      </c>
      <c r="D71" s="281">
        <v>45275</v>
      </c>
      <c r="E71" s="279" t="s">
        <v>386</v>
      </c>
    </row>
    <row r="72" spans="1:6">
      <c r="A72" s="279" t="s">
        <v>1043</v>
      </c>
      <c r="B72" s="280" t="s">
        <v>1044</v>
      </c>
      <c r="C72" s="279" t="s">
        <v>2501</v>
      </c>
      <c r="D72" s="281">
        <v>44651</v>
      </c>
      <c r="E72" s="282" t="s">
        <v>296</v>
      </c>
    </row>
    <row r="73" spans="1:6">
      <c r="A73" s="279" t="s">
        <v>454</v>
      </c>
      <c r="B73" s="280" t="s">
        <v>455</v>
      </c>
      <c r="C73" s="279" t="s">
        <v>2498</v>
      </c>
      <c r="D73" s="281">
        <v>44701</v>
      </c>
      <c r="E73" s="276" t="s">
        <v>2502</v>
      </c>
      <c r="F73" s="279">
        <v>1</v>
      </c>
    </row>
    <row r="74" spans="1:6">
      <c r="A74" s="279" t="s">
        <v>387</v>
      </c>
      <c r="B74" s="280" t="s">
        <v>388</v>
      </c>
      <c r="C74" s="279" t="s">
        <v>2478</v>
      </c>
      <c r="D74" s="281">
        <v>45086</v>
      </c>
      <c r="E74" s="282" t="s">
        <v>296</v>
      </c>
    </row>
    <row r="75" spans="1:6">
      <c r="A75" s="279" t="s">
        <v>1167</v>
      </c>
      <c r="B75" s="280" t="s">
        <v>1168</v>
      </c>
      <c r="C75" s="279" t="s">
        <v>2486</v>
      </c>
      <c r="D75" s="281">
        <v>45275</v>
      </c>
      <c r="E75" s="276" t="s">
        <v>79</v>
      </c>
    </row>
    <row r="76" spans="1:6">
      <c r="A76" s="279" t="s">
        <v>651</v>
      </c>
      <c r="B76" s="280" t="s">
        <v>652</v>
      </c>
      <c r="C76" s="279" t="s">
        <v>2491</v>
      </c>
      <c r="D76" s="281">
        <v>45275</v>
      </c>
      <c r="E76" s="276" t="s">
        <v>2503</v>
      </c>
    </row>
    <row r="77" spans="1:6">
      <c r="A77" s="279" t="s">
        <v>823</v>
      </c>
      <c r="B77" s="280" t="s">
        <v>824</v>
      </c>
      <c r="C77" s="279" t="s">
        <v>2504</v>
      </c>
      <c r="D77" s="281">
        <v>45223</v>
      </c>
      <c r="E77" s="276" t="s">
        <v>2408</v>
      </c>
      <c r="F77" s="279">
        <v>1</v>
      </c>
    </row>
    <row r="78" spans="1:6">
      <c r="A78" s="279" t="s">
        <v>736</v>
      </c>
      <c r="B78" s="280" t="s">
        <v>737</v>
      </c>
      <c r="C78" s="279" t="s">
        <v>2488</v>
      </c>
      <c r="D78" s="281">
        <v>44770</v>
      </c>
      <c r="E78" s="276" t="s">
        <v>582</v>
      </c>
    </row>
    <row r="79" spans="1:6">
      <c r="A79" s="279" t="s">
        <v>1217</v>
      </c>
      <c r="B79" s="280" t="s">
        <v>1218</v>
      </c>
      <c r="C79" s="279" t="s">
        <v>2493</v>
      </c>
      <c r="D79" s="281">
        <v>44749</v>
      </c>
      <c r="E79" s="276" t="s">
        <v>2502</v>
      </c>
    </row>
    <row r="80" spans="1:6">
      <c r="A80" s="279" t="s">
        <v>457</v>
      </c>
      <c r="B80" s="280" t="s">
        <v>458</v>
      </c>
      <c r="C80" s="279" t="s">
        <v>2498</v>
      </c>
      <c r="D80" s="281">
        <v>44677</v>
      </c>
      <c r="E80" s="276" t="s">
        <v>474</v>
      </c>
    </row>
    <row r="81" spans="1:6">
      <c r="A81" s="279" t="s">
        <v>957</v>
      </c>
      <c r="B81" s="280" t="s">
        <v>958</v>
      </c>
      <c r="C81" s="279" t="s">
        <v>2505</v>
      </c>
      <c r="D81" s="281">
        <v>44812</v>
      </c>
      <c r="E81" s="282" t="s">
        <v>296</v>
      </c>
    </row>
    <row r="82" spans="1:6">
      <c r="A82" s="279" t="s">
        <v>586</v>
      </c>
      <c r="B82" s="280" t="s">
        <v>587</v>
      </c>
      <c r="C82" s="279" t="s">
        <v>2492</v>
      </c>
      <c r="D82" s="281">
        <v>44963</v>
      </c>
      <c r="E82" s="282" t="s">
        <v>296</v>
      </c>
    </row>
    <row r="83" spans="1:6">
      <c r="A83" s="279" t="s">
        <v>862</v>
      </c>
      <c r="B83" s="280" t="s">
        <v>863</v>
      </c>
      <c r="C83" s="279" t="s">
        <v>2468</v>
      </c>
      <c r="D83" s="281">
        <v>44760</v>
      </c>
      <c r="E83" s="282" t="s">
        <v>296</v>
      </c>
      <c r="F83" s="279">
        <v>1</v>
      </c>
    </row>
    <row r="84" spans="1:6">
      <c r="A84" s="279" t="s">
        <v>236</v>
      </c>
      <c r="B84" s="280" t="s">
        <v>237</v>
      </c>
      <c r="C84" s="279" t="s">
        <v>235</v>
      </c>
      <c r="D84" s="281">
        <v>44883</v>
      </c>
      <c r="E84" s="282" t="s">
        <v>296</v>
      </c>
      <c r="F84" s="279">
        <v>2</v>
      </c>
    </row>
    <row r="85" spans="1:6">
      <c r="A85" s="279" t="s">
        <v>238</v>
      </c>
      <c r="B85" s="280" t="s">
        <v>239</v>
      </c>
      <c r="C85" s="279" t="s">
        <v>235</v>
      </c>
      <c r="D85" s="281">
        <v>45254</v>
      </c>
      <c r="E85" s="276" t="s">
        <v>2506</v>
      </c>
      <c r="F85" s="279">
        <v>2</v>
      </c>
    </row>
    <row r="86" spans="1:6">
      <c r="A86" s="279" t="s">
        <v>103</v>
      </c>
      <c r="B86" s="280" t="s">
        <v>104</v>
      </c>
      <c r="C86" s="279" t="s">
        <v>96</v>
      </c>
      <c r="D86" s="281">
        <v>44995</v>
      </c>
      <c r="E86" s="276" t="s">
        <v>288</v>
      </c>
    </row>
    <row r="87" spans="1:6">
      <c r="A87" s="279" t="s">
        <v>1449</v>
      </c>
      <c r="B87" s="280" t="s">
        <v>1450</v>
      </c>
      <c r="C87" s="279" t="s">
        <v>1448</v>
      </c>
      <c r="D87" s="281">
        <v>43874</v>
      </c>
      <c r="E87" s="276" t="s">
        <v>491</v>
      </c>
    </row>
    <row r="88" spans="1:6">
      <c r="A88" s="279" t="s">
        <v>19</v>
      </c>
      <c r="B88" s="280" t="s">
        <v>20</v>
      </c>
      <c r="C88" s="279" t="s">
        <v>13</v>
      </c>
      <c r="D88" s="281">
        <v>45189</v>
      </c>
      <c r="E88" s="279" t="s">
        <v>157</v>
      </c>
    </row>
    <row r="89" spans="1:6">
      <c r="A89" s="279" t="s">
        <v>21</v>
      </c>
      <c r="B89" s="280" t="s">
        <v>22</v>
      </c>
      <c r="C89" s="279" t="s">
        <v>13</v>
      </c>
      <c r="D89" s="281">
        <v>44902</v>
      </c>
      <c r="E89" s="276" t="s">
        <v>296</v>
      </c>
    </row>
    <row r="90" spans="1:6">
      <c r="A90" s="279" t="s">
        <v>182</v>
      </c>
      <c r="B90" s="280" t="s">
        <v>183</v>
      </c>
      <c r="C90" s="279" t="s">
        <v>172</v>
      </c>
      <c r="D90" s="281">
        <v>44861</v>
      </c>
      <c r="E90" s="279" t="s">
        <v>2507</v>
      </c>
    </row>
    <row r="91" spans="1:6">
      <c r="A91" s="279" t="s">
        <v>185</v>
      </c>
      <c r="B91" s="280" t="s">
        <v>186</v>
      </c>
      <c r="C91" s="279" t="s">
        <v>172</v>
      </c>
      <c r="D91" s="281">
        <v>44867</v>
      </c>
      <c r="E91" s="276" t="s">
        <v>296</v>
      </c>
      <c r="F91" s="279">
        <v>2</v>
      </c>
    </row>
    <row r="92" spans="1:6">
      <c r="A92" s="279" t="s">
        <v>188</v>
      </c>
      <c r="B92" s="280" t="s">
        <v>189</v>
      </c>
      <c r="C92" s="279" t="s">
        <v>172</v>
      </c>
      <c r="D92" s="281">
        <v>44998</v>
      </c>
      <c r="E92" s="276" t="s">
        <v>296</v>
      </c>
    </row>
    <row r="93" spans="1:6">
      <c r="A93" s="279" t="s">
        <v>240</v>
      </c>
      <c r="B93" s="280" t="s">
        <v>241</v>
      </c>
      <c r="C93" s="279" t="s">
        <v>235</v>
      </c>
      <c r="D93" s="287">
        <v>44383</v>
      </c>
      <c r="E93" s="276" t="s">
        <v>157</v>
      </c>
    </row>
    <row r="94" spans="1:6">
      <c r="A94" s="279" t="s">
        <v>243</v>
      </c>
      <c r="B94" s="280" t="s">
        <v>244</v>
      </c>
      <c r="C94" s="279" t="s">
        <v>235</v>
      </c>
      <c r="D94" s="287">
        <v>45194</v>
      </c>
      <c r="E94" s="276" t="s">
        <v>605</v>
      </c>
      <c r="F94" s="279">
        <v>2</v>
      </c>
    </row>
    <row r="95" spans="1:6">
      <c r="A95" s="279" t="s">
        <v>314</v>
      </c>
      <c r="B95" s="280" t="s">
        <v>315</v>
      </c>
      <c r="C95" s="279" t="s">
        <v>305</v>
      </c>
      <c r="D95" s="287">
        <v>44875</v>
      </c>
      <c r="E95" s="276" t="s">
        <v>296</v>
      </c>
    </row>
    <row r="96" spans="1:6">
      <c r="A96" s="279" t="s">
        <v>321</v>
      </c>
      <c r="B96" s="280" t="s">
        <v>322</v>
      </c>
      <c r="C96" s="279" t="s">
        <v>305</v>
      </c>
      <c r="D96" s="287">
        <v>44977</v>
      </c>
      <c r="E96" s="279" t="s">
        <v>2483</v>
      </c>
    </row>
    <row r="97" spans="1:6">
      <c r="A97" s="279" t="s">
        <v>324</v>
      </c>
      <c r="B97" s="280" t="s">
        <v>325</v>
      </c>
      <c r="C97" s="279" t="s">
        <v>305</v>
      </c>
      <c r="D97" s="287">
        <v>44880</v>
      </c>
      <c r="E97" s="276" t="s">
        <v>296</v>
      </c>
    </row>
    <row r="98" spans="1:6">
      <c r="A98" s="279" t="s">
        <v>1078</v>
      </c>
      <c r="B98" s="280" t="s">
        <v>1079</v>
      </c>
      <c r="C98" s="279" t="s">
        <v>2508</v>
      </c>
      <c r="D98" s="287">
        <v>45237</v>
      </c>
      <c r="E98" s="276" t="s">
        <v>296</v>
      </c>
    </row>
    <row r="99" spans="1:6">
      <c r="A99" s="279" t="s">
        <v>826</v>
      </c>
      <c r="B99" s="280" t="s">
        <v>827</v>
      </c>
      <c r="C99" s="279" t="s">
        <v>2504</v>
      </c>
      <c r="D99" s="287">
        <v>44841</v>
      </c>
      <c r="E99" s="276" t="s">
        <v>605</v>
      </c>
    </row>
    <row r="100" spans="1:6">
      <c r="A100" s="279" t="s">
        <v>523</v>
      </c>
      <c r="B100" s="280" t="s">
        <v>524</v>
      </c>
      <c r="C100" s="279" t="s">
        <v>2494</v>
      </c>
      <c r="D100" s="287">
        <v>44741</v>
      </c>
      <c r="E100" s="276" t="s">
        <v>2480</v>
      </c>
      <c r="F100" s="279">
        <v>1</v>
      </c>
    </row>
    <row r="101" spans="1:6">
      <c r="A101" s="279" t="s">
        <v>693</v>
      </c>
      <c r="B101" s="280" t="s">
        <v>694</v>
      </c>
      <c r="C101" s="279" t="s">
        <v>2509</v>
      </c>
      <c r="D101" s="287">
        <v>45142</v>
      </c>
      <c r="E101" s="276" t="s">
        <v>296</v>
      </c>
    </row>
    <row r="102" spans="1:6">
      <c r="A102" s="279" t="s">
        <v>105</v>
      </c>
      <c r="B102" s="280" t="s">
        <v>2424</v>
      </c>
      <c r="C102" s="279" t="s">
        <v>96</v>
      </c>
      <c r="D102" s="287">
        <v>44999</v>
      </c>
      <c r="E102" s="276" t="s">
        <v>392</v>
      </c>
    </row>
    <row r="103" spans="1:6">
      <c r="A103" s="279" t="s">
        <v>654</v>
      </c>
      <c r="B103" s="280" t="s">
        <v>655</v>
      </c>
      <c r="C103" s="279" t="s">
        <v>2491</v>
      </c>
      <c r="D103" s="287">
        <v>44981</v>
      </c>
      <c r="E103" s="276" t="s">
        <v>491</v>
      </c>
    </row>
    <row r="104" spans="1:6">
      <c r="A104" s="279" t="s">
        <v>24</v>
      </c>
      <c r="B104" s="280" t="s">
        <v>25</v>
      </c>
      <c r="C104" s="279" t="s">
        <v>13</v>
      </c>
      <c r="D104" s="287">
        <v>44858</v>
      </c>
      <c r="E104" s="276" t="s">
        <v>2480</v>
      </c>
    </row>
    <row r="105" spans="1:6">
      <c r="A105" s="279" t="s">
        <v>107</v>
      </c>
      <c r="B105" s="280" t="s">
        <v>108</v>
      </c>
      <c r="C105" s="279" t="s">
        <v>96</v>
      </c>
      <c r="D105" s="287">
        <v>44894</v>
      </c>
      <c r="E105" s="279" t="s">
        <v>491</v>
      </c>
    </row>
    <row r="106" spans="1:6">
      <c r="A106" s="279" t="s">
        <v>109</v>
      </c>
      <c r="B106" s="280" t="s">
        <v>110</v>
      </c>
      <c r="C106" s="279" t="s">
        <v>96</v>
      </c>
      <c r="D106" s="287">
        <v>44706</v>
      </c>
      <c r="E106" s="279" t="s">
        <v>474</v>
      </c>
    </row>
    <row r="107" spans="1:6">
      <c r="A107" s="279" t="s">
        <v>245</v>
      </c>
      <c r="B107" s="280" t="s">
        <v>246</v>
      </c>
      <c r="C107" s="279" t="s">
        <v>235</v>
      </c>
      <c r="D107" s="287">
        <v>44624</v>
      </c>
      <c r="E107" s="276" t="s">
        <v>296</v>
      </c>
    </row>
    <row r="108" spans="1:6">
      <c r="A108" s="279" t="s">
        <v>326</v>
      </c>
      <c r="B108" s="280" t="s">
        <v>327</v>
      </c>
      <c r="C108" s="279" t="s">
        <v>305</v>
      </c>
      <c r="D108" s="287">
        <v>45006</v>
      </c>
      <c r="E108" s="276" t="s">
        <v>79</v>
      </c>
    </row>
    <row r="109" spans="1:6">
      <c r="A109" s="279" t="s">
        <v>247</v>
      </c>
      <c r="B109" s="280" t="s">
        <v>248</v>
      </c>
      <c r="C109" s="279" t="s">
        <v>235</v>
      </c>
      <c r="D109" s="287">
        <v>44270</v>
      </c>
      <c r="E109" s="276" t="s">
        <v>491</v>
      </c>
      <c r="F109" s="279">
        <v>2</v>
      </c>
    </row>
    <row r="110" spans="1:6">
      <c r="A110" s="279" t="s">
        <v>328</v>
      </c>
      <c r="B110" s="280" t="s">
        <v>329</v>
      </c>
      <c r="C110" s="279" t="s">
        <v>305</v>
      </c>
      <c r="D110" s="287">
        <v>44728</v>
      </c>
      <c r="E110" s="283" t="s">
        <v>1100</v>
      </c>
    </row>
    <row r="111" spans="1:6">
      <c r="A111" s="279" t="s">
        <v>112</v>
      </c>
      <c r="B111" s="280" t="s">
        <v>113</v>
      </c>
      <c r="C111" s="279" t="s">
        <v>96</v>
      </c>
      <c r="D111" s="287">
        <v>45070</v>
      </c>
      <c r="E111" s="276" t="s">
        <v>491</v>
      </c>
      <c r="F111" s="279">
        <v>2</v>
      </c>
    </row>
    <row r="112" spans="1:6">
      <c r="A112" s="279" t="s">
        <v>250</v>
      </c>
      <c r="B112" s="280" t="s">
        <v>251</v>
      </c>
      <c r="C112" s="279" t="s">
        <v>235</v>
      </c>
      <c r="D112" s="287">
        <v>44491</v>
      </c>
      <c r="E112" s="276" t="s">
        <v>296</v>
      </c>
    </row>
    <row r="113" spans="1:6">
      <c r="A113" s="279" t="s">
        <v>116</v>
      </c>
      <c r="B113" s="280" t="s">
        <v>117</v>
      </c>
      <c r="C113" s="279" t="s">
        <v>96</v>
      </c>
      <c r="D113" s="287">
        <v>44265</v>
      </c>
      <c r="E113" s="276" t="s">
        <v>474</v>
      </c>
    </row>
    <row r="114" spans="1:6">
      <c r="A114" s="279" t="s">
        <v>252</v>
      </c>
      <c r="B114" s="280" t="s">
        <v>253</v>
      </c>
      <c r="C114" s="279" t="s">
        <v>235</v>
      </c>
      <c r="D114" s="287">
        <v>44980</v>
      </c>
      <c r="E114" s="276" t="s">
        <v>605</v>
      </c>
    </row>
    <row r="115" spans="1:6">
      <c r="A115" s="279" t="s">
        <v>118</v>
      </c>
      <c r="B115" s="280" t="s">
        <v>119</v>
      </c>
      <c r="C115" s="279" t="s">
        <v>96</v>
      </c>
      <c r="D115" s="287">
        <v>45064</v>
      </c>
      <c r="E115" s="276" t="s">
        <v>2510</v>
      </c>
      <c r="F115" s="279">
        <v>2</v>
      </c>
    </row>
    <row r="116" spans="1:6">
      <c r="A116" s="279" t="s">
        <v>121</v>
      </c>
      <c r="B116" s="280" t="s">
        <v>122</v>
      </c>
      <c r="C116" s="279" t="s">
        <v>96</v>
      </c>
      <c r="D116" s="287">
        <v>45009</v>
      </c>
      <c r="E116" s="276" t="s">
        <v>1100</v>
      </c>
    </row>
    <row r="117" spans="1:6">
      <c r="A117" s="279" t="s">
        <v>190</v>
      </c>
      <c r="B117" s="280" t="s">
        <v>191</v>
      </c>
      <c r="C117" s="279" t="s">
        <v>172</v>
      </c>
      <c r="D117" s="287">
        <v>45240</v>
      </c>
      <c r="E117" s="276" t="s">
        <v>296</v>
      </c>
    </row>
    <row r="118" spans="1:6">
      <c r="A118" s="279" t="s">
        <v>254</v>
      </c>
      <c r="B118" s="280" t="s">
        <v>255</v>
      </c>
      <c r="C118" s="279" t="s">
        <v>235</v>
      </c>
      <c r="D118" s="287">
        <v>44992</v>
      </c>
      <c r="E118" s="276" t="s">
        <v>296</v>
      </c>
    </row>
    <row r="119" spans="1:6">
      <c r="A119" s="279" t="s">
        <v>123</v>
      </c>
      <c r="B119" s="280" t="s">
        <v>124</v>
      </c>
      <c r="C119" s="279" t="s">
        <v>96</v>
      </c>
      <c r="D119" s="287">
        <v>44348</v>
      </c>
      <c r="E119" s="276" t="s">
        <v>2511</v>
      </c>
    </row>
    <row r="120" spans="1:6">
      <c r="A120" s="279" t="s">
        <v>192</v>
      </c>
      <c r="B120" s="280" t="s">
        <v>193</v>
      </c>
      <c r="C120" s="279" t="s">
        <v>172</v>
      </c>
      <c r="D120" s="287">
        <v>45275</v>
      </c>
      <c r="E120" s="276" t="s">
        <v>2512</v>
      </c>
    </row>
    <row r="121" spans="1:6">
      <c r="A121" s="279" t="s">
        <v>194</v>
      </c>
      <c r="B121" s="280" t="s">
        <v>195</v>
      </c>
      <c r="C121" s="279" t="s">
        <v>172</v>
      </c>
      <c r="D121" s="287">
        <v>44526</v>
      </c>
      <c r="E121" s="276" t="s">
        <v>296</v>
      </c>
    </row>
    <row r="122" spans="1:6">
      <c r="A122" s="279" t="s">
        <v>196</v>
      </c>
      <c r="B122" s="280" t="s">
        <v>197</v>
      </c>
      <c r="C122" s="279" t="s">
        <v>172</v>
      </c>
      <c r="D122" s="287">
        <v>44516</v>
      </c>
      <c r="E122" s="276" t="s">
        <v>296</v>
      </c>
    </row>
    <row r="123" spans="1:6">
      <c r="A123" s="279" t="s">
        <v>1263</v>
      </c>
      <c r="B123" s="280" t="s">
        <v>1264</v>
      </c>
      <c r="C123" s="279" t="s">
        <v>1260</v>
      </c>
      <c r="D123" s="287">
        <v>45128</v>
      </c>
      <c r="E123" s="279" t="s">
        <v>1100</v>
      </c>
      <c r="F123" s="279">
        <v>2</v>
      </c>
    </row>
    <row r="124" spans="1:6">
      <c r="A124" s="279" t="s">
        <v>30</v>
      </c>
      <c r="B124" s="280" t="s">
        <v>31</v>
      </c>
      <c r="C124" s="279" t="s">
        <v>13</v>
      </c>
      <c r="D124" s="287">
        <v>45121</v>
      </c>
      <c r="E124" s="276" t="s">
        <v>2513</v>
      </c>
      <c r="F124" s="279">
        <v>2</v>
      </c>
    </row>
    <row r="125" spans="1:6">
      <c r="A125" s="279" t="s">
        <v>126</v>
      </c>
      <c r="B125" s="280" t="s">
        <v>127</v>
      </c>
      <c r="C125" s="279" t="s">
        <v>96</v>
      </c>
      <c r="D125" s="287">
        <v>44862</v>
      </c>
      <c r="E125" s="276" t="s">
        <v>296</v>
      </c>
    </row>
    <row r="126" spans="1:6">
      <c r="A126" s="279" t="s">
        <v>331</v>
      </c>
      <c r="B126" s="280" t="s">
        <v>332</v>
      </c>
      <c r="C126" s="279" t="s">
        <v>305</v>
      </c>
      <c r="D126" s="287">
        <v>45035</v>
      </c>
      <c r="E126" s="276" t="s">
        <v>296</v>
      </c>
    </row>
    <row r="127" spans="1:6">
      <c r="A127" s="279" t="s">
        <v>256</v>
      </c>
      <c r="B127" s="280" t="s">
        <v>257</v>
      </c>
      <c r="C127" s="279" t="s">
        <v>235</v>
      </c>
      <c r="D127" s="287">
        <v>45180</v>
      </c>
      <c r="E127" s="276" t="s">
        <v>157</v>
      </c>
    </row>
    <row r="128" spans="1:6">
      <c r="A128" s="279" t="s">
        <v>198</v>
      </c>
      <c r="B128" s="280" t="s">
        <v>199</v>
      </c>
      <c r="C128" s="279" t="s">
        <v>172</v>
      </c>
      <c r="D128" s="287">
        <v>45261</v>
      </c>
      <c r="E128" s="276" t="s">
        <v>79</v>
      </c>
      <c r="F128" s="279">
        <v>2</v>
      </c>
    </row>
    <row r="129" spans="1:6">
      <c r="A129" s="279" t="s">
        <v>129</v>
      </c>
      <c r="B129" s="280" t="s">
        <v>130</v>
      </c>
      <c r="C129" s="279" t="s">
        <v>96</v>
      </c>
      <c r="D129" s="287">
        <v>44498</v>
      </c>
      <c r="E129" s="276" t="s">
        <v>491</v>
      </c>
    </row>
    <row r="130" spans="1:6">
      <c r="A130" s="279" t="s">
        <v>333</v>
      </c>
      <c r="B130" s="280" t="s">
        <v>334</v>
      </c>
      <c r="C130" s="279" t="s">
        <v>305</v>
      </c>
      <c r="D130" s="287">
        <v>44228</v>
      </c>
      <c r="E130" s="276" t="s">
        <v>79</v>
      </c>
    </row>
    <row r="131" spans="1:6">
      <c r="A131" s="279" t="s">
        <v>335</v>
      </c>
      <c r="B131" s="280" t="s">
        <v>336</v>
      </c>
      <c r="C131" s="279" t="s">
        <v>305</v>
      </c>
      <c r="D131" s="287">
        <v>45071</v>
      </c>
      <c r="E131" s="276" t="s">
        <v>157</v>
      </c>
      <c r="F131" s="279">
        <v>2</v>
      </c>
    </row>
    <row r="132" spans="1:6">
      <c r="A132" s="279" t="s">
        <v>1451</v>
      </c>
      <c r="B132" s="280" t="s">
        <v>1452</v>
      </c>
      <c r="C132" s="279" t="s">
        <v>1448</v>
      </c>
      <c r="D132" s="287">
        <v>43476</v>
      </c>
      <c r="E132" s="276" t="s">
        <v>2514</v>
      </c>
      <c r="F132" s="279">
        <v>2</v>
      </c>
    </row>
    <row r="133" spans="1:6">
      <c r="A133" s="279" t="s">
        <v>204</v>
      </c>
      <c r="B133" s="280" t="s">
        <v>205</v>
      </c>
      <c r="C133" s="279" t="s">
        <v>172</v>
      </c>
      <c r="D133" s="287">
        <v>45265</v>
      </c>
      <c r="E133" s="276" t="s">
        <v>79</v>
      </c>
      <c r="F133" s="279">
        <v>2</v>
      </c>
    </row>
    <row r="134" spans="1:6">
      <c r="A134" s="279" t="s">
        <v>259</v>
      </c>
      <c r="B134" s="280" t="s">
        <v>260</v>
      </c>
      <c r="C134" s="279" t="s">
        <v>235</v>
      </c>
      <c r="D134" s="287">
        <v>45252</v>
      </c>
      <c r="E134" s="276" t="s">
        <v>2483</v>
      </c>
    </row>
    <row r="135" spans="1:6">
      <c r="A135" s="279" t="s">
        <v>337</v>
      </c>
      <c r="B135" s="280" t="s">
        <v>338</v>
      </c>
      <c r="C135" s="279" t="s">
        <v>305</v>
      </c>
      <c r="D135" s="287">
        <v>44768</v>
      </c>
      <c r="E135" s="276" t="s">
        <v>541</v>
      </c>
    </row>
    <row r="136" spans="1:6">
      <c r="A136" s="279" t="s">
        <v>132</v>
      </c>
      <c r="B136" s="280" t="s">
        <v>133</v>
      </c>
      <c r="C136" s="279" t="s">
        <v>96</v>
      </c>
      <c r="D136" s="287">
        <v>45114</v>
      </c>
      <c r="E136" s="276" t="s">
        <v>296</v>
      </c>
      <c r="F136" s="279">
        <v>2</v>
      </c>
    </row>
    <row r="137" spans="1:6">
      <c r="A137" s="279" t="s">
        <v>206</v>
      </c>
      <c r="B137" s="280" t="s">
        <v>207</v>
      </c>
      <c r="C137" s="279" t="s">
        <v>172</v>
      </c>
      <c r="D137" s="287">
        <v>45075</v>
      </c>
      <c r="E137" s="276" t="s">
        <v>296</v>
      </c>
    </row>
    <row r="138" spans="1:6">
      <c r="A138" s="279" t="s">
        <v>340</v>
      </c>
      <c r="B138" s="280" t="s">
        <v>341</v>
      </c>
      <c r="C138" s="279" t="s">
        <v>305</v>
      </c>
      <c r="D138" s="287">
        <v>44993</v>
      </c>
      <c r="E138" s="276" t="s">
        <v>2511</v>
      </c>
    </row>
    <row r="139" spans="1:6">
      <c r="A139" s="279" t="s">
        <v>209</v>
      </c>
      <c r="B139" s="280" t="s">
        <v>210</v>
      </c>
      <c r="C139" s="279" t="s">
        <v>172</v>
      </c>
      <c r="D139" s="287">
        <v>45275</v>
      </c>
      <c r="E139" s="276" t="s">
        <v>605</v>
      </c>
    </row>
    <row r="140" spans="1:6">
      <c r="A140" s="279" t="s">
        <v>1463</v>
      </c>
      <c r="B140" s="280" t="s">
        <v>1464</v>
      </c>
      <c r="C140" s="279" t="s">
        <v>1462</v>
      </c>
      <c r="D140" s="287">
        <v>44889</v>
      </c>
      <c r="E140" s="276" t="s">
        <v>491</v>
      </c>
      <c r="F140" s="279">
        <v>2</v>
      </c>
    </row>
    <row r="141" spans="1:6">
      <c r="A141" s="279" t="s">
        <v>1908</v>
      </c>
      <c r="B141" s="280" t="s">
        <v>212</v>
      </c>
      <c r="C141" s="279" t="s">
        <v>172</v>
      </c>
      <c r="D141" s="287">
        <v>44760</v>
      </c>
      <c r="E141" s="276" t="s">
        <v>157</v>
      </c>
    </row>
    <row r="142" spans="1:6">
      <c r="A142" s="279" t="s">
        <v>343</v>
      </c>
      <c r="B142" s="280" t="s">
        <v>344</v>
      </c>
      <c r="C142" s="279" t="s">
        <v>305</v>
      </c>
      <c r="D142" s="287">
        <v>45244</v>
      </c>
      <c r="E142" s="276" t="s">
        <v>79</v>
      </c>
    </row>
    <row r="143" spans="1:6">
      <c r="A143" s="279" t="s">
        <v>134</v>
      </c>
      <c r="B143" s="280" t="s">
        <v>135</v>
      </c>
      <c r="C143" s="279" t="s">
        <v>96</v>
      </c>
      <c r="D143" s="287">
        <v>44831</v>
      </c>
      <c r="E143" s="276" t="s">
        <v>2515</v>
      </c>
      <c r="F143" s="279">
        <v>2</v>
      </c>
    </row>
    <row r="144" spans="1:6">
      <c r="A144" s="279" t="s">
        <v>41</v>
      </c>
      <c r="B144" s="280" t="s">
        <v>42</v>
      </c>
      <c r="C144" s="279" t="s">
        <v>13</v>
      </c>
      <c r="D144" s="287">
        <v>44938</v>
      </c>
      <c r="E144" s="276" t="s">
        <v>296</v>
      </c>
    </row>
    <row r="145" spans="1:6">
      <c r="A145" s="279" t="s">
        <v>261</v>
      </c>
      <c r="B145" s="280" t="s">
        <v>262</v>
      </c>
      <c r="C145" s="279" t="s">
        <v>235</v>
      </c>
      <c r="D145" s="287">
        <v>45174</v>
      </c>
      <c r="E145" s="276" t="s">
        <v>605</v>
      </c>
    </row>
    <row r="146" spans="1:6">
      <c r="A146" s="279" t="s">
        <v>349</v>
      </c>
      <c r="B146" s="280" t="s">
        <v>350</v>
      </c>
      <c r="C146" s="279" t="s">
        <v>305</v>
      </c>
      <c r="D146" s="287">
        <v>45205</v>
      </c>
      <c r="E146" s="276" t="s">
        <v>296</v>
      </c>
    </row>
    <row r="147" spans="1:6">
      <c r="A147" s="279" t="s">
        <v>1911</v>
      </c>
      <c r="B147" s="280" t="s">
        <v>2516</v>
      </c>
      <c r="C147" s="279" t="s">
        <v>96</v>
      </c>
      <c r="D147" s="287">
        <v>43378</v>
      </c>
      <c r="E147" s="276" t="s">
        <v>491</v>
      </c>
    </row>
    <row r="148" spans="1:6">
      <c r="A148" s="279" t="s">
        <v>44</v>
      </c>
      <c r="B148" s="280" t="s">
        <v>45</v>
      </c>
      <c r="C148" s="279" t="s">
        <v>13</v>
      </c>
      <c r="D148" s="287">
        <v>45162</v>
      </c>
      <c r="E148" s="279" t="s">
        <v>79</v>
      </c>
    </row>
    <row r="149" spans="1:6">
      <c r="A149" s="279" t="s">
        <v>526</v>
      </c>
      <c r="B149" s="280" t="s">
        <v>527</v>
      </c>
      <c r="C149" s="279" t="s">
        <v>2494</v>
      </c>
      <c r="D149" s="287">
        <v>43859</v>
      </c>
      <c r="E149" s="276" t="s">
        <v>491</v>
      </c>
    </row>
    <row r="150" spans="1:6">
      <c r="A150" s="279" t="s">
        <v>390</v>
      </c>
      <c r="B150" s="280" t="s">
        <v>391</v>
      </c>
      <c r="C150" s="279" t="s">
        <v>2517</v>
      </c>
      <c r="D150" s="287">
        <v>45076</v>
      </c>
      <c r="E150" s="276" t="s">
        <v>79</v>
      </c>
    </row>
    <row r="151" spans="1:6">
      <c r="A151" s="279" t="s">
        <v>1169</v>
      </c>
      <c r="B151" s="280" t="s">
        <v>1170</v>
      </c>
      <c r="C151" s="279" t="s">
        <v>2486</v>
      </c>
      <c r="D151" s="287">
        <v>45174</v>
      </c>
      <c r="E151" s="276" t="s">
        <v>1100</v>
      </c>
    </row>
    <row r="152" spans="1:6">
      <c r="A152" s="279" t="s">
        <v>829</v>
      </c>
      <c r="B152" s="280" t="s">
        <v>830</v>
      </c>
      <c r="C152" s="279" t="s">
        <v>2504</v>
      </c>
      <c r="D152" s="287">
        <v>44817</v>
      </c>
      <c r="E152" s="276" t="s">
        <v>605</v>
      </c>
      <c r="F152" s="279">
        <v>1</v>
      </c>
    </row>
    <row r="153" spans="1:6">
      <c r="A153" s="279" t="s">
        <v>588</v>
      </c>
      <c r="B153" s="280" t="s">
        <v>589</v>
      </c>
      <c r="C153" s="279" t="s">
        <v>2492</v>
      </c>
      <c r="D153" s="287">
        <v>44900</v>
      </c>
      <c r="E153" s="276" t="s">
        <v>2408</v>
      </c>
    </row>
    <row r="154" spans="1:6">
      <c r="A154" s="279" t="s">
        <v>903</v>
      </c>
      <c r="B154" s="280" t="s">
        <v>904</v>
      </c>
      <c r="C154" s="279" t="s">
        <v>2489</v>
      </c>
      <c r="D154" s="287">
        <v>44764</v>
      </c>
      <c r="E154" s="276" t="s">
        <v>296</v>
      </c>
    </row>
    <row r="155" spans="1:6">
      <c r="A155" s="279" t="s">
        <v>865</v>
      </c>
      <c r="B155" s="280" t="s">
        <v>866</v>
      </c>
      <c r="C155" s="279" t="s">
        <v>2497</v>
      </c>
      <c r="D155" s="287">
        <v>44769</v>
      </c>
      <c r="E155" s="276" t="s">
        <v>2483</v>
      </c>
      <c r="F155" s="279">
        <v>1</v>
      </c>
    </row>
    <row r="156" spans="1:6">
      <c r="A156" s="279" t="s">
        <v>868</v>
      </c>
      <c r="B156" s="280" t="s">
        <v>869</v>
      </c>
      <c r="C156" s="279" t="s">
        <v>2497</v>
      </c>
      <c r="D156" s="287">
        <v>44880</v>
      </c>
      <c r="E156" s="276" t="s">
        <v>2483</v>
      </c>
    </row>
    <row r="157" spans="1:6">
      <c r="A157" s="279" t="s">
        <v>738</v>
      </c>
      <c r="B157" s="280" t="s">
        <v>739</v>
      </c>
      <c r="C157" s="279" t="s">
        <v>2488</v>
      </c>
      <c r="D157" s="287">
        <v>45198</v>
      </c>
      <c r="E157" s="276" t="s">
        <v>296</v>
      </c>
    </row>
    <row r="158" spans="1:6">
      <c r="A158" s="279" t="s">
        <v>695</v>
      </c>
      <c r="B158" s="280" t="s">
        <v>696</v>
      </c>
      <c r="C158" s="279" t="s">
        <v>2509</v>
      </c>
      <c r="D158" s="287">
        <v>44790</v>
      </c>
      <c r="E158" s="276" t="s">
        <v>541</v>
      </c>
    </row>
    <row r="159" spans="1:6">
      <c r="A159" s="279" t="s">
        <v>460</v>
      </c>
      <c r="B159" s="280" t="s">
        <v>461</v>
      </c>
      <c r="C159" s="279" t="s">
        <v>2498</v>
      </c>
      <c r="D159" s="287">
        <v>44679</v>
      </c>
      <c r="E159" s="276" t="s">
        <v>491</v>
      </c>
    </row>
    <row r="160" spans="1:6">
      <c r="A160" s="279" t="s">
        <v>959</v>
      </c>
      <c r="B160" s="280" t="s">
        <v>960</v>
      </c>
      <c r="C160" s="279" t="s">
        <v>2505</v>
      </c>
      <c r="D160" s="287">
        <v>45132</v>
      </c>
      <c r="E160" s="276" t="s">
        <v>491</v>
      </c>
      <c r="F160" s="279">
        <v>1</v>
      </c>
    </row>
    <row r="161" spans="1:6">
      <c r="A161" s="279" t="s">
        <v>1220</v>
      </c>
      <c r="B161" s="280" t="s">
        <v>1221</v>
      </c>
      <c r="C161" s="279" t="s">
        <v>2493</v>
      </c>
      <c r="D161" s="287">
        <v>44782</v>
      </c>
      <c r="E161" s="276" t="s">
        <v>2510</v>
      </c>
    </row>
    <row r="162" spans="1:6">
      <c r="A162" s="279" t="s">
        <v>214</v>
      </c>
      <c r="B162" s="280" t="s">
        <v>215</v>
      </c>
      <c r="C162" s="279" t="s">
        <v>172</v>
      </c>
      <c r="D162" s="287">
        <v>45156</v>
      </c>
      <c r="E162" s="276" t="s">
        <v>605</v>
      </c>
    </row>
    <row r="163" spans="1:6">
      <c r="A163" s="279" t="s">
        <v>463</v>
      </c>
      <c r="B163" s="280" t="s">
        <v>464</v>
      </c>
      <c r="C163" s="279" t="s">
        <v>2498</v>
      </c>
      <c r="D163" s="287">
        <v>44685</v>
      </c>
      <c r="E163" s="276" t="s">
        <v>605</v>
      </c>
    </row>
    <row r="164" spans="1:6">
      <c r="A164" s="279" t="s">
        <v>590</v>
      </c>
      <c r="B164" s="280" t="s">
        <v>591</v>
      </c>
      <c r="C164" s="279" t="s">
        <v>2492</v>
      </c>
      <c r="D164" s="287">
        <v>44592</v>
      </c>
      <c r="E164" s="276" t="s">
        <v>2410</v>
      </c>
    </row>
    <row r="165" spans="1:6">
      <c r="A165" s="279" t="s">
        <v>1011</v>
      </c>
      <c r="B165" s="280" t="s">
        <v>1012</v>
      </c>
      <c r="C165" s="279" t="s">
        <v>2497</v>
      </c>
      <c r="D165" s="287">
        <v>44950</v>
      </c>
      <c r="E165" s="279" t="s">
        <v>2518</v>
      </c>
    </row>
    <row r="166" spans="1:6">
      <c r="A166" s="279" t="s">
        <v>987</v>
      </c>
      <c r="B166" s="280" t="s">
        <v>988</v>
      </c>
      <c r="C166" s="279" t="s">
        <v>2495</v>
      </c>
      <c r="D166" s="287">
        <v>45148</v>
      </c>
      <c r="E166" s="276" t="s">
        <v>2483</v>
      </c>
    </row>
    <row r="167" spans="1:6">
      <c r="A167" s="279" t="s">
        <v>529</v>
      </c>
      <c r="B167" s="280" t="s">
        <v>530</v>
      </c>
      <c r="C167" s="279" t="s">
        <v>2494</v>
      </c>
      <c r="D167" s="287">
        <v>45009</v>
      </c>
      <c r="E167" s="279" t="s">
        <v>2408</v>
      </c>
    </row>
    <row r="168" spans="1:6">
      <c r="A168" s="279" t="s">
        <v>905</v>
      </c>
      <c r="B168" s="280" t="s">
        <v>906</v>
      </c>
      <c r="C168" s="279" t="s">
        <v>2489</v>
      </c>
      <c r="D168" s="287">
        <v>44972</v>
      </c>
      <c r="E168" s="279" t="s">
        <v>79</v>
      </c>
    </row>
    <row r="169" spans="1:6">
      <c r="A169" s="279" t="s">
        <v>740</v>
      </c>
      <c r="B169" s="280" t="s">
        <v>741</v>
      </c>
      <c r="C169" s="279" t="s">
        <v>2488</v>
      </c>
      <c r="D169" s="287">
        <v>44728</v>
      </c>
      <c r="E169" s="276" t="s">
        <v>605</v>
      </c>
      <c r="F169" s="279">
        <v>3</v>
      </c>
    </row>
    <row r="170" spans="1:6">
      <c r="A170" s="279" t="s">
        <v>907</v>
      </c>
      <c r="B170" s="280" t="s">
        <v>908</v>
      </c>
      <c r="C170" s="279" t="s">
        <v>2489</v>
      </c>
      <c r="D170" s="287">
        <v>45196</v>
      </c>
      <c r="E170" s="276" t="s">
        <v>392</v>
      </c>
      <c r="F170" s="279">
        <v>1</v>
      </c>
    </row>
    <row r="171" spans="1:6">
      <c r="A171" s="279" t="s">
        <v>466</v>
      </c>
      <c r="B171" s="280" t="s">
        <v>467</v>
      </c>
      <c r="C171" s="279" t="s">
        <v>2498</v>
      </c>
      <c r="D171" s="287">
        <v>45161</v>
      </c>
      <c r="E171" s="276" t="s">
        <v>605</v>
      </c>
      <c r="F171" s="279">
        <v>1</v>
      </c>
    </row>
    <row r="172" spans="1:6">
      <c r="A172" s="279" t="s">
        <v>870</v>
      </c>
      <c r="B172" s="280" t="s">
        <v>871</v>
      </c>
      <c r="C172" s="279" t="s">
        <v>2497</v>
      </c>
      <c r="D172" s="287">
        <v>45117</v>
      </c>
      <c r="E172" s="276" t="s">
        <v>541</v>
      </c>
      <c r="F172" s="279">
        <v>1</v>
      </c>
    </row>
    <row r="173" spans="1:6">
      <c r="A173" s="279" t="s">
        <v>469</v>
      </c>
      <c r="B173" s="280" t="s">
        <v>470</v>
      </c>
      <c r="C173" s="279" t="s">
        <v>2498</v>
      </c>
      <c r="D173" s="287">
        <v>44693</v>
      </c>
      <c r="E173" s="276" t="s">
        <v>474</v>
      </c>
    </row>
    <row r="174" spans="1:6">
      <c r="A174" s="279" t="s">
        <v>1013</v>
      </c>
      <c r="B174" s="280" t="s">
        <v>1014</v>
      </c>
      <c r="C174" s="279" t="s">
        <v>2490</v>
      </c>
      <c r="D174" s="287">
        <v>45246</v>
      </c>
      <c r="E174" s="279" t="s">
        <v>288</v>
      </c>
    </row>
    <row r="175" spans="1:6">
      <c r="A175" s="279" t="s">
        <v>1121</v>
      </c>
      <c r="B175" s="280" t="s">
        <v>1122</v>
      </c>
      <c r="C175" s="279" t="s">
        <v>2487</v>
      </c>
      <c r="D175" s="287">
        <v>45154</v>
      </c>
      <c r="E175" s="276" t="s">
        <v>296</v>
      </c>
    </row>
    <row r="176" spans="1:6">
      <c r="A176" s="279" t="s">
        <v>1016</v>
      </c>
      <c r="B176" s="280" t="s">
        <v>1017</v>
      </c>
      <c r="C176" s="279" t="s">
        <v>2490</v>
      </c>
      <c r="D176" s="287">
        <v>44972</v>
      </c>
      <c r="E176" s="276" t="s">
        <v>296</v>
      </c>
    </row>
    <row r="177" spans="1:6">
      <c r="A177" s="279" t="s">
        <v>1047</v>
      </c>
      <c r="B177" s="280" t="s">
        <v>1048</v>
      </c>
      <c r="C177" s="279" t="s">
        <v>2501</v>
      </c>
      <c r="D177" s="287">
        <v>44774</v>
      </c>
      <c r="E177" s="276" t="s">
        <v>296</v>
      </c>
    </row>
    <row r="178" spans="1:6">
      <c r="A178" s="279" t="s">
        <v>531</v>
      </c>
      <c r="B178" s="280" t="s">
        <v>532</v>
      </c>
      <c r="C178" s="279" t="s">
        <v>2494</v>
      </c>
      <c r="D178" s="287">
        <v>44531</v>
      </c>
      <c r="E178" s="276" t="s">
        <v>474</v>
      </c>
    </row>
    <row r="179" spans="1:6">
      <c r="A179" s="279" t="s">
        <v>534</v>
      </c>
      <c r="B179" s="280" t="s">
        <v>535</v>
      </c>
      <c r="C179" s="279" t="s">
        <v>2494</v>
      </c>
      <c r="D179" s="287">
        <v>44602</v>
      </c>
      <c r="E179" s="276" t="s">
        <v>157</v>
      </c>
    </row>
    <row r="180" spans="1:6">
      <c r="A180" s="279" t="s">
        <v>991</v>
      </c>
      <c r="B180" s="280" t="s">
        <v>992</v>
      </c>
      <c r="C180" s="279" t="s">
        <v>2495</v>
      </c>
      <c r="D180" s="287">
        <v>44243</v>
      </c>
      <c r="E180" s="276" t="s">
        <v>474</v>
      </c>
      <c r="F180" s="279">
        <v>1</v>
      </c>
    </row>
    <row r="181" spans="1:6">
      <c r="A181" s="279" t="s">
        <v>472</v>
      </c>
      <c r="B181" s="280" t="s">
        <v>473</v>
      </c>
      <c r="C181" s="279" t="s">
        <v>2498</v>
      </c>
      <c r="D181" s="287">
        <v>44774</v>
      </c>
      <c r="E181" s="276" t="s">
        <v>474</v>
      </c>
    </row>
    <row r="182" spans="1:6">
      <c r="A182" s="279" t="s">
        <v>536</v>
      </c>
      <c r="B182" s="280" t="s">
        <v>537</v>
      </c>
      <c r="C182" s="279" t="s">
        <v>2494</v>
      </c>
      <c r="D182" s="287">
        <v>45026</v>
      </c>
      <c r="E182" s="276" t="s">
        <v>392</v>
      </c>
    </row>
    <row r="183" spans="1:6">
      <c r="A183" s="279" t="s">
        <v>910</v>
      </c>
      <c r="B183" s="280" t="s">
        <v>911</v>
      </c>
      <c r="C183" s="279" t="s">
        <v>2489</v>
      </c>
      <c r="D183" s="287">
        <v>45141</v>
      </c>
      <c r="E183" s="276" t="s">
        <v>582</v>
      </c>
    </row>
    <row r="184" spans="1:6">
      <c r="A184" s="279" t="s">
        <v>1171</v>
      </c>
      <c r="B184" s="280" t="s">
        <v>1172</v>
      </c>
      <c r="C184" s="279" t="s">
        <v>2486</v>
      </c>
      <c r="D184" s="287">
        <v>45177</v>
      </c>
      <c r="E184" s="276" t="s">
        <v>2511</v>
      </c>
    </row>
    <row r="185" spans="1:6">
      <c r="A185" s="279" t="s">
        <v>1173</v>
      </c>
      <c r="B185" s="280" t="s">
        <v>1174</v>
      </c>
      <c r="C185" s="279" t="s">
        <v>2486</v>
      </c>
      <c r="D185" s="287">
        <v>44727</v>
      </c>
      <c r="E185" s="276" t="s">
        <v>474</v>
      </c>
    </row>
    <row r="186" spans="1:6">
      <c r="A186" s="279" t="s">
        <v>539</v>
      </c>
      <c r="B186" s="280" t="s">
        <v>540</v>
      </c>
      <c r="C186" s="279" t="s">
        <v>2494</v>
      </c>
      <c r="D186" s="287">
        <v>44592</v>
      </c>
      <c r="E186" s="276" t="s">
        <v>541</v>
      </c>
    </row>
    <row r="187" spans="1:6">
      <c r="A187" s="279" t="s">
        <v>1176</v>
      </c>
      <c r="B187" s="280" t="s">
        <v>1177</v>
      </c>
      <c r="C187" s="279" t="s">
        <v>2486</v>
      </c>
      <c r="D187" s="287">
        <v>44946</v>
      </c>
      <c r="E187" s="276" t="s">
        <v>605</v>
      </c>
    </row>
    <row r="188" spans="1:6">
      <c r="A188" s="279" t="s">
        <v>961</v>
      </c>
      <c r="B188" s="280" t="s">
        <v>962</v>
      </c>
      <c r="C188" s="279" t="s">
        <v>2505</v>
      </c>
      <c r="D188" s="287">
        <v>45197</v>
      </c>
      <c r="E188" s="276" t="s">
        <v>79</v>
      </c>
      <c r="F188" s="279">
        <v>2</v>
      </c>
    </row>
    <row r="189" spans="1:6">
      <c r="A189" s="279" t="s">
        <v>1510</v>
      </c>
      <c r="B189" s="280" t="s">
        <v>1511</v>
      </c>
      <c r="C189" s="279" t="s">
        <v>1509</v>
      </c>
      <c r="D189" s="287">
        <v>44985</v>
      </c>
      <c r="E189" s="279" t="s">
        <v>2483</v>
      </c>
    </row>
    <row r="190" spans="1:6">
      <c r="A190" s="279" t="s">
        <v>47</v>
      </c>
      <c r="B190" s="280" t="s">
        <v>48</v>
      </c>
      <c r="C190" s="279" t="s">
        <v>13</v>
      </c>
      <c r="D190" s="287">
        <v>44938</v>
      </c>
      <c r="E190" s="276" t="s">
        <v>296</v>
      </c>
    </row>
    <row r="191" spans="1:6">
      <c r="A191" s="279" t="s">
        <v>216</v>
      </c>
      <c r="B191" s="280" t="s">
        <v>217</v>
      </c>
      <c r="C191" s="279" t="s">
        <v>172</v>
      </c>
      <c r="D191" s="287">
        <v>44901</v>
      </c>
      <c r="E191" s="276" t="s">
        <v>2480</v>
      </c>
    </row>
    <row r="192" spans="1:6">
      <c r="A192" s="279" t="s">
        <v>396</v>
      </c>
      <c r="B192" s="280" t="s">
        <v>397</v>
      </c>
      <c r="C192" s="279" t="s">
        <v>2517</v>
      </c>
      <c r="D192" s="287">
        <v>45246</v>
      </c>
      <c r="E192" s="279" t="s">
        <v>582</v>
      </c>
    </row>
    <row r="193" spans="1:6">
      <c r="A193" s="279" t="s">
        <v>743</v>
      </c>
      <c r="B193" s="280" t="s">
        <v>744</v>
      </c>
      <c r="C193" s="279" t="s">
        <v>2488</v>
      </c>
      <c r="D193" s="287">
        <v>44433</v>
      </c>
      <c r="E193" s="276" t="s">
        <v>288</v>
      </c>
      <c r="F193" s="279">
        <v>1</v>
      </c>
    </row>
    <row r="194" spans="1:6">
      <c r="A194" s="279" t="s">
        <v>1125</v>
      </c>
      <c r="B194" s="280" t="s">
        <v>1126</v>
      </c>
      <c r="C194" s="279" t="s">
        <v>2487</v>
      </c>
      <c r="D194" s="287">
        <v>45131</v>
      </c>
      <c r="E194" s="276" t="s">
        <v>582</v>
      </c>
    </row>
    <row r="195" spans="1:6">
      <c r="A195" s="279" t="s">
        <v>542</v>
      </c>
      <c r="B195" s="280" t="s">
        <v>543</v>
      </c>
      <c r="C195" s="279" t="s">
        <v>2494</v>
      </c>
      <c r="D195" s="287">
        <v>45250</v>
      </c>
      <c r="E195" s="276" t="s">
        <v>2389</v>
      </c>
    </row>
    <row r="196" spans="1:6">
      <c r="A196" s="279" t="s">
        <v>915</v>
      </c>
      <c r="B196" s="280" t="s">
        <v>916</v>
      </c>
      <c r="C196" s="279" t="s">
        <v>2489</v>
      </c>
      <c r="D196" s="287">
        <v>45090</v>
      </c>
      <c r="E196" s="276" t="s">
        <v>296</v>
      </c>
      <c r="F196" s="279">
        <v>1</v>
      </c>
    </row>
    <row r="197" spans="1:6">
      <c r="A197" s="279" t="s">
        <v>50</v>
      </c>
      <c r="B197" s="280" t="s">
        <v>51</v>
      </c>
      <c r="C197" s="279" t="s">
        <v>13</v>
      </c>
      <c r="D197" s="287">
        <v>45106</v>
      </c>
      <c r="E197" s="276" t="s">
        <v>18897</v>
      </c>
    </row>
    <row r="198" spans="1:6">
      <c r="A198" s="279" t="s">
        <v>53</v>
      </c>
      <c r="B198" s="280" t="s">
        <v>54</v>
      </c>
      <c r="C198" s="279" t="s">
        <v>13</v>
      </c>
      <c r="D198" s="287">
        <v>44875</v>
      </c>
      <c r="E198" s="276" t="s">
        <v>296</v>
      </c>
    </row>
    <row r="199" spans="1:6">
      <c r="A199" s="279" t="s">
        <v>352</v>
      </c>
      <c r="B199" s="280" t="s">
        <v>353</v>
      </c>
      <c r="C199" s="279" t="s">
        <v>305</v>
      </c>
      <c r="D199" s="287">
        <v>44679</v>
      </c>
      <c r="E199" s="276" t="s">
        <v>1100</v>
      </c>
    </row>
    <row r="200" spans="1:6">
      <c r="A200" s="279" t="s">
        <v>874</v>
      </c>
      <c r="B200" s="280" t="s">
        <v>875</v>
      </c>
      <c r="C200" s="279" t="s">
        <v>2497</v>
      </c>
      <c r="D200" s="287">
        <v>45061</v>
      </c>
      <c r="E200" s="276" t="s">
        <v>18898</v>
      </c>
    </row>
    <row r="201" spans="1:6">
      <c r="A201" s="279" t="s">
        <v>745</v>
      </c>
      <c r="B201" s="280" t="s">
        <v>746</v>
      </c>
      <c r="C201" s="279" t="s">
        <v>2488</v>
      </c>
      <c r="D201" s="287">
        <v>45204</v>
      </c>
      <c r="E201" s="279" t="s">
        <v>79</v>
      </c>
    </row>
    <row r="202" spans="1:6">
      <c r="A202" s="279" t="s">
        <v>625</v>
      </c>
      <c r="B202" s="280" t="s">
        <v>626</v>
      </c>
      <c r="C202" s="279" t="s">
        <v>2499</v>
      </c>
      <c r="D202" s="287">
        <v>45125</v>
      </c>
      <c r="E202" s="276" t="s">
        <v>541</v>
      </c>
    </row>
    <row r="203" spans="1:6">
      <c r="A203" s="279" t="s">
        <v>136</v>
      </c>
      <c r="B203" s="280" t="s">
        <v>137</v>
      </c>
      <c r="C203" s="279" t="s">
        <v>96</v>
      </c>
      <c r="D203" s="287">
        <v>43068</v>
      </c>
      <c r="E203" s="276" t="s">
        <v>491</v>
      </c>
    </row>
    <row r="204" spans="1:6">
      <c r="A204" s="279" t="s">
        <v>56</v>
      </c>
      <c r="B204" s="280" t="s">
        <v>57</v>
      </c>
      <c r="C204" s="279" t="s">
        <v>13</v>
      </c>
      <c r="D204" s="287">
        <v>44868</v>
      </c>
      <c r="E204" s="279" t="s">
        <v>296</v>
      </c>
    </row>
    <row r="205" spans="1:6">
      <c r="A205" s="279" t="s">
        <v>218</v>
      </c>
      <c r="B205" s="280" t="s">
        <v>219</v>
      </c>
      <c r="C205" s="279" t="s">
        <v>172</v>
      </c>
      <c r="D205" s="287">
        <v>44736</v>
      </c>
      <c r="E205" s="279" t="s">
        <v>79</v>
      </c>
    </row>
    <row r="206" spans="1:6">
      <c r="A206" s="279" t="s">
        <v>1050</v>
      </c>
      <c r="B206" s="280" t="s">
        <v>1051</v>
      </c>
      <c r="C206" s="279" t="s">
        <v>2501</v>
      </c>
      <c r="D206" s="287">
        <v>45071</v>
      </c>
      <c r="E206" s="276" t="s">
        <v>296</v>
      </c>
    </row>
    <row r="207" spans="1:6">
      <c r="A207" s="279" t="s">
        <v>918</v>
      </c>
      <c r="B207" s="280" t="s">
        <v>919</v>
      </c>
      <c r="C207" s="279" t="s">
        <v>2489</v>
      </c>
      <c r="D207" s="287">
        <v>44778</v>
      </c>
      <c r="E207" s="276" t="s">
        <v>474</v>
      </c>
    </row>
    <row r="208" spans="1:6">
      <c r="A208" s="279" t="s">
        <v>220</v>
      </c>
      <c r="B208" s="280" t="s">
        <v>221</v>
      </c>
      <c r="C208" s="279" t="s">
        <v>172</v>
      </c>
      <c r="D208" s="287">
        <v>45107</v>
      </c>
      <c r="E208" s="276" t="s">
        <v>2511</v>
      </c>
      <c r="F208" s="279">
        <v>2</v>
      </c>
    </row>
    <row r="209" spans="1:6">
      <c r="A209" s="279" t="s">
        <v>475</v>
      </c>
      <c r="B209" s="280" t="s">
        <v>476</v>
      </c>
      <c r="C209" s="279" t="s">
        <v>2498</v>
      </c>
      <c r="D209" s="287">
        <v>44959</v>
      </c>
      <c r="E209" s="276" t="s">
        <v>386</v>
      </c>
    </row>
    <row r="210" spans="1:6">
      <c r="A210" s="279" t="s">
        <v>478</v>
      </c>
      <c r="B210" s="280" t="s">
        <v>479</v>
      </c>
      <c r="C210" s="279" t="s">
        <v>2498</v>
      </c>
      <c r="D210" s="287">
        <v>44679</v>
      </c>
      <c r="E210" s="276" t="s">
        <v>474</v>
      </c>
      <c r="F210" s="279">
        <v>2</v>
      </c>
    </row>
    <row r="211" spans="1:6">
      <c r="A211" s="279" t="s">
        <v>547</v>
      </c>
      <c r="B211" s="280" t="s">
        <v>548</v>
      </c>
      <c r="C211" s="279" t="s">
        <v>2494</v>
      </c>
      <c r="D211" s="287">
        <v>44992</v>
      </c>
      <c r="E211" s="276" t="s">
        <v>2408</v>
      </c>
    </row>
    <row r="212" spans="1:6">
      <c r="A212" s="279" t="s">
        <v>1129</v>
      </c>
      <c r="B212" s="280" t="s">
        <v>1130</v>
      </c>
      <c r="C212" s="279" t="s">
        <v>2487</v>
      </c>
      <c r="D212" s="287">
        <v>45112</v>
      </c>
      <c r="E212" s="276" t="s">
        <v>605</v>
      </c>
      <c r="F212" s="279">
        <v>1</v>
      </c>
    </row>
    <row r="213" spans="1:6">
      <c r="A213" s="279" t="s">
        <v>263</v>
      </c>
      <c r="B213" s="280" t="s">
        <v>264</v>
      </c>
      <c r="C213" s="279" t="s">
        <v>235</v>
      </c>
      <c r="D213" s="287">
        <v>44859</v>
      </c>
      <c r="E213" s="276" t="s">
        <v>296</v>
      </c>
    </row>
    <row r="214" spans="1:6">
      <c r="A214" s="279" t="s">
        <v>398</v>
      </c>
      <c r="B214" s="280" t="s">
        <v>399</v>
      </c>
      <c r="C214" s="279" t="s">
        <v>2517</v>
      </c>
      <c r="D214" s="287">
        <v>44741</v>
      </c>
      <c r="E214" s="276" t="s">
        <v>541</v>
      </c>
    </row>
    <row r="215" spans="1:6">
      <c r="A215" s="279" t="s">
        <v>480</v>
      </c>
      <c r="B215" s="280" t="s">
        <v>481</v>
      </c>
      <c r="C215" s="279" t="s">
        <v>2498</v>
      </c>
      <c r="D215" s="287">
        <v>44420</v>
      </c>
      <c r="E215" s="276" t="s">
        <v>2389</v>
      </c>
    </row>
    <row r="216" spans="1:6">
      <c r="A216" s="279" t="s">
        <v>707</v>
      </c>
      <c r="B216" s="280" t="s">
        <v>708</v>
      </c>
      <c r="C216" s="279" t="s">
        <v>2509</v>
      </c>
      <c r="D216" s="287">
        <v>45128</v>
      </c>
      <c r="E216" s="276" t="s">
        <v>296</v>
      </c>
    </row>
    <row r="217" spans="1:6">
      <c r="A217" s="279" t="s">
        <v>401</v>
      </c>
      <c r="B217" s="280" t="s">
        <v>402</v>
      </c>
      <c r="C217" s="279" t="s">
        <v>2517</v>
      </c>
      <c r="D217" s="287">
        <v>44729</v>
      </c>
      <c r="E217" s="276" t="s">
        <v>491</v>
      </c>
    </row>
    <row r="218" spans="1:6">
      <c r="A218" s="279" t="s">
        <v>59</v>
      </c>
      <c r="B218" s="280" t="s">
        <v>60</v>
      </c>
      <c r="C218" s="279" t="s">
        <v>13</v>
      </c>
      <c r="D218" s="287">
        <v>45182</v>
      </c>
      <c r="E218" s="276" t="s">
        <v>157</v>
      </c>
    </row>
    <row r="219" spans="1:6">
      <c r="A219" s="279" t="s">
        <v>1081</v>
      </c>
      <c r="B219" s="280" t="s">
        <v>1082</v>
      </c>
      <c r="C219" s="279" t="s">
        <v>18899</v>
      </c>
      <c r="D219" s="287">
        <v>44497</v>
      </c>
      <c r="E219" s="276" t="s">
        <v>79</v>
      </c>
    </row>
    <row r="220" spans="1:6">
      <c r="A220" s="279" t="s">
        <v>1132</v>
      </c>
      <c r="B220" s="280" t="s">
        <v>1133</v>
      </c>
      <c r="C220" s="279" t="s">
        <v>2487</v>
      </c>
      <c r="D220" s="287">
        <v>45210</v>
      </c>
      <c r="E220" s="276" t="s">
        <v>474</v>
      </c>
    </row>
    <row r="221" spans="1:6">
      <c r="A221" s="279" t="s">
        <v>483</v>
      </c>
      <c r="B221" s="280" t="s">
        <v>484</v>
      </c>
      <c r="C221" s="279" t="s">
        <v>2498</v>
      </c>
      <c r="D221" s="287">
        <v>45064</v>
      </c>
      <c r="E221" s="276" t="s">
        <v>2389</v>
      </c>
    </row>
    <row r="222" spans="1:6">
      <c r="A222" s="279" t="s">
        <v>550</v>
      </c>
      <c r="B222" s="280" t="s">
        <v>551</v>
      </c>
      <c r="C222" s="279" t="s">
        <v>2494</v>
      </c>
      <c r="D222" s="287">
        <v>44914</v>
      </c>
      <c r="E222" s="276" t="s">
        <v>2502</v>
      </c>
    </row>
    <row r="223" spans="1:6">
      <c r="A223" s="279" t="s">
        <v>1479</v>
      </c>
      <c r="B223" s="280" t="s">
        <v>1480</v>
      </c>
      <c r="C223" s="279" t="s">
        <v>1478</v>
      </c>
      <c r="D223" s="287">
        <v>44322</v>
      </c>
      <c r="E223" s="276" t="s">
        <v>296</v>
      </c>
    </row>
    <row r="224" spans="1:6">
      <c r="A224" s="279" t="s">
        <v>1055</v>
      </c>
      <c r="B224" s="280" t="s">
        <v>1056</v>
      </c>
      <c r="C224" s="279" t="s">
        <v>2501</v>
      </c>
      <c r="D224" s="287">
        <v>45103</v>
      </c>
      <c r="E224" s="276" t="s">
        <v>2389</v>
      </c>
    </row>
    <row r="225" spans="1:6">
      <c r="A225" s="279" t="s">
        <v>837</v>
      </c>
      <c r="B225" s="280" t="s">
        <v>838</v>
      </c>
      <c r="C225" s="279" t="s">
        <v>2504</v>
      </c>
      <c r="D225" s="287">
        <v>44490</v>
      </c>
      <c r="E225" s="276" t="s">
        <v>288</v>
      </c>
    </row>
    <row r="226" spans="1:6">
      <c r="A226" s="279" t="s">
        <v>407</v>
      </c>
      <c r="B226" s="280" t="s">
        <v>408</v>
      </c>
      <c r="C226" s="279" t="s">
        <v>2517</v>
      </c>
      <c r="D226" s="287">
        <v>44827</v>
      </c>
      <c r="E226" s="276" t="s">
        <v>2389</v>
      </c>
    </row>
    <row r="227" spans="1:6">
      <c r="A227" s="279" t="s">
        <v>410</v>
      </c>
      <c r="B227" s="280" t="s">
        <v>411</v>
      </c>
      <c r="C227" s="279" t="s">
        <v>2517</v>
      </c>
      <c r="D227" s="287">
        <v>45121</v>
      </c>
      <c r="E227" s="276" t="s">
        <v>605</v>
      </c>
    </row>
    <row r="228" spans="1:6">
      <c r="A228" s="279" t="s">
        <v>1223</v>
      </c>
      <c r="B228" s="280" t="s">
        <v>1224</v>
      </c>
      <c r="C228" s="279" t="s">
        <v>2493</v>
      </c>
      <c r="D228" s="287">
        <v>45041</v>
      </c>
      <c r="E228" s="276" t="s">
        <v>605</v>
      </c>
    </row>
    <row r="229" spans="1:6">
      <c r="A229" s="279" t="s">
        <v>413</v>
      </c>
      <c r="B229" s="280" t="s">
        <v>414</v>
      </c>
      <c r="C229" s="279" t="s">
        <v>2517</v>
      </c>
      <c r="D229" s="287">
        <v>44694</v>
      </c>
      <c r="E229" s="276" t="s">
        <v>386</v>
      </c>
    </row>
    <row r="230" spans="1:6">
      <c r="A230" s="279" t="s">
        <v>774</v>
      </c>
      <c r="B230" s="280" t="s">
        <v>775</v>
      </c>
      <c r="C230" s="279" t="s">
        <v>18900</v>
      </c>
      <c r="D230" s="287">
        <v>45007</v>
      </c>
      <c r="E230" s="276" t="s">
        <v>79</v>
      </c>
    </row>
    <row r="231" spans="1:6">
      <c r="A231" s="279" t="s">
        <v>776</v>
      </c>
      <c r="B231" s="280" t="s">
        <v>777</v>
      </c>
      <c r="C231" s="279" t="s">
        <v>18900</v>
      </c>
      <c r="D231" s="287">
        <v>45061</v>
      </c>
      <c r="E231" s="276" t="s">
        <v>79</v>
      </c>
    </row>
    <row r="232" spans="1:6">
      <c r="A232" s="279" t="s">
        <v>923</v>
      </c>
      <c r="B232" s="280" t="s">
        <v>924</v>
      </c>
      <c r="C232" s="279" t="s">
        <v>2489</v>
      </c>
      <c r="D232" s="287">
        <v>44951</v>
      </c>
      <c r="E232" s="276" t="s">
        <v>79</v>
      </c>
    </row>
    <row r="233" spans="1:6">
      <c r="A233" s="279" t="s">
        <v>963</v>
      </c>
      <c r="B233" s="280" t="s">
        <v>964</v>
      </c>
      <c r="C233" s="279" t="s">
        <v>2505</v>
      </c>
      <c r="D233" s="287">
        <v>44448</v>
      </c>
      <c r="E233" s="276" t="s">
        <v>2410</v>
      </c>
    </row>
    <row r="234" spans="1:6">
      <c r="A234" s="279" t="s">
        <v>1019</v>
      </c>
      <c r="B234" s="280" t="s">
        <v>1020</v>
      </c>
      <c r="C234" s="279" t="s">
        <v>2490</v>
      </c>
      <c r="D234" s="287">
        <v>45264</v>
      </c>
      <c r="E234" s="276" t="s">
        <v>474</v>
      </c>
    </row>
    <row r="235" spans="1:6">
      <c r="A235" s="279" t="s">
        <v>1083</v>
      </c>
      <c r="B235" s="280" t="s">
        <v>1084</v>
      </c>
      <c r="C235" s="279" t="s">
        <v>18899</v>
      </c>
      <c r="D235" s="287">
        <v>45195</v>
      </c>
      <c r="E235" s="276" t="s">
        <v>541</v>
      </c>
    </row>
    <row r="236" spans="1:6">
      <c r="A236" s="279" t="s">
        <v>778</v>
      </c>
      <c r="B236" s="280" t="s">
        <v>779</v>
      </c>
      <c r="C236" s="279" t="s">
        <v>18900</v>
      </c>
      <c r="D236" s="287">
        <v>45275</v>
      </c>
      <c r="E236" s="276" t="s">
        <v>2389</v>
      </c>
      <c r="F236" s="279">
        <v>3</v>
      </c>
    </row>
    <row r="237" spans="1:6">
      <c r="A237" s="279" t="s">
        <v>656</v>
      </c>
      <c r="B237" s="280" t="s">
        <v>657</v>
      </c>
      <c r="C237" s="279" t="s">
        <v>2491</v>
      </c>
      <c r="D237" s="287">
        <v>45103</v>
      </c>
      <c r="E237" s="276" t="s">
        <v>474</v>
      </c>
    </row>
    <row r="238" spans="1:6">
      <c r="A238" s="279" t="s">
        <v>1022</v>
      </c>
      <c r="B238" s="280" t="s">
        <v>1023</v>
      </c>
      <c r="C238" s="279" t="s">
        <v>2490</v>
      </c>
      <c r="D238" s="287">
        <v>44956</v>
      </c>
      <c r="E238" s="276" t="s">
        <v>2518</v>
      </c>
      <c r="F238" s="279">
        <v>1</v>
      </c>
    </row>
    <row r="239" spans="1:6">
      <c r="A239" s="279" t="s">
        <v>553</v>
      </c>
      <c r="B239" s="280" t="s">
        <v>554</v>
      </c>
      <c r="C239" s="279" t="s">
        <v>2494</v>
      </c>
      <c r="D239" s="287">
        <v>45250</v>
      </c>
      <c r="E239" s="276" t="s">
        <v>605</v>
      </c>
    </row>
    <row r="240" spans="1:6">
      <c r="A240" s="279" t="s">
        <v>1057</v>
      </c>
      <c r="B240" s="280" t="s">
        <v>1058</v>
      </c>
      <c r="C240" s="279" t="s">
        <v>2501</v>
      </c>
      <c r="D240" s="287">
        <v>44691</v>
      </c>
      <c r="E240" s="276" t="s">
        <v>2389</v>
      </c>
      <c r="F240" s="279">
        <v>2</v>
      </c>
    </row>
    <row r="241" spans="1:6">
      <c r="A241" s="279" t="s">
        <v>600</v>
      </c>
      <c r="B241" s="280" t="s">
        <v>601</v>
      </c>
      <c r="C241" s="279" t="s">
        <v>2492</v>
      </c>
      <c r="D241" s="287">
        <v>44799</v>
      </c>
      <c r="E241" s="276" t="s">
        <v>2480</v>
      </c>
    </row>
    <row r="242" spans="1:6">
      <c r="A242" s="279" t="s">
        <v>842</v>
      </c>
      <c r="B242" s="280" t="s">
        <v>843</v>
      </c>
      <c r="C242" s="279" t="s">
        <v>2504</v>
      </c>
      <c r="D242" s="287">
        <v>45245</v>
      </c>
      <c r="E242" s="276" t="s">
        <v>296</v>
      </c>
      <c r="F242" s="279">
        <v>2</v>
      </c>
    </row>
    <row r="243" spans="1:6">
      <c r="A243" s="279" t="s">
        <v>965</v>
      </c>
      <c r="B243" s="280" t="s">
        <v>966</v>
      </c>
      <c r="C243" s="279" t="s">
        <v>2505</v>
      </c>
      <c r="D243" s="287">
        <v>44235</v>
      </c>
      <c r="E243" s="276" t="s">
        <v>474</v>
      </c>
      <c r="F243" s="279">
        <v>2</v>
      </c>
    </row>
    <row r="244" spans="1:6">
      <c r="A244" s="279" t="s">
        <v>1087</v>
      </c>
      <c r="B244" s="280" t="s">
        <v>1088</v>
      </c>
      <c r="C244" s="279" t="s">
        <v>18899</v>
      </c>
      <c r="D244" s="287">
        <v>45176</v>
      </c>
      <c r="E244" s="276" t="s">
        <v>392</v>
      </c>
    </row>
    <row r="245" spans="1:6">
      <c r="A245" s="279" t="s">
        <v>1089</v>
      </c>
      <c r="B245" s="280" t="s">
        <v>1090</v>
      </c>
      <c r="C245" s="279" t="s">
        <v>18899</v>
      </c>
      <c r="D245" s="287">
        <v>45065</v>
      </c>
      <c r="E245" s="276" t="s">
        <v>79</v>
      </c>
    </row>
    <row r="246" spans="1:6">
      <c r="A246" s="279" t="s">
        <v>659</v>
      </c>
      <c r="B246" s="280" t="s">
        <v>660</v>
      </c>
      <c r="C246" s="279" t="s">
        <v>2491</v>
      </c>
      <c r="D246" s="287">
        <v>45275</v>
      </c>
      <c r="E246" s="276" t="s">
        <v>2389</v>
      </c>
    </row>
    <row r="247" spans="1:6">
      <c r="A247" s="279" t="s">
        <v>662</v>
      </c>
      <c r="B247" s="280" t="s">
        <v>663</v>
      </c>
      <c r="C247" s="279" t="s">
        <v>2491</v>
      </c>
      <c r="D247" s="287">
        <v>45219</v>
      </c>
      <c r="E247" s="276" t="s">
        <v>605</v>
      </c>
    </row>
    <row r="248" spans="1:6">
      <c r="A248" s="279" t="s">
        <v>710</v>
      </c>
      <c r="B248" s="280" t="s">
        <v>711</v>
      </c>
      <c r="C248" s="279" t="s">
        <v>2491</v>
      </c>
      <c r="D248" s="287">
        <v>44830</v>
      </c>
      <c r="E248" s="276" t="s">
        <v>2410</v>
      </c>
    </row>
    <row r="249" spans="1:6">
      <c r="A249" s="279" t="s">
        <v>555</v>
      </c>
      <c r="B249" s="280" t="s">
        <v>556</v>
      </c>
      <c r="C249" s="279" t="s">
        <v>2494</v>
      </c>
      <c r="D249" s="287">
        <v>44659</v>
      </c>
      <c r="E249" s="276" t="s">
        <v>296</v>
      </c>
    </row>
    <row r="250" spans="1:6">
      <c r="A250" s="279" t="s">
        <v>712</v>
      </c>
      <c r="B250" s="280" t="s">
        <v>713</v>
      </c>
      <c r="C250" s="279" t="s">
        <v>2509</v>
      </c>
      <c r="D250" s="287">
        <v>44659</v>
      </c>
      <c r="E250" s="276" t="s">
        <v>2480</v>
      </c>
    </row>
    <row r="251" spans="1:6">
      <c r="A251" s="279" t="s">
        <v>967</v>
      </c>
      <c r="B251" s="280" t="s">
        <v>968</v>
      </c>
      <c r="C251" s="279" t="s">
        <v>2505</v>
      </c>
      <c r="D251" s="287">
        <v>44966</v>
      </c>
      <c r="E251" s="276" t="s">
        <v>296</v>
      </c>
    </row>
    <row r="252" spans="1:6">
      <c r="A252" s="279" t="s">
        <v>139</v>
      </c>
      <c r="B252" s="280" t="s">
        <v>140</v>
      </c>
      <c r="C252" s="279" t="s">
        <v>96</v>
      </c>
      <c r="D252" s="287">
        <v>44578</v>
      </c>
      <c r="E252" s="276" t="s">
        <v>605</v>
      </c>
    </row>
    <row r="253" spans="1:6">
      <c r="A253" s="279" t="s">
        <v>222</v>
      </c>
      <c r="B253" s="280" t="s">
        <v>223</v>
      </c>
      <c r="C253" s="279" t="s">
        <v>172</v>
      </c>
      <c r="D253" s="287">
        <v>45218</v>
      </c>
      <c r="E253" s="276" t="s">
        <v>288</v>
      </c>
    </row>
    <row r="254" spans="1:6">
      <c r="A254" s="279" t="s">
        <v>1528</v>
      </c>
      <c r="B254" s="280" t="s">
        <v>1529</v>
      </c>
      <c r="C254" s="279" t="s">
        <v>172</v>
      </c>
      <c r="D254" s="287">
        <v>45082</v>
      </c>
      <c r="E254" s="276" t="s">
        <v>296</v>
      </c>
    </row>
    <row r="255" spans="1:6">
      <c r="A255" s="279" t="s">
        <v>486</v>
      </c>
      <c r="B255" s="280" t="s">
        <v>487</v>
      </c>
      <c r="C255" s="279" t="s">
        <v>2498</v>
      </c>
      <c r="D255" s="287">
        <v>44677</v>
      </c>
      <c r="E255" s="276" t="s">
        <v>491</v>
      </c>
    </row>
    <row r="256" spans="1:6">
      <c r="A256" s="279" t="s">
        <v>1225</v>
      </c>
      <c r="B256" s="280" t="s">
        <v>1226</v>
      </c>
      <c r="C256" s="279" t="s">
        <v>2493</v>
      </c>
      <c r="D256" s="287">
        <v>44873</v>
      </c>
      <c r="E256" s="276" t="s">
        <v>2408</v>
      </c>
    </row>
    <row r="257" spans="1:6">
      <c r="A257" s="279" t="s">
        <v>780</v>
      </c>
      <c r="B257" s="280" t="s">
        <v>781</v>
      </c>
      <c r="C257" s="279" t="s">
        <v>18900</v>
      </c>
      <c r="D257" s="287">
        <v>45218</v>
      </c>
      <c r="E257" s="276" t="s">
        <v>2502</v>
      </c>
    </row>
    <row r="258" spans="1:6">
      <c r="A258" s="279" t="s">
        <v>269</v>
      </c>
      <c r="B258" s="280" t="s">
        <v>270</v>
      </c>
      <c r="C258" s="279" t="s">
        <v>235</v>
      </c>
      <c r="D258" s="287">
        <v>44771</v>
      </c>
      <c r="E258" s="276" t="s">
        <v>18901</v>
      </c>
    </row>
    <row r="259" spans="1:6">
      <c r="A259" s="279" t="s">
        <v>1977</v>
      </c>
      <c r="B259" s="280" t="s">
        <v>18902</v>
      </c>
      <c r="C259" s="279" t="s">
        <v>2498</v>
      </c>
      <c r="D259" s="287">
        <v>45198</v>
      </c>
      <c r="E259" s="276" t="s">
        <v>491</v>
      </c>
    </row>
    <row r="260" spans="1:6">
      <c r="A260" s="279" t="s">
        <v>1134</v>
      </c>
      <c r="B260" s="280" t="s">
        <v>1135</v>
      </c>
      <c r="C260" s="279" t="s">
        <v>2487</v>
      </c>
      <c r="D260" s="287">
        <v>44693</v>
      </c>
      <c r="E260" s="276" t="s">
        <v>79</v>
      </c>
    </row>
    <row r="261" spans="1:6">
      <c r="A261" s="279" t="s">
        <v>358</v>
      </c>
      <c r="B261" s="280" t="s">
        <v>359</v>
      </c>
      <c r="C261" s="279" t="s">
        <v>305</v>
      </c>
      <c r="D261" s="287">
        <v>45226</v>
      </c>
      <c r="E261" s="276" t="s">
        <v>1100</v>
      </c>
    </row>
    <row r="262" spans="1:6">
      <c r="A262" s="279" t="s">
        <v>844</v>
      </c>
      <c r="B262" s="280" t="s">
        <v>845</v>
      </c>
      <c r="C262" s="279" t="s">
        <v>2504</v>
      </c>
      <c r="D262" s="287">
        <v>45223</v>
      </c>
      <c r="E262" s="276" t="s">
        <v>2408</v>
      </c>
    </row>
    <row r="263" spans="1:6">
      <c r="A263" s="279" t="s">
        <v>1091</v>
      </c>
      <c r="B263" s="280" t="s">
        <v>1092</v>
      </c>
      <c r="C263" s="279" t="s">
        <v>18899</v>
      </c>
      <c r="D263" s="287">
        <v>44980</v>
      </c>
      <c r="E263" s="276" t="s">
        <v>541</v>
      </c>
    </row>
    <row r="264" spans="1:6">
      <c r="A264" s="279" t="s">
        <v>1531</v>
      </c>
      <c r="B264" s="280" t="s">
        <v>1532</v>
      </c>
      <c r="C264" s="279" t="s">
        <v>305</v>
      </c>
      <c r="D264" s="287">
        <v>44957</v>
      </c>
      <c r="E264" s="276" t="s">
        <v>2483</v>
      </c>
    </row>
    <row r="265" spans="1:6">
      <c r="A265" s="279" t="s">
        <v>419</v>
      </c>
      <c r="B265" s="280" t="s">
        <v>420</v>
      </c>
      <c r="C265" s="279" t="s">
        <v>2517</v>
      </c>
      <c r="D265" s="287">
        <v>45128</v>
      </c>
      <c r="E265" s="276" t="s">
        <v>296</v>
      </c>
    </row>
    <row r="266" spans="1:6">
      <c r="A266" s="279" t="s">
        <v>1179</v>
      </c>
      <c r="B266" s="280" t="s">
        <v>1180</v>
      </c>
      <c r="C266" s="279" t="s">
        <v>2486</v>
      </c>
      <c r="D266" s="287">
        <v>45180</v>
      </c>
      <c r="E266" s="276" t="s">
        <v>582</v>
      </c>
    </row>
    <row r="267" spans="1:6">
      <c r="A267" s="279" t="s">
        <v>877</v>
      </c>
      <c r="B267" s="280" t="s">
        <v>878</v>
      </c>
      <c r="C267" s="279" t="s">
        <v>2497</v>
      </c>
      <c r="D267" s="287">
        <v>41564</v>
      </c>
      <c r="E267" s="276" t="s">
        <v>2389</v>
      </c>
      <c r="F267" s="279">
        <v>1</v>
      </c>
    </row>
    <row r="268" spans="1:6">
      <c r="A268" s="279" t="s">
        <v>558</v>
      </c>
      <c r="B268" s="280" t="s">
        <v>559</v>
      </c>
      <c r="C268" s="279" t="s">
        <v>2494</v>
      </c>
      <c r="D268" s="287">
        <v>45218</v>
      </c>
      <c r="E268" s="276" t="s">
        <v>605</v>
      </c>
    </row>
    <row r="269" spans="1:6">
      <c r="A269" s="279" t="s">
        <v>1538</v>
      </c>
      <c r="B269" s="280" t="s">
        <v>1539</v>
      </c>
      <c r="C269" s="279" t="s">
        <v>1537</v>
      </c>
      <c r="D269" s="287">
        <v>44818</v>
      </c>
      <c r="E269" s="276" t="s">
        <v>2483</v>
      </c>
    </row>
    <row r="270" spans="1:6">
      <c r="A270" s="279" t="s">
        <v>1981</v>
      </c>
      <c r="B270" s="280" t="s">
        <v>18903</v>
      </c>
      <c r="C270" s="279" t="s">
        <v>2495</v>
      </c>
      <c r="D270" s="287">
        <v>44509</v>
      </c>
      <c r="E270" s="276" t="s">
        <v>157</v>
      </c>
    </row>
    <row r="271" spans="1:6">
      <c r="A271" s="279" t="s">
        <v>62</v>
      </c>
      <c r="B271" s="280" t="s">
        <v>63</v>
      </c>
      <c r="C271" s="279" t="s">
        <v>13</v>
      </c>
      <c r="D271" s="287">
        <v>44734</v>
      </c>
      <c r="E271" s="276" t="s">
        <v>2480</v>
      </c>
    </row>
    <row r="272" spans="1:6">
      <c r="A272" s="279" t="s">
        <v>145</v>
      </c>
      <c r="B272" s="280" t="s">
        <v>146</v>
      </c>
      <c r="C272" s="279" t="s">
        <v>96</v>
      </c>
      <c r="D272" s="287">
        <v>45254</v>
      </c>
      <c r="E272" s="276" t="s">
        <v>18904</v>
      </c>
    </row>
    <row r="273" spans="1:6">
      <c r="A273" s="279" t="s">
        <v>1094</v>
      </c>
      <c r="B273" s="280" t="s">
        <v>1095</v>
      </c>
      <c r="C273" s="279" t="s">
        <v>18899</v>
      </c>
      <c r="D273" s="287">
        <v>44853</v>
      </c>
      <c r="E273" s="276" t="s">
        <v>296</v>
      </c>
    </row>
    <row r="274" spans="1:6">
      <c r="A274" s="279" t="s">
        <v>65</v>
      </c>
      <c r="B274" s="280" t="s">
        <v>66</v>
      </c>
      <c r="C274" s="279" t="s">
        <v>13</v>
      </c>
      <c r="D274" s="287">
        <v>44622</v>
      </c>
      <c r="E274" s="276" t="s">
        <v>2511</v>
      </c>
    </row>
    <row r="275" spans="1:6">
      <c r="A275" s="279" t="s">
        <v>489</v>
      </c>
      <c r="B275" s="280" t="s">
        <v>490</v>
      </c>
      <c r="C275" s="279" t="s">
        <v>96</v>
      </c>
      <c r="D275" s="287">
        <v>45175</v>
      </c>
      <c r="E275" s="276" t="s">
        <v>2408</v>
      </c>
      <c r="F275" s="279">
        <v>1</v>
      </c>
    </row>
    <row r="276" spans="1:6">
      <c r="A276" s="279" t="s">
        <v>272</v>
      </c>
      <c r="B276" s="280" t="s">
        <v>18905</v>
      </c>
      <c r="C276" s="279" t="s">
        <v>235</v>
      </c>
      <c r="D276" s="287">
        <v>44824</v>
      </c>
      <c r="E276" s="276" t="s">
        <v>474</v>
      </c>
    </row>
    <row r="277" spans="1:6">
      <c r="A277" s="279" t="s">
        <v>1982</v>
      </c>
      <c r="B277" s="280" t="s">
        <v>18907</v>
      </c>
      <c r="C277" s="279" t="s">
        <v>172</v>
      </c>
      <c r="D277" s="287">
        <v>44956</v>
      </c>
      <c r="E277" s="276" t="s">
        <v>2483</v>
      </c>
      <c r="F277" s="279">
        <v>2</v>
      </c>
    </row>
    <row r="278" spans="1:6">
      <c r="A278" s="279" t="s">
        <v>148</v>
      </c>
      <c r="B278" s="280" t="s">
        <v>149</v>
      </c>
      <c r="C278" s="279" t="s">
        <v>96</v>
      </c>
      <c r="D278" s="287">
        <v>45034</v>
      </c>
      <c r="E278" s="276" t="s">
        <v>18908</v>
      </c>
    </row>
    <row r="279" spans="1:6">
      <c r="A279" s="279" t="s">
        <v>560</v>
      </c>
      <c r="B279" s="280" t="s">
        <v>561</v>
      </c>
      <c r="C279" s="279" t="s">
        <v>2494</v>
      </c>
      <c r="D279" s="287">
        <v>45055</v>
      </c>
      <c r="E279" s="276" t="s">
        <v>18904</v>
      </c>
    </row>
    <row r="280" spans="1:6">
      <c r="A280" s="279" t="s">
        <v>603</v>
      </c>
      <c r="B280" s="280" t="s">
        <v>604</v>
      </c>
      <c r="C280" s="279" t="s">
        <v>2492</v>
      </c>
      <c r="D280" s="287">
        <v>45278</v>
      </c>
      <c r="E280" s="276" t="s">
        <v>2502</v>
      </c>
    </row>
    <row r="281" spans="1:6">
      <c r="A281" s="279" t="s">
        <v>1984</v>
      </c>
      <c r="B281" s="280" t="s">
        <v>18909</v>
      </c>
      <c r="C281" s="279" t="s">
        <v>2505</v>
      </c>
      <c r="D281" s="287">
        <v>44434</v>
      </c>
      <c r="E281" s="276" t="s">
        <v>582</v>
      </c>
    </row>
    <row r="282" spans="1:6">
      <c r="A282" s="279" t="s">
        <v>1562</v>
      </c>
      <c r="B282" s="280" t="s">
        <v>1563</v>
      </c>
      <c r="C282" s="279" t="s">
        <v>1559</v>
      </c>
      <c r="D282" s="287">
        <v>44435</v>
      </c>
      <c r="E282" s="276" t="s">
        <v>582</v>
      </c>
      <c r="F282" s="279">
        <v>2</v>
      </c>
    </row>
    <row r="283" spans="1:6">
      <c r="A283" s="279" t="s">
        <v>1985</v>
      </c>
      <c r="B283" s="280" t="s">
        <v>18910</v>
      </c>
      <c r="C283" s="279" t="s">
        <v>2494</v>
      </c>
      <c r="D283" s="287">
        <v>45246</v>
      </c>
      <c r="E283" s="276" t="s">
        <v>2389</v>
      </c>
    </row>
    <row r="284" spans="1:6">
      <c r="A284" s="279" t="s">
        <v>152</v>
      </c>
      <c r="B284" s="280" t="s">
        <v>153</v>
      </c>
      <c r="C284" s="279" t="s">
        <v>96</v>
      </c>
      <c r="D284" s="287">
        <v>44321</v>
      </c>
      <c r="E284" s="276" t="s">
        <v>157</v>
      </c>
    </row>
    <row r="285" spans="1:6">
      <c r="A285" s="279" t="s">
        <v>1265</v>
      </c>
      <c r="B285" s="280" t="s">
        <v>1266</v>
      </c>
      <c r="C285" s="279" t="s">
        <v>1260</v>
      </c>
      <c r="D285" s="287">
        <v>45128</v>
      </c>
      <c r="E285" s="276" t="s">
        <v>605</v>
      </c>
      <c r="F285" s="279">
        <v>2</v>
      </c>
    </row>
    <row r="286" spans="1:6">
      <c r="A286" s="279" t="s">
        <v>275</v>
      </c>
      <c r="B286" s="280" t="s">
        <v>276</v>
      </c>
      <c r="C286" s="279" t="s">
        <v>235</v>
      </c>
      <c r="D286" s="287">
        <v>44958</v>
      </c>
      <c r="E286" s="276" t="s">
        <v>18901</v>
      </c>
    </row>
    <row r="287" spans="1:6">
      <c r="A287" s="279" t="s">
        <v>1986</v>
      </c>
      <c r="B287" s="280" t="s">
        <v>18911</v>
      </c>
      <c r="C287" s="279" t="s">
        <v>2498</v>
      </c>
      <c r="D287" s="287">
        <v>43592</v>
      </c>
      <c r="E287" s="279" t="s">
        <v>18912</v>
      </c>
    </row>
    <row r="288" spans="1:6">
      <c r="A288" s="279" t="s">
        <v>278</v>
      </c>
      <c r="B288" s="280" t="s">
        <v>279</v>
      </c>
      <c r="C288" s="279" t="s">
        <v>18914</v>
      </c>
      <c r="D288" s="287">
        <v>45240</v>
      </c>
      <c r="E288" s="279" t="s">
        <v>18913</v>
      </c>
    </row>
    <row r="289" spans="1:5">
      <c r="A289" s="279" t="s">
        <v>783</v>
      </c>
      <c r="B289" s="280" t="s">
        <v>784</v>
      </c>
      <c r="C289" s="279" t="s">
        <v>18900</v>
      </c>
      <c r="D289" s="287">
        <v>45077</v>
      </c>
      <c r="E289" s="279" t="s">
        <v>984</v>
      </c>
    </row>
    <row r="290" spans="1:5">
      <c r="A290" s="279" t="s">
        <v>1569</v>
      </c>
      <c r="B290" s="280" t="s">
        <v>1570</v>
      </c>
      <c r="C290" s="279" t="s">
        <v>18915</v>
      </c>
      <c r="D290" s="287">
        <v>45135</v>
      </c>
      <c r="E290" s="279" t="s">
        <v>18916</v>
      </c>
    </row>
    <row r="291" spans="1:5">
      <c r="A291" s="279" t="s">
        <v>225</v>
      </c>
      <c r="B291" s="280" t="s">
        <v>226</v>
      </c>
      <c r="C291" s="279" t="s">
        <v>18917</v>
      </c>
      <c r="D291" s="287">
        <v>45254</v>
      </c>
      <c r="E291" s="279" t="s">
        <v>2466</v>
      </c>
    </row>
    <row r="292" spans="1:5">
      <c r="A292" s="279" t="s">
        <v>1987</v>
      </c>
      <c r="B292" s="280" t="s">
        <v>18918</v>
      </c>
      <c r="C292" s="279" t="s">
        <v>2488</v>
      </c>
      <c r="D292" s="287">
        <v>45170</v>
      </c>
      <c r="E292" s="279" t="s">
        <v>2466</v>
      </c>
    </row>
    <row r="293" spans="1:5">
      <c r="A293" s="279" t="s">
        <v>627</v>
      </c>
      <c r="B293" s="280" t="s">
        <v>628</v>
      </c>
      <c r="C293" s="279" t="s">
        <v>2499</v>
      </c>
      <c r="D293" s="287">
        <v>44658</v>
      </c>
      <c r="E293" s="279" t="s">
        <v>18919</v>
      </c>
    </row>
    <row r="294" spans="1:5">
      <c r="A294" s="279" t="s">
        <v>361</v>
      </c>
      <c r="B294" s="280" t="s">
        <v>362</v>
      </c>
      <c r="C294" s="279" t="s">
        <v>18920</v>
      </c>
      <c r="D294" s="287">
        <v>45142</v>
      </c>
      <c r="E294" s="279" t="s">
        <v>2466</v>
      </c>
    </row>
    <row r="295" spans="1:5">
      <c r="A295" s="279" t="s">
        <v>880</v>
      </c>
      <c r="B295" s="280" t="s">
        <v>881</v>
      </c>
      <c r="C295" s="279" t="s">
        <v>2497</v>
      </c>
      <c r="D295" s="287">
        <v>45163</v>
      </c>
      <c r="E295" s="276" t="s">
        <v>605</v>
      </c>
    </row>
    <row r="296" spans="1:5">
      <c r="A296" s="279" t="s">
        <v>1988</v>
      </c>
      <c r="B296" s="280" t="s">
        <v>18921</v>
      </c>
      <c r="C296" s="279" t="s">
        <v>18922</v>
      </c>
      <c r="D296" s="287">
        <v>43878</v>
      </c>
      <c r="E296" s="279" t="s">
        <v>2443</v>
      </c>
    </row>
    <row r="297" spans="1:5">
      <c r="A297" s="279" t="s">
        <v>18923</v>
      </c>
      <c r="B297" s="280" t="s">
        <v>18924</v>
      </c>
      <c r="C297" s="279" t="s">
        <v>2498</v>
      </c>
      <c r="D297" s="287">
        <v>45091</v>
      </c>
      <c r="E297" s="279" t="s">
        <v>474</v>
      </c>
    </row>
    <row r="298" spans="1:5">
      <c r="A298" s="279" t="s">
        <v>1032</v>
      </c>
      <c r="B298" s="280" t="s">
        <v>1033</v>
      </c>
      <c r="C298" s="279" t="s">
        <v>2490</v>
      </c>
      <c r="D298" s="287">
        <v>44981</v>
      </c>
      <c r="E298" s="279" t="s">
        <v>18925</v>
      </c>
    </row>
    <row r="299" spans="1:5">
      <c r="A299" s="279" t="s">
        <v>364</v>
      </c>
      <c r="B299" s="280" t="s">
        <v>365</v>
      </c>
      <c r="C299" s="279" t="s">
        <v>18920</v>
      </c>
      <c r="D299" s="287">
        <v>44447</v>
      </c>
      <c r="E299" s="279" t="s">
        <v>18942</v>
      </c>
    </row>
    <row r="300" spans="1:5">
      <c r="A300" s="279" t="s">
        <v>366</v>
      </c>
      <c r="B300" s="280" t="s">
        <v>367</v>
      </c>
      <c r="C300" s="279" t="s">
        <v>18926</v>
      </c>
      <c r="D300" s="287">
        <v>43626</v>
      </c>
      <c r="E300" s="279" t="s">
        <v>18927</v>
      </c>
    </row>
    <row r="301" spans="1:5">
      <c r="A301" s="279" t="s">
        <v>563</v>
      </c>
      <c r="B301" s="280" t="s">
        <v>564</v>
      </c>
      <c r="C301" s="279" t="s">
        <v>2494</v>
      </c>
      <c r="D301" s="287">
        <v>45118</v>
      </c>
      <c r="E301" s="279" t="s">
        <v>18928</v>
      </c>
    </row>
    <row r="302" spans="1:5">
      <c r="A302" s="279" t="s">
        <v>1995</v>
      </c>
      <c r="B302" s="280" t="s">
        <v>18929</v>
      </c>
      <c r="C302" s="279" t="s">
        <v>18899</v>
      </c>
      <c r="D302" s="287">
        <v>45240</v>
      </c>
      <c r="E302" s="279" t="s">
        <v>18930</v>
      </c>
    </row>
    <row r="303" spans="1:5">
      <c r="A303" s="279" t="s">
        <v>665</v>
      </c>
      <c r="B303" s="280" t="s">
        <v>666</v>
      </c>
      <c r="C303" s="279" t="s">
        <v>2491</v>
      </c>
      <c r="D303" s="287">
        <v>44334</v>
      </c>
      <c r="E303" s="279" t="s">
        <v>2473</v>
      </c>
    </row>
    <row r="304" spans="1:5">
      <c r="A304" s="279" t="s">
        <v>1997</v>
      </c>
      <c r="B304" s="280" t="s">
        <v>18931</v>
      </c>
      <c r="C304" s="279" t="s">
        <v>18932</v>
      </c>
      <c r="D304" s="287">
        <v>45219</v>
      </c>
      <c r="E304" s="279" t="s">
        <v>18933</v>
      </c>
    </row>
    <row r="305" spans="1:5">
      <c r="A305" s="279" t="s">
        <v>1442</v>
      </c>
      <c r="B305" s="280" t="s">
        <v>1443</v>
      </c>
      <c r="C305" s="279" t="s">
        <v>18934</v>
      </c>
      <c r="D305" s="287">
        <v>45182</v>
      </c>
      <c r="E305" s="279" t="s">
        <v>18935</v>
      </c>
    </row>
    <row r="306" spans="1:5">
      <c r="A306" s="279" t="s">
        <v>68</v>
      </c>
      <c r="B306" s="280" t="s">
        <v>69</v>
      </c>
      <c r="C306" s="279" t="s">
        <v>18936</v>
      </c>
      <c r="D306" s="287">
        <v>44365</v>
      </c>
      <c r="E306" s="279" t="s">
        <v>18940</v>
      </c>
    </row>
    <row r="307" spans="1:5">
      <c r="A307" s="279" t="s">
        <v>1096</v>
      </c>
      <c r="B307" s="280" t="s">
        <v>1097</v>
      </c>
      <c r="C307" s="279" t="s">
        <v>18899</v>
      </c>
      <c r="D307" s="287">
        <v>44882</v>
      </c>
      <c r="E307" s="279" t="s">
        <v>2469</v>
      </c>
    </row>
    <row r="308" spans="1:5">
      <c r="A308" s="279" t="s">
        <v>1061</v>
      </c>
      <c r="B308" s="280" t="s">
        <v>1062</v>
      </c>
      <c r="C308" s="279" t="s">
        <v>2501</v>
      </c>
      <c r="D308" s="287">
        <v>45065</v>
      </c>
      <c r="E308" s="279" t="s">
        <v>18928</v>
      </c>
    </row>
    <row r="309" spans="1:5">
      <c r="A309" s="279" t="s">
        <v>1999</v>
      </c>
      <c r="B309" s="280" t="s">
        <v>18937</v>
      </c>
      <c r="C309" s="279" t="s">
        <v>18938</v>
      </c>
      <c r="D309" s="287">
        <v>44377</v>
      </c>
      <c r="E309" s="279" t="s">
        <v>18941</v>
      </c>
    </row>
    <row r="310" spans="1:5">
      <c r="A310" s="279" t="s">
        <v>1136</v>
      </c>
      <c r="B310" s="280" t="s">
        <v>1137</v>
      </c>
      <c r="C310" s="279" t="s">
        <v>2487</v>
      </c>
      <c r="D310" s="287">
        <v>45224</v>
      </c>
      <c r="E310" s="279" t="s">
        <v>18928</v>
      </c>
    </row>
    <row r="311" spans="1:5">
      <c r="A311" s="279" t="s">
        <v>1267</v>
      </c>
      <c r="B311" s="280" t="s">
        <v>1268</v>
      </c>
      <c r="C311" s="279" t="s">
        <v>18943</v>
      </c>
      <c r="D311" s="287">
        <v>45162</v>
      </c>
      <c r="E311" s="279" t="s">
        <v>18944</v>
      </c>
    </row>
    <row r="312" spans="1:5">
      <c r="A312" s="279" t="s">
        <v>2001</v>
      </c>
      <c r="B312" s="280" t="s">
        <v>18945</v>
      </c>
      <c r="C312" s="279" t="s">
        <v>2493</v>
      </c>
      <c r="D312" s="287">
        <v>45042</v>
      </c>
      <c r="E312" s="279" t="s">
        <v>18946</v>
      </c>
    </row>
    <row r="313" spans="1:5">
      <c r="A313" s="279" t="s">
        <v>2002</v>
      </c>
      <c r="B313" s="280" t="s">
        <v>18947</v>
      </c>
      <c r="C313" s="279" t="s">
        <v>2492</v>
      </c>
      <c r="D313" s="287">
        <v>45155</v>
      </c>
      <c r="E313" s="279" t="s">
        <v>18948</v>
      </c>
    </row>
    <row r="314" spans="1:5">
      <c r="A314" s="279" t="s">
        <v>882</v>
      </c>
      <c r="B314" s="280" t="s">
        <v>883</v>
      </c>
      <c r="C314" s="279" t="s">
        <v>18949</v>
      </c>
      <c r="D314" s="287">
        <v>45041</v>
      </c>
      <c r="E314" s="279" t="s">
        <v>18928</v>
      </c>
    </row>
    <row r="315" spans="1:5">
      <c r="A315" s="279" t="s">
        <v>2003</v>
      </c>
      <c r="B315" s="280" t="s">
        <v>18950</v>
      </c>
      <c r="C315" s="279" t="s">
        <v>18899</v>
      </c>
      <c r="D315" s="287">
        <v>45112</v>
      </c>
      <c r="E315" s="279" t="s">
        <v>18944</v>
      </c>
    </row>
    <row r="316" spans="1:5">
      <c r="A316" s="279" t="s">
        <v>70</v>
      </c>
      <c r="B316" s="280" t="s">
        <v>71</v>
      </c>
      <c r="C316" s="279" t="s">
        <v>18936</v>
      </c>
      <c r="D316" s="287">
        <v>44957</v>
      </c>
      <c r="E316" s="279" t="s">
        <v>2473</v>
      </c>
    </row>
    <row r="317" spans="1:5">
      <c r="A317" s="279" t="s">
        <v>2004</v>
      </c>
      <c r="B317" s="280" t="s">
        <v>18951</v>
      </c>
      <c r="C317" s="279" t="s">
        <v>2509</v>
      </c>
      <c r="D317" s="287">
        <v>44795</v>
      </c>
      <c r="E317" s="279" t="s">
        <v>2469</v>
      </c>
    </row>
    <row r="318" spans="1:5">
      <c r="A318" s="279" t="s">
        <v>2005</v>
      </c>
      <c r="B318" s="280" t="s">
        <v>18952</v>
      </c>
      <c r="C318" s="279" t="s">
        <v>2504</v>
      </c>
      <c r="D318" s="287">
        <v>45252</v>
      </c>
      <c r="E318" s="279" t="s">
        <v>18953</v>
      </c>
    </row>
    <row r="319" spans="1:5">
      <c r="A319" s="279" t="s">
        <v>2006</v>
      </c>
      <c r="B319" s="280" t="s">
        <v>18954</v>
      </c>
      <c r="C319" s="279" t="s">
        <v>18914</v>
      </c>
      <c r="D319" s="287">
        <v>45124</v>
      </c>
      <c r="E319" s="279" t="s">
        <v>18939</v>
      </c>
    </row>
    <row r="320" spans="1:5">
      <c r="A320" s="279" t="s">
        <v>227</v>
      </c>
      <c r="B320" s="280" t="s">
        <v>228</v>
      </c>
      <c r="C320" s="279" t="s">
        <v>18955</v>
      </c>
      <c r="D320" s="287">
        <v>44957</v>
      </c>
      <c r="E320" s="279" t="s">
        <v>18939</v>
      </c>
    </row>
    <row r="321" spans="1:5">
      <c r="A321" s="279" t="s">
        <v>2008</v>
      </c>
      <c r="B321" s="280" t="s">
        <v>18956</v>
      </c>
      <c r="C321" s="279" t="s">
        <v>18957</v>
      </c>
      <c r="D321" s="287">
        <v>44119</v>
      </c>
      <c r="E321" s="279" t="s">
        <v>18953</v>
      </c>
    </row>
    <row r="322" spans="1:5">
      <c r="A322" s="279" t="s">
        <v>2010</v>
      </c>
      <c r="B322" s="280" t="s">
        <v>18958</v>
      </c>
      <c r="C322" s="279" t="s">
        <v>2499</v>
      </c>
      <c r="D322" s="287">
        <v>45247</v>
      </c>
      <c r="E322" s="279" t="s">
        <v>18919</v>
      </c>
    </row>
    <row r="323" spans="1:5">
      <c r="A323" s="279" t="s">
        <v>2011</v>
      </c>
      <c r="B323" s="280" t="s">
        <v>18959</v>
      </c>
      <c r="C323" s="279" t="s">
        <v>18960</v>
      </c>
      <c r="D323" s="287">
        <v>44977</v>
      </c>
      <c r="E323" s="279" t="s">
        <v>18946</v>
      </c>
    </row>
    <row r="324" spans="1:5">
      <c r="A324" s="279" t="s">
        <v>1139</v>
      </c>
      <c r="B324" s="280" t="s">
        <v>1140</v>
      </c>
      <c r="C324" s="279" t="s">
        <v>2498</v>
      </c>
      <c r="D324" s="287">
        <v>45007</v>
      </c>
      <c r="E324" s="279" t="s">
        <v>2466</v>
      </c>
    </row>
    <row r="325" spans="1:5">
      <c r="A325" s="279" t="s">
        <v>1459</v>
      </c>
      <c r="B325" s="280" t="s">
        <v>1460</v>
      </c>
      <c r="C325" s="279" t="s">
        <v>18961</v>
      </c>
      <c r="D325" s="287">
        <v>44973</v>
      </c>
      <c r="E325" s="279" t="s">
        <v>18953</v>
      </c>
    </row>
    <row r="326" spans="1:5">
      <c r="A326" s="279" t="s">
        <v>1098</v>
      </c>
      <c r="B326" s="280" t="s">
        <v>1099</v>
      </c>
      <c r="C326" s="279" t="s">
        <v>18899</v>
      </c>
      <c r="D326" s="287">
        <v>44985</v>
      </c>
      <c r="E326" s="279" t="s">
        <v>18944</v>
      </c>
    </row>
    <row r="327" spans="1:5">
      <c r="A327" s="279" t="s">
        <v>566</v>
      </c>
      <c r="B327" s="280" t="s">
        <v>567</v>
      </c>
      <c r="C327" s="279" t="s">
        <v>18962</v>
      </c>
      <c r="D327" s="287">
        <v>45054</v>
      </c>
      <c r="E327" s="279" t="s">
        <v>18928</v>
      </c>
    </row>
    <row r="328" spans="1:5">
      <c r="A328" s="279" t="s">
        <v>284</v>
      </c>
      <c r="B328" s="280" t="s">
        <v>285</v>
      </c>
      <c r="C328" s="279" t="s">
        <v>18914</v>
      </c>
      <c r="D328" s="287">
        <v>45012</v>
      </c>
      <c r="E328" s="279" t="s">
        <v>18963</v>
      </c>
    </row>
    <row r="329" spans="1:5">
      <c r="A329" s="279" t="s">
        <v>155</v>
      </c>
      <c r="B329" s="280" t="s">
        <v>156</v>
      </c>
      <c r="C329" s="279" t="s">
        <v>18938</v>
      </c>
      <c r="D329" s="287">
        <v>45016</v>
      </c>
      <c r="E329" s="279" t="s">
        <v>18946</v>
      </c>
    </row>
    <row r="330" spans="1:5">
      <c r="A330" s="279" t="s">
        <v>73</v>
      </c>
      <c r="B330" s="280" t="s">
        <v>74</v>
      </c>
      <c r="C330" s="279" t="s">
        <v>18926</v>
      </c>
      <c r="D330" s="287">
        <v>44957</v>
      </c>
      <c r="E330" s="279" t="s">
        <v>18913</v>
      </c>
    </row>
    <row r="331" spans="1:5">
      <c r="A331" s="279" t="s">
        <v>75</v>
      </c>
      <c r="B331" s="280" t="s">
        <v>76</v>
      </c>
      <c r="C331" s="279" t="s">
        <v>18936</v>
      </c>
      <c r="D331" s="287">
        <v>44967</v>
      </c>
      <c r="E331" s="279" t="s">
        <v>18935</v>
      </c>
    </row>
    <row r="332" spans="1:5">
      <c r="A332" s="279" t="s">
        <v>1707</v>
      </c>
      <c r="B332" s="280" t="s">
        <v>1708</v>
      </c>
      <c r="C332" s="279" t="s">
        <v>18964</v>
      </c>
      <c r="D332" s="287">
        <v>45014</v>
      </c>
      <c r="E332" s="279" t="s">
        <v>2466</v>
      </c>
    </row>
    <row r="333" spans="1:5">
      <c r="A333" s="279" t="s">
        <v>158</v>
      </c>
      <c r="B333" s="280" t="s">
        <v>18965</v>
      </c>
      <c r="C333" s="279" t="s">
        <v>18938</v>
      </c>
      <c r="D333" s="287">
        <v>44742</v>
      </c>
      <c r="E333" s="279" t="s">
        <v>18939</v>
      </c>
    </row>
    <row r="334" spans="1:5">
      <c r="A334" s="279" t="s">
        <v>286</v>
      </c>
      <c r="B334" s="280" t="s">
        <v>287</v>
      </c>
      <c r="C334" s="279" t="s">
        <v>18914</v>
      </c>
      <c r="D334" s="287">
        <v>44575</v>
      </c>
      <c r="E334" s="279" t="s">
        <v>2473</v>
      </c>
    </row>
    <row r="335" spans="1:5">
      <c r="A335" s="279" t="s">
        <v>2024</v>
      </c>
      <c r="B335" s="280" t="s">
        <v>18966</v>
      </c>
      <c r="C335" s="279" t="s">
        <v>2495</v>
      </c>
      <c r="D335" s="287">
        <v>45106</v>
      </c>
      <c r="E335" s="279" t="s">
        <v>2466</v>
      </c>
    </row>
    <row r="336" spans="1:5">
      <c r="A336" s="279" t="s">
        <v>77</v>
      </c>
      <c r="B336" s="280" t="s">
        <v>78</v>
      </c>
      <c r="C336" s="279" t="s">
        <v>18936</v>
      </c>
      <c r="D336" s="287">
        <v>44656</v>
      </c>
      <c r="E336" s="279" t="s">
        <v>18919</v>
      </c>
    </row>
    <row r="337" spans="1:6">
      <c r="A337" s="279" t="s">
        <v>80</v>
      </c>
      <c r="B337" s="280" t="s">
        <v>81</v>
      </c>
      <c r="C337" s="279" t="s">
        <v>18936</v>
      </c>
      <c r="D337" s="287">
        <v>44405</v>
      </c>
      <c r="E337" s="279" t="s">
        <v>18967</v>
      </c>
    </row>
    <row r="338" spans="1:6">
      <c r="A338" s="279" t="s">
        <v>1101</v>
      </c>
      <c r="B338" s="280" t="s">
        <v>1102</v>
      </c>
      <c r="C338" s="279" t="s">
        <v>18968</v>
      </c>
      <c r="D338" s="287">
        <v>44991</v>
      </c>
      <c r="E338" s="279" t="s">
        <v>18935</v>
      </c>
    </row>
    <row r="339" spans="1:6">
      <c r="A339" s="279" t="s">
        <v>160</v>
      </c>
      <c r="B339" s="280" t="s">
        <v>161</v>
      </c>
      <c r="C339" s="279" t="s">
        <v>18938</v>
      </c>
      <c r="D339" s="287">
        <v>44656</v>
      </c>
      <c r="E339" s="279" t="s">
        <v>2469</v>
      </c>
    </row>
    <row r="340" spans="1:6">
      <c r="A340" s="279" t="s">
        <v>1241</v>
      </c>
      <c r="B340" s="280" t="s">
        <v>1242</v>
      </c>
      <c r="C340" s="279" t="s">
        <v>18969</v>
      </c>
      <c r="D340" s="287">
        <v>45147</v>
      </c>
      <c r="E340" s="279" t="s">
        <v>18944</v>
      </c>
    </row>
    <row r="341" spans="1:6">
      <c r="A341" s="279" t="s">
        <v>606</v>
      </c>
      <c r="B341" s="280" t="s">
        <v>607</v>
      </c>
      <c r="C341" s="279" t="s">
        <v>2492</v>
      </c>
      <c r="D341" s="287">
        <v>44964</v>
      </c>
      <c r="E341" s="279" t="s">
        <v>18928</v>
      </c>
    </row>
    <row r="342" spans="1:6">
      <c r="A342" s="279" t="s">
        <v>1238</v>
      </c>
      <c r="B342" s="280" t="s">
        <v>1239</v>
      </c>
      <c r="C342" s="279" t="s">
        <v>18970</v>
      </c>
      <c r="D342" s="287">
        <v>45196</v>
      </c>
      <c r="E342" s="279" t="s">
        <v>18971</v>
      </c>
    </row>
    <row r="343" spans="1:6">
      <c r="A343" s="279" t="s">
        <v>1063</v>
      </c>
      <c r="B343" s="280" t="s">
        <v>1064</v>
      </c>
      <c r="C343" s="279" t="s">
        <v>18972</v>
      </c>
      <c r="D343" s="287">
        <v>44992</v>
      </c>
      <c r="E343" s="279" t="s">
        <v>18973</v>
      </c>
    </row>
    <row r="344" spans="1:6">
      <c r="A344" s="279" t="s">
        <v>569</v>
      </c>
      <c r="B344" s="280" t="s">
        <v>570</v>
      </c>
      <c r="C344" s="279" t="s">
        <v>2494</v>
      </c>
      <c r="D344" s="287">
        <v>45118</v>
      </c>
      <c r="E344" s="279" t="s">
        <v>2466</v>
      </c>
    </row>
    <row r="345" spans="1:6">
      <c r="A345" s="279" t="s">
        <v>1269</v>
      </c>
      <c r="B345" s="280" t="s">
        <v>1270</v>
      </c>
      <c r="C345" s="279" t="s">
        <v>18943</v>
      </c>
      <c r="D345" s="287">
        <v>44973</v>
      </c>
      <c r="E345" s="279" t="s">
        <v>18944</v>
      </c>
    </row>
    <row r="346" spans="1:6">
      <c r="A346" s="279" t="s">
        <v>289</v>
      </c>
      <c r="B346" s="280" t="s">
        <v>290</v>
      </c>
      <c r="C346" s="279" t="s">
        <v>18914</v>
      </c>
      <c r="D346" s="287">
        <v>44693</v>
      </c>
      <c r="E346" s="279" t="s">
        <v>18974</v>
      </c>
    </row>
    <row r="347" spans="1:6">
      <c r="A347" s="279" t="s">
        <v>715</v>
      </c>
      <c r="B347" s="280" t="s">
        <v>716</v>
      </c>
      <c r="C347" s="279" t="s">
        <v>2509</v>
      </c>
      <c r="D347" s="287">
        <v>45120</v>
      </c>
      <c r="E347" s="279" t="s">
        <v>18919</v>
      </c>
    </row>
    <row r="348" spans="1:6">
      <c r="A348" s="279" t="s">
        <v>1550</v>
      </c>
      <c r="B348" s="280" t="s">
        <v>1551</v>
      </c>
      <c r="C348" s="279" t="s">
        <v>18975</v>
      </c>
      <c r="D348" s="287">
        <v>45000</v>
      </c>
      <c r="E348" s="279" t="s">
        <v>2466</v>
      </c>
    </row>
    <row r="349" spans="1:6">
      <c r="A349" s="279" t="s">
        <v>84</v>
      </c>
      <c r="B349" s="280" t="s">
        <v>85</v>
      </c>
      <c r="C349" s="279" t="s">
        <v>18936</v>
      </c>
      <c r="D349" s="287">
        <v>45167</v>
      </c>
      <c r="E349" s="279" t="s">
        <v>18976</v>
      </c>
    </row>
    <row r="350" spans="1:6">
      <c r="A350" s="279" t="s">
        <v>162</v>
      </c>
      <c r="B350" s="280" t="s">
        <v>163</v>
      </c>
      <c r="C350" s="279" t="s">
        <v>18938</v>
      </c>
      <c r="D350" s="287">
        <v>44855</v>
      </c>
      <c r="E350" s="279" t="s">
        <v>2466</v>
      </c>
    </row>
    <row r="351" spans="1:6">
      <c r="A351" s="279" t="s">
        <v>1188</v>
      </c>
      <c r="B351" s="280" t="s">
        <v>1189</v>
      </c>
      <c r="C351" s="279" t="s">
        <v>2486</v>
      </c>
      <c r="D351" s="287">
        <v>45247</v>
      </c>
      <c r="E351" s="279" t="s">
        <v>18953</v>
      </c>
    </row>
    <row r="352" spans="1:6" s="285" customFormat="1">
      <c r="A352" s="279" t="s">
        <v>995</v>
      </c>
      <c r="B352" s="280" t="s">
        <v>996</v>
      </c>
      <c r="C352" s="279" t="s">
        <v>18977</v>
      </c>
      <c r="D352" s="287">
        <v>44525</v>
      </c>
      <c r="E352" s="279" t="s">
        <v>2473</v>
      </c>
      <c r="F352" s="279"/>
    </row>
    <row r="353" spans="1:6" s="285" customFormat="1">
      <c r="A353" s="289" t="s">
        <v>1065</v>
      </c>
      <c r="B353" s="290" t="s">
        <v>1066</v>
      </c>
      <c r="C353" s="285" t="s">
        <v>18972</v>
      </c>
      <c r="D353" s="291">
        <v>44700</v>
      </c>
      <c r="E353" s="285" t="s">
        <v>2473</v>
      </c>
      <c r="F353" s="288"/>
    </row>
    <row r="354" spans="1:6" s="285" customFormat="1">
      <c r="A354" s="289" t="s">
        <v>492</v>
      </c>
      <c r="B354" s="290" t="s">
        <v>493</v>
      </c>
      <c r="C354" s="285" t="s">
        <v>2498</v>
      </c>
      <c r="D354" s="291">
        <v>45128</v>
      </c>
      <c r="E354" s="285" t="s">
        <v>2466</v>
      </c>
      <c r="F354" s="288"/>
    </row>
    <row r="355" spans="1:6" s="285" customFormat="1">
      <c r="A355" s="289" t="s">
        <v>1228</v>
      </c>
      <c r="B355" s="290" t="s">
        <v>1229</v>
      </c>
      <c r="C355" s="285" t="s">
        <v>2493</v>
      </c>
      <c r="D355" s="291">
        <v>44908</v>
      </c>
      <c r="E355" s="285" t="s">
        <v>18953</v>
      </c>
      <c r="F355" s="288"/>
    </row>
    <row r="356" spans="1:6" s="285" customFormat="1">
      <c r="A356" s="289" t="s">
        <v>2033</v>
      </c>
      <c r="B356" s="290" t="s">
        <v>1360</v>
      </c>
      <c r="C356" s="285" t="s">
        <v>18978</v>
      </c>
      <c r="D356" s="291">
        <v>44627</v>
      </c>
      <c r="E356" s="285" t="s">
        <v>18979</v>
      </c>
      <c r="F356" s="288"/>
    </row>
    <row r="357" spans="1:6" s="285" customFormat="1">
      <c r="A357" s="289" t="s">
        <v>87</v>
      </c>
      <c r="B357" s="290" t="s">
        <v>88</v>
      </c>
      <c r="C357" s="285" t="s">
        <v>18936</v>
      </c>
      <c r="D357" s="291">
        <v>44910</v>
      </c>
      <c r="E357" s="285" t="s">
        <v>18935</v>
      </c>
      <c r="F357" s="288"/>
    </row>
    <row r="358" spans="1:6" s="285" customFormat="1">
      <c r="A358" s="289" t="s">
        <v>370</v>
      </c>
      <c r="B358" s="290" t="s">
        <v>371</v>
      </c>
      <c r="C358" s="285" t="s">
        <v>18920</v>
      </c>
      <c r="D358" s="291">
        <v>45202</v>
      </c>
      <c r="E358" s="285" t="s">
        <v>18939</v>
      </c>
      <c r="F358" s="288"/>
    </row>
    <row r="359" spans="1:6" s="285" customFormat="1">
      <c r="A359" s="289" t="s">
        <v>747</v>
      </c>
      <c r="B359" s="290" t="s">
        <v>748</v>
      </c>
      <c r="C359" s="285" t="s">
        <v>18980</v>
      </c>
      <c r="D359" s="291">
        <v>45244</v>
      </c>
      <c r="E359" s="285" t="s">
        <v>2469</v>
      </c>
      <c r="F359" s="288"/>
    </row>
    <row r="360" spans="1:6" s="285" customFormat="1">
      <c r="A360" s="289" t="s">
        <v>291</v>
      </c>
      <c r="B360" s="290" t="s">
        <v>292</v>
      </c>
      <c r="C360" s="285" t="s">
        <v>18914</v>
      </c>
      <c r="D360" s="291">
        <v>44687</v>
      </c>
      <c r="E360" s="285" t="s">
        <v>2466</v>
      </c>
      <c r="F360" s="288"/>
    </row>
    <row r="361" spans="1:6" s="285" customFormat="1">
      <c r="A361" s="289" t="s">
        <v>90</v>
      </c>
      <c r="B361" s="290" t="s">
        <v>91</v>
      </c>
      <c r="C361" s="285" t="s">
        <v>18936</v>
      </c>
      <c r="D361" s="291">
        <v>44593</v>
      </c>
      <c r="E361" s="285" t="s">
        <v>18946</v>
      </c>
      <c r="F361" s="288"/>
    </row>
    <row r="362" spans="1:6" s="285" customFormat="1">
      <c r="A362" s="289" t="s">
        <v>927</v>
      </c>
      <c r="B362" s="290" t="s">
        <v>928</v>
      </c>
      <c r="C362" s="285" t="s">
        <v>2489</v>
      </c>
      <c r="D362" s="291">
        <v>44680</v>
      </c>
      <c r="E362" s="285" t="s">
        <v>18981</v>
      </c>
      <c r="F362" s="288"/>
    </row>
    <row r="363" spans="1:6" s="285" customFormat="1">
      <c r="A363" s="289" t="s">
        <v>2034</v>
      </c>
      <c r="B363" s="290" t="s">
        <v>18982</v>
      </c>
      <c r="C363" s="285" t="s">
        <v>2494</v>
      </c>
      <c r="D363" s="291">
        <v>44019</v>
      </c>
      <c r="E363" s="285" t="s">
        <v>18935</v>
      </c>
      <c r="F363" s="288"/>
    </row>
    <row r="364" spans="1:6" s="285" customFormat="1">
      <c r="A364" s="289" t="s">
        <v>164</v>
      </c>
      <c r="B364" s="290" t="s">
        <v>165</v>
      </c>
      <c r="C364" s="285" t="s">
        <v>18983</v>
      </c>
      <c r="D364" s="291">
        <v>44958</v>
      </c>
      <c r="E364" s="285" t="s">
        <v>18963</v>
      </c>
      <c r="F364" s="288"/>
    </row>
    <row r="365" spans="1:6" s="285" customFormat="1">
      <c r="A365" s="289" t="s">
        <v>750</v>
      </c>
      <c r="B365" s="290" t="s">
        <v>751</v>
      </c>
      <c r="C365" s="285" t="s">
        <v>18984</v>
      </c>
      <c r="D365" s="291">
        <v>44616</v>
      </c>
      <c r="E365" s="285" t="s">
        <v>18953</v>
      </c>
      <c r="F365" s="288"/>
    </row>
    <row r="366" spans="1:6" s="285" customFormat="1">
      <c r="A366" s="289" t="s">
        <v>718</v>
      </c>
      <c r="B366" s="290" t="s">
        <v>719</v>
      </c>
      <c r="C366" s="285" t="s">
        <v>2509</v>
      </c>
      <c r="D366" s="291">
        <v>45105</v>
      </c>
      <c r="E366" s="285" t="s">
        <v>18973</v>
      </c>
      <c r="F366" s="288"/>
    </row>
    <row r="367" spans="1:6" s="285" customFormat="1">
      <c r="A367" s="289" t="s">
        <v>1830</v>
      </c>
      <c r="B367" s="290" t="s">
        <v>1831</v>
      </c>
      <c r="C367" s="285" t="s">
        <v>18985</v>
      </c>
      <c r="D367" s="291">
        <v>45117</v>
      </c>
      <c r="E367" s="285" t="s">
        <v>18935</v>
      </c>
      <c r="F367" s="288"/>
    </row>
    <row r="368" spans="1:6" s="285" customFormat="1">
      <c r="A368" s="289" t="s">
        <v>422</v>
      </c>
      <c r="B368" s="290" t="s">
        <v>423</v>
      </c>
      <c r="C368" s="285" t="s">
        <v>2517</v>
      </c>
      <c r="D368" s="291">
        <v>45006</v>
      </c>
      <c r="E368" s="285" t="s">
        <v>18953</v>
      </c>
      <c r="F368" s="288"/>
    </row>
    <row r="369" spans="1:6" s="285" customFormat="1">
      <c r="A369" s="289" t="s">
        <v>1254</v>
      </c>
      <c r="B369" s="290" t="s">
        <v>425</v>
      </c>
      <c r="C369" s="285" t="s">
        <v>18986</v>
      </c>
      <c r="D369" s="291">
        <v>44999</v>
      </c>
      <c r="E369" s="285" t="s">
        <v>18944</v>
      </c>
      <c r="F369" s="288"/>
    </row>
    <row r="370" spans="1:6" s="285" customFormat="1">
      <c r="A370" s="289" t="s">
        <v>1141</v>
      </c>
      <c r="B370" s="290" t="s">
        <v>1142</v>
      </c>
      <c r="C370" s="292" t="s">
        <v>2445</v>
      </c>
      <c r="D370" s="291">
        <v>44944</v>
      </c>
      <c r="E370" s="285" t="s">
        <v>18928</v>
      </c>
      <c r="F370" s="288"/>
    </row>
    <row r="371" spans="1:6" s="285" customFormat="1">
      <c r="A371" s="289" t="s">
        <v>424</v>
      </c>
      <c r="B371" s="290" t="s">
        <v>18987</v>
      </c>
      <c r="C371" s="285" t="s">
        <v>2517</v>
      </c>
      <c r="D371" s="291">
        <v>44995</v>
      </c>
      <c r="E371" s="285" t="s">
        <v>18953</v>
      </c>
      <c r="F371" s="288"/>
    </row>
    <row r="372" spans="1:6" s="285" customFormat="1">
      <c r="A372" s="289" t="s">
        <v>294</v>
      </c>
      <c r="B372" s="290" t="s">
        <v>295</v>
      </c>
      <c r="C372" s="285" t="s">
        <v>18988</v>
      </c>
      <c r="D372" s="291">
        <v>45247</v>
      </c>
      <c r="E372" s="285" t="s">
        <v>18913</v>
      </c>
      <c r="F372" s="288"/>
    </row>
    <row r="373" spans="1:6" s="285" customFormat="1">
      <c r="A373" s="289" t="s">
        <v>930</v>
      </c>
      <c r="B373" s="290" t="s">
        <v>931</v>
      </c>
      <c r="C373" s="285" t="s">
        <v>2489</v>
      </c>
      <c r="D373" s="291">
        <v>45084</v>
      </c>
      <c r="E373" s="285" t="s">
        <v>18946</v>
      </c>
      <c r="F373" s="288"/>
    </row>
    <row r="374" spans="1:6" s="285" customFormat="1">
      <c r="A374" s="289" t="s">
        <v>1714</v>
      </c>
      <c r="B374" s="290" t="s">
        <v>1715</v>
      </c>
      <c r="C374" s="285" t="s">
        <v>18989</v>
      </c>
      <c r="D374" s="291">
        <v>44981</v>
      </c>
      <c r="E374" s="285" t="s">
        <v>18928</v>
      </c>
      <c r="F374" s="288"/>
    </row>
    <row r="375" spans="1:6" s="285" customFormat="1">
      <c r="A375" s="289" t="s">
        <v>884</v>
      </c>
      <c r="B375" s="290" t="s">
        <v>885</v>
      </c>
      <c r="C375" s="285" t="s">
        <v>2497</v>
      </c>
      <c r="D375" s="291">
        <v>45202</v>
      </c>
      <c r="E375" s="285" t="s">
        <v>2469</v>
      </c>
      <c r="F375" s="288"/>
    </row>
    <row r="376" spans="1:6" s="285" customFormat="1">
      <c r="A376" s="289" t="s">
        <v>372</v>
      </c>
      <c r="B376" s="290" t="s">
        <v>373</v>
      </c>
      <c r="C376" s="285" t="s">
        <v>18920</v>
      </c>
      <c r="D376" s="291">
        <v>45278</v>
      </c>
      <c r="E376" s="285" t="s">
        <v>18976</v>
      </c>
      <c r="F376" s="288"/>
    </row>
    <row r="377" spans="1:6" s="285" customFormat="1">
      <c r="A377" s="289" t="s">
        <v>1540</v>
      </c>
      <c r="B377" s="290" t="s">
        <v>1541</v>
      </c>
      <c r="C377" s="285" t="s">
        <v>18920</v>
      </c>
      <c r="D377" s="291">
        <v>45251</v>
      </c>
      <c r="E377" s="285" t="s">
        <v>2452</v>
      </c>
      <c r="F377" s="288"/>
    </row>
    <row r="378" spans="1:6" s="285" customFormat="1">
      <c r="A378" s="289" t="s">
        <v>1564</v>
      </c>
      <c r="B378" s="293" t="s">
        <v>1565</v>
      </c>
      <c r="C378" s="285" t="s">
        <v>18990</v>
      </c>
      <c r="D378" s="294" t="s">
        <v>18991</v>
      </c>
      <c r="E378" s="285" t="s">
        <v>18971</v>
      </c>
      <c r="F378" s="288"/>
    </row>
    <row r="379" spans="1:6" s="285" customFormat="1">
      <c r="A379" s="289" t="s">
        <v>1516</v>
      </c>
      <c r="B379" s="290" t="s">
        <v>1517</v>
      </c>
      <c r="C379" s="285" t="s">
        <v>2487</v>
      </c>
      <c r="D379" s="291">
        <v>44986</v>
      </c>
      <c r="E379" s="318" t="s">
        <v>18935</v>
      </c>
      <c r="F379" s="288"/>
    </row>
    <row r="380" spans="1:6" s="285" customFormat="1">
      <c r="A380" s="289" t="s">
        <v>297</v>
      </c>
      <c r="B380" s="290" t="s">
        <v>298</v>
      </c>
      <c r="C380" s="285" t="s">
        <v>18914</v>
      </c>
      <c r="D380" s="291">
        <v>45163</v>
      </c>
      <c r="E380" s="285" t="s">
        <v>18919</v>
      </c>
      <c r="F380" s="288"/>
    </row>
    <row r="381" spans="1:6" s="285" customFormat="1">
      <c r="A381" s="289" t="s">
        <v>846</v>
      </c>
      <c r="B381" s="290" t="s">
        <v>847</v>
      </c>
      <c r="C381" s="285" t="s">
        <v>2504</v>
      </c>
      <c r="D381" s="291">
        <v>45201</v>
      </c>
      <c r="E381" s="285" t="s">
        <v>2452</v>
      </c>
      <c r="F381" s="288"/>
    </row>
    <row r="382" spans="1:6" s="285" customFormat="1">
      <c r="A382" s="289" t="s">
        <v>849</v>
      </c>
      <c r="B382" s="290" t="s">
        <v>850</v>
      </c>
      <c r="C382" s="285" t="s">
        <v>2504</v>
      </c>
      <c r="D382" s="291">
        <v>44950</v>
      </c>
      <c r="E382" s="285" t="s">
        <v>18953</v>
      </c>
      <c r="F382" s="288"/>
    </row>
    <row r="383" spans="1:6" s="285" customFormat="1">
      <c r="A383" s="289" t="s">
        <v>230</v>
      </c>
      <c r="B383" s="290" t="s">
        <v>231</v>
      </c>
      <c r="C383" s="285" t="s">
        <v>18955</v>
      </c>
      <c r="D383" s="291">
        <v>45254</v>
      </c>
      <c r="E383" s="285" t="s">
        <v>18919</v>
      </c>
      <c r="F383" s="288"/>
    </row>
    <row r="384" spans="1:6" s="285" customFormat="1">
      <c r="A384" s="289" t="s">
        <v>1190</v>
      </c>
      <c r="B384" s="290" t="s">
        <v>1191</v>
      </c>
      <c r="C384" s="285" t="s">
        <v>18992</v>
      </c>
      <c r="D384" s="291">
        <v>44993</v>
      </c>
      <c r="E384" s="285" t="s">
        <v>18946</v>
      </c>
      <c r="F384" s="288"/>
    </row>
    <row r="385" spans="1:6" s="285" customFormat="1">
      <c r="A385" s="289" t="s">
        <v>2298</v>
      </c>
      <c r="B385" s="290" t="s">
        <v>18993</v>
      </c>
      <c r="C385" s="285" t="s">
        <v>2497</v>
      </c>
      <c r="D385" s="291">
        <v>44810</v>
      </c>
      <c r="E385" s="285" t="s">
        <v>18994</v>
      </c>
      <c r="F385" s="288"/>
    </row>
    <row r="386" spans="1:6" s="285" customFormat="1">
      <c r="A386" s="289" t="s">
        <v>721</v>
      </c>
      <c r="B386" s="290" t="s">
        <v>722</v>
      </c>
      <c r="C386" s="285" t="s">
        <v>2509</v>
      </c>
      <c r="D386" s="291">
        <v>45118</v>
      </c>
      <c r="E386" s="285" t="s">
        <v>18939</v>
      </c>
      <c r="F386" s="288"/>
    </row>
    <row r="387" spans="1:6" s="285" customFormat="1">
      <c r="A387" s="289" t="s">
        <v>788</v>
      </c>
      <c r="B387" s="290" t="s">
        <v>789</v>
      </c>
      <c r="C387" s="285" t="s">
        <v>18900</v>
      </c>
      <c r="D387" s="291">
        <v>44896</v>
      </c>
      <c r="E387" s="285" t="s">
        <v>18928</v>
      </c>
      <c r="F387" s="288"/>
    </row>
    <row r="388" spans="1:6" s="285" customFormat="1">
      <c r="A388" s="289" t="s">
        <v>375</v>
      </c>
      <c r="B388" s="290" t="s">
        <v>376</v>
      </c>
      <c r="C388" s="285" t="s">
        <v>18920</v>
      </c>
      <c r="D388" s="291">
        <v>44859</v>
      </c>
      <c r="E388" s="285" t="s">
        <v>2473</v>
      </c>
      <c r="F388" s="288"/>
    </row>
    <row r="389" spans="1:6" s="285" customFormat="1">
      <c r="A389" s="289" t="s">
        <v>753</v>
      </c>
      <c r="B389" s="290" t="s">
        <v>754</v>
      </c>
      <c r="C389" s="285" t="s">
        <v>2488</v>
      </c>
      <c r="D389" s="291">
        <v>44910</v>
      </c>
      <c r="E389" s="285" t="s">
        <v>18953</v>
      </c>
      <c r="F389" s="288"/>
    </row>
    <row r="390" spans="1:6" s="285" customFormat="1">
      <c r="A390" s="289" t="s">
        <v>1067</v>
      </c>
      <c r="B390" s="290" t="s">
        <v>1068</v>
      </c>
      <c r="C390" s="285" t="s">
        <v>2501</v>
      </c>
      <c r="D390" s="291">
        <v>44608</v>
      </c>
      <c r="E390" s="285" t="s">
        <v>2469</v>
      </c>
      <c r="F390" s="288"/>
    </row>
    <row r="391" spans="1:6" s="285" customFormat="1">
      <c r="A391" s="289" t="s">
        <v>886</v>
      </c>
      <c r="B391" s="290" t="s">
        <v>887</v>
      </c>
      <c r="C391" s="285" t="s">
        <v>2497</v>
      </c>
      <c r="D391" s="291">
        <v>44860</v>
      </c>
      <c r="E391" s="285" t="s">
        <v>2473</v>
      </c>
      <c r="F391" s="288"/>
    </row>
    <row r="392" spans="1:6" s="285" customFormat="1">
      <c r="A392" s="289" t="s">
        <v>299</v>
      </c>
      <c r="B392" s="290" t="s">
        <v>300</v>
      </c>
      <c r="C392" s="285" t="s">
        <v>18914</v>
      </c>
      <c r="D392" s="291">
        <v>44890</v>
      </c>
      <c r="E392" s="285" t="s">
        <v>2469</v>
      </c>
      <c r="F392" s="288"/>
    </row>
    <row r="393" spans="1:6" s="285" customFormat="1">
      <c r="A393" s="289" t="s">
        <v>1069</v>
      </c>
      <c r="B393" s="290" t="s">
        <v>1070</v>
      </c>
      <c r="C393" s="285" t="s">
        <v>2501</v>
      </c>
      <c r="D393" s="291">
        <v>44960</v>
      </c>
      <c r="E393" s="285" t="s">
        <v>18946</v>
      </c>
      <c r="F393" s="288"/>
    </row>
    <row r="394" spans="1:6" s="285" customFormat="1">
      <c r="A394" s="289" t="s">
        <v>1523</v>
      </c>
      <c r="B394" s="290" t="s">
        <v>1524</v>
      </c>
      <c r="C394" s="285" t="s">
        <v>18995</v>
      </c>
      <c r="D394" s="291">
        <v>45163</v>
      </c>
      <c r="E394" s="285" t="s">
        <v>18946</v>
      </c>
      <c r="F394" s="288"/>
    </row>
    <row r="395" spans="1:6" s="285" customFormat="1">
      <c r="A395" s="289" t="s">
        <v>167</v>
      </c>
      <c r="B395" s="290" t="s">
        <v>168</v>
      </c>
      <c r="C395" s="285" t="s">
        <v>18938</v>
      </c>
      <c r="D395" s="291">
        <v>44972</v>
      </c>
      <c r="E395" s="285" t="s">
        <v>18963</v>
      </c>
      <c r="F395" s="288"/>
    </row>
    <row r="396" spans="1:6" s="285" customFormat="1">
      <c r="A396" s="289" t="s">
        <v>93</v>
      </c>
      <c r="B396" s="290" t="s">
        <v>94</v>
      </c>
      <c r="C396" s="285" t="s">
        <v>18936</v>
      </c>
      <c r="D396" s="291">
        <v>45027</v>
      </c>
      <c r="E396" s="285" t="s">
        <v>18996</v>
      </c>
      <c r="F396" s="288"/>
    </row>
    <row r="397" spans="1:6" s="285" customFormat="1">
      <c r="A397" s="289" t="s">
        <v>301</v>
      </c>
      <c r="B397" s="290" t="s">
        <v>302</v>
      </c>
      <c r="C397" s="285" t="s">
        <v>18914</v>
      </c>
      <c r="D397" s="291">
        <v>44959</v>
      </c>
      <c r="E397" s="285" t="s">
        <v>18963</v>
      </c>
      <c r="F397" s="288"/>
    </row>
    <row r="398" spans="1:6" s="285" customFormat="1">
      <c r="A398" s="289" t="s">
        <v>170</v>
      </c>
      <c r="B398" s="290" t="s">
        <v>171</v>
      </c>
      <c r="C398" s="285" t="s">
        <v>18938</v>
      </c>
      <c r="D398" s="291">
        <v>44980</v>
      </c>
      <c r="E398" s="285" t="s">
        <v>18946</v>
      </c>
      <c r="F398" s="288"/>
    </row>
    <row r="399" spans="1:6" s="285" customFormat="1">
      <c r="A399" s="289" t="s">
        <v>1465</v>
      </c>
      <c r="B399" s="290" t="s">
        <v>1466</v>
      </c>
      <c r="C399" s="285" t="s">
        <v>18914</v>
      </c>
      <c r="D399" s="291">
        <v>45107</v>
      </c>
      <c r="E399" s="285" t="s">
        <v>18946</v>
      </c>
      <c r="F399" s="288"/>
    </row>
    <row r="400" spans="1:6" s="285" customFormat="1">
      <c r="A400" s="289" t="s">
        <v>377</v>
      </c>
      <c r="B400" s="290" t="s">
        <v>378</v>
      </c>
      <c r="C400" s="285" t="s">
        <v>18920</v>
      </c>
      <c r="D400" s="291">
        <v>45274</v>
      </c>
      <c r="E400" s="285" t="s">
        <v>18919</v>
      </c>
      <c r="F400" s="288"/>
    </row>
    <row r="401" spans="1:6" s="285" customFormat="1">
      <c r="A401" s="289" t="s">
        <v>303</v>
      </c>
      <c r="B401" s="290" t="s">
        <v>304</v>
      </c>
      <c r="C401" s="285" t="s">
        <v>18914</v>
      </c>
      <c r="D401" s="291">
        <v>44959</v>
      </c>
      <c r="E401" s="285" t="s">
        <v>18963</v>
      </c>
      <c r="F401" s="288"/>
    </row>
    <row r="402" spans="1:6" s="285" customFormat="1">
      <c r="A402" s="289" t="s">
        <v>2062</v>
      </c>
      <c r="B402" s="290" t="s">
        <v>18997</v>
      </c>
      <c r="C402" s="285" t="s">
        <v>18998</v>
      </c>
      <c r="D402" s="291">
        <v>44967</v>
      </c>
      <c r="E402" s="285" t="s">
        <v>2469</v>
      </c>
      <c r="F402" s="288"/>
    </row>
    <row r="403" spans="1:6" s="285" customFormat="1">
      <c r="A403" s="289" t="s">
        <v>2063</v>
      </c>
      <c r="B403" s="290" t="s">
        <v>18999</v>
      </c>
      <c r="C403" s="285" t="s">
        <v>19000</v>
      </c>
      <c r="D403" s="291">
        <v>45098</v>
      </c>
      <c r="E403" s="285" t="s">
        <v>19001</v>
      </c>
      <c r="F403" s="288"/>
    </row>
    <row r="404" spans="1:6" s="285" customFormat="1">
      <c r="A404" s="289" t="s">
        <v>2064</v>
      </c>
      <c r="B404" s="290" t="s">
        <v>19002</v>
      </c>
      <c r="C404" s="285" t="s">
        <v>19003</v>
      </c>
      <c r="D404" s="291">
        <v>45070</v>
      </c>
      <c r="E404" s="285" t="s">
        <v>18996</v>
      </c>
      <c r="F404" s="288"/>
    </row>
    <row r="405" spans="1:6" s="285" customFormat="1">
      <c r="A405" s="289" t="s">
        <v>2065</v>
      </c>
      <c r="B405" s="290" t="s">
        <v>19004</v>
      </c>
      <c r="C405" s="285" t="s">
        <v>19005</v>
      </c>
      <c r="D405" s="291">
        <v>45055</v>
      </c>
      <c r="E405" s="285" t="s">
        <v>18933</v>
      </c>
      <c r="F405" s="288"/>
    </row>
    <row r="406" spans="1:6" s="285" customFormat="1">
      <c r="A406" s="289" t="s">
        <v>19006</v>
      </c>
      <c r="B406" s="290" t="s">
        <v>19007</v>
      </c>
      <c r="C406" s="285" t="s">
        <v>19008</v>
      </c>
      <c r="D406" s="291">
        <v>45244</v>
      </c>
      <c r="E406" s="285" t="s">
        <v>19009</v>
      </c>
      <c r="F406" s="288"/>
    </row>
    <row r="407" spans="1:6" s="285" customFormat="1">
      <c r="A407" s="289" t="s">
        <v>19010</v>
      </c>
      <c r="B407" s="290" t="s">
        <v>19011</v>
      </c>
      <c r="C407" s="285" t="s">
        <v>19012</v>
      </c>
      <c r="D407" s="291">
        <v>45267</v>
      </c>
      <c r="E407" s="285" t="s">
        <v>18935</v>
      </c>
      <c r="F407" s="288"/>
    </row>
    <row r="408" spans="1:6" s="285" customFormat="1">
      <c r="A408" s="289" t="s">
        <v>19013</v>
      </c>
      <c r="B408" s="290" t="s">
        <v>19014</v>
      </c>
      <c r="C408" s="285" t="s">
        <v>19015</v>
      </c>
      <c r="D408" s="291">
        <v>44886</v>
      </c>
      <c r="E408" s="285" t="s">
        <v>2469</v>
      </c>
      <c r="F408" s="288"/>
    </row>
    <row r="409" spans="1:6" s="285" customFormat="1">
      <c r="A409" s="289" t="s">
        <v>19020</v>
      </c>
      <c r="B409" s="290" t="s">
        <v>19021</v>
      </c>
      <c r="C409" s="285" t="s">
        <v>19022</v>
      </c>
      <c r="D409" s="291">
        <v>45279</v>
      </c>
      <c r="E409" s="285" t="s">
        <v>2466</v>
      </c>
      <c r="F409" s="288"/>
    </row>
    <row r="410" spans="1:6" s="285" customFormat="1">
      <c r="A410" s="289" t="s">
        <v>19023</v>
      </c>
      <c r="B410" s="290" t="s">
        <v>19024</v>
      </c>
      <c r="C410" s="285" t="s">
        <v>19025</v>
      </c>
      <c r="D410" s="291">
        <v>45264</v>
      </c>
      <c r="E410" s="285" t="s">
        <v>18935</v>
      </c>
      <c r="F410" s="288"/>
    </row>
    <row r="411" spans="1:6" s="285" customFormat="1">
      <c r="A411" s="289" t="s">
        <v>19029</v>
      </c>
      <c r="B411" s="290" t="s">
        <v>19027</v>
      </c>
      <c r="C411" s="285" t="s">
        <v>19028</v>
      </c>
      <c r="D411" s="291">
        <v>45251</v>
      </c>
      <c r="E411" s="285" t="s">
        <v>2466</v>
      </c>
      <c r="F411" s="288"/>
    </row>
    <row r="412" spans="1:6" s="285" customFormat="1">
      <c r="A412" s="289" t="s">
        <v>19030</v>
      </c>
      <c r="B412" s="290" t="s">
        <v>19031</v>
      </c>
      <c r="C412" s="285" t="s">
        <v>19032</v>
      </c>
      <c r="D412" s="291">
        <v>45237</v>
      </c>
      <c r="E412" s="285" t="s">
        <v>18935</v>
      </c>
      <c r="F412" s="288"/>
    </row>
    <row r="413" spans="1:6" s="285" customFormat="1">
      <c r="A413" s="289" t="s">
        <v>19034</v>
      </c>
      <c r="B413" s="290" t="s">
        <v>19036</v>
      </c>
      <c r="C413" s="296" t="s">
        <v>19035</v>
      </c>
      <c r="D413" s="291">
        <v>45252</v>
      </c>
      <c r="E413" s="285" t="s">
        <v>18973</v>
      </c>
      <c r="F413" s="288"/>
    </row>
    <row r="414" spans="1:6" s="285" customFormat="1">
      <c r="A414" s="289" t="s">
        <v>19037</v>
      </c>
      <c r="B414" s="290" t="s">
        <v>19038</v>
      </c>
      <c r="C414" s="285" t="s">
        <v>19039</v>
      </c>
      <c r="D414" s="291">
        <v>45218</v>
      </c>
      <c r="E414" s="285" t="s">
        <v>19040</v>
      </c>
      <c r="F414" s="288"/>
    </row>
    <row r="415" spans="1:6" s="285" customFormat="1">
      <c r="A415" s="289" t="s">
        <v>19041</v>
      </c>
      <c r="B415" s="290" t="s">
        <v>19042</v>
      </c>
      <c r="C415" s="285" t="s">
        <v>19043</v>
      </c>
      <c r="D415" s="291">
        <v>45090</v>
      </c>
      <c r="E415" s="285" t="s">
        <v>18953</v>
      </c>
      <c r="F415" s="288"/>
    </row>
    <row r="416" spans="1:6" s="285" customFormat="1">
      <c r="A416" s="289" t="s">
        <v>19044</v>
      </c>
      <c r="B416" s="290" t="s">
        <v>19045</v>
      </c>
      <c r="C416" s="285" t="s">
        <v>19046</v>
      </c>
      <c r="D416" s="291">
        <v>45267</v>
      </c>
      <c r="E416" s="285" t="s">
        <v>18946</v>
      </c>
      <c r="F416" s="288"/>
    </row>
    <row r="417" spans="1:6" s="285" customFormat="1">
      <c r="A417" s="289" t="s">
        <v>19047</v>
      </c>
      <c r="B417" s="290" t="s">
        <v>19048</v>
      </c>
      <c r="C417" s="285" t="s">
        <v>19050</v>
      </c>
      <c r="D417" s="291">
        <v>44610</v>
      </c>
      <c r="E417" s="285" t="s">
        <v>19049</v>
      </c>
      <c r="F417" s="288"/>
    </row>
    <row r="418" spans="1:6" s="285" customFormat="1">
      <c r="A418" s="289" t="s">
        <v>19051</v>
      </c>
      <c r="B418" s="290" t="s">
        <v>19052</v>
      </c>
      <c r="C418" s="285" t="s">
        <v>19053</v>
      </c>
      <c r="D418" s="291">
        <v>45267</v>
      </c>
      <c r="E418" s="285" t="s">
        <v>19054</v>
      </c>
      <c r="F418" s="288"/>
    </row>
    <row r="419" spans="1:6" s="285" customFormat="1">
      <c r="A419" s="289" t="s">
        <v>19055</v>
      </c>
      <c r="B419" s="290" t="s">
        <v>19056</v>
      </c>
      <c r="C419" s="285" t="s">
        <v>19057</v>
      </c>
      <c r="D419" s="291">
        <v>44876</v>
      </c>
      <c r="E419" s="285" t="s">
        <v>2469</v>
      </c>
      <c r="F419" s="288"/>
    </row>
    <row r="420" spans="1:6" s="285" customFormat="1">
      <c r="A420" s="289" t="s">
        <v>19058</v>
      </c>
      <c r="B420" s="290" t="s">
        <v>19059</v>
      </c>
      <c r="C420" s="285" t="s">
        <v>19060</v>
      </c>
      <c r="D420" s="291">
        <v>44967</v>
      </c>
      <c r="E420" s="285" t="s">
        <v>2469</v>
      </c>
      <c r="F420" s="288"/>
    </row>
    <row r="421" spans="1:6" s="285" customFormat="1">
      <c r="A421" s="289" t="s">
        <v>19061</v>
      </c>
      <c r="B421" s="290" t="s">
        <v>19062</v>
      </c>
      <c r="C421" s="285" t="s">
        <v>19057</v>
      </c>
      <c r="D421" s="291">
        <v>45279</v>
      </c>
      <c r="E421" s="285" t="s">
        <v>19063</v>
      </c>
      <c r="F421" s="288"/>
    </row>
    <row r="422" spans="1:6" s="285" customFormat="1">
      <c r="A422" s="289" t="s">
        <v>19064</v>
      </c>
      <c r="B422" s="290" t="s">
        <v>19065</v>
      </c>
      <c r="C422" s="285" t="s">
        <v>19039</v>
      </c>
      <c r="D422" s="291">
        <v>45225</v>
      </c>
      <c r="E422" s="285" t="s">
        <v>18946</v>
      </c>
      <c r="F422" s="288"/>
    </row>
    <row r="423" spans="1:6" s="285" customFormat="1">
      <c r="A423" s="289" t="s">
        <v>19066</v>
      </c>
      <c r="B423" s="290" t="s">
        <v>19067</v>
      </c>
      <c r="C423" s="285" t="s">
        <v>19068</v>
      </c>
      <c r="D423" s="291">
        <v>45138</v>
      </c>
      <c r="E423" s="285" t="s">
        <v>2469</v>
      </c>
      <c r="F423" s="288"/>
    </row>
    <row r="424" spans="1:6" s="285" customFormat="1">
      <c r="A424" s="289" t="s">
        <v>19071</v>
      </c>
      <c r="B424" s="290" t="s">
        <v>19072</v>
      </c>
      <c r="C424" s="285" t="s">
        <v>19046</v>
      </c>
      <c r="D424" s="291">
        <v>45257</v>
      </c>
      <c r="E424" s="285" t="s">
        <v>18946</v>
      </c>
      <c r="F424" s="288"/>
    </row>
    <row r="425" spans="1:6" s="285" customFormat="1">
      <c r="A425" s="289" t="s">
        <v>19073</v>
      </c>
      <c r="B425" s="290" t="s">
        <v>19074</v>
      </c>
      <c r="C425" s="285" t="s">
        <v>18914</v>
      </c>
      <c r="D425" s="291">
        <v>45274</v>
      </c>
      <c r="E425" s="285" t="s">
        <v>2466</v>
      </c>
      <c r="F425" s="288"/>
    </row>
    <row r="426" spans="1:6" s="285" customFormat="1">
      <c r="A426" s="289" t="s">
        <v>19075</v>
      </c>
      <c r="B426" s="290" t="s">
        <v>19076</v>
      </c>
      <c r="C426" s="285" t="s">
        <v>19077</v>
      </c>
      <c r="D426" s="291">
        <v>45275</v>
      </c>
      <c r="E426" s="285" t="s">
        <v>18944</v>
      </c>
      <c r="F426" s="288"/>
    </row>
    <row r="427" spans="1:6" s="285" customFormat="1">
      <c r="A427" s="289" t="s">
        <v>19078</v>
      </c>
      <c r="B427" s="290" t="s">
        <v>19079</v>
      </c>
      <c r="C427" s="285" t="s">
        <v>19077</v>
      </c>
      <c r="D427" s="291">
        <v>45217</v>
      </c>
      <c r="E427" s="285" t="s">
        <v>18944</v>
      </c>
      <c r="F427" s="288"/>
    </row>
    <row r="428" spans="1:6" s="285" customFormat="1">
      <c r="A428" s="289" t="s">
        <v>19082</v>
      </c>
      <c r="B428" s="290" t="s">
        <v>19083</v>
      </c>
      <c r="C428" s="285" t="s">
        <v>18936</v>
      </c>
      <c r="D428" s="291">
        <v>45153</v>
      </c>
      <c r="E428" s="285" t="s">
        <v>18935</v>
      </c>
      <c r="F428" s="288"/>
    </row>
    <row r="429" spans="1:6" s="285" customFormat="1">
      <c r="A429" s="289" t="s">
        <v>19084</v>
      </c>
      <c r="B429" s="290" t="s">
        <v>19085</v>
      </c>
      <c r="C429" s="285" t="s">
        <v>19086</v>
      </c>
      <c r="D429" s="291">
        <v>45260</v>
      </c>
      <c r="E429" s="285" t="s">
        <v>2466</v>
      </c>
      <c r="F429" s="288"/>
    </row>
    <row r="430" spans="1:6" s="285" customFormat="1">
      <c r="A430" s="289" t="s">
        <v>19087</v>
      </c>
      <c r="B430" s="290" t="s">
        <v>19088</v>
      </c>
      <c r="C430" s="285" t="s">
        <v>19089</v>
      </c>
      <c r="D430" s="291">
        <v>45259</v>
      </c>
      <c r="E430" s="285" t="s">
        <v>18944</v>
      </c>
      <c r="F430" s="288"/>
    </row>
    <row r="431" spans="1:6" s="285" customFormat="1">
      <c r="A431" s="289" t="s">
        <v>19090</v>
      </c>
      <c r="B431" s="290" t="s">
        <v>19091</v>
      </c>
      <c r="C431" s="285" t="s">
        <v>18998</v>
      </c>
      <c r="D431" s="291">
        <v>45223</v>
      </c>
      <c r="E431" s="285" t="s">
        <v>19092</v>
      </c>
      <c r="F431" s="288"/>
    </row>
    <row r="432" spans="1:6" s="285" customFormat="1">
      <c r="A432" s="289" t="s">
        <v>19093</v>
      </c>
      <c r="B432" s="290" t="s">
        <v>19094</v>
      </c>
      <c r="C432" s="285" t="s">
        <v>19095</v>
      </c>
      <c r="D432" s="291">
        <v>45253</v>
      </c>
      <c r="E432" s="285" t="s">
        <v>19096</v>
      </c>
      <c r="F432" s="288"/>
    </row>
    <row r="433" spans="1:6" s="285" customFormat="1">
      <c r="A433" s="289" t="s">
        <v>19097</v>
      </c>
      <c r="B433" s="290" t="s">
        <v>19098</v>
      </c>
      <c r="C433" s="285" t="s">
        <v>19099</v>
      </c>
      <c r="D433" s="291">
        <v>44956</v>
      </c>
      <c r="E433" s="285" t="s">
        <v>2466</v>
      </c>
      <c r="F433" s="288"/>
    </row>
    <row r="434" spans="1:6" s="285" customFormat="1">
      <c r="A434" s="289" t="s">
        <v>19100</v>
      </c>
      <c r="B434" s="290" t="s">
        <v>19101</v>
      </c>
      <c r="C434" s="285" t="s">
        <v>18915</v>
      </c>
      <c r="D434" s="291">
        <v>45218</v>
      </c>
      <c r="E434" s="285" t="s">
        <v>18981</v>
      </c>
      <c r="F434" s="288"/>
    </row>
    <row r="435" spans="1:6" s="285" customFormat="1">
      <c r="A435" s="289" t="s">
        <v>19102</v>
      </c>
      <c r="B435" s="290" t="s">
        <v>19103</v>
      </c>
      <c r="C435" s="285" t="s">
        <v>19104</v>
      </c>
      <c r="D435" s="291">
        <v>44977</v>
      </c>
      <c r="E435" s="285" t="s">
        <v>19105</v>
      </c>
      <c r="F435" s="288"/>
    </row>
    <row r="436" spans="1:6" s="285" customFormat="1">
      <c r="A436" s="289" t="s">
        <v>19106</v>
      </c>
      <c r="B436" s="290" t="s">
        <v>19107</v>
      </c>
      <c r="C436" s="285" t="s">
        <v>19108</v>
      </c>
      <c r="D436" s="291">
        <v>45201</v>
      </c>
      <c r="E436" s="285" t="s">
        <v>2466</v>
      </c>
      <c r="F436" s="288"/>
    </row>
    <row r="437" spans="1:6" s="285" customFormat="1">
      <c r="A437" s="289" t="s">
        <v>19109</v>
      </c>
      <c r="B437" s="290" t="s">
        <v>19110</v>
      </c>
      <c r="C437" s="285" t="s">
        <v>19111</v>
      </c>
      <c r="D437" s="291">
        <v>45218</v>
      </c>
      <c r="E437" s="285" t="s">
        <v>18935</v>
      </c>
      <c r="F437" s="288"/>
    </row>
    <row r="438" spans="1:6" s="285" customFormat="1">
      <c r="A438" s="289" t="s">
        <v>19112</v>
      </c>
      <c r="B438" s="290" t="s">
        <v>19113</v>
      </c>
      <c r="C438" s="285" t="s">
        <v>19104</v>
      </c>
      <c r="D438" s="291">
        <v>45212</v>
      </c>
      <c r="E438" s="285" t="s">
        <v>18946</v>
      </c>
      <c r="F438" s="288"/>
    </row>
    <row r="439" spans="1:6" s="285" customFormat="1">
      <c r="A439" s="289" t="s">
        <v>19114</v>
      </c>
      <c r="B439" s="290" t="s">
        <v>19115</v>
      </c>
      <c r="C439" s="285" t="s">
        <v>19111</v>
      </c>
      <c r="D439" s="291">
        <v>45279</v>
      </c>
      <c r="E439" s="285" t="s">
        <v>19116</v>
      </c>
      <c r="F439" s="288"/>
    </row>
    <row r="440" spans="1:6" s="285" customFormat="1">
      <c r="A440" s="289" t="s">
        <v>19117</v>
      </c>
      <c r="B440" s="290" t="s">
        <v>19118</v>
      </c>
      <c r="C440" s="285" t="s">
        <v>19119</v>
      </c>
      <c r="D440" s="291">
        <v>45093</v>
      </c>
      <c r="E440" s="285" t="s">
        <v>19120</v>
      </c>
      <c r="F440" s="288"/>
    </row>
    <row r="441" spans="1:6" s="285" customFormat="1">
      <c r="A441" s="289" t="s">
        <v>19121</v>
      </c>
      <c r="B441" s="290" t="s">
        <v>19122</v>
      </c>
      <c r="C441" s="285" t="s">
        <v>19123</v>
      </c>
      <c r="D441" s="291">
        <v>45247</v>
      </c>
      <c r="E441" s="285" t="s">
        <v>2466</v>
      </c>
      <c r="F441" s="288"/>
    </row>
    <row r="442" spans="1:6" s="285" customFormat="1">
      <c r="A442" s="289" t="s">
        <v>19124</v>
      </c>
      <c r="B442" s="290" t="s">
        <v>19125</v>
      </c>
      <c r="C442" s="285" t="s">
        <v>19104</v>
      </c>
      <c r="D442" s="291">
        <v>45258</v>
      </c>
      <c r="E442" s="285" t="s">
        <v>2466</v>
      </c>
      <c r="F442" s="288"/>
    </row>
    <row r="443" spans="1:6" s="285" customFormat="1">
      <c r="A443" s="289" t="s">
        <v>19128</v>
      </c>
      <c r="B443" s="290" t="s">
        <v>19129</v>
      </c>
      <c r="C443" s="285" t="s">
        <v>18917</v>
      </c>
      <c r="D443" s="291">
        <v>45266</v>
      </c>
      <c r="E443" s="285" t="s">
        <v>18919</v>
      </c>
      <c r="F443" s="288"/>
    </row>
    <row r="444" spans="1:6" s="285" customFormat="1">
      <c r="A444" s="289" t="s">
        <v>19130</v>
      </c>
      <c r="B444" s="290" t="s">
        <v>19131</v>
      </c>
      <c r="C444" s="285" t="s">
        <v>19132</v>
      </c>
      <c r="D444" s="291">
        <v>45265</v>
      </c>
      <c r="E444" s="285" t="s">
        <v>19040</v>
      </c>
      <c r="F444" s="288"/>
    </row>
    <row r="445" spans="1:6" s="285" customFormat="1">
      <c r="A445" s="289" t="s">
        <v>19135</v>
      </c>
      <c r="B445" s="290" t="s">
        <v>19136</v>
      </c>
      <c r="C445" s="285" t="s">
        <v>18968</v>
      </c>
      <c r="D445" s="291">
        <v>44979</v>
      </c>
      <c r="E445" s="285" t="s">
        <v>2473</v>
      </c>
      <c r="F445" s="288"/>
    </row>
    <row r="446" spans="1:6" s="285" customFormat="1">
      <c r="A446" s="289" t="s">
        <v>19137</v>
      </c>
      <c r="B446" s="290" t="s">
        <v>19138</v>
      </c>
      <c r="C446" s="285" t="s">
        <v>18920</v>
      </c>
      <c r="D446" s="291">
        <v>45302</v>
      </c>
      <c r="E446" s="285" t="s">
        <v>19139</v>
      </c>
      <c r="F446" s="288"/>
    </row>
    <row r="447" spans="1:6" s="285" customFormat="1">
      <c r="A447" s="289" t="s">
        <v>19140</v>
      </c>
      <c r="B447" s="290" t="s">
        <v>19141</v>
      </c>
      <c r="C447" s="285" t="s">
        <v>19053</v>
      </c>
      <c r="D447" s="291">
        <v>44624</v>
      </c>
      <c r="E447" s="285" t="s">
        <v>19142</v>
      </c>
      <c r="F447" s="288"/>
    </row>
    <row r="448" spans="1:6" s="285" customFormat="1">
      <c r="A448" s="289" t="s">
        <v>19143</v>
      </c>
      <c r="B448" s="290" t="s">
        <v>19144</v>
      </c>
      <c r="C448" s="285" t="s">
        <v>18920</v>
      </c>
      <c r="D448" s="291">
        <v>45278</v>
      </c>
      <c r="E448" s="285" t="s">
        <v>2473</v>
      </c>
      <c r="F448" s="288"/>
    </row>
    <row r="449" spans="1:6" s="285" customFormat="1">
      <c r="A449" s="289" t="s">
        <v>19147</v>
      </c>
      <c r="B449" s="290" t="s">
        <v>19149</v>
      </c>
      <c r="C449" s="285" t="s">
        <v>19148</v>
      </c>
      <c r="D449" s="291">
        <v>45113</v>
      </c>
      <c r="E449" s="285" t="s">
        <v>18944</v>
      </c>
      <c r="F449" s="288"/>
    </row>
    <row r="450" spans="1:6" s="285" customFormat="1">
      <c r="A450" s="289" t="s">
        <v>19150</v>
      </c>
      <c r="B450" s="290" t="s">
        <v>19151</v>
      </c>
      <c r="C450" s="285" t="s">
        <v>19111</v>
      </c>
      <c r="D450" s="291">
        <v>45195</v>
      </c>
      <c r="E450" s="285" t="s">
        <v>18976</v>
      </c>
      <c r="F450" s="288"/>
    </row>
    <row r="451" spans="1:6" s="285" customFormat="1">
      <c r="A451" s="289" t="s">
        <v>19152</v>
      </c>
      <c r="B451" s="290" t="s">
        <v>19153</v>
      </c>
      <c r="C451" s="285" t="s">
        <v>19154</v>
      </c>
      <c r="D451" s="291">
        <v>45106</v>
      </c>
      <c r="E451" s="285" t="s">
        <v>2466</v>
      </c>
      <c r="F451" s="288"/>
    </row>
    <row r="452" spans="1:6" s="285" customFormat="1">
      <c r="A452" s="289" t="s">
        <v>19157</v>
      </c>
      <c r="B452" s="290" t="s">
        <v>19158</v>
      </c>
      <c r="C452" s="285" t="s">
        <v>19159</v>
      </c>
      <c r="D452" s="291">
        <v>45012</v>
      </c>
      <c r="E452" s="285" t="s">
        <v>18935</v>
      </c>
      <c r="F452" s="288"/>
    </row>
    <row r="453" spans="1:6" s="285" customFormat="1">
      <c r="A453" s="289" t="s">
        <v>19160</v>
      </c>
      <c r="B453" s="290" t="s">
        <v>19161</v>
      </c>
      <c r="C453" s="285" t="s">
        <v>18975</v>
      </c>
      <c r="D453" s="291">
        <v>45264</v>
      </c>
      <c r="E453" s="285" t="s">
        <v>18974</v>
      </c>
      <c r="F453" s="288"/>
    </row>
    <row r="454" spans="1:6" s="285" customFormat="1">
      <c r="A454" s="289" t="s">
        <v>19166</v>
      </c>
      <c r="B454" s="290" t="s">
        <v>19167</v>
      </c>
      <c r="C454" s="285" t="s">
        <v>19168</v>
      </c>
      <c r="D454" s="291">
        <v>45253</v>
      </c>
      <c r="E454" s="285" t="s">
        <v>18935</v>
      </c>
      <c r="F454" s="288"/>
    </row>
    <row r="455" spans="1:6" s="285" customFormat="1">
      <c r="A455" s="289" t="s">
        <v>19169</v>
      </c>
      <c r="B455" s="290" t="s">
        <v>19170</v>
      </c>
      <c r="C455" s="285" t="s">
        <v>19171</v>
      </c>
      <c r="D455" s="291">
        <v>45028</v>
      </c>
      <c r="E455" s="285" t="s">
        <v>18944</v>
      </c>
      <c r="F455" s="288"/>
    </row>
    <row r="456" spans="1:6" s="285" customFormat="1">
      <c r="A456" s="289" t="s">
        <v>19172</v>
      </c>
      <c r="B456" s="290" t="s">
        <v>19173</v>
      </c>
      <c r="C456" s="285" t="s">
        <v>19174</v>
      </c>
      <c r="D456" s="291">
        <v>45245</v>
      </c>
      <c r="E456" s="285" t="s">
        <v>18935</v>
      </c>
      <c r="F456" s="288"/>
    </row>
    <row r="457" spans="1:6" s="285" customFormat="1">
      <c r="A457" s="289" t="s">
        <v>19177</v>
      </c>
      <c r="B457" s="290" t="s">
        <v>19178</v>
      </c>
      <c r="C457" s="285" t="s">
        <v>18969</v>
      </c>
      <c r="D457" s="291">
        <v>45196</v>
      </c>
      <c r="E457" s="285" t="s">
        <v>19092</v>
      </c>
      <c r="F457" s="288"/>
    </row>
    <row r="458" spans="1:6" s="285" customFormat="1">
      <c r="A458" s="289" t="s">
        <v>19179</v>
      </c>
      <c r="B458" s="290" t="s">
        <v>19180</v>
      </c>
      <c r="C458" s="285" t="s">
        <v>19181</v>
      </c>
      <c r="D458" s="291">
        <v>45216</v>
      </c>
      <c r="E458" s="285" t="s">
        <v>19182</v>
      </c>
      <c r="F458" s="288"/>
    </row>
    <row r="459" spans="1:6" s="285" customFormat="1">
      <c r="A459" s="289" t="s">
        <v>19183</v>
      </c>
      <c r="B459" s="290" t="s">
        <v>19184</v>
      </c>
      <c r="C459" s="285" t="s">
        <v>18990</v>
      </c>
      <c r="D459" s="291">
        <v>45223</v>
      </c>
      <c r="E459" s="285" t="s">
        <v>19185</v>
      </c>
      <c r="F459" s="288"/>
    </row>
    <row r="460" spans="1:6" s="285" customFormat="1">
      <c r="A460" s="289" t="s">
        <v>19186</v>
      </c>
      <c r="B460" s="290" t="s">
        <v>19187</v>
      </c>
      <c r="C460" s="285" t="s">
        <v>19188</v>
      </c>
      <c r="D460" s="291">
        <v>45244</v>
      </c>
      <c r="E460" s="285" t="s">
        <v>18935</v>
      </c>
      <c r="F460" s="288"/>
    </row>
    <row r="461" spans="1:6" s="285" customFormat="1">
      <c r="A461" s="289" t="s">
        <v>19191</v>
      </c>
      <c r="B461" s="290" t="s">
        <v>19192</v>
      </c>
      <c r="C461" s="285" t="s">
        <v>19193</v>
      </c>
      <c r="D461" s="291">
        <v>45212</v>
      </c>
      <c r="E461" s="285" t="s">
        <v>18976</v>
      </c>
      <c r="F461" s="288"/>
    </row>
    <row r="462" spans="1:6" s="285" customFormat="1">
      <c r="A462" s="289" t="s">
        <v>19194</v>
      </c>
      <c r="B462" s="290" t="s">
        <v>19195</v>
      </c>
      <c r="C462" s="291" t="s">
        <v>19196</v>
      </c>
      <c r="D462" s="291">
        <v>45264</v>
      </c>
      <c r="E462" s="285" t="s">
        <v>18935</v>
      </c>
      <c r="F462" s="288"/>
    </row>
    <row r="463" spans="1:6" s="285" customFormat="1">
      <c r="A463" s="289" t="s">
        <v>19197</v>
      </c>
      <c r="B463" s="290" t="s">
        <v>19198</v>
      </c>
      <c r="C463" s="285" t="s">
        <v>19199</v>
      </c>
      <c r="D463" s="291">
        <v>45000</v>
      </c>
      <c r="E463" s="285" t="s">
        <v>2469</v>
      </c>
      <c r="F463" s="288"/>
    </row>
    <row r="464" spans="1:6" s="285" customFormat="1">
      <c r="A464" s="289" t="s">
        <v>19200</v>
      </c>
      <c r="B464" s="290" t="s">
        <v>19201</v>
      </c>
      <c r="C464" s="285" t="s">
        <v>19202</v>
      </c>
      <c r="D464" s="291">
        <v>45075</v>
      </c>
      <c r="E464" s="285" t="s">
        <v>19092</v>
      </c>
      <c r="F464" s="288"/>
    </row>
    <row r="465" spans="1:6" s="285" customFormat="1">
      <c r="A465" s="289" t="s">
        <v>19205</v>
      </c>
      <c r="B465" s="290" t="s">
        <v>19206</v>
      </c>
      <c r="C465" s="285" t="s">
        <v>19043</v>
      </c>
      <c r="D465" s="291">
        <v>45212</v>
      </c>
      <c r="E465" s="285" t="s">
        <v>18946</v>
      </c>
      <c r="F465" s="288"/>
    </row>
    <row r="466" spans="1:6" s="285" customFormat="1">
      <c r="A466" s="289" t="s">
        <v>19209</v>
      </c>
      <c r="B466" s="290" t="s">
        <v>19210</v>
      </c>
      <c r="C466" s="285" t="s">
        <v>19119</v>
      </c>
      <c r="D466" s="291">
        <v>45194</v>
      </c>
      <c r="E466" s="285" t="s">
        <v>19092</v>
      </c>
      <c r="F466" s="288"/>
    </row>
    <row r="467" spans="1:6" s="285" customFormat="1">
      <c r="A467" s="289" t="s">
        <v>19211</v>
      </c>
      <c r="B467" s="290" t="s">
        <v>19212</v>
      </c>
      <c r="C467" s="285" t="s">
        <v>19213</v>
      </c>
      <c r="D467" s="291">
        <v>45063</v>
      </c>
      <c r="E467" s="285" t="s">
        <v>18935</v>
      </c>
      <c r="F467" s="288"/>
    </row>
    <row r="468" spans="1:6" s="285" customFormat="1">
      <c r="A468" s="289" t="s">
        <v>19214</v>
      </c>
      <c r="B468" s="290" t="s">
        <v>19215</v>
      </c>
      <c r="C468" s="285" t="s">
        <v>19216</v>
      </c>
      <c r="D468" s="291">
        <v>45180</v>
      </c>
      <c r="E468" s="285" t="s">
        <v>18935</v>
      </c>
      <c r="F468" s="288"/>
    </row>
    <row r="469" spans="1:6" s="285" customFormat="1">
      <c r="A469" s="289" t="s">
        <v>19217</v>
      </c>
      <c r="B469" s="290" t="s">
        <v>19218</v>
      </c>
      <c r="C469" s="285" t="s">
        <v>19219</v>
      </c>
      <c r="D469" s="291">
        <v>45103</v>
      </c>
      <c r="E469" s="285" t="s">
        <v>19105</v>
      </c>
      <c r="F469" s="288"/>
    </row>
    <row r="470" spans="1:6" s="285" customFormat="1">
      <c r="A470" s="289" t="s">
        <v>19222</v>
      </c>
      <c r="B470" s="290" t="s">
        <v>19223</v>
      </c>
      <c r="C470" s="285" t="s">
        <v>2487</v>
      </c>
      <c r="D470" s="291">
        <v>45058</v>
      </c>
      <c r="E470" s="285" t="s">
        <v>18935</v>
      </c>
      <c r="F470" s="288"/>
    </row>
    <row r="471" spans="1:6" s="285" customFormat="1">
      <c r="A471" s="289" t="s">
        <v>19226</v>
      </c>
      <c r="B471" s="290" t="s">
        <v>19227</v>
      </c>
      <c r="C471" s="285" t="s">
        <v>19228</v>
      </c>
      <c r="D471" s="291">
        <v>45197</v>
      </c>
      <c r="E471" s="285" t="s">
        <v>2473</v>
      </c>
      <c r="F471" s="288"/>
    </row>
    <row r="472" spans="1:6" s="285" customFormat="1">
      <c r="A472" s="289" t="s">
        <v>19231</v>
      </c>
      <c r="B472" s="290" t="s">
        <v>19232</v>
      </c>
      <c r="C472" s="285" t="s">
        <v>19233</v>
      </c>
      <c r="D472" s="291">
        <v>45105</v>
      </c>
      <c r="E472" s="285" t="s">
        <v>18976</v>
      </c>
      <c r="F472" s="288"/>
    </row>
    <row r="473" spans="1:6" s="285" customFormat="1">
      <c r="A473" s="289" t="s">
        <v>19234</v>
      </c>
      <c r="B473" s="290" t="s">
        <v>19235</v>
      </c>
      <c r="C473" s="285" t="s">
        <v>19236</v>
      </c>
      <c r="D473" s="291">
        <v>44910</v>
      </c>
      <c r="E473" s="285" t="s">
        <v>2469</v>
      </c>
      <c r="F473" s="288"/>
    </row>
    <row r="474" spans="1:6" s="285" customFormat="1">
      <c r="A474" s="289" t="s">
        <v>19239</v>
      </c>
      <c r="B474" s="290" t="s">
        <v>19240</v>
      </c>
      <c r="C474" s="285" t="s">
        <v>2501</v>
      </c>
      <c r="D474" s="291">
        <v>45246</v>
      </c>
      <c r="E474" s="285" t="s">
        <v>19241</v>
      </c>
      <c r="F474" s="288"/>
    </row>
    <row r="475" spans="1:6" s="285" customFormat="1">
      <c r="A475" s="289" t="s">
        <v>19242</v>
      </c>
      <c r="B475" s="290" t="s">
        <v>19243</v>
      </c>
      <c r="C475" s="285" t="s">
        <v>19219</v>
      </c>
      <c r="D475" s="291">
        <v>45244</v>
      </c>
      <c r="E475" s="285" t="s">
        <v>19185</v>
      </c>
      <c r="F475" s="288"/>
    </row>
    <row r="476" spans="1:6" s="285" customFormat="1">
      <c r="A476" s="289" t="s">
        <v>19244</v>
      </c>
      <c r="B476" s="290" t="s">
        <v>19245</v>
      </c>
      <c r="C476" s="285" t="s">
        <v>19039</v>
      </c>
      <c r="D476" s="291">
        <v>44882</v>
      </c>
      <c r="E476" s="285" t="s">
        <v>2469</v>
      </c>
      <c r="F476" s="288"/>
    </row>
    <row r="477" spans="1:6" s="285" customFormat="1">
      <c r="A477" s="289" t="s">
        <v>19246</v>
      </c>
      <c r="B477" s="290" t="s">
        <v>19247</v>
      </c>
      <c r="C477" s="285" t="s">
        <v>2498</v>
      </c>
      <c r="D477" s="291">
        <v>45062</v>
      </c>
      <c r="E477" s="285" t="s">
        <v>18935</v>
      </c>
      <c r="F477" s="288"/>
    </row>
    <row r="478" spans="1:6" s="285" customFormat="1">
      <c r="A478" s="289" t="s">
        <v>19250</v>
      </c>
      <c r="B478" s="290" t="s">
        <v>19251</v>
      </c>
      <c r="C478" s="285" t="s">
        <v>19252</v>
      </c>
      <c r="D478" s="291">
        <v>45303</v>
      </c>
      <c r="E478" s="285" t="s">
        <v>2473</v>
      </c>
      <c r="F478" s="288"/>
    </row>
    <row r="479" spans="1:6" s="285" customFormat="1">
      <c r="A479" s="289" t="s">
        <v>19253</v>
      </c>
      <c r="B479" s="290" t="s">
        <v>19254</v>
      </c>
      <c r="C479" s="285" t="s">
        <v>19255</v>
      </c>
      <c r="D479" s="291">
        <v>45205</v>
      </c>
      <c r="E479" s="285" t="s">
        <v>18919</v>
      </c>
      <c r="F479" s="288"/>
    </row>
    <row r="480" spans="1:6" s="285" customFormat="1">
      <c r="A480" s="289" t="s">
        <v>19256</v>
      </c>
      <c r="B480" s="290" t="s">
        <v>19257</v>
      </c>
      <c r="C480" s="285" t="s">
        <v>19258</v>
      </c>
      <c r="D480" s="291">
        <v>45147</v>
      </c>
      <c r="E480" s="285" t="s">
        <v>19185</v>
      </c>
      <c r="F480" s="288"/>
    </row>
    <row r="481" spans="1:6" s="285" customFormat="1">
      <c r="A481" s="289" t="s">
        <v>19261</v>
      </c>
      <c r="B481" s="290" t="s">
        <v>19262</v>
      </c>
      <c r="C481" s="285" t="s">
        <v>2489</v>
      </c>
      <c r="D481" s="291">
        <v>45113</v>
      </c>
      <c r="E481" s="285" t="s">
        <v>18935</v>
      </c>
      <c r="F481" s="288"/>
    </row>
    <row r="482" spans="1:6" s="285" customFormat="1">
      <c r="A482" s="289" t="s">
        <v>19263</v>
      </c>
      <c r="B482" s="290" t="s">
        <v>19264</v>
      </c>
      <c r="C482" s="285" t="s">
        <v>19265</v>
      </c>
      <c r="D482" s="291">
        <v>45225</v>
      </c>
      <c r="E482" s="285" t="s">
        <v>18935</v>
      </c>
      <c r="F482" s="288"/>
    </row>
    <row r="483" spans="1:6" s="285" customFormat="1">
      <c r="A483" s="289" t="s">
        <v>19268</v>
      </c>
      <c r="B483" s="290" t="s">
        <v>19269</v>
      </c>
      <c r="C483" s="285" t="s">
        <v>19270</v>
      </c>
      <c r="D483" s="291">
        <v>45278</v>
      </c>
      <c r="E483" s="285" t="s">
        <v>19185</v>
      </c>
      <c r="F483" s="288"/>
    </row>
    <row r="484" spans="1:6" s="285" customFormat="1">
      <c r="A484" s="289" t="s">
        <v>19271</v>
      </c>
      <c r="B484" s="290" t="s">
        <v>19272</v>
      </c>
      <c r="C484" s="285" t="s">
        <v>19273</v>
      </c>
      <c r="D484" s="291">
        <v>45194</v>
      </c>
      <c r="E484" s="285" t="s">
        <v>19185</v>
      </c>
      <c r="F484" s="288"/>
    </row>
    <row r="485" spans="1:6" s="285" customFormat="1">
      <c r="A485" s="289" t="s">
        <v>19274</v>
      </c>
      <c r="B485" s="290" t="s">
        <v>19275</v>
      </c>
      <c r="C485" s="285" t="s">
        <v>19276</v>
      </c>
      <c r="D485" s="291">
        <v>45247</v>
      </c>
      <c r="E485" s="285" t="s">
        <v>18994</v>
      </c>
      <c r="F485" s="288"/>
    </row>
    <row r="486" spans="1:6" s="285" customFormat="1">
      <c r="A486" s="289" t="s">
        <v>19279</v>
      </c>
      <c r="B486" s="290" t="s">
        <v>19280</v>
      </c>
      <c r="C486" s="285" t="s">
        <v>19219</v>
      </c>
      <c r="D486" s="291">
        <v>45278</v>
      </c>
      <c r="E486" s="285" t="s">
        <v>2473</v>
      </c>
      <c r="F486" s="288"/>
    </row>
    <row r="487" spans="1:6" s="285" customFormat="1">
      <c r="A487" s="289" t="s">
        <v>19281</v>
      </c>
      <c r="B487" s="290" t="s">
        <v>19282</v>
      </c>
      <c r="C487" s="285" t="s">
        <v>19283</v>
      </c>
      <c r="D487" s="291">
        <v>45015</v>
      </c>
      <c r="E487" s="285" t="s">
        <v>2469</v>
      </c>
      <c r="F487" s="288"/>
    </row>
    <row r="488" spans="1:6" s="285" customFormat="1">
      <c r="A488" s="289" t="s">
        <v>19284</v>
      </c>
      <c r="B488" s="290" t="s">
        <v>19285</v>
      </c>
      <c r="C488" s="285" t="s">
        <v>19286</v>
      </c>
      <c r="D488" s="291">
        <v>45257</v>
      </c>
      <c r="E488" s="285" t="s">
        <v>392</v>
      </c>
      <c r="F488" s="288"/>
    </row>
    <row r="489" spans="1:6" s="285" customFormat="1">
      <c r="A489" s="289" t="s">
        <v>19287</v>
      </c>
      <c r="B489" s="290" t="s">
        <v>19288</v>
      </c>
      <c r="C489" s="285" t="s">
        <v>19252</v>
      </c>
      <c r="D489" s="291">
        <v>45176</v>
      </c>
      <c r="E489" s="285" t="s">
        <v>18935</v>
      </c>
      <c r="F489" s="288"/>
    </row>
    <row r="490" spans="1:6" s="285" customFormat="1">
      <c r="A490" s="289" t="s">
        <v>19291</v>
      </c>
      <c r="B490" s="290" t="s">
        <v>19292</v>
      </c>
      <c r="C490" s="285" t="s">
        <v>19233</v>
      </c>
      <c r="D490" s="291">
        <v>45161</v>
      </c>
      <c r="E490" s="285" t="s">
        <v>19293</v>
      </c>
      <c r="F490" s="288"/>
    </row>
    <row r="491" spans="1:6" s="285" customFormat="1">
      <c r="A491" s="289" t="s">
        <v>19294</v>
      </c>
      <c r="B491" s="290" t="s">
        <v>19295</v>
      </c>
      <c r="C491" s="285" t="s">
        <v>19188</v>
      </c>
      <c r="D491" s="291">
        <v>45208</v>
      </c>
      <c r="E491" s="285" t="s">
        <v>18946</v>
      </c>
      <c r="F491" s="288"/>
    </row>
    <row r="492" spans="1:6" s="285" customFormat="1">
      <c r="A492" s="289" t="s">
        <v>19296</v>
      </c>
      <c r="B492" s="290" t="s">
        <v>19297</v>
      </c>
      <c r="C492" s="285" t="s">
        <v>19298</v>
      </c>
      <c r="D492" s="291">
        <v>44960</v>
      </c>
      <c r="E492" s="285" t="s">
        <v>2469</v>
      </c>
      <c r="F492" s="288"/>
    </row>
    <row r="493" spans="1:6" s="285" customFormat="1">
      <c r="A493" s="289" t="s">
        <v>19299</v>
      </c>
      <c r="B493" s="290" t="s">
        <v>19300</v>
      </c>
      <c r="C493" s="285" t="s">
        <v>19301</v>
      </c>
      <c r="D493" s="291">
        <v>44972</v>
      </c>
      <c r="E493" s="285" t="s">
        <v>19105</v>
      </c>
      <c r="F493" s="288"/>
    </row>
    <row r="494" spans="1:6" s="285" customFormat="1">
      <c r="A494" s="289" t="s">
        <v>19307</v>
      </c>
      <c r="B494" s="290" t="s">
        <v>19308</v>
      </c>
      <c r="C494" s="285" t="s">
        <v>19012</v>
      </c>
      <c r="D494" s="291">
        <v>45246</v>
      </c>
      <c r="E494" s="285" t="s">
        <v>18971</v>
      </c>
      <c r="F494" s="288"/>
    </row>
    <row r="495" spans="1:6" s="285" customFormat="1">
      <c r="A495" s="289" t="s">
        <v>19309</v>
      </c>
      <c r="B495" s="290" t="s">
        <v>19310</v>
      </c>
      <c r="C495" s="285" t="s">
        <v>19311</v>
      </c>
      <c r="D495" s="291">
        <v>45279</v>
      </c>
      <c r="E495" s="285" t="s">
        <v>18946</v>
      </c>
      <c r="F495" s="288"/>
    </row>
    <row r="496" spans="1:6" s="285" customFormat="1">
      <c r="A496" s="289" t="s">
        <v>19312</v>
      </c>
      <c r="B496" s="290" t="s">
        <v>19313</v>
      </c>
      <c r="C496" s="285" t="s">
        <v>19314</v>
      </c>
      <c r="D496" s="291">
        <v>45237</v>
      </c>
      <c r="E496" s="285" t="s">
        <v>18935</v>
      </c>
      <c r="F496" s="288"/>
    </row>
    <row r="497" spans="1:6" s="285" customFormat="1">
      <c r="A497" s="289" t="s">
        <v>19315</v>
      </c>
      <c r="B497" s="290" t="s">
        <v>19316</v>
      </c>
      <c r="C497" s="285" t="s">
        <v>19317</v>
      </c>
      <c r="D497" s="291">
        <v>45135</v>
      </c>
      <c r="E497" s="285" t="s">
        <v>18994</v>
      </c>
      <c r="F497" s="288"/>
    </row>
    <row r="498" spans="1:6" s="285" customFormat="1">
      <c r="A498" s="289" t="s">
        <v>19318</v>
      </c>
      <c r="B498" s="290" t="s">
        <v>19319</v>
      </c>
      <c r="C498" s="285" t="s">
        <v>19086</v>
      </c>
      <c r="D498" s="291">
        <v>45111</v>
      </c>
      <c r="E498" s="285" t="s">
        <v>18935</v>
      </c>
      <c r="F498" s="288"/>
    </row>
    <row r="499" spans="1:6" s="285" customFormat="1">
      <c r="A499" s="289" t="s">
        <v>19320</v>
      </c>
      <c r="B499" s="290" t="s">
        <v>19321</v>
      </c>
      <c r="C499" s="285" t="s">
        <v>19322</v>
      </c>
      <c r="D499" s="291">
        <v>45246</v>
      </c>
      <c r="E499" s="285" t="s">
        <v>19323</v>
      </c>
      <c r="F499" s="288"/>
    </row>
    <row r="500" spans="1:6" s="285" customFormat="1">
      <c r="A500" s="289" t="s">
        <v>19324</v>
      </c>
      <c r="B500" s="290" t="s">
        <v>19325</v>
      </c>
      <c r="C500" s="285" t="s">
        <v>19326</v>
      </c>
      <c r="D500" s="291">
        <v>45278</v>
      </c>
      <c r="E500" s="285" t="s">
        <v>19092</v>
      </c>
      <c r="F500" s="288"/>
    </row>
    <row r="501" spans="1:6" s="285" customFormat="1">
      <c r="A501" s="289" t="s">
        <v>19329</v>
      </c>
      <c r="B501" s="290" t="s">
        <v>19330</v>
      </c>
      <c r="C501" s="285" t="s">
        <v>2497</v>
      </c>
      <c r="D501" s="291">
        <v>45131</v>
      </c>
      <c r="E501" s="285" t="s">
        <v>18935</v>
      </c>
      <c r="F501" s="288"/>
    </row>
    <row r="502" spans="1:6" s="285" customFormat="1">
      <c r="A502" s="289" t="s">
        <v>19333</v>
      </c>
      <c r="B502" s="290" t="s">
        <v>19334</v>
      </c>
      <c r="C502" s="285" t="s">
        <v>19335</v>
      </c>
      <c r="D502" s="291">
        <v>45140</v>
      </c>
      <c r="E502" s="285" t="s">
        <v>18935</v>
      </c>
      <c r="F502" s="288"/>
    </row>
    <row r="503" spans="1:6" s="285" customFormat="1">
      <c r="A503" s="289" t="s">
        <v>19336</v>
      </c>
      <c r="B503" s="290" t="s">
        <v>19337</v>
      </c>
      <c r="C503" s="285" t="s">
        <v>19043</v>
      </c>
      <c r="D503" s="291">
        <v>45218</v>
      </c>
      <c r="E503" s="285" t="s">
        <v>18935</v>
      </c>
      <c r="F503" s="288"/>
    </row>
    <row r="504" spans="1:6" s="285" customFormat="1">
      <c r="A504" s="289" t="s">
        <v>19338</v>
      </c>
      <c r="B504" s="290" t="s">
        <v>19339</v>
      </c>
      <c r="C504" s="285" t="s">
        <v>19340</v>
      </c>
      <c r="D504" s="291">
        <v>45176</v>
      </c>
      <c r="E504" s="285" t="s">
        <v>18976</v>
      </c>
      <c r="F504" s="288"/>
    </row>
    <row r="505" spans="1:6" s="285" customFormat="1">
      <c r="A505" s="289" t="s">
        <v>19341</v>
      </c>
      <c r="B505" s="290" t="s">
        <v>19342</v>
      </c>
      <c r="C505" s="285" t="s">
        <v>19343</v>
      </c>
      <c r="D505" s="291">
        <v>45204</v>
      </c>
      <c r="E505" s="285" t="s">
        <v>18946</v>
      </c>
      <c r="F505" s="288"/>
    </row>
    <row r="506" spans="1:6" s="285" customFormat="1">
      <c r="A506" s="289" t="s">
        <v>19348</v>
      </c>
      <c r="B506" s="290" t="s">
        <v>19349</v>
      </c>
      <c r="C506" s="285" t="s">
        <v>19350</v>
      </c>
      <c r="D506" s="291">
        <v>44980</v>
      </c>
      <c r="E506" s="285" t="s">
        <v>18919</v>
      </c>
      <c r="F506" s="288"/>
    </row>
    <row r="507" spans="1:6" s="285" customFormat="1">
      <c r="A507" s="289" t="s">
        <v>19353</v>
      </c>
      <c r="B507" s="290" t="s">
        <v>19354</v>
      </c>
      <c r="C507" s="285" t="s">
        <v>2497</v>
      </c>
      <c r="D507" s="291">
        <v>45100</v>
      </c>
      <c r="E507" s="285" t="s">
        <v>18919</v>
      </c>
      <c r="F507" s="288"/>
    </row>
    <row r="508" spans="1:6" s="285" customFormat="1">
      <c r="A508" s="289" t="s">
        <v>19355</v>
      </c>
      <c r="B508" s="290" t="s">
        <v>19356</v>
      </c>
      <c r="C508" s="285" t="s">
        <v>2489</v>
      </c>
      <c r="D508" s="291">
        <v>44973</v>
      </c>
      <c r="E508" s="285" t="s">
        <v>18919</v>
      </c>
      <c r="F508" s="288"/>
    </row>
    <row r="509" spans="1:6" s="285" customFormat="1">
      <c r="A509" s="289" t="s">
        <v>19358</v>
      </c>
      <c r="B509" s="290" t="s">
        <v>19359</v>
      </c>
      <c r="C509" s="285" t="s">
        <v>2487</v>
      </c>
      <c r="D509" s="291">
        <v>45275</v>
      </c>
      <c r="E509" s="285" t="s">
        <v>2473</v>
      </c>
      <c r="F509" s="288"/>
    </row>
    <row r="510" spans="1:6" s="285" customFormat="1">
      <c r="A510" s="289" t="s">
        <v>19360</v>
      </c>
      <c r="B510" s="290" t="s">
        <v>19361</v>
      </c>
      <c r="C510" s="285" t="s">
        <v>19362</v>
      </c>
      <c r="D510" s="291">
        <v>45279</v>
      </c>
      <c r="E510" s="285" t="s">
        <v>18944</v>
      </c>
      <c r="F510" s="288"/>
    </row>
    <row r="511" spans="1:6" s="285" customFormat="1">
      <c r="A511" s="289" t="s">
        <v>19363</v>
      </c>
      <c r="B511" s="290" t="s">
        <v>19364</v>
      </c>
      <c r="C511" s="285" t="s">
        <v>19365</v>
      </c>
      <c r="D511" s="291">
        <v>44900</v>
      </c>
      <c r="E511" s="285" t="s">
        <v>19001</v>
      </c>
      <c r="F511" s="288"/>
    </row>
    <row r="512" spans="1:6" s="285" customFormat="1">
      <c r="A512" s="289" t="s">
        <v>19368</v>
      </c>
      <c r="B512" s="290" t="s">
        <v>19369</v>
      </c>
      <c r="C512" s="285" t="s">
        <v>18920</v>
      </c>
      <c r="D512" s="291">
        <v>44988</v>
      </c>
      <c r="E512" s="285" t="s">
        <v>18919</v>
      </c>
      <c r="F512" s="288"/>
    </row>
    <row r="513" spans="1:6" s="285" customFormat="1">
      <c r="A513" s="289" t="s">
        <v>19370</v>
      </c>
      <c r="B513" s="290" t="s">
        <v>19371</v>
      </c>
      <c r="C513" s="285" t="s">
        <v>19372</v>
      </c>
      <c r="D513" s="291">
        <v>45079</v>
      </c>
      <c r="E513" s="285" t="s">
        <v>2473</v>
      </c>
      <c r="F513" s="288"/>
    </row>
    <row r="514" spans="1:6" s="285" customFormat="1">
      <c r="A514" s="289" t="s">
        <v>19373</v>
      </c>
      <c r="B514" s="290" t="s">
        <v>19374</v>
      </c>
      <c r="C514" s="285" t="s">
        <v>18938</v>
      </c>
      <c r="D514" s="291">
        <v>44984</v>
      </c>
      <c r="E514" s="285" t="s">
        <v>2466</v>
      </c>
      <c r="F514" s="288"/>
    </row>
    <row r="515" spans="1:6" s="285" customFormat="1">
      <c r="A515" s="289" t="s">
        <v>19375</v>
      </c>
      <c r="B515" s="290" t="s">
        <v>19376</v>
      </c>
      <c r="C515" s="285" t="s">
        <v>19377</v>
      </c>
      <c r="D515" s="291">
        <v>45098</v>
      </c>
      <c r="E515" s="285" t="s">
        <v>19378</v>
      </c>
      <c r="F515" s="288"/>
    </row>
    <row r="516" spans="1:6" s="285" customFormat="1">
      <c r="A516" s="289" t="s">
        <v>19379</v>
      </c>
      <c r="B516" s="290" t="s">
        <v>19380</v>
      </c>
      <c r="C516" s="285" t="s">
        <v>18955</v>
      </c>
      <c r="D516" s="291">
        <v>45153</v>
      </c>
      <c r="E516" s="285" t="s">
        <v>18919</v>
      </c>
      <c r="F516" s="288"/>
    </row>
    <row r="517" spans="1:6" s="285" customFormat="1">
      <c r="A517" s="289" t="s">
        <v>19381</v>
      </c>
      <c r="B517" s="290" t="s">
        <v>19382</v>
      </c>
      <c r="C517" s="285" t="s">
        <v>18917</v>
      </c>
      <c r="D517" s="291">
        <v>45142</v>
      </c>
      <c r="E517" s="285" t="s">
        <v>18919</v>
      </c>
      <c r="F517" s="288"/>
    </row>
    <row r="518" spans="1:6" s="285" customFormat="1">
      <c r="A518" s="289" t="s">
        <v>19385</v>
      </c>
      <c r="B518" s="290" t="s">
        <v>19386</v>
      </c>
      <c r="C518" s="285" t="s">
        <v>2499</v>
      </c>
      <c r="D518" s="291">
        <v>45099</v>
      </c>
      <c r="E518" s="285" t="s">
        <v>18919</v>
      </c>
      <c r="F518" s="288"/>
    </row>
    <row r="519" spans="1:6" s="285" customFormat="1">
      <c r="A519" s="289" t="s">
        <v>19387</v>
      </c>
      <c r="B519" s="290" t="s">
        <v>19388</v>
      </c>
      <c r="C519" s="285" t="s">
        <v>2509</v>
      </c>
      <c r="D519" s="291">
        <v>45257</v>
      </c>
      <c r="E519" s="285" t="s">
        <v>18939</v>
      </c>
      <c r="F519" s="288"/>
    </row>
    <row r="520" spans="1:6" s="285" customFormat="1">
      <c r="A520" s="289" t="s">
        <v>19389</v>
      </c>
      <c r="B520" s="290" t="s">
        <v>19390</v>
      </c>
      <c r="C520" s="285" t="s">
        <v>18914</v>
      </c>
      <c r="D520" s="291">
        <v>44774</v>
      </c>
      <c r="E520" s="285" t="s">
        <v>18946</v>
      </c>
      <c r="F520" s="288"/>
    </row>
    <row r="521" spans="1:6" s="285" customFormat="1">
      <c r="A521" s="289" t="s">
        <v>19391</v>
      </c>
      <c r="B521" s="290" t="s">
        <v>19392</v>
      </c>
      <c r="C521" s="285" t="s">
        <v>18955</v>
      </c>
      <c r="D521" s="291">
        <v>45142</v>
      </c>
      <c r="E521" s="285" t="s">
        <v>18919</v>
      </c>
      <c r="F521" s="288"/>
    </row>
    <row r="522" spans="1:6" s="285" customFormat="1">
      <c r="A522" s="289" t="s">
        <v>19393</v>
      </c>
      <c r="B522" s="290" t="s">
        <v>19394</v>
      </c>
      <c r="C522" s="285" t="s">
        <v>19395</v>
      </c>
      <c r="D522" s="291">
        <v>45124</v>
      </c>
      <c r="E522" s="285" t="s">
        <v>18919</v>
      </c>
      <c r="F522" s="288"/>
    </row>
    <row r="523" spans="1:6" s="285" customFormat="1">
      <c r="A523" s="289" t="s">
        <v>19396</v>
      </c>
      <c r="B523" s="290" t="s">
        <v>19397</v>
      </c>
      <c r="C523" s="285" t="s">
        <v>19398</v>
      </c>
      <c r="D523" s="291">
        <v>45103</v>
      </c>
      <c r="E523" s="285" t="s">
        <v>18919</v>
      </c>
      <c r="F523" s="288"/>
    </row>
    <row r="524" spans="1:6" s="285" customFormat="1">
      <c r="A524" s="289" t="s">
        <v>19399</v>
      </c>
      <c r="B524" s="290" t="s">
        <v>19400</v>
      </c>
      <c r="C524" s="285" t="s">
        <v>19401</v>
      </c>
      <c r="D524" s="291">
        <v>45055</v>
      </c>
      <c r="E524" s="285" t="s">
        <v>18935</v>
      </c>
      <c r="F524" s="288"/>
    </row>
    <row r="525" spans="1:6" s="285" customFormat="1">
      <c r="A525" s="289" t="s">
        <v>19402</v>
      </c>
      <c r="B525" s="290" t="s">
        <v>19403</v>
      </c>
      <c r="C525" s="285" t="s">
        <v>18900</v>
      </c>
      <c r="D525" s="291">
        <v>45176</v>
      </c>
      <c r="E525" s="285" t="s">
        <v>19378</v>
      </c>
      <c r="F525" s="288"/>
    </row>
    <row r="526" spans="1:6" s="285" customFormat="1">
      <c r="A526" s="289" t="s">
        <v>19404</v>
      </c>
      <c r="B526" s="290" t="s">
        <v>19405</v>
      </c>
      <c r="C526" s="285" t="s">
        <v>2517</v>
      </c>
      <c r="D526" s="291">
        <v>45272</v>
      </c>
      <c r="E526" s="285" t="s">
        <v>18996</v>
      </c>
      <c r="F526" s="288"/>
    </row>
    <row r="527" spans="1:6" s="285" customFormat="1">
      <c r="A527" s="289" t="s">
        <v>19406</v>
      </c>
      <c r="B527" s="290" t="s">
        <v>19407</v>
      </c>
      <c r="C527" s="285" t="s">
        <v>19408</v>
      </c>
      <c r="D527" s="291">
        <v>45015</v>
      </c>
      <c r="E527" s="285" t="s">
        <v>2466</v>
      </c>
      <c r="F527" s="288"/>
    </row>
    <row r="528" spans="1:6" s="285" customFormat="1">
      <c r="A528" s="289" t="s">
        <v>19409</v>
      </c>
      <c r="B528" s="290" t="s">
        <v>19410</v>
      </c>
      <c r="C528" s="285" t="s">
        <v>18936</v>
      </c>
      <c r="D528" s="291">
        <v>44995</v>
      </c>
      <c r="E528" s="285" t="s">
        <v>18919</v>
      </c>
      <c r="F528" s="288"/>
    </row>
    <row r="529" spans="1:6" s="285" customFormat="1">
      <c r="A529" s="289" t="s">
        <v>19411</v>
      </c>
      <c r="B529" s="290" t="s">
        <v>19412</v>
      </c>
      <c r="C529" s="285" t="s">
        <v>2504</v>
      </c>
      <c r="D529" s="291">
        <v>45138</v>
      </c>
      <c r="E529" s="285" t="s">
        <v>18919</v>
      </c>
      <c r="F529" s="288"/>
    </row>
    <row r="530" spans="1:6" s="285" customFormat="1">
      <c r="A530" s="289" t="s">
        <v>19413</v>
      </c>
      <c r="B530" s="290" t="s">
        <v>19414</v>
      </c>
      <c r="C530" s="285" t="s">
        <v>18920</v>
      </c>
      <c r="D530" s="291">
        <v>45002</v>
      </c>
      <c r="E530" s="285" t="s">
        <v>2466</v>
      </c>
      <c r="F530" s="288"/>
    </row>
    <row r="531" spans="1:6" s="285" customFormat="1">
      <c r="A531" s="289" t="s">
        <v>19415</v>
      </c>
      <c r="B531" s="290" t="s">
        <v>19416</v>
      </c>
      <c r="C531" s="285" t="s">
        <v>19345</v>
      </c>
      <c r="D531" s="291">
        <v>44995</v>
      </c>
      <c r="E531" s="285" t="s">
        <v>18919</v>
      </c>
      <c r="F531" s="288"/>
    </row>
    <row r="532" spans="1:6" s="285" customFormat="1">
      <c r="A532" s="289" t="s">
        <v>19417</v>
      </c>
      <c r="B532" s="290" t="s">
        <v>19418</v>
      </c>
      <c r="C532" s="285" t="s">
        <v>18955</v>
      </c>
      <c r="D532" s="291">
        <v>45076</v>
      </c>
      <c r="E532" s="285" t="s">
        <v>18919</v>
      </c>
      <c r="F532" s="288"/>
    </row>
    <row r="533" spans="1:6" s="285" customFormat="1">
      <c r="A533" s="289" t="s">
        <v>19419</v>
      </c>
      <c r="B533" s="290" t="s">
        <v>19420</v>
      </c>
      <c r="C533" s="285" t="s">
        <v>2501</v>
      </c>
      <c r="D533" s="291">
        <v>45142</v>
      </c>
      <c r="E533" s="285" t="s">
        <v>18919</v>
      </c>
      <c r="F533" s="288"/>
    </row>
    <row r="534" spans="1:6" s="285" customFormat="1">
      <c r="A534" s="289" t="s">
        <v>19421</v>
      </c>
      <c r="B534" s="290" t="s">
        <v>19422</v>
      </c>
      <c r="C534" s="285" t="s">
        <v>2495</v>
      </c>
      <c r="D534" s="291">
        <v>44988</v>
      </c>
      <c r="E534" s="285" t="s">
        <v>18919</v>
      </c>
      <c r="F534" s="288"/>
    </row>
    <row r="535" spans="1:6" s="285" customFormat="1">
      <c r="A535" s="289" t="s">
        <v>19423</v>
      </c>
      <c r="B535" s="290" t="s">
        <v>19424</v>
      </c>
      <c r="C535" s="285" t="s">
        <v>19425</v>
      </c>
      <c r="D535" s="291">
        <v>45238</v>
      </c>
      <c r="E535" s="285" t="s">
        <v>19001</v>
      </c>
      <c r="F535" s="288"/>
    </row>
    <row r="536" spans="1:6" s="285" customFormat="1">
      <c r="A536" s="289" t="s">
        <v>19426</v>
      </c>
      <c r="B536" s="290" t="s">
        <v>19427</v>
      </c>
      <c r="C536" s="285" t="s">
        <v>19276</v>
      </c>
      <c r="D536" s="291">
        <v>45056</v>
      </c>
      <c r="E536" s="285" t="s">
        <v>18919</v>
      </c>
      <c r="F536" s="288"/>
    </row>
    <row r="537" spans="1:6" s="285" customFormat="1">
      <c r="A537" s="289" t="s">
        <v>19428</v>
      </c>
      <c r="B537" s="290" t="s">
        <v>19429</v>
      </c>
      <c r="C537" s="285" t="s">
        <v>2499</v>
      </c>
      <c r="D537" s="291">
        <v>44967</v>
      </c>
      <c r="E537" s="285" t="s">
        <v>2473</v>
      </c>
      <c r="F537" s="288"/>
    </row>
    <row r="538" spans="1:6" s="285" customFormat="1">
      <c r="A538" s="289" t="s">
        <v>19430</v>
      </c>
      <c r="B538" s="290" t="s">
        <v>19431</v>
      </c>
      <c r="C538" s="285" t="s">
        <v>19233</v>
      </c>
      <c r="D538" s="291">
        <v>44959</v>
      </c>
      <c r="E538" s="285" t="s">
        <v>2452</v>
      </c>
      <c r="F538" s="288"/>
    </row>
    <row r="539" spans="1:6" s="285" customFormat="1">
      <c r="A539" s="289" t="s">
        <v>19432</v>
      </c>
      <c r="B539" s="290" t="s">
        <v>19433</v>
      </c>
      <c r="C539" s="285" t="s">
        <v>18914</v>
      </c>
      <c r="D539" s="291">
        <v>45225</v>
      </c>
      <c r="E539" s="285" t="s">
        <v>2473</v>
      </c>
      <c r="F539" s="288"/>
    </row>
    <row r="540" spans="1:6" s="285" customFormat="1">
      <c r="A540" s="289" t="s">
        <v>19434</v>
      </c>
      <c r="B540" s="290" t="s">
        <v>19435</v>
      </c>
      <c r="C540" s="285" t="s">
        <v>19436</v>
      </c>
      <c r="D540" s="291">
        <v>45118</v>
      </c>
      <c r="E540" s="285" t="s">
        <v>18963</v>
      </c>
      <c r="F540" s="288"/>
    </row>
    <row r="541" spans="1:6" s="285" customFormat="1">
      <c r="A541" s="289" t="s">
        <v>19437</v>
      </c>
      <c r="B541" s="290" t="s">
        <v>19438</v>
      </c>
      <c r="C541" s="285" t="s">
        <v>19439</v>
      </c>
      <c r="D541" s="291">
        <v>45050</v>
      </c>
      <c r="E541" s="285" t="s">
        <v>19139</v>
      </c>
      <c r="F541" s="288"/>
    </row>
    <row r="542" spans="1:6" s="285" customFormat="1">
      <c r="A542" s="289" t="s">
        <v>19440</v>
      </c>
      <c r="B542" s="290" t="s">
        <v>19441</v>
      </c>
      <c r="C542" s="285" t="s">
        <v>19442</v>
      </c>
      <c r="D542" s="291">
        <v>45177</v>
      </c>
      <c r="E542" s="285" t="s">
        <v>18953</v>
      </c>
      <c r="F542" s="288"/>
    </row>
    <row r="543" spans="1:6" s="285" customFormat="1">
      <c r="A543" s="289" t="s">
        <v>19443</v>
      </c>
      <c r="B543" s="290" t="s">
        <v>19444</v>
      </c>
      <c r="C543" s="285" t="s">
        <v>18938</v>
      </c>
      <c r="D543" s="291">
        <v>45036</v>
      </c>
      <c r="E543" s="285" t="s">
        <v>2466</v>
      </c>
      <c r="F543" s="288"/>
    </row>
    <row r="544" spans="1:6" s="285" customFormat="1">
      <c r="A544" s="289" t="s">
        <v>19447</v>
      </c>
      <c r="B544" s="290" t="s">
        <v>19448</v>
      </c>
      <c r="C544" s="285" t="s">
        <v>2492</v>
      </c>
      <c r="D544" s="291">
        <v>44986</v>
      </c>
      <c r="E544" s="285" t="s">
        <v>18946</v>
      </c>
      <c r="F544" s="288"/>
    </row>
    <row r="545" spans="1:6" s="285" customFormat="1">
      <c r="A545" s="289" t="s">
        <v>19451</v>
      </c>
      <c r="B545" s="290" t="s">
        <v>19452</v>
      </c>
      <c r="C545" s="285" t="s">
        <v>19335</v>
      </c>
      <c r="D545" s="291">
        <v>44992</v>
      </c>
      <c r="E545" s="285" t="s">
        <v>18994</v>
      </c>
      <c r="F545" s="288"/>
    </row>
    <row r="546" spans="1:6" s="285" customFormat="1">
      <c r="A546" s="289" t="s">
        <v>19453</v>
      </c>
      <c r="B546" s="290" t="s">
        <v>19454</v>
      </c>
      <c r="C546" s="285" t="s">
        <v>19455</v>
      </c>
      <c r="D546" s="291">
        <v>45246</v>
      </c>
      <c r="E546" s="285" t="s">
        <v>18933</v>
      </c>
      <c r="F546" s="288"/>
    </row>
    <row r="547" spans="1:6" s="285" customFormat="1">
      <c r="A547" s="289" t="s">
        <v>19456</v>
      </c>
      <c r="B547" s="290" t="s">
        <v>19457</v>
      </c>
      <c r="C547" s="285" t="s">
        <v>2493</v>
      </c>
      <c r="D547" s="291">
        <v>44957</v>
      </c>
      <c r="E547" s="285" t="s">
        <v>18974</v>
      </c>
      <c r="F547" s="288"/>
    </row>
    <row r="548" spans="1:6" s="285" customFormat="1">
      <c r="A548" s="289" t="s">
        <v>19458</v>
      </c>
      <c r="B548" s="290" t="s">
        <v>19459</v>
      </c>
      <c r="C548" s="285" t="s">
        <v>19436</v>
      </c>
      <c r="D548" s="291">
        <v>45217</v>
      </c>
      <c r="E548" s="285" t="s">
        <v>19040</v>
      </c>
      <c r="F548" s="288"/>
    </row>
    <row r="549" spans="1:6" s="285" customFormat="1">
      <c r="A549" s="289" t="s">
        <v>19460</v>
      </c>
      <c r="B549" s="290" t="s">
        <v>19461</v>
      </c>
      <c r="C549" s="285" t="s">
        <v>18970</v>
      </c>
      <c r="D549" s="291">
        <v>45148</v>
      </c>
      <c r="E549" s="285" t="s">
        <v>18919</v>
      </c>
      <c r="F549" s="288"/>
    </row>
    <row r="550" spans="1:6" s="285" customFormat="1">
      <c r="A550" s="289" t="s">
        <v>19462</v>
      </c>
      <c r="B550" s="290" t="s">
        <v>19463</v>
      </c>
      <c r="C550" s="285" t="s">
        <v>19464</v>
      </c>
      <c r="D550" s="291">
        <v>45191</v>
      </c>
      <c r="E550" s="285" t="s">
        <v>18935</v>
      </c>
      <c r="F550" s="288"/>
    </row>
    <row r="551" spans="1:6" s="285" customFormat="1">
      <c r="A551" s="289" t="s">
        <v>19465</v>
      </c>
      <c r="B551" s="290" t="s">
        <v>19466</v>
      </c>
      <c r="C551" s="285" t="s">
        <v>19467</v>
      </c>
      <c r="D551" s="291">
        <v>45182</v>
      </c>
      <c r="E551" s="285" t="s">
        <v>18919</v>
      </c>
      <c r="F551" s="288"/>
    </row>
    <row r="552" spans="1:6" s="285" customFormat="1">
      <c r="A552" s="289" t="s">
        <v>19468</v>
      </c>
      <c r="B552" s="290" t="s">
        <v>19469</v>
      </c>
      <c r="C552" s="285" t="s">
        <v>19174</v>
      </c>
      <c r="D552" s="291">
        <v>45014</v>
      </c>
      <c r="E552" s="285" t="s">
        <v>19185</v>
      </c>
      <c r="F552" s="288"/>
    </row>
    <row r="553" spans="1:6" s="285" customFormat="1">
      <c r="A553" s="289" t="s">
        <v>19470</v>
      </c>
      <c r="B553" s="290" t="s">
        <v>19471</v>
      </c>
      <c r="C553" s="285" t="s">
        <v>2486</v>
      </c>
      <c r="D553" s="291">
        <v>45219</v>
      </c>
      <c r="E553" s="285" t="s">
        <v>18953</v>
      </c>
      <c r="F553" s="288"/>
    </row>
    <row r="554" spans="1:6" s="285" customFormat="1">
      <c r="A554" s="289" t="s">
        <v>19473</v>
      </c>
      <c r="B554" s="290" t="s">
        <v>19474</v>
      </c>
      <c r="C554" s="285" t="s">
        <v>18914</v>
      </c>
      <c r="D554" s="291">
        <v>45212</v>
      </c>
      <c r="E554" s="285" t="s">
        <v>2473</v>
      </c>
      <c r="F554" s="288"/>
    </row>
    <row r="555" spans="1:6" s="285" customFormat="1">
      <c r="A555" s="289" t="s">
        <v>19475</v>
      </c>
      <c r="B555" s="290" t="s">
        <v>19476</v>
      </c>
      <c r="C555" s="285" t="s">
        <v>18955</v>
      </c>
      <c r="D555" s="291">
        <v>45191</v>
      </c>
      <c r="E555" s="285" t="s">
        <v>18919</v>
      </c>
      <c r="F555" s="288"/>
    </row>
    <row r="556" spans="1:6" s="285" customFormat="1">
      <c r="A556" s="289" t="s">
        <v>19477</v>
      </c>
      <c r="B556" s="290" t="s">
        <v>19478</v>
      </c>
      <c r="C556" s="285" t="s">
        <v>2498</v>
      </c>
      <c r="D556" s="291">
        <v>45176</v>
      </c>
      <c r="E556" s="285" t="s">
        <v>19139</v>
      </c>
      <c r="F556" s="288"/>
    </row>
    <row r="557" spans="1:6" s="285" customFormat="1">
      <c r="A557" s="289" t="s">
        <v>19479</v>
      </c>
      <c r="B557" s="290" t="s">
        <v>19480</v>
      </c>
      <c r="C557" s="285" t="s">
        <v>18969</v>
      </c>
      <c r="D557" s="291">
        <v>44901</v>
      </c>
      <c r="E557" s="285" t="s">
        <v>19323</v>
      </c>
      <c r="F557" s="288"/>
    </row>
    <row r="558" spans="1:6" s="285" customFormat="1">
      <c r="A558" s="289" t="s">
        <v>19481</v>
      </c>
      <c r="B558" s="290" t="s">
        <v>19482</v>
      </c>
      <c r="C558" s="285" t="s">
        <v>2489</v>
      </c>
      <c r="D558" s="291">
        <v>45050</v>
      </c>
      <c r="E558" s="285" t="s">
        <v>18935</v>
      </c>
      <c r="F558" s="288"/>
    </row>
    <row r="559" spans="1:6" s="285" customFormat="1">
      <c r="A559" s="289" t="s">
        <v>19483</v>
      </c>
      <c r="B559" s="290" t="s">
        <v>19484</v>
      </c>
      <c r="C559" s="285" t="s">
        <v>18936</v>
      </c>
      <c r="D559" s="291">
        <v>45209</v>
      </c>
      <c r="E559" s="285" t="s">
        <v>18935</v>
      </c>
      <c r="F559" s="288"/>
    </row>
    <row r="560" spans="1:6" s="285" customFormat="1">
      <c r="A560" s="289" t="s">
        <v>19485</v>
      </c>
      <c r="B560" s="290" t="s">
        <v>19486</v>
      </c>
      <c r="C560" s="285" t="s">
        <v>18936</v>
      </c>
      <c r="D560" s="291">
        <v>45250</v>
      </c>
      <c r="E560" s="285" t="s">
        <v>18919</v>
      </c>
      <c r="F560" s="288"/>
    </row>
    <row r="561" spans="1:6" s="285" customFormat="1">
      <c r="A561" s="289" t="s">
        <v>19487</v>
      </c>
      <c r="B561" s="290" t="s">
        <v>19488</v>
      </c>
      <c r="C561" s="285" t="s">
        <v>18988</v>
      </c>
      <c r="D561" s="291">
        <v>45006</v>
      </c>
      <c r="E561" s="285" t="s">
        <v>18963</v>
      </c>
      <c r="F561" s="288"/>
    </row>
    <row r="562" spans="1:6" s="285" customFormat="1">
      <c r="A562" s="289" t="s">
        <v>19489</v>
      </c>
      <c r="B562" s="290" t="s">
        <v>19490</v>
      </c>
      <c r="C562" s="285" t="s">
        <v>18938</v>
      </c>
      <c r="D562" s="291">
        <v>45062</v>
      </c>
      <c r="E562" s="285" t="s">
        <v>18939</v>
      </c>
      <c r="F562" s="288"/>
    </row>
    <row r="563" spans="1:6" s="285" customFormat="1">
      <c r="A563" s="289" t="s">
        <v>19491</v>
      </c>
      <c r="B563" s="290" t="s">
        <v>19492</v>
      </c>
      <c r="C563" s="285" t="s">
        <v>2504</v>
      </c>
      <c r="D563" s="291">
        <v>45174</v>
      </c>
      <c r="E563" s="285" t="s">
        <v>18939</v>
      </c>
      <c r="F563" s="288"/>
    </row>
    <row r="564" spans="1:6" s="285" customFormat="1">
      <c r="A564" s="289" t="s">
        <v>19493</v>
      </c>
      <c r="B564" s="290" t="s">
        <v>19494</v>
      </c>
      <c r="C564" s="285" t="s">
        <v>19495</v>
      </c>
      <c r="D564" s="291">
        <v>45204</v>
      </c>
      <c r="E564" s="285" t="s">
        <v>19139</v>
      </c>
      <c r="F564" s="288"/>
    </row>
    <row r="565" spans="1:6" s="285" customFormat="1">
      <c r="A565" s="289" t="s">
        <v>19496</v>
      </c>
      <c r="B565" s="290" t="s">
        <v>19497</v>
      </c>
      <c r="C565" s="285" t="s">
        <v>18972</v>
      </c>
      <c r="D565" s="291">
        <v>44804</v>
      </c>
      <c r="E565" s="285" t="s">
        <v>18946</v>
      </c>
      <c r="F565" s="288"/>
    </row>
    <row r="566" spans="1:6" s="285" customFormat="1">
      <c r="A566" s="289" t="s">
        <v>19498</v>
      </c>
      <c r="B566" s="290" t="s">
        <v>19499</v>
      </c>
      <c r="C566" s="285" t="s">
        <v>18972</v>
      </c>
      <c r="D566" s="291">
        <v>45036</v>
      </c>
      <c r="E566" s="285" t="s">
        <v>18944</v>
      </c>
      <c r="F566" s="288"/>
    </row>
    <row r="567" spans="1:6" s="285" customFormat="1">
      <c r="A567" s="289" t="s">
        <v>19500</v>
      </c>
      <c r="B567" s="290" t="s">
        <v>19501</v>
      </c>
      <c r="C567" s="285" t="s">
        <v>18914</v>
      </c>
      <c r="D567" s="291">
        <v>44958</v>
      </c>
      <c r="E567" s="285" t="s">
        <v>2466</v>
      </c>
      <c r="F567" s="288"/>
    </row>
    <row r="568" spans="1:6" s="285" customFormat="1">
      <c r="A568" s="289" t="s">
        <v>19502</v>
      </c>
      <c r="B568" s="290" t="s">
        <v>19503</v>
      </c>
      <c r="C568" s="285" t="s">
        <v>2488</v>
      </c>
      <c r="D568" s="291">
        <v>44781</v>
      </c>
      <c r="E568" s="285" t="s">
        <v>18971</v>
      </c>
      <c r="F568" s="288"/>
    </row>
    <row r="569" spans="1:6" s="285" customFormat="1">
      <c r="A569" s="289" t="s">
        <v>19504</v>
      </c>
      <c r="B569" s="290" t="s">
        <v>19505</v>
      </c>
      <c r="C569" s="285" t="s">
        <v>19506</v>
      </c>
      <c r="D569" s="291">
        <v>45132</v>
      </c>
      <c r="E569" s="285" t="s">
        <v>2466</v>
      </c>
      <c r="F569" s="288"/>
    </row>
    <row r="570" spans="1:6" s="285" customFormat="1">
      <c r="A570" s="289" t="s">
        <v>19507</v>
      </c>
      <c r="B570" s="290" t="s">
        <v>19508</v>
      </c>
      <c r="C570" s="285" t="s">
        <v>2492</v>
      </c>
      <c r="D570" s="291">
        <v>44986</v>
      </c>
      <c r="E570" s="285" t="s">
        <v>18973</v>
      </c>
      <c r="F570" s="288"/>
    </row>
    <row r="571" spans="1:6" s="285" customFormat="1">
      <c r="A571" s="289" t="s">
        <v>19509</v>
      </c>
      <c r="B571" s="290" t="s">
        <v>19510</v>
      </c>
      <c r="C571" s="285" t="s">
        <v>19326</v>
      </c>
      <c r="D571" s="291">
        <v>45105</v>
      </c>
      <c r="E571" s="285" t="s">
        <v>18919</v>
      </c>
      <c r="F571" s="288"/>
    </row>
    <row r="572" spans="1:6" s="285" customFormat="1">
      <c r="A572" s="289" t="s">
        <v>19511</v>
      </c>
      <c r="B572" s="290" t="s">
        <v>19512</v>
      </c>
      <c r="C572" s="285" t="s">
        <v>19467</v>
      </c>
      <c r="D572" s="291">
        <v>45251</v>
      </c>
      <c r="E572" s="285" t="s">
        <v>18946</v>
      </c>
      <c r="F572" s="288"/>
    </row>
    <row r="573" spans="1:6" s="285" customFormat="1">
      <c r="A573" s="289" t="s">
        <v>19514</v>
      </c>
      <c r="B573" s="290" t="s">
        <v>19515</v>
      </c>
      <c r="C573" s="285" t="s">
        <v>18936</v>
      </c>
      <c r="D573" s="291">
        <v>44977</v>
      </c>
      <c r="E573" s="285" t="s">
        <v>18996</v>
      </c>
      <c r="F573" s="288"/>
    </row>
    <row r="574" spans="1:6" s="285" customFormat="1">
      <c r="A574" s="289" t="s">
        <v>19516</v>
      </c>
      <c r="B574" s="290" t="s">
        <v>19517</v>
      </c>
      <c r="C574" s="285" t="s">
        <v>19301</v>
      </c>
      <c r="D574" s="291">
        <v>45037</v>
      </c>
      <c r="E574" s="285" t="s">
        <v>2473</v>
      </c>
      <c r="F574" s="288"/>
    </row>
    <row r="575" spans="1:6" s="285" customFormat="1">
      <c r="A575" s="289" t="s">
        <v>19518</v>
      </c>
      <c r="B575" s="290" t="s">
        <v>19752</v>
      </c>
      <c r="C575" s="285" t="s">
        <v>18920</v>
      </c>
      <c r="D575" s="291">
        <v>44694</v>
      </c>
      <c r="E575" s="285" t="s">
        <v>18944</v>
      </c>
      <c r="F575" s="288"/>
    </row>
    <row r="576" spans="1:6" s="285" customFormat="1">
      <c r="A576" s="289" t="s">
        <v>19519</v>
      </c>
      <c r="B576" s="290" t="s">
        <v>19753</v>
      </c>
      <c r="C576" s="285" t="s">
        <v>19754</v>
      </c>
      <c r="D576" s="291">
        <v>44985</v>
      </c>
      <c r="E576" s="285" t="s">
        <v>19755</v>
      </c>
      <c r="F576" s="288"/>
    </row>
    <row r="577" spans="1:6">
      <c r="A577" s="289" t="s">
        <v>19520</v>
      </c>
      <c r="B577" s="280" t="s">
        <v>19756</v>
      </c>
      <c r="C577" s="279" t="s">
        <v>18955</v>
      </c>
      <c r="D577" s="287">
        <v>45128</v>
      </c>
      <c r="E577" s="279" t="s">
        <v>19378</v>
      </c>
      <c r="F577" s="297"/>
    </row>
    <row r="578" spans="1:6">
      <c r="A578" s="289" t="s">
        <v>19521</v>
      </c>
      <c r="B578" s="280" t="s">
        <v>19757</v>
      </c>
      <c r="C578" s="279" t="s">
        <v>2491</v>
      </c>
      <c r="D578" s="287">
        <v>45274</v>
      </c>
      <c r="E578" s="279" t="s">
        <v>19139</v>
      </c>
      <c r="F578" s="297"/>
    </row>
    <row r="579" spans="1:6">
      <c r="A579" s="289" t="s">
        <v>19522</v>
      </c>
      <c r="B579" s="280" t="s">
        <v>19758</v>
      </c>
      <c r="C579" s="279" t="s">
        <v>18920</v>
      </c>
      <c r="D579" s="287">
        <v>45238</v>
      </c>
      <c r="E579" s="279" t="s">
        <v>18935</v>
      </c>
      <c r="F579" s="297"/>
    </row>
    <row r="580" spans="1:6">
      <c r="A580" s="289" t="s">
        <v>19523</v>
      </c>
      <c r="B580" s="280" t="s">
        <v>19987</v>
      </c>
      <c r="C580" s="279" t="s">
        <v>19276</v>
      </c>
      <c r="D580" s="287">
        <v>44649</v>
      </c>
      <c r="E580" s="279" t="s">
        <v>18935</v>
      </c>
      <c r="F580" s="297"/>
    </row>
    <row r="581" spans="1:6">
      <c r="A581" s="289" t="s">
        <v>19524</v>
      </c>
      <c r="B581" s="280" t="s">
        <v>19795</v>
      </c>
      <c r="C581" s="279" t="s">
        <v>19796</v>
      </c>
      <c r="D581" s="287">
        <v>44757</v>
      </c>
      <c r="E581" s="279" t="s">
        <v>18973</v>
      </c>
      <c r="F581" s="297"/>
    </row>
    <row r="582" spans="1:6">
      <c r="A582" s="289" t="s">
        <v>19525</v>
      </c>
      <c r="B582" s="280" t="s">
        <v>19797</v>
      </c>
      <c r="C582" s="279" t="s">
        <v>18969</v>
      </c>
      <c r="D582" s="287">
        <v>45265</v>
      </c>
      <c r="E582" s="279" t="s">
        <v>18935</v>
      </c>
      <c r="F582" s="297"/>
    </row>
    <row r="583" spans="1:6">
      <c r="A583" s="289" t="s">
        <v>19526</v>
      </c>
      <c r="B583" s="280" t="s">
        <v>19798</v>
      </c>
      <c r="C583" s="279" t="s">
        <v>18920</v>
      </c>
      <c r="D583" s="287">
        <v>45070</v>
      </c>
      <c r="E583" s="279" t="s">
        <v>18919</v>
      </c>
      <c r="F583" s="297"/>
    </row>
    <row r="584" spans="1:6">
      <c r="A584" s="289" t="s">
        <v>19527</v>
      </c>
      <c r="B584" s="280" t="s">
        <v>19799</v>
      </c>
      <c r="C584" s="279" t="s">
        <v>18938</v>
      </c>
      <c r="D584" s="287">
        <v>45058</v>
      </c>
      <c r="E584" s="279" t="s">
        <v>2466</v>
      </c>
      <c r="F584" s="297"/>
    </row>
    <row r="585" spans="1:6">
      <c r="A585" s="289" t="s">
        <v>19528</v>
      </c>
      <c r="B585" s="280" t="s">
        <v>19800</v>
      </c>
      <c r="C585" s="279" t="s">
        <v>18938</v>
      </c>
      <c r="D585" s="287">
        <v>45198</v>
      </c>
      <c r="E585" s="279" t="s">
        <v>19801</v>
      </c>
      <c r="F585" s="297"/>
    </row>
    <row r="586" spans="1:6">
      <c r="A586" s="289" t="s">
        <v>19529</v>
      </c>
      <c r="B586" s="280" t="s">
        <v>19802</v>
      </c>
      <c r="C586" s="279" t="s">
        <v>2497</v>
      </c>
      <c r="D586" s="287">
        <v>44971</v>
      </c>
      <c r="E586" s="279" t="s">
        <v>19804</v>
      </c>
      <c r="F586" s="297"/>
    </row>
    <row r="587" spans="1:6">
      <c r="A587" s="289" t="s">
        <v>19530</v>
      </c>
      <c r="B587" s="280" t="s">
        <v>19805</v>
      </c>
      <c r="C587" s="279" t="s">
        <v>19806</v>
      </c>
      <c r="D587" s="287">
        <v>45015</v>
      </c>
      <c r="E587" s="279" t="s">
        <v>2469</v>
      </c>
      <c r="F587" s="297"/>
    </row>
    <row r="588" spans="1:6">
      <c r="A588" s="289" t="s">
        <v>19531</v>
      </c>
      <c r="B588" s="280" t="s">
        <v>19807</v>
      </c>
      <c r="C588" s="279" t="s">
        <v>18938</v>
      </c>
      <c r="D588" s="287">
        <v>44985</v>
      </c>
      <c r="E588" s="279" t="s">
        <v>2466</v>
      </c>
      <c r="F588" s="297"/>
    </row>
    <row r="589" spans="1:6">
      <c r="A589" s="289" t="s">
        <v>19532</v>
      </c>
      <c r="B589" s="280" t="s">
        <v>19808</v>
      </c>
      <c r="C589" s="279" t="s">
        <v>19809</v>
      </c>
      <c r="D589" s="287">
        <v>44942</v>
      </c>
      <c r="E589" s="279" t="s">
        <v>2466</v>
      </c>
      <c r="F589" s="297"/>
    </row>
    <row r="590" spans="1:6">
      <c r="A590" s="289" t="s">
        <v>19533</v>
      </c>
      <c r="B590" s="280" t="s">
        <v>19810</v>
      </c>
      <c r="C590" s="279" t="s">
        <v>19811</v>
      </c>
      <c r="D590" s="287">
        <v>45132</v>
      </c>
      <c r="E590" s="279" t="s">
        <v>18944</v>
      </c>
      <c r="F590" s="297"/>
    </row>
    <row r="591" spans="1:6">
      <c r="A591" s="289" t="s">
        <v>19534</v>
      </c>
      <c r="B591" s="280" t="s">
        <v>19988</v>
      </c>
      <c r="C591" s="279" t="s">
        <v>19989</v>
      </c>
      <c r="D591" s="287">
        <v>45237</v>
      </c>
      <c r="E591" s="279" t="s">
        <v>18944</v>
      </c>
      <c r="F591" s="297"/>
    </row>
    <row r="592" spans="1:6">
      <c r="A592" s="289" t="s">
        <v>19535</v>
      </c>
      <c r="B592" s="280" t="s">
        <v>19990</v>
      </c>
      <c r="C592" s="279" t="s">
        <v>18936</v>
      </c>
      <c r="D592" s="287">
        <v>44540</v>
      </c>
      <c r="E592" s="279" t="s">
        <v>18935</v>
      </c>
      <c r="F592" s="297"/>
    </row>
    <row r="593" spans="1:6">
      <c r="A593" s="289" t="s">
        <v>19536</v>
      </c>
      <c r="B593" s="280" t="s">
        <v>19812</v>
      </c>
      <c r="C593" s="279" t="s">
        <v>19813</v>
      </c>
      <c r="D593" s="287">
        <v>44748</v>
      </c>
      <c r="E593" s="279" t="s">
        <v>2466</v>
      </c>
      <c r="F593" s="297"/>
    </row>
    <row r="594" spans="1:6">
      <c r="A594" s="289" t="s">
        <v>19537</v>
      </c>
      <c r="B594" s="280" t="s">
        <v>19991</v>
      </c>
      <c r="C594" s="279" t="s">
        <v>19992</v>
      </c>
      <c r="D594" s="287">
        <v>44454</v>
      </c>
      <c r="E594" s="279" t="s">
        <v>18973</v>
      </c>
      <c r="F594" s="297"/>
    </row>
    <row r="595" spans="1:6">
      <c r="A595" s="289" t="s">
        <v>19538</v>
      </c>
      <c r="B595" s="280" t="s">
        <v>19814</v>
      </c>
      <c r="C595" s="279" t="s">
        <v>19219</v>
      </c>
      <c r="D595" s="287">
        <v>45208</v>
      </c>
      <c r="E595" s="279" t="s">
        <v>18935</v>
      </c>
      <c r="F595" s="297"/>
    </row>
    <row r="596" spans="1:6">
      <c r="A596" s="289" t="s">
        <v>19539</v>
      </c>
      <c r="B596" s="280" t="s">
        <v>19815</v>
      </c>
      <c r="C596" s="279" t="s">
        <v>2488</v>
      </c>
      <c r="D596" s="287">
        <v>44484</v>
      </c>
      <c r="E596" s="279" t="s">
        <v>18919</v>
      </c>
      <c r="F596" s="297"/>
    </row>
    <row r="597" spans="1:6">
      <c r="A597" s="289" t="s">
        <v>19540</v>
      </c>
      <c r="B597" s="280" t="s">
        <v>19816</v>
      </c>
      <c r="C597" s="279" t="s">
        <v>19028</v>
      </c>
      <c r="D597" s="287">
        <v>42909</v>
      </c>
      <c r="E597" s="279" t="s">
        <v>19378</v>
      </c>
      <c r="F597" s="297"/>
    </row>
    <row r="598" spans="1:6">
      <c r="A598" s="289" t="s">
        <v>19541</v>
      </c>
      <c r="B598" s="280" t="s">
        <v>19817</v>
      </c>
      <c r="C598" s="279" t="s">
        <v>18920</v>
      </c>
      <c r="D598" s="287">
        <v>45278</v>
      </c>
      <c r="E598" s="279" t="s">
        <v>19139</v>
      </c>
      <c r="F598" s="297"/>
    </row>
    <row r="599" spans="1:6">
      <c r="A599" s="289" t="s">
        <v>19542</v>
      </c>
      <c r="B599" s="280" t="s">
        <v>19818</v>
      </c>
      <c r="C599" s="279" t="s">
        <v>18914</v>
      </c>
      <c r="D599" s="287">
        <v>45274</v>
      </c>
      <c r="E599" s="279" t="s">
        <v>19819</v>
      </c>
      <c r="F599" s="297"/>
    </row>
    <row r="600" spans="1:6">
      <c r="A600" s="289" t="s">
        <v>19543</v>
      </c>
      <c r="B600" s="280" t="s">
        <v>19820</v>
      </c>
      <c r="C600" s="279" t="s">
        <v>19335</v>
      </c>
      <c r="D600" s="287">
        <v>45086</v>
      </c>
      <c r="E600" s="279" t="s">
        <v>18919</v>
      </c>
      <c r="F600" s="297"/>
    </row>
    <row r="601" spans="1:6">
      <c r="A601" s="289" t="s">
        <v>19544</v>
      </c>
      <c r="B601" s="280" t="s">
        <v>19821</v>
      </c>
      <c r="C601" s="279" t="s">
        <v>19322</v>
      </c>
      <c r="D601" s="287">
        <v>44713</v>
      </c>
      <c r="E601" s="279" t="s">
        <v>18976</v>
      </c>
      <c r="F601" s="297"/>
    </row>
    <row r="602" spans="1:6">
      <c r="A602" s="289" t="s">
        <v>19545</v>
      </c>
      <c r="B602" s="280" t="s">
        <v>19822</v>
      </c>
      <c r="C602" s="279" t="s">
        <v>19154</v>
      </c>
      <c r="D602" s="287">
        <v>45099</v>
      </c>
      <c r="E602" s="279" t="s">
        <v>2466</v>
      </c>
      <c r="F602" s="297"/>
    </row>
    <row r="603" spans="1:6">
      <c r="A603" s="289" t="s">
        <v>19546</v>
      </c>
      <c r="B603" s="280" t="s">
        <v>19823</v>
      </c>
      <c r="C603" s="279" t="s">
        <v>19099</v>
      </c>
      <c r="D603" s="287">
        <v>44991</v>
      </c>
      <c r="E603" s="279" t="s">
        <v>19819</v>
      </c>
      <c r="F603" s="297"/>
    </row>
    <row r="604" spans="1:6">
      <c r="A604" s="289" t="s">
        <v>19547</v>
      </c>
      <c r="B604" s="280" t="s">
        <v>19824</v>
      </c>
      <c r="C604" s="279" t="s">
        <v>2495</v>
      </c>
      <c r="D604" s="287">
        <v>45055</v>
      </c>
      <c r="E604" s="279" t="s">
        <v>2466</v>
      </c>
      <c r="F604" s="297"/>
    </row>
    <row r="605" spans="1:6">
      <c r="A605" s="289" t="s">
        <v>19548</v>
      </c>
      <c r="B605" s="280" t="s">
        <v>19825</v>
      </c>
      <c r="C605" s="279" t="s">
        <v>19826</v>
      </c>
      <c r="D605" s="287">
        <v>45075</v>
      </c>
      <c r="E605" s="279" t="s">
        <v>18935</v>
      </c>
      <c r="F605" s="297"/>
    </row>
    <row r="606" spans="1:6">
      <c r="A606" s="289" t="s">
        <v>19549</v>
      </c>
      <c r="B606" s="280" t="s">
        <v>19827</v>
      </c>
      <c r="C606" s="279" t="s">
        <v>18920</v>
      </c>
      <c r="D606" s="287">
        <v>45055</v>
      </c>
      <c r="E606" s="279" t="s">
        <v>18939</v>
      </c>
      <c r="F606" s="297"/>
    </row>
    <row r="607" spans="1:6">
      <c r="A607" s="289" t="s">
        <v>19550</v>
      </c>
      <c r="B607" s="280" t="s">
        <v>19828</v>
      </c>
      <c r="C607" s="279" t="s">
        <v>18955</v>
      </c>
      <c r="D607" s="287">
        <v>44770</v>
      </c>
      <c r="E607" s="279" t="s">
        <v>18919</v>
      </c>
      <c r="F607" s="297"/>
    </row>
    <row r="608" spans="1:6">
      <c r="A608" s="289" t="s">
        <v>19551</v>
      </c>
      <c r="B608" s="280" t="s">
        <v>19993</v>
      </c>
      <c r="C608" s="279" t="s">
        <v>2489</v>
      </c>
      <c r="D608" s="287">
        <v>44645</v>
      </c>
      <c r="E608" s="279" t="s">
        <v>18919</v>
      </c>
      <c r="F608" s="297"/>
    </row>
    <row r="609" spans="1:6">
      <c r="A609" s="289" t="s">
        <v>19552</v>
      </c>
      <c r="B609" s="280" t="s">
        <v>19829</v>
      </c>
      <c r="C609" s="279" t="s">
        <v>19372</v>
      </c>
      <c r="D609" s="287">
        <v>45196</v>
      </c>
      <c r="E609" s="279" t="s">
        <v>18974</v>
      </c>
      <c r="F609" s="297"/>
    </row>
    <row r="610" spans="1:6">
      <c r="A610" s="289" t="s">
        <v>19553</v>
      </c>
      <c r="B610" s="280" t="s">
        <v>19994</v>
      </c>
      <c r="C610" s="279" t="s">
        <v>19995</v>
      </c>
      <c r="D610" s="287">
        <v>44671</v>
      </c>
      <c r="E610" s="279" t="s">
        <v>18944</v>
      </c>
      <c r="F610" s="297"/>
    </row>
    <row r="611" spans="1:6">
      <c r="A611" s="289" t="s">
        <v>19554</v>
      </c>
      <c r="B611" s="280" t="s">
        <v>19830</v>
      </c>
      <c r="C611" s="279" t="s">
        <v>2493</v>
      </c>
      <c r="D611" s="287">
        <v>44966</v>
      </c>
      <c r="E611" s="279" t="s">
        <v>19803</v>
      </c>
      <c r="F611" s="297"/>
    </row>
    <row r="612" spans="1:6">
      <c r="A612" s="289" t="s">
        <v>19555</v>
      </c>
      <c r="B612" s="280" t="s">
        <v>19831</v>
      </c>
      <c r="C612" s="279" t="s">
        <v>2501</v>
      </c>
      <c r="D612" s="287">
        <v>44994</v>
      </c>
      <c r="E612" s="279" t="s">
        <v>18939</v>
      </c>
      <c r="F612" s="297"/>
    </row>
    <row r="613" spans="1:6">
      <c r="A613" s="289" t="s">
        <v>19556</v>
      </c>
      <c r="B613" s="280" t="s">
        <v>19832</v>
      </c>
      <c r="C613" s="279" t="s">
        <v>2504</v>
      </c>
      <c r="D613" s="287">
        <v>45138</v>
      </c>
      <c r="E613" s="279" t="s">
        <v>19833</v>
      </c>
      <c r="F613" s="297"/>
    </row>
    <row r="614" spans="1:6">
      <c r="A614" s="289" t="s">
        <v>19557</v>
      </c>
      <c r="B614" s="280" t="s">
        <v>19996</v>
      </c>
      <c r="C614" s="279" t="s">
        <v>19995</v>
      </c>
      <c r="D614" s="287">
        <v>44608</v>
      </c>
      <c r="E614" s="279" t="s">
        <v>18944</v>
      </c>
      <c r="F614" s="297"/>
    </row>
    <row r="615" spans="1:6">
      <c r="A615" s="289" t="s">
        <v>19558</v>
      </c>
      <c r="B615" s="280" t="s">
        <v>19486</v>
      </c>
      <c r="C615" s="279" t="s">
        <v>18936</v>
      </c>
      <c r="D615" s="287">
        <v>45250</v>
      </c>
      <c r="E615" s="279" t="s">
        <v>18919</v>
      </c>
      <c r="F615" s="297"/>
    </row>
    <row r="616" spans="1:6">
      <c r="A616" s="289" t="s">
        <v>19559</v>
      </c>
      <c r="B616" s="280" t="s">
        <v>19834</v>
      </c>
      <c r="C616" s="279" t="s">
        <v>18900</v>
      </c>
      <c r="D616" s="287">
        <v>45240</v>
      </c>
      <c r="E616" s="279" t="s">
        <v>2452</v>
      </c>
      <c r="F616" s="297"/>
    </row>
    <row r="617" spans="1:6">
      <c r="A617" s="289" t="s">
        <v>19560</v>
      </c>
      <c r="B617" s="280" t="s">
        <v>19835</v>
      </c>
      <c r="C617" s="279" t="s">
        <v>18938</v>
      </c>
      <c r="D617" s="287">
        <v>44992</v>
      </c>
      <c r="E617" s="279" t="s">
        <v>18919</v>
      </c>
      <c r="F617" s="297"/>
    </row>
    <row r="618" spans="1:6">
      <c r="A618" s="289" t="s">
        <v>19561</v>
      </c>
      <c r="B618" s="280" t="s">
        <v>19836</v>
      </c>
      <c r="C618" s="279" t="s">
        <v>18983</v>
      </c>
      <c r="D618" s="287">
        <v>44980</v>
      </c>
      <c r="E618" s="279" t="s">
        <v>18963</v>
      </c>
      <c r="F618" s="297"/>
    </row>
    <row r="619" spans="1:6">
      <c r="A619" s="289" t="s">
        <v>19562</v>
      </c>
      <c r="B619" s="280" t="s">
        <v>19837</v>
      </c>
      <c r="C619" s="279" t="s">
        <v>19188</v>
      </c>
      <c r="D619" s="287">
        <v>45090</v>
      </c>
      <c r="E619" s="279" t="s">
        <v>19838</v>
      </c>
      <c r="F619" s="297"/>
    </row>
    <row r="620" spans="1:6">
      <c r="A620" s="289" t="s">
        <v>19563</v>
      </c>
      <c r="B620" s="280" t="s">
        <v>19839</v>
      </c>
      <c r="C620" s="279" t="s">
        <v>2493</v>
      </c>
      <c r="D620" s="287">
        <v>44970</v>
      </c>
      <c r="E620" s="279" t="s">
        <v>19803</v>
      </c>
      <c r="F620" s="297"/>
    </row>
    <row r="621" spans="1:6">
      <c r="A621" s="289" t="s">
        <v>19564</v>
      </c>
      <c r="B621" s="280" t="s">
        <v>19997</v>
      </c>
      <c r="C621" s="279" t="s">
        <v>19998</v>
      </c>
      <c r="D621" s="287">
        <v>45181</v>
      </c>
      <c r="E621" s="279" t="s">
        <v>18935</v>
      </c>
      <c r="F621" s="297"/>
    </row>
    <row r="622" spans="1:6">
      <c r="A622" s="289" t="s">
        <v>19565</v>
      </c>
      <c r="B622" s="280" t="s">
        <v>19840</v>
      </c>
      <c r="C622" s="279" t="s">
        <v>18936</v>
      </c>
      <c r="D622" s="287">
        <v>45033</v>
      </c>
      <c r="E622" s="279" t="s">
        <v>18944</v>
      </c>
      <c r="F622" s="297"/>
    </row>
    <row r="623" spans="1:6">
      <c r="A623" s="289" t="s">
        <v>19566</v>
      </c>
      <c r="B623" s="280" t="s">
        <v>19841</v>
      </c>
      <c r="C623" s="279" t="s">
        <v>19032</v>
      </c>
      <c r="D623" s="287">
        <v>45084</v>
      </c>
      <c r="E623" s="279" t="s">
        <v>18919</v>
      </c>
      <c r="F623" s="297"/>
    </row>
    <row r="624" spans="1:6">
      <c r="A624" s="289" t="s">
        <v>19567</v>
      </c>
      <c r="B624" s="299" t="s">
        <v>19842</v>
      </c>
      <c r="C624" s="279" t="s">
        <v>18975</v>
      </c>
      <c r="D624" s="287">
        <v>45001</v>
      </c>
      <c r="E624" s="279" t="s">
        <v>2466</v>
      </c>
      <c r="F624" s="297"/>
    </row>
    <row r="625" spans="1:6">
      <c r="A625" s="289" t="s">
        <v>19568</v>
      </c>
      <c r="B625" s="280" t="s">
        <v>19843</v>
      </c>
      <c r="C625" s="279" t="s">
        <v>19219</v>
      </c>
      <c r="D625" s="287">
        <v>45082</v>
      </c>
      <c r="E625" s="279" t="s">
        <v>18946</v>
      </c>
      <c r="F625" s="297"/>
    </row>
    <row r="626" spans="1:6">
      <c r="A626" s="289" t="s">
        <v>19569</v>
      </c>
      <c r="B626" s="280" t="s">
        <v>20002</v>
      </c>
      <c r="C626" s="279" t="s">
        <v>19863</v>
      </c>
      <c r="D626" s="287">
        <v>45306</v>
      </c>
      <c r="E626" s="279" t="s">
        <v>18971</v>
      </c>
      <c r="F626" s="297"/>
    </row>
    <row r="627" spans="1:6">
      <c r="A627" s="289" t="s">
        <v>19571</v>
      </c>
      <c r="B627" s="280" t="s">
        <v>19844</v>
      </c>
      <c r="C627" s="279" t="s">
        <v>19086</v>
      </c>
      <c r="D627" s="287">
        <v>45166</v>
      </c>
      <c r="E627" s="279" t="s">
        <v>2466</v>
      </c>
      <c r="F627" s="297"/>
    </row>
    <row r="628" spans="1:6">
      <c r="A628" s="289" t="s">
        <v>19572</v>
      </c>
      <c r="B628" s="280" t="s">
        <v>19845</v>
      </c>
      <c r="C628" s="292" t="s">
        <v>18915</v>
      </c>
      <c r="D628" s="287">
        <v>45071</v>
      </c>
      <c r="E628" s="279" t="s">
        <v>2469</v>
      </c>
      <c r="F628" s="297"/>
    </row>
    <row r="629" spans="1:6">
      <c r="A629" s="289" t="s">
        <v>19573</v>
      </c>
      <c r="B629" s="280" t="s">
        <v>20005</v>
      </c>
      <c r="C629" s="279" t="s">
        <v>19924</v>
      </c>
      <c r="D629" s="287">
        <v>45042</v>
      </c>
      <c r="E629" s="279" t="s">
        <v>2466</v>
      </c>
      <c r="F629" s="297"/>
    </row>
    <row r="630" spans="1:6">
      <c r="A630" s="289" t="s">
        <v>19574</v>
      </c>
      <c r="B630" s="280" t="s">
        <v>19846</v>
      </c>
      <c r="C630" s="279" t="s">
        <v>18936</v>
      </c>
      <c r="D630" s="287">
        <v>45156</v>
      </c>
      <c r="E630" s="279" t="s">
        <v>18963</v>
      </c>
      <c r="F630" s="297"/>
    </row>
    <row r="631" spans="1:6">
      <c r="A631" s="289" t="s">
        <v>19575</v>
      </c>
      <c r="B631" s="280" t="s">
        <v>19847</v>
      </c>
      <c r="C631" s="279" t="s">
        <v>19028</v>
      </c>
      <c r="D631" s="287">
        <v>44971</v>
      </c>
      <c r="E631" s="279" t="s">
        <v>2466</v>
      </c>
      <c r="F631" s="297"/>
    </row>
    <row r="632" spans="1:6">
      <c r="A632" s="289" t="s">
        <v>19576</v>
      </c>
      <c r="B632" s="280" t="s">
        <v>20006</v>
      </c>
      <c r="C632" s="279" t="s">
        <v>19921</v>
      </c>
      <c r="D632" s="287">
        <v>45062</v>
      </c>
      <c r="E632" s="279" t="s">
        <v>18935</v>
      </c>
      <c r="F632" s="297"/>
    </row>
    <row r="633" spans="1:6">
      <c r="A633" s="289" t="s">
        <v>19577</v>
      </c>
      <c r="B633" s="280" t="s">
        <v>20007</v>
      </c>
      <c r="C633" s="279" t="s">
        <v>20008</v>
      </c>
      <c r="D633" s="287">
        <v>45247</v>
      </c>
      <c r="E633" s="279" t="s">
        <v>20009</v>
      </c>
      <c r="F633" s="297"/>
    </row>
    <row r="634" spans="1:6">
      <c r="A634" s="289" t="s">
        <v>19578</v>
      </c>
      <c r="B634" s="280" t="s">
        <v>19848</v>
      </c>
      <c r="C634" s="279" t="s">
        <v>19849</v>
      </c>
      <c r="D634" s="287">
        <v>45195</v>
      </c>
      <c r="E634" s="279" t="s">
        <v>18935</v>
      </c>
      <c r="F634" s="297"/>
    </row>
    <row r="635" spans="1:6">
      <c r="A635" s="289" t="s">
        <v>19579</v>
      </c>
      <c r="B635" s="280" t="s">
        <v>20010</v>
      </c>
      <c r="C635" s="279" t="s">
        <v>19270</v>
      </c>
      <c r="D635" s="287">
        <v>45205</v>
      </c>
      <c r="E635" s="279" t="s">
        <v>18935</v>
      </c>
      <c r="F635" s="297"/>
    </row>
    <row r="636" spans="1:6">
      <c r="A636" s="300" t="s">
        <v>19580</v>
      </c>
      <c r="B636" s="301" t="s">
        <v>20011</v>
      </c>
      <c r="C636" s="302" t="s">
        <v>19111</v>
      </c>
      <c r="D636" s="306">
        <v>45218</v>
      </c>
      <c r="E636" s="302" t="s">
        <v>20012</v>
      </c>
      <c r="F636" s="297"/>
    </row>
    <row r="637" spans="1:6">
      <c r="A637" s="289" t="s">
        <v>19581</v>
      </c>
      <c r="B637" s="280" t="s">
        <v>20013</v>
      </c>
      <c r="C637" s="279" t="s">
        <v>19980</v>
      </c>
      <c r="D637" s="287">
        <v>45098</v>
      </c>
      <c r="E637" s="279" t="s">
        <v>546</v>
      </c>
      <c r="F637" s="297"/>
    </row>
    <row r="638" spans="1:6">
      <c r="A638" s="289" t="s">
        <v>19583</v>
      </c>
      <c r="B638" s="304" t="s">
        <v>20016</v>
      </c>
      <c r="C638" s="279" t="s">
        <v>20017</v>
      </c>
      <c r="D638" s="287">
        <v>45266</v>
      </c>
      <c r="E638" s="279" t="s">
        <v>19185</v>
      </c>
      <c r="F638" s="297"/>
    </row>
    <row r="639" spans="1:6">
      <c r="A639" s="289" t="s">
        <v>19584</v>
      </c>
      <c r="B639" s="304" t="s">
        <v>20018</v>
      </c>
      <c r="C639" s="279" t="s">
        <v>19022</v>
      </c>
      <c r="D639" s="287">
        <v>45203</v>
      </c>
      <c r="E639" s="279" t="s">
        <v>20019</v>
      </c>
      <c r="F639" s="297"/>
    </row>
    <row r="640" spans="1:6">
      <c r="A640" s="300" t="s">
        <v>19585</v>
      </c>
      <c r="B640" s="305" t="s">
        <v>20020</v>
      </c>
      <c r="C640" s="302" t="s">
        <v>20021</v>
      </c>
      <c r="D640" s="306">
        <v>44967</v>
      </c>
      <c r="E640" s="302" t="s">
        <v>20022</v>
      </c>
      <c r="F640" s="297"/>
    </row>
    <row r="641" spans="1:6">
      <c r="A641" s="289" t="s">
        <v>19586</v>
      </c>
      <c r="B641" s="304" t="s">
        <v>20023</v>
      </c>
      <c r="C641" s="279" t="s">
        <v>19196</v>
      </c>
      <c r="D641" s="287">
        <v>45131</v>
      </c>
      <c r="E641" s="279" t="s">
        <v>20024</v>
      </c>
      <c r="F641" s="297"/>
    </row>
    <row r="642" spans="1:6">
      <c r="A642" s="289" t="s">
        <v>19588</v>
      </c>
      <c r="B642" s="304" t="s">
        <v>20027</v>
      </c>
      <c r="C642" s="279" t="s">
        <v>19077</v>
      </c>
      <c r="D642" s="287">
        <v>45194</v>
      </c>
      <c r="E642" s="279" t="s">
        <v>20019</v>
      </c>
      <c r="F642" s="297"/>
    </row>
    <row r="643" spans="1:6">
      <c r="A643" s="289" t="s">
        <v>19589</v>
      </c>
      <c r="B643" s="304" t="s">
        <v>20028</v>
      </c>
      <c r="C643" s="279" t="s">
        <v>19311</v>
      </c>
      <c r="D643" s="287">
        <v>45246</v>
      </c>
      <c r="E643" s="279" t="s">
        <v>471</v>
      </c>
      <c r="F643" s="297"/>
    </row>
    <row r="644" spans="1:6">
      <c r="A644" s="289" t="s">
        <v>19590</v>
      </c>
      <c r="B644" s="304" t="s">
        <v>20029</v>
      </c>
      <c r="C644" s="279" t="s">
        <v>19980</v>
      </c>
      <c r="D644" s="287">
        <v>45198</v>
      </c>
      <c r="E644" s="279" t="s">
        <v>546</v>
      </c>
      <c r="F644" s="297"/>
    </row>
    <row r="645" spans="1:6">
      <c r="A645" s="289" t="s">
        <v>19591</v>
      </c>
      <c r="B645" s="304" t="s">
        <v>20030</v>
      </c>
      <c r="C645" s="279" t="s">
        <v>19345</v>
      </c>
      <c r="D645" s="287">
        <v>45257</v>
      </c>
      <c r="E645" s="279" t="s">
        <v>20031</v>
      </c>
      <c r="F645" s="297"/>
    </row>
    <row r="646" spans="1:6">
      <c r="A646" s="289" t="s">
        <v>19592</v>
      </c>
      <c r="B646" s="280" t="s">
        <v>20032</v>
      </c>
      <c r="C646" s="279" t="s">
        <v>18955</v>
      </c>
      <c r="D646" s="287">
        <v>45134</v>
      </c>
      <c r="E646" s="279" t="s">
        <v>20033</v>
      </c>
      <c r="F646" s="297"/>
    </row>
    <row r="647" spans="1:6">
      <c r="A647" s="289" t="s">
        <v>19595</v>
      </c>
      <c r="B647" s="280" t="s">
        <v>20036</v>
      </c>
      <c r="C647" s="279" t="s">
        <v>19233</v>
      </c>
      <c r="D647" s="287">
        <v>45055</v>
      </c>
      <c r="E647" s="279" t="s">
        <v>20037</v>
      </c>
      <c r="F647" s="297"/>
    </row>
    <row r="648" spans="1:6">
      <c r="A648" s="289" t="s">
        <v>19596</v>
      </c>
      <c r="B648" s="280" t="s">
        <v>19850</v>
      </c>
      <c r="C648" s="279" t="s">
        <v>19851</v>
      </c>
      <c r="D648" s="287">
        <v>45223</v>
      </c>
      <c r="E648" s="279" t="s">
        <v>18935</v>
      </c>
      <c r="F648" s="297"/>
    </row>
    <row r="649" spans="1:6">
      <c r="A649" s="289" t="s">
        <v>19597</v>
      </c>
      <c r="B649" s="280" t="s">
        <v>19852</v>
      </c>
      <c r="C649" s="279" t="s">
        <v>18914</v>
      </c>
      <c r="D649" s="287">
        <v>45274</v>
      </c>
      <c r="E649" s="279" t="s">
        <v>18939</v>
      </c>
      <c r="F649" s="297"/>
    </row>
    <row r="650" spans="1:6">
      <c r="A650" s="289" t="s">
        <v>19599</v>
      </c>
      <c r="B650" s="280" t="s">
        <v>20040</v>
      </c>
      <c r="C650" s="279" t="s">
        <v>18988</v>
      </c>
      <c r="D650" s="287">
        <v>44866</v>
      </c>
      <c r="E650" s="279" t="s">
        <v>20031</v>
      </c>
      <c r="F650" s="297"/>
    </row>
    <row r="651" spans="1:6">
      <c r="A651" s="289" t="s">
        <v>19600</v>
      </c>
      <c r="B651" s="280" t="s">
        <v>20041</v>
      </c>
      <c r="C651" s="279" t="s">
        <v>20042</v>
      </c>
      <c r="D651" s="287">
        <v>45240</v>
      </c>
      <c r="E651" s="279" t="s">
        <v>20031</v>
      </c>
      <c r="F651" s="297"/>
    </row>
    <row r="652" spans="1:6">
      <c r="A652" s="289" t="s">
        <v>19601</v>
      </c>
      <c r="B652" s="280" t="s">
        <v>20043</v>
      </c>
      <c r="C652" s="279" t="s">
        <v>19425</v>
      </c>
      <c r="D652" s="287">
        <v>45177</v>
      </c>
      <c r="E652" s="279" t="s">
        <v>20031</v>
      </c>
      <c r="F652" s="297"/>
    </row>
    <row r="653" spans="1:6">
      <c r="A653" s="289" t="s">
        <v>19602</v>
      </c>
      <c r="B653" s="280" t="s">
        <v>20044</v>
      </c>
      <c r="C653" s="279" t="s">
        <v>19442</v>
      </c>
      <c r="D653" s="287">
        <v>45240</v>
      </c>
      <c r="E653" s="279" t="s">
        <v>20009</v>
      </c>
      <c r="F653" s="297"/>
    </row>
    <row r="654" spans="1:6">
      <c r="A654" s="289" t="s">
        <v>19603</v>
      </c>
      <c r="B654" s="280" t="s">
        <v>20045</v>
      </c>
      <c r="C654" s="279" t="s">
        <v>20046</v>
      </c>
      <c r="D654" s="287">
        <v>45225</v>
      </c>
      <c r="E654" s="279" t="s">
        <v>20047</v>
      </c>
      <c r="F654" s="297"/>
    </row>
    <row r="655" spans="1:6">
      <c r="A655" s="289" t="s">
        <v>19606</v>
      </c>
      <c r="B655" s="304" t="s">
        <v>20051</v>
      </c>
      <c r="C655" s="279" t="s">
        <v>20052</v>
      </c>
      <c r="D655" s="287">
        <v>45251</v>
      </c>
      <c r="E655" s="279" t="s">
        <v>20031</v>
      </c>
      <c r="F655" s="297"/>
    </row>
    <row r="656" spans="1:6">
      <c r="A656" s="289" t="s">
        <v>19607</v>
      </c>
      <c r="B656" s="280" t="s">
        <v>19853</v>
      </c>
      <c r="C656" s="279" t="s">
        <v>19095</v>
      </c>
      <c r="D656" s="287">
        <v>45160</v>
      </c>
      <c r="E656" s="279" t="s">
        <v>2466</v>
      </c>
      <c r="F656" s="297"/>
    </row>
    <row r="657" spans="1:6">
      <c r="A657" s="289" t="s">
        <v>19608</v>
      </c>
      <c r="B657" s="280" t="s">
        <v>19854</v>
      </c>
      <c r="C657" s="279" t="s">
        <v>19855</v>
      </c>
      <c r="D657" s="287">
        <v>44854</v>
      </c>
      <c r="E657" s="279" t="s">
        <v>2469</v>
      </c>
      <c r="F657" s="297"/>
    </row>
    <row r="658" spans="1:6">
      <c r="A658" s="289" t="s">
        <v>19609</v>
      </c>
      <c r="B658" s="280" t="s">
        <v>19856</v>
      </c>
      <c r="C658" s="279" t="s">
        <v>19857</v>
      </c>
      <c r="D658" s="287">
        <v>45237</v>
      </c>
      <c r="E658" s="279" t="s">
        <v>18935</v>
      </c>
      <c r="F658" s="297"/>
    </row>
    <row r="659" spans="1:6">
      <c r="A659" s="289" t="s">
        <v>19610</v>
      </c>
      <c r="B659" s="304" t="s">
        <v>19138</v>
      </c>
      <c r="C659" s="279" t="s">
        <v>18920</v>
      </c>
      <c r="D659" s="287">
        <v>45597</v>
      </c>
      <c r="E659" s="279" t="s">
        <v>20053</v>
      </c>
      <c r="F659" s="297"/>
    </row>
    <row r="660" spans="1:6">
      <c r="A660" s="289" t="s">
        <v>19611</v>
      </c>
      <c r="B660" s="280" t="s">
        <v>20054</v>
      </c>
      <c r="C660" s="279" t="s">
        <v>20055</v>
      </c>
      <c r="D660" s="287">
        <v>45072</v>
      </c>
      <c r="E660" s="279" t="s">
        <v>19185</v>
      </c>
      <c r="F660" s="297"/>
    </row>
    <row r="661" spans="1:6">
      <c r="A661" s="289" t="s">
        <v>19613</v>
      </c>
      <c r="B661" s="280" t="s">
        <v>20057</v>
      </c>
      <c r="C661" s="279" t="s">
        <v>19826</v>
      </c>
      <c r="D661" s="287">
        <v>45173</v>
      </c>
      <c r="E661" s="279" t="s">
        <v>20058</v>
      </c>
      <c r="F661" s="297"/>
    </row>
    <row r="662" spans="1:6">
      <c r="A662" s="289" t="s">
        <v>19614</v>
      </c>
      <c r="B662" s="280" t="s">
        <v>20059</v>
      </c>
      <c r="C662" s="279" t="s">
        <v>19881</v>
      </c>
      <c r="D662" s="287">
        <v>45176</v>
      </c>
      <c r="E662" s="279" t="s">
        <v>20060</v>
      </c>
      <c r="F662" s="297"/>
    </row>
    <row r="663" spans="1:6">
      <c r="A663" s="289" t="s">
        <v>19617</v>
      </c>
      <c r="B663" s="280" t="s">
        <v>20065</v>
      </c>
      <c r="C663" s="279" t="s">
        <v>20066</v>
      </c>
      <c r="D663" s="287">
        <v>45105</v>
      </c>
      <c r="E663" s="279" t="s">
        <v>20031</v>
      </c>
      <c r="F663" s="297"/>
    </row>
    <row r="664" spans="1:6">
      <c r="A664" s="289" t="s">
        <v>19618</v>
      </c>
      <c r="B664" s="280" t="s">
        <v>20067</v>
      </c>
      <c r="C664" s="279" t="s">
        <v>20068</v>
      </c>
      <c r="D664" s="287">
        <v>45133</v>
      </c>
      <c r="E664" s="279" t="s">
        <v>546</v>
      </c>
      <c r="F664" s="297"/>
    </row>
    <row r="665" spans="1:6">
      <c r="A665" s="289" t="s">
        <v>19619</v>
      </c>
      <c r="B665" s="280" t="s">
        <v>20069</v>
      </c>
      <c r="C665" s="279" t="s">
        <v>20070</v>
      </c>
      <c r="D665" s="287">
        <v>45036</v>
      </c>
      <c r="E665" s="279" t="s">
        <v>20071</v>
      </c>
      <c r="F665" s="297"/>
    </row>
    <row r="666" spans="1:6">
      <c r="A666" s="289" t="s">
        <v>19620</v>
      </c>
      <c r="B666" s="304" t="s">
        <v>20072</v>
      </c>
      <c r="C666" s="279" t="s">
        <v>20073</v>
      </c>
      <c r="D666" s="287">
        <v>45261</v>
      </c>
      <c r="E666" s="279" t="s">
        <v>20074</v>
      </c>
      <c r="F666" s="297"/>
    </row>
    <row r="667" spans="1:6">
      <c r="A667" s="289" t="s">
        <v>19621</v>
      </c>
      <c r="B667" s="304" t="s">
        <v>20075</v>
      </c>
      <c r="C667" s="279" t="s">
        <v>20076</v>
      </c>
      <c r="D667" s="287">
        <v>45149</v>
      </c>
      <c r="E667" s="279" t="s">
        <v>20071</v>
      </c>
      <c r="F667" s="297"/>
    </row>
    <row r="668" spans="1:6">
      <c r="A668" s="289" t="s">
        <v>19623</v>
      </c>
      <c r="B668" s="280" t="s">
        <v>20079</v>
      </c>
      <c r="C668" s="279" t="s">
        <v>19408</v>
      </c>
      <c r="D668" s="287">
        <v>45218</v>
      </c>
      <c r="E668" s="279" t="s">
        <v>20060</v>
      </c>
      <c r="F668" s="297"/>
    </row>
    <row r="669" spans="1:6">
      <c r="A669" s="289" t="s">
        <v>19624</v>
      </c>
      <c r="B669" s="280" t="s">
        <v>20080</v>
      </c>
      <c r="C669" s="279" t="s">
        <v>18995</v>
      </c>
      <c r="D669" s="287">
        <v>45061</v>
      </c>
      <c r="E669" s="279" t="s">
        <v>20019</v>
      </c>
      <c r="F669" s="297"/>
    </row>
    <row r="670" spans="1:6">
      <c r="A670" s="289" t="s">
        <v>19625</v>
      </c>
      <c r="B670" s="280" t="s">
        <v>20081</v>
      </c>
      <c r="C670" s="279" t="s">
        <v>20082</v>
      </c>
      <c r="D670" s="287">
        <v>44897</v>
      </c>
      <c r="E670" s="279" t="s">
        <v>20071</v>
      </c>
      <c r="F670" s="297"/>
    </row>
    <row r="671" spans="1:6">
      <c r="A671" s="289" t="s">
        <v>19626</v>
      </c>
      <c r="B671" s="280" t="s">
        <v>20083</v>
      </c>
      <c r="C671" s="279" t="s">
        <v>20084</v>
      </c>
      <c r="D671" s="287">
        <v>45216</v>
      </c>
      <c r="E671" s="279" t="s">
        <v>471</v>
      </c>
      <c r="F671" s="297"/>
    </row>
    <row r="672" spans="1:6">
      <c r="A672" s="289" t="s">
        <v>19627</v>
      </c>
      <c r="B672" s="280" t="s">
        <v>20085</v>
      </c>
      <c r="C672" s="279" t="s">
        <v>19154</v>
      </c>
      <c r="D672" s="287">
        <v>45064</v>
      </c>
      <c r="E672" s="279" t="s">
        <v>20031</v>
      </c>
      <c r="F672" s="297"/>
    </row>
    <row r="673" spans="1:6">
      <c r="A673" s="289" t="s">
        <v>19628</v>
      </c>
      <c r="B673" s="280" t="s">
        <v>20086</v>
      </c>
      <c r="C673" s="279" t="s">
        <v>18995</v>
      </c>
      <c r="D673" s="287">
        <v>45027</v>
      </c>
      <c r="E673" s="279" t="s">
        <v>20058</v>
      </c>
      <c r="F673" s="297"/>
    </row>
    <row r="674" spans="1:6">
      <c r="A674" s="289" t="s">
        <v>19629</v>
      </c>
      <c r="B674" s="280" t="s">
        <v>20087</v>
      </c>
      <c r="C674" s="279" t="s">
        <v>20088</v>
      </c>
      <c r="D674" s="287">
        <v>45275</v>
      </c>
      <c r="E674" s="279" t="s">
        <v>19185</v>
      </c>
      <c r="F674" s="297"/>
    </row>
    <row r="675" spans="1:6">
      <c r="A675" s="289" t="s">
        <v>19630</v>
      </c>
      <c r="B675" s="280" t="s">
        <v>19858</v>
      </c>
      <c r="C675" s="279" t="s">
        <v>19043</v>
      </c>
      <c r="D675" s="287">
        <v>45250</v>
      </c>
      <c r="E675" s="279" t="s">
        <v>2466</v>
      </c>
      <c r="F675" s="297"/>
    </row>
    <row r="676" spans="1:6">
      <c r="A676" s="289" t="s">
        <v>19631</v>
      </c>
      <c r="B676" s="280" t="s">
        <v>20089</v>
      </c>
      <c r="C676" s="279" t="s">
        <v>18936</v>
      </c>
      <c r="D676" s="287">
        <v>45006</v>
      </c>
      <c r="E676" s="279" t="s">
        <v>20031</v>
      </c>
      <c r="F676" s="297"/>
    </row>
    <row r="677" spans="1:6">
      <c r="A677" s="289" t="s">
        <v>19632</v>
      </c>
      <c r="B677" s="304" t="s">
        <v>20090</v>
      </c>
      <c r="C677" s="279" t="s">
        <v>20091</v>
      </c>
      <c r="D677" s="287">
        <v>45135</v>
      </c>
      <c r="E677" s="279" t="s">
        <v>19185</v>
      </c>
      <c r="F677" s="297"/>
    </row>
    <row r="678" spans="1:6">
      <c r="A678" s="289" t="s">
        <v>19634</v>
      </c>
      <c r="B678" s="280" t="s">
        <v>20094</v>
      </c>
      <c r="C678" s="279" t="s">
        <v>20095</v>
      </c>
      <c r="D678" s="287">
        <v>45279</v>
      </c>
      <c r="E678" s="279" t="s">
        <v>20058</v>
      </c>
      <c r="F678" s="297"/>
    </row>
    <row r="679" spans="1:6">
      <c r="A679" s="289" t="s">
        <v>19635</v>
      </c>
      <c r="B679" s="280" t="s">
        <v>20096</v>
      </c>
      <c r="C679" s="279" t="s">
        <v>18985</v>
      </c>
      <c r="D679" s="287">
        <v>45173</v>
      </c>
      <c r="E679" s="279" t="s">
        <v>20031</v>
      </c>
      <c r="F679" s="297"/>
    </row>
    <row r="680" spans="1:6">
      <c r="A680" s="289" t="s">
        <v>19636</v>
      </c>
      <c r="B680" s="304" t="s">
        <v>20097</v>
      </c>
      <c r="C680" s="279" t="s">
        <v>18955</v>
      </c>
      <c r="D680" s="287">
        <v>44914</v>
      </c>
      <c r="E680" s="279" t="s">
        <v>20031</v>
      </c>
      <c r="F680" s="297"/>
    </row>
    <row r="681" spans="1:6">
      <c r="A681" s="289" t="s">
        <v>19637</v>
      </c>
      <c r="B681" s="280" t="s">
        <v>20098</v>
      </c>
      <c r="C681" s="279" t="s">
        <v>19362</v>
      </c>
      <c r="D681" s="287">
        <v>45138</v>
      </c>
      <c r="E681" s="279" t="s">
        <v>20099</v>
      </c>
      <c r="F681" s="297"/>
    </row>
    <row r="682" spans="1:6">
      <c r="A682" s="289" t="s">
        <v>19638</v>
      </c>
      <c r="B682" s="280" t="s">
        <v>20100</v>
      </c>
      <c r="C682" s="279" t="s">
        <v>19322</v>
      </c>
      <c r="D682" s="287">
        <v>45132</v>
      </c>
      <c r="E682" s="279" t="s">
        <v>20071</v>
      </c>
      <c r="F682" s="297"/>
    </row>
    <row r="683" spans="1:6">
      <c r="A683" s="289" t="s">
        <v>19639</v>
      </c>
      <c r="B683" s="280" t="s">
        <v>20101</v>
      </c>
      <c r="C683" s="279" t="s">
        <v>20102</v>
      </c>
      <c r="D683" s="287">
        <v>44978</v>
      </c>
      <c r="E683" s="279" t="s">
        <v>20060</v>
      </c>
      <c r="F683" s="297"/>
    </row>
    <row r="684" spans="1:6">
      <c r="A684" s="289" t="s">
        <v>19640</v>
      </c>
      <c r="B684" s="280" t="s">
        <v>20103</v>
      </c>
      <c r="C684" s="279" t="s">
        <v>19123</v>
      </c>
      <c r="D684" s="287">
        <v>45041</v>
      </c>
      <c r="E684" s="279" t="s">
        <v>20060</v>
      </c>
      <c r="F684" s="297"/>
    </row>
    <row r="685" spans="1:6">
      <c r="A685" s="289" t="s">
        <v>19641</v>
      </c>
      <c r="B685" s="280" t="s">
        <v>20104</v>
      </c>
      <c r="C685" s="279" t="s">
        <v>19436</v>
      </c>
      <c r="D685" s="287">
        <v>45105</v>
      </c>
      <c r="E685" s="279" t="s">
        <v>20031</v>
      </c>
      <c r="F685" s="297"/>
    </row>
    <row r="686" spans="1:6">
      <c r="A686" s="289" t="s">
        <v>19642</v>
      </c>
      <c r="B686" s="280" t="s">
        <v>20105</v>
      </c>
      <c r="C686" s="279" t="s">
        <v>20106</v>
      </c>
      <c r="D686" s="287">
        <v>45055</v>
      </c>
      <c r="E686" s="279" t="s">
        <v>20037</v>
      </c>
      <c r="F686" s="297"/>
    </row>
    <row r="687" spans="1:6">
      <c r="A687" s="289" t="s">
        <v>19643</v>
      </c>
      <c r="B687" s="280" t="s">
        <v>20107</v>
      </c>
      <c r="C687" s="279" t="s">
        <v>18983</v>
      </c>
      <c r="D687" s="287">
        <v>45118</v>
      </c>
      <c r="E687" s="279" t="s">
        <v>546</v>
      </c>
      <c r="F687" s="297"/>
    </row>
    <row r="688" spans="1:6">
      <c r="A688" s="289" t="s">
        <v>19644</v>
      </c>
      <c r="B688" s="280" t="s">
        <v>20108</v>
      </c>
      <c r="C688" s="279" t="s">
        <v>20109</v>
      </c>
      <c r="D688" s="287">
        <v>45174</v>
      </c>
      <c r="E688" s="279" t="s">
        <v>20110</v>
      </c>
      <c r="F688" s="297"/>
    </row>
    <row r="689" spans="1:6">
      <c r="A689" s="289" t="s">
        <v>19646</v>
      </c>
      <c r="B689" s="280" t="s">
        <v>20111</v>
      </c>
      <c r="C689" s="279" t="s">
        <v>20112</v>
      </c>
      <c r="D689" s="287">
        <v>45138</v>
      </c>
      <c r="E689" s="279" t="s">
        <v>20058</v>
      </c>
      <c r="F689" s="297"/>
    </row>
    <row r="690" spans="1:6">
      <c r="A690" s="289" t="s">
        <v>19647</v>
      </c>
      <c r="B690" s="304" t="s">
        <v>20113</v>
      </c>
      <c r="C690" s="279" t="s">
        <v>19401</v>
      </c>
      <c r="D690" s="287">
        <v>45252</v>
      </c>
      <c r="E690" s="279" t="s">
        <v>20019</v>
      </c>
      <c r="F690" s="297"/>
    </row>
    <row r="691" spans="1:6">
      <c r="A691" s="289" t="s">
        <v>19651</v>
      </c>
      <c r="B691" s="280" t="s">
        <v>20119</v>
      </c>
      <c r="C691" s="279" t="s">
        <v>2504</v>
      </c>
      <c r="D691" s="287">
        <v>45250</v>
      </c>
      <c r="E691" s="279" t="s">
        <v>18974</v>
      </c>
      <c r="F691" s="297"/>
    </row>
    <row r="692" spans="1:6">
      <c r="A692" s="289" t="s">
        <v>19653</v>
      </c>
      <c r="B692" s="280" t="s">
        <v>20122</v>
      </c>
      <c r="C692" s="279" t="s">
        <v>20123</v>
      </c>
      <c r="D692" s="287">
        <v>44978</v>
      </c>
      <c r="E692" s="279" t="s">
        <v>19185</v>
      </c>
      <c r="F692" s="297"/>
    </row>
    <row r="693" spans="1:6" s="315" customFormat="1">
      <c r="A693" s="313" t="s">
        <v>19656</v>
      </c>
      <c r="B693" s="314" t="s">
        <v>20128</v>
      </c>
      <c r="C693" s="315" t="s">
        <v>20129</v>
      </c>
      <c r="D693" s="316">
        <v>45245</v>
      </c>
      <c r="E693" s="315" t="s">
        <v>20130</v>
      </c>
      <c r="F693" s="317"/>
    </row>
    <row r="694" spans="1:6">
      <c r="A694" s="289" t="s">
        <v>19657</v>
      </c>
      <c r="B694" s="280" t="s">
        <v>20131</v>
      </c>
      <c r="C694" s="279" t="s">
        <v>20132</v>
      </c>
      <c r="D694" s="287">
        <v>45107</v>
      </c>
      <c r="E694" s="279" t="s">
        <v>18935</v>
      </c>
      <c r="F694" s="297"/>
    </row>
    <row r="695" spans="1:6">
      <c r="A695" s="289" t="s">
        <v>19658</v>
      </c>
      <c r="B695" s="280" t="s">
        <v>20133</v>
      </c>
      <c r="C695" s="279" t="s">
        <v>19188</v>
      </c>
      <c r="D695" s="287">
        <v>45272</v>
      </c>
      <c r="E695" s="279" t="s">
        <v>18974</v>
      </c>
      <c r="F695" s="297"/>
    </row>
    <row r="696" spans="1:6">
      <c r="A696" s="289" t="s">
        <v>19659</v>
      </c>
      <c r="B696" s="280" t="s">
        <v>19861</v>
      </c>
      <c r="C696" s="279" t="s">
        <v>19196</v>
      </c>
      <c r="D696" s="287">
        <v>45244</v>
      </c>
      <c r="E696" s="279" t="s">
        <v>18919</v>
      </c>
      <c r="F696" s="297"/>
    </row>
    <row r="697" spans="1:6">
      <c r="A697" s="289" t="s">
        <v>19660</v>
      </c>
      <c r="B697" s="280" t="s">
        <v>20134</v>
      </c>
      <c r="C697" s="279" t="s">
        <v>19317</v>
      </c>
      <c r="D697" s="287">
        <v>45189</v>
      </c>
      <c r="E697" s="279" t="s">
        <v>20135</v>
      </c>
      <c r="F697" s="297"/>
    </row>
    <row r="698" spans="1:6">
      <c r="A698" s="289" t="s">
        <v>19661</v>
      </c>
      <c r="B698" s="280" t="s">
        <v>20136</v>
      </c>
      <c r="C698" s="279" t="s">
        <v>20137</v>
      </c>
      <c r="D698" s="287">
        <v>45271</v>
      </c>
      <c r="E698" s="279" t="s">
        <v>18944</v>
      </c>
      <c r="F698" s="297"/>
    </row>
    <row r="699" spans="1:6">
      <c r="A699" s="289" t="s">
        <v>19662</v>
      </c>
      <c r="B699" s="280" t="s">
        <v>20138</v>
      </c>
      <c r="C699" s="279" t="s">
        <v>19881</v>
      </c>
      <c r="D699" s="287">
        <v>45260</v>
      </c>
      <c r="E699" s="279" t="s">
        <v>19092</v>
      </c>
      <c r="F699" s="297"/>
    </row>
    <row r="700" spans="1:6">
      <c r="A700" s="289" t="s">
        <v>19663</v>
      </c>
      <c r="B700" s="280" t="s">
        <v>19862</v>
      </c>
      <c r="C700" s="279" t="s">
        <v>19863</v>
      </c>
      <c r="D700" s="287">
        <v>45161</v>
      </c>
      <c r="E700" s="279" t="s">
        <v>18935</v>
      </c>
      <c r="F700" s="297"/>
    </row>
    <row r="701" spans="1:6">
      <c r="A701" s="289" t="s">
        <v>19664</v>
      </c>
      <c r="B701" s="280" t="s">
        <v>20139</v>
      </c>
      <c r="C701" s="279" t="s">
        <v>2493</v>
      </c>
      <c r="D701" s="287">
        <v>45275</v>
      </c>
      <c r="E701" s="279" t="s">
        <v>18973</v>
      </c>
      <c r="F701" s="297"/>
    </row>
    <row r="702" spans="1:6">
      <c r="A702" s="289" t="s">
        <v>19665</v>
      </c>
      <c r="B702" s="280" t="s">
        <v>20140</v>
      </c>
      <c r="C702" s="279" t="s">
        <v>19123</v>
      </c>
      <c r="D702" s="287">
        <v>45225</v>
      </c>
      <c r="E702" s="279" t="s">
        <v>19185</v>
      </c>
      <c r="F702" s="297"/>
    </row>
    <row r="703" spans="1:6">
      <c r="A703" s="289" t="s">
        <v>19666</v>
      </c>
      <c r="B703" s="280" t="s">
        <v>20141</v>
      </c>
      <c r="C703" s="279" t="s">
        <v>20142</v>
      </c>
      <c r="D703" s="287">
        <v>45008</v>
      </c>
      <c r="E703" s="279" t="s">
        <v>20143</v>
      </c>
      <c r="F703" s="297"/>
    </row>
    <row r="704" spans="1:6">
      <c r="A704" s="289" t="s">
        <v>19669</v>
      </c>
      <c r="B704" s="280" t="s">
        <v>19864</v>
      </c>
      <c r="C704" s="279" t="s">
        <v>18938</v>
      </c>
      <c r="D704" s="287">
        <v>44959</v>
      </c>
      <c r="E704" s="279" t="s">
        <v>18935</v>
      </c>
      <c r="F704" s="297"/>
    </row>
    <row r="705" spans="1:6">
      <c r="A705" s="289" t="s">
        <v>19670</v>
      </c>
      <c r="B705" s="280" t="s">
        <v>19865</v>
      </c>
      <c r="C705" s="279" t="s">
        <v>18936</v>
      </c>
      <c r="D705" s="287">
        <v>45273</v>
      </c>
      <c r="E705" s="279" t="s">
        <v>18939</v>
      </c>
      <c r="F705" s="297"/>
    </row>
    <row r="706" spans="1:6">
      <c r="A706" s="289" t="s">
        <v>19671</v>
      </c>
      <c r="B706" s="280" t="s">
        <v>19866</v>
      </c>
      <c r="C706" s="279" t="s">
        <v>18992</v>
      </c>
      <c r="D706" s="287">
        <v>44635</v>
      </c>
      <c r="E706" s="279" t="s">
        <v>18935</v>
      </c>
      <c r="F706" s="297"/>
    </row>
    <row r="707" spans="1:6">
      <c r="A707" s="289" t="s">
        <v>19672</v>
      </c>
      <c r="B707" s="280" t="s">
        <v>19867</v>
      </c>
      <c r="C707" s="279" t="s">
        <v>19317</v>
      </c>
      <c r="D707" s="287">
        <v>45098</v>
      </c>
      <c r="E707" s="279" t="s">
        <v>18994</v>
      </c>
      <c r="F707" s="297"/>
    </row>
    <row r="708" spans="1:6">
      <c r="A708" s="289" t="s">
        <v>19674</v>
      </c>
      <c r="B708" s="280" t="s">
        <v>19868</v>
      </c>
      <c r="C708" s="279" t="s">
        <v>18914</v>
      </c>
      <c r="D708" s="287">
        <v>45240</v>
      </c>
      <c r="E708" s="279" t="s">
        <v>2469</v>
      </c>
      <c r="F708" s="297"/>
    </row>
    <row r="709" spans="1:6">
      <c r="A709" s="289" t="s">
        <v>19675</v>
      </c>
      <c r="B709" s="280" t="s">
        <v>20149</v>
      </c>
      <c r="C709" s="279" t="s">
        <v>20150</v>
      </c>
      <c r="D709" s="287">
        <v>45078</v>
      </c>
      <c r="E709" s="279" t="s">
        <v>19185</v>
      </c>
      <c r="F709" s="297"/>
    </row>
    <row r="710" spans="1:6">
      <c r="A710" s="289" t="s">
        <v>19676</v>
      </c>
      <c r="B710" s="280" t="s">
        <v>19869</v>
      </c>
      <c r="C710" s="279" t="s">
        <v>19870</v>
      </c>
      <c r="D710" s="287">
        <v>45140</v>
      </c>
      <c r="E710" s="279" t="s">
        <v>2473</v>
      </c>
      <c r="F710" s="297"/>
    </row>
    <row r="711" spans="1:6">
      <c r="A711" s="289" t="s">
        <v>19677</v>
      </c>
      <c r="B711" s="303" t="s">
        <v>19871</v>
      </c>
      <c r="F711" s="297"/>
    </row>
    <row r="712" spans="1:6">
      <c r="A712" s="289" t="s">
        <v>19678</v>
      </c>
      <c r="B712" s="280" t="s">
        <v>19101</v>
      </c>
      <c r="C712" s="279" t="s">
        <v>18915</v>
      </c>
      <c r="D712" s="287">
        <v>45218</v>
      </c>
      <c r="E712" s="279" t="s">
        <v>18981</v>
      </c>
      <c r="F712" s="297"/>
    </row>
    <row r="713" spans="1:6">
      <c r="A713" s="289" t="s">
        <v>19679</v>
      </c>
      <c r="B713" s="280" t="s">
        <v>19872</v>
      </c>
      <c r="C713" s="279" t="s">
        <v>18938</v>
      </c>
      <c r="D713" s="287">
        <v>45111</v>
      </c>
      <c r="E713" s="279" t="s">
        <v>18935</v>
      </c>
      <c r="F713" s="297"/>
    </row>
    <row r="714" spans="1:6">
      <c r="A714" s="289" t="s">
        <v>19680</v>
      </c>
      <c r="B714" s="280" t="s">
        <v>19873</v>
      </c>
      <c r="C714" s="279" t="s">
        <v>19874</v>
      </c>
      <c r="D714" s="287">
        <v>45205</v>
      </c>
      <c r="E714" s="279" t="s">
        <v>18946</v>
      </c>
      <c r="F714" s="297"/>
    </row>
    <row r="715" spans="1:6">
      <c r="A715" s="289" t="s">
        <v>19681</v>
      </c>
      <c r="B715" s="280" t="s">
        <v>19875</v>
      </c>
      <c r="C715" s="279" t="s">
        <v>18936</v>
      </c>
      <c r="D715" s="287">
        <v>45176</v>
      </c>
      <c r="E715" s="279" t="s">
        <v>18935</v>
      </c>
      <c r="F715" s="297"/>
    </row>
    <row r="716" spans="1:6">
      <c r="A716" s="289" t="s">
        <v>19682</v>
      </c>
      <c r="B716" s="280" t="s">
        <v>19876</v>
      </c>
      <c r="C716" s="279" t="s">
        <v>19809</v>
      </c>
      <c r="D716" s="287">
        <v>45254</v>
      </c>
      <c r="E716" s="279" t="s">
        <v>18944</v>
      </c>
      <c r="F716" s="297"/>
    </row>
    <row r="717" spans="1:6">
      <c r="A717" s="289" t="s">
        <v>19683</v>
      </c>
      <c r="B717" s="280" t="s">
        <v>19877</v>
      </c>
      <c r="C717" s="279" t="s">
        <v>19811</v>
      </c>
      <c r="D717" s="287">
        <v>45124</v>
      </c>
      <c r="E717" s="279" t="s">
        <v>18944</v>
      </c>
      <c r="F717" s="297"/>
    </row>
    <row r="718" spans="1:6">
      <c r="A718" s="289" t="s">
        <v>19684</v>
      </c>
      <c r="B718" s="280" t="s">
        <v>19878</v>
      </c>
      <c r="C718" s="279" t="s">
        <v>19879</v>
      </c>
      <c r="D718" s="287">
        <v>45194</v>
      </c>
      <c r="E718" s="279" t="s">
        <v>18935</v>
      </c>
      <c r="F718" s="297"/>
    </row>
    <row r="719" spans="1:6">
      <c r="A719" s="289" t="s">
        <v>19685</v>
      </c>
      <c r="B719" s="280" t="s">
        <v>19880</v>
      </c>
      <c r="C719" s="279" t="s">
        <v>19881</v>
      </c>
      <c r="D719" s="287">
        <v>45009</v>
      </c>
      <c r="E719" s="279" t="s">
        <v>18994</v>
      </c>
      <c r="F719" s="297"/>
    </row>
    <row r="720" spans="1:6">
      <c r="A720" s="289" t="s">
        <v>19686</v>
      </c>
      <c r="B720" s="280" t="s">
        <v>19882</v>
      </c>
      <c r="C720" s="279" t="s">
        <v>19314</v>
      </c>
      <c r="D720" s="287">
        <v>45211</v>
      </c>
      <c r="E720" s="279" t="s">
        <v>2469</v>
      </c>
      <c r="F720" s="297"/>
    </row>
    <row r="721" spans="1:6">
      <c r="A721" s="289" t="s">
        <v>19687</v>
      </c>
      <c r="B721" s="280" t="s">
        <v>19883</v>
      </c>
      <c r="C721" s="279" t="s">
        <v>19884</v>
      </c>
      <c r="D721" s="287">
        <v>44901</v>
      </c>
      <c r="E721" s="279" t="s">
        <v>19105</v>
      </c>
      <c r="F721" s="297"/>
    </row>
    <row r="722" spans="1:6">
      <c r="A722" s="289" t="s">
        <v>19688</v>
      </c>
      <c r="B722" s="280" t="s">
        <v>19885</v>
      </c>
      <c r="C722" s="279" t="s">
        <v>19886</v>
      </c>
      <c r="D722" s="287">
        <v>45264</v>
      </c>
      <c r="E722" s="279" t="s">
        <v>19887</v>
      </c>
      <c r="F722" s="297"/>
    </row>
    <row r="723" spans="1:6">
      <c r="A723" s="289" t="s">
        <v>19689</v>
      </c>
      <c r="B723" s="280" t="s">
        <v>19888</v>
      </c>
      <c r="C723" s="279" t="s">
        <v>19889</v>
      </c>
      <c r="D723" s="287">
        <v>44817</v>
      </c>
      <c r="E723" s="279" t="s">
        <v>18981</v>
      </c>
      <c r="F723" s="297"/>
    </row>
    <row r="724" spans="1:6">
      <c r="A724" s="289" t="s">
        <v>19691</v>
      </c>
      <c r="B724" s="280" t="s">
        <v>19891</v>
      </c>
      <c r="C724" s="279" t="s">
        <v>2498</v>
      </c>
      <c r="D724" s="287">
        <v>44958</v>
      </c>
      <c r="E724" s="279" t="s">
        <v>18935</v>
      </c>
      <c r="F724" s="297"/>
    </row>
    <row r="725" spans="1:6">
      <c r="A725" s="289" t="s">
        <v>19692</v>
      </c>
      <c r="B725" s="280" t="s">
        <v>19892</v>
      </c>
      <c r="C725" s="279" t="s">
        <v>19893</v>
      </c>
      <c r="D725" s="287">
        <v>45198</v>
      </c>
      <c r="E725" s="279" t="s">
        <v>18994</v>
      </c>
      <c r="F725" s="297"/>
    </row>
    <row r="726" spans="1:6">
      <c r="A726" s="289" t="s">
        <v>19693</v>
      </c>
      <c r="B726" s="280" t="s">
        <v>19894</v>
      </c>
      <c r="C726" s="279" t="s">
        <v>18938</v>
      </c>
      <c r="D726" s="287">
        <v>45086</v>
      </c>
      <c r="E726" s="279" t="s">
        <v>18935</v>
      </c>
      <c r="F726" s="297"/>
    </row>
    <row r="727" spans="1:6">
      <c r="A727" s="289" t="s">
        <v>19694</v>
      </c>
      <c r="B727" s="280" t="s">
        <v>19895</v>
      </c>
      <c r="C727" s="279" t="s">
        <v>19196</v>
      </c>
      <c r="D727" s="287">
        <v>45240</v>
      </c>
      <c r="E727" s="279" t="s">
        <v>2469</v>
      </c>
      <c r="F727" s="297"/>
    </row>
    <row r="728" spans="1:6">
      <c r="A728" s="289" t="s">
        <v>19695</v>
      </c>
      <c r="B728" s="280" t="s">
        <v>19896</v>
      </c>
      <c r="C728" s="279" t="s">
        <v>19897</v>
      </c>
      <c r="D728" s="287">
        <v>45166</v>
      </c>
      <c r="E728" s="279" t="s">
        <v>18976</v>
      </c>
      <c r="F728" s="297"/>
    </row>
    <row r="729" spans="1:6">
      <c r="A729" s="289" t="s">
        <v>19696</v>
      </c>
      <c r="B729" s="280" t="s">
        <v>19898</v>
      </c>
      <c r="C729" s="279" t="s">
        <v>19022</v>
      </c>
      <c r="D729" s="287">
        <v>45257</v>
      </c>
      <c r="E729" s="279" t="s">
        <v>19899</v>
      </c>
      <c r="F729" s="297"/>
    </row>
    <row r="730" spans="1:6">
      <c r="A730" s="289" t="s">
        <v>19697</v>
      </c>
      <c r="B730" s="280" t="s">
        <v>19900</v>
      </c>
      <c r="C730" s="279" t="s">
        <v>19317</v>
      </c>
      <c r="D730" s="287">
        <v>45244</v>
      </c>
      <c r="E730" s="279" t="s">
        <v>19185</v>
      </c>
      <c r="F730" s="297"/>
    </row>
    <row r="731" spans="1:6">
      <c r="A731" s="289" t="s">
        <v>19698</v>
      </c>
      <c r="B731" s="280" t="s">
        <v>19901</v>
      </c>
      <c r="C731" s="279" t="s">
        <v>19902</v>
      </c>
      <c r="D731" s="287">
        <v>45182</v>
      </c>
      <c r="E731" s="279" t="s">
        <v>18935</v>
      </c>
      <c r="F731" s="297"/>
    </row>
    <row r="732" spans="1:6">
      <c r="A732" s="289" t="s">
        <v>19699</v>
      </c>
      <c r="B732" s="280" t="s">
        <v>19903</v>
      </c>
      <c r="C732" s="279" t="s">
        <v>19372</v>
      </c>
      <c r="D732" s="287">
        <v>45174</v>
      </c>
      <c r="E732" s="279" t="s">
        <v>19185</v>
      </c>
      <c r="F732" s="297"/>
    </row>
    <row r="733" spans="1:6">
      <c r="A733" s="289" t="s">
        <v>19700</v>
      </c>
      <c r="B733" s="280" t="s">
        <v>19904</v>
      </c>
      <c r="C733" s="279" t="s">
        <v>18932</v>
      </c>
      <c r="D733" s="287">
        <v>45208</v>
      </c>
      <c r="E733" s="279" t="s">
        <v>18935</v>
      </c>
      <c r="F733" s="297"/>
    </row>
    <row r="734" spans="1:6">
      <c r="A734" s="289" t="s">
        <v>19701</v>
      </c>
      <c r="B734" s="280" t="s">
        <v>19905</v>
      </c>
      <c r="C734" s="279" t="s">
        <v>19233</v>
      </c>
      <c r="D734" s="287">
        <v>44967</v>
      </c>
      <c r="E734" s="279" t="s">
        <v>19906</v>
      </c>
      <c r="F734" s="297"/>
    </row>
    <row r="735" spans="1:6">
      <c r="A735" s="289" t="s">
        <v>19702</v>
      </c>
      <c r="B735" s="280" t="s">
        <v>19907</v>
      </c>
      <c r="C735" s="279" t="s">
        <v>19879</v>
      </c>
      <c r="D735" s="287">
        <v>45195</v>
      </c>
      <c r="E735" s="279" t="s">
        <v>18974</v>
      </c>
      <c r="F735" s="297"/>
    </row>
    <row r="736" spans="1:6">
      <c r="A736" s="289" t="s">
        <v>19703</v>
      </c>
      <c r="B736" s="280" t="s">
        <v>19908</v>
      </c>
      <c r="C736" s="279" t="s">
        <v>19032</v>
      </c>
      <c r="D736" s="287">
        <v>45086</v>
      </c>
      <c r="E736" s="279" t="s">
        <v>18935</v>
      </c>
      <c r="F736" s="297"/>
    </row>
    <row r="737" spans="1:6">
      <c r="A737" s="289" t="s">
        <v>19704</v>
      </c>
      <c r="B737" s="280" t="s">
        <v>19909</v>
      </c>
      <c r="C737" s="279" t="s">
        <v>2487</v>
      </c>
      <c r="D737" s="287">
        <v>45195</v>
      </c>
      <c r="E737" s="279" t="s">
        <v>2469</v>
      </c>
      <c r="F737" s="297"/>
    </row>
    <row r="738" spans="1:6">
      <c r="A738" s="289" t="s">
        <v>19705</v>
      </c>
      <c r="B738" s="280" t="s">
        <v>19910</v>
      </c>
      <c r="C738" s="279" t="s">
        <v>19860</v>
      </c>
      <c r="F738" s="297"/>
    </row>
    <row r="739" spans="1:6">
      <c r="A739" s="289" t="s">
        <v>19706</v>
      </c>
      <c r="B739" s="280" t="s">
        <v>19911</v>
      </c>
      <c r="C739" s="279" t="s">
        <v>19912</v>
      </c>
      <c r="D739" s="287">
        <v>44984</v>
      </c>
      <c r="E739" s="279" t="s">
        <v>19185</v>
      </c>
      <c r="F739" s="297"/>
    </row>
    <row r="740" spans="1:6">
      <c r="A740" s="289" t="s">
        <v>19707</v>
      </c>
      <c r="B740" s="280" t="s">
        <v>19913</v>
      </c>
      <c r="C740" s="279" t="s">
        <v>18914</v>
      </c>
      <c r="D740" s="287">
        <v>45202</v>
      </c>
      <c r="E740" s="279" t="s">
        <v>19899</v>
      </c>
      <c r="F740" s="297"/>
    </row>
    <row r="741" spans="1:6">
      <c r="A741" s="289" t="s">
        <v>19708</v>
      </c>
      <c r="B741" s="280" t="s">
        <v>19914</v>
      </c>
      <c r="C741" s="279" t="s">
        <v>18926</v>
      </c>
      <c r="D741" s="287">
        <v>45162</v>
      </c>
      <c r="E741" s="279" t="s">
        <v>2469</v>
      </c>
      <c r="F741" s="297"/>
    </row>
    <row r="742" spans="1:6">
      <c r="A742" s="289" t="s">
        <v>19709</v>
      </c>
      <c r="B742" s="280" t="s">
        <v>19915</v>
      </c>
      <c r="C742" s="279" t="s">
        <v>19860</v>
      </c>
      <c r="F742" s="297"/>
    </row>
    <row r="743" spans="1:6">
      <c r="A743" s="289" t="s">
        <v>19710</v>
      </c>
      <c r="B743" s="280" t="s">
        <v>19916</v>
      </c>
      <c r="C743" s="287" t="s">
        <v>18955</v>
      </c>
      <c r="D743" s="287">
        <v>45177</v>
      </c>
      <c r="E743" s="279" t="s">
        <v>18935</v>
      </c>
      <c r="F743" s="297"/>
    </row>
    <row r="744" spans="1:6">
      <c r="A744" s="289" t="s">
        <v>19711</v>
      </c>
      <c r="B744" s="280" t="s">
        <v>19917</v>
      </c>
      <c r="C744" s="279" t="s">
        <v>2493</v>
      </c>
      <c r="D744" s="287">
        <v>45118</v>
      </c>
      <c r="E744" s="279" t="s">
        <v>19918</v>
      </c>
      <c r="F744" s="297"/>
    </row>
    <row r="745" spans="1:6">
      <c r="A745" s="289" t="s">
        <v>19712</v>
      </c>
      <c r="B745" s="280" t="s">
        <v>19919</v>
      </c>
      <c r="C745" s="279" t="s">
        <v>19442</v>
      </c>
      <c r="D745" s="287">
        <v>45175</v>
      </c>
      <c r="E745" s="279" t="s">
        <v>19185</v>
      </c>
      <c r="F745" s="297"/>
    </row>
    <row r="746" spans="1:6">
      <c r="A746" s="289" t="s">
        <v>19713</v>
      </c>
      <c r="B746" s="280" t="s">
        <v>19212</v>
      </c>
      <c r="C746" s="279" t="s">
        <v>19920</v>
      </c>
      <c r="D746" s="287">
        <v>45063</v>
      </c>
      <c r="E746" s="279" t="s">
        <v>18935</v>
      </c>
      <c r="F746" s="297"/>
    </row>
    <row r="747" spans="1:6">
      <c r="A747" s="289" t="s">
        <v>19714</v>
      </c>
      <c r="B747" s="280" t="s">
        <v>904</v>
      </c>
      <c r="C747" s="279" t="s">
        <v>19921</v>
      </c>
      <c r="D747" s="287">
        <v>44767</v>
      </c>
      <c r="E747" s="279" t="s">
        <v>2469</v>
      </c>
      <c r="F747" s="297"/>
    </row>
    <row r="748" spans="1:6">
      <c r="A748" s="289" t="s">
        <v>19715</v>
      </c>
      <c r="B748" s="280" t="s">
        <v>19922</v>
      </c>
      <c r="C748" s="279" t="s">
        <v>18899</v>
      </c>
      <c r="D748" s="287">
        <v>44785</v>
      </c>
      <c r="E748" s="279" t="s">
        <v>18935</v>
      </c>
      <c r="F748" s="297"/>
    </row>
    <row r="749" spans="1:6">
      <c r="A749" s="289" t="s">
        <v>19716</v>
      </c>
      <c r="B749" s="280" t="s">
        <v>19923</v>
      </c>
      <c r="C749" s="279" t="s">
        <v>19924</v>
      </c>
      <c r="D749" s="287">
        <v>44972</v>
      </c>
      <c r="E749" s="279" t="s">
        <v>18935</v>
      </c>
      <c r="F749" s="297"/>
    </row>
    <row r="750" spans="1:6">
      <c r="A750" s="289" t="s">
        <v>19717</v>
      </c>
      <c r="F750" s="297"/>
    </row>
    <row r="751" spans="1:6">
      <c r="A751" s="289" t="s">
        <v>19718</v>
      </c>
      <c r="B751" s="280" t="s">
        <v>19925</v>
      </c>
      <c r="C751" s="279" t="s">
        <v>18936</v>
      </c>
      <c r="D751" s="287">
        <v>45105</v>
      </c>
      <c r="E751" s="279" t="s">
        <v>18913</v>
      </c>
      <c r="F751" s="297"/>
    </row>
    <row r="752" spans="1:6">
      <c r="A752" s="289" t="s">
        <v>19719</v>
      </c>
      <c r="B752" s="280" t="s">
        <v>19926</v>
      </c>
      <c r="C752" s="279" t="s">
        <v>19008</v>
      </c>
      <c r="D752" s="287">
        <v>45244</v>
      </c>
      <c r="E752" s="279" t="s">
        <v>19927</v>
      </c>
      <c r="F752" s="297"/>
    </row>
    <row r="753" spans="1:6">
      <c r="A753" s="289" t="s">
        <v>19720</v>
      </c>
      <c r="B753" s="280" t="s">
        <v>19928</v>
      </c>
      <c r="C753" s="279" t="s">
        <v>19929</v>
      </c>
      <c r="D753" s="287">
        <v>44943</v>
      </c>
      <c r="E753" s="279" t="s">
        <v>19105</v>
      </c>
      <c r="F753" s="297"/>
    </row>
    <row r="754" spans="1:6">
      <c r="A754" s="289" t="s">
        <v>19721</v>
      </c>
      <c r="B754" s="280" t="s">
        <v>19930</v>
      </c>
      <c r="C754" s="279" t="s">
        <v>19860</v>
      </c>
      <c r="F754" s="297"/>
    </row>
    <row r="755" spans="1:6">
      <c r="A755" s="289" t="s">
        <v>19722</v>
      </c>
      <c r="B755" s="280" t="s">
        <v>19931</v>
      </c>
      <c r="C755" s="279" t="s">
        <v>19860</v>
      </c>
      <c r="F755" s="297"/>
    </row>
    <row r="756" spans="1:6">
      <c r="A756" s="289" t="s">
        <v>19723</v>
      </c>
      <c r="B756" s="280" t="s">
        <v>19932</v>
      </c>
      <c r="C756" s="279" t="s">
        <v>19028</v>
      </c>
      <c r="D756" s="287">
        <v>45161</v>
      </c>
      <c r="E756" s="279" t="s">
        <v>2466</v>
      </c>
      <c r="F756" s="297"/>
    </row>
    <row r="757" spans="1:6">
      <c r="A757" s="289" t="s">
        <v>19724</v>
      </c>
      <c r="B757" s="280" t="s">
        <v>19933</v>
      </c>
      <c r="C757" s="279" t="s">
        <v>18960</v>
      </c>
      <c r="D757" s="287">
        <v>45217</v>
      </c>
      <c r="E757" s="279" t="s">
        <v>18935</v>
      </c>
      <c r="F757" s="297"/>
    </row>
    <row r="758" spans="1:6">
      <c r="A758" s="289" t="s">
        <v>19725</v>
      </c>
      <c r="B758" s="280" t="s">
        <v>19934</v>
      </c>
      <c r="C758" s="279" t="s">
        <v>19860</v>
      </c>
      <c r="F758" s="297"/>
    </row>
    <row r="759" spans="1:6">
      <c r="A759" s="289" t="s">
        <v>19726</v>
      </c>
      <c r="B759" s="280" t="s">
        <v>19935</v>
      </c>
      <c r="C759" s="279" t="s">
        <v>18920</v>
      </c>
      <c r="D759" s="287">
        <v>45238</v>
      </c>
      <c r="E759" s="279" t="s">
        <v>18919</v>
      </c>
      <c r="F759" s="297"/>
    </row>
    <row r="760" spans="1:6">
      <c r="A760" s="289" t="s">
        <v>19727</v>
      </c>
      <c r="B760" s="280" t="s">
        <v>19936</v>
      </c>
      <c r="C760" s="279" t="s">
        <v>19039</v>
      </c>
      <c r="D760" s="287">
        <v>45162</v>
      </c>
      <c r="E760" s="279" t="s">
        <v>18935</v>
      </c>
      <c r="F760" s="297"/>
    </row>
    <row r="761" spans="1:6">
      <c r="A761" s="289" t="s">
        <v>19728</v>
      </c>
      <c r="B761" s="280" t="s">
        <v>19937</v>
      </c>
      <c r="C761" s="279" t="s">
        <v>19181</v>
      </c>
      <c r="D761" s="287">
        <v>45174</v>
      </c>
      <c r="E761" s="279" t="s">
        <v>18935</v>
      </c>
      <c r="F761" s="297"/>
    </row>
    <row r="762" spans="1:6">
      <c r="A762" s="289" t="s">
        <v>19729</v>
      </c>
      <c r="B762" s="280" t="s">
        <v>19938</v>
      </c>
      <c r="C762" s="279" t="s">
        <v>19939</v>
      </c>
      <c r="D762" s="287">
        <v>45231</v>
      </c>
      <c r="E762" s="279" t="s">
        <v>19185</v>
      </c>
      <c r="F762" s="297"/>
    </row>
    <row r="763" spans="1:6">
      <c r="A763" s="289" t="s">
        <v>19730</v>
      </c>
      <c r="B763" s="280" t="s">
        <v>19940</v>
      </c>
      <c r="C763" s="279" t="s">
        <v>19941</v>
      </c>
      <c r="D763" s="287">
        <v>45237</v>
      </c>
      <c r="E763" s="279" t="s">
        <v>19942</v>
      </c>
      <c r="F763" s="297"/>
    </row>
    <row r="764" spans="1:6">
      <c r="A764" s="289" t="s">
        <v>19731</v>
      </c>
      <c r="B764" s="280" t="s">
        <v>19943</v>
      </c>
      <c r="C764" s="279" t="s">
        <v>19826</v>
      </c>
      <c r="D764" s="287">
        <v>45117</v>
      </c>
      <c r="E764" s="279" t="s">
        <v>18935</v>
      </c>
      <c r="F764" s="297"/>
    </row>
    <row r="765" spans="1:6">
      <c r="A765" s="289" t="s">
        <v>19732</v>
      </c>
      <c r="B765" s="280" t="s">
        <v>19944</v>
      </c>
      <c r="C765" s="279" t="s">
        <v>19008</v>
      </c>
      <c r="D765" s="287">
        <v>45264</v>
      </c>
      <c r="E765" s="279" t="s">
        <v>19945</v>
      </c>
      <c r="F765" s="297"/>
    </row>
    <row r="766" spans="1:6">
      <c r="A766" s="289" t="s">
        <v>19733</v>
      </c>
      <c r="B766" s="280" t="s">
        <v>19946</v>
      </c>
      <c r="C766" s="279" t="s">
        <v>2501</v>
      </c>
      <c r="D766" s="287">
        <v>45260</v>
      </c>
      <c r="E766" s="279" t="s">
        <v>2473</v>
      </c>
      <c r="F766" s="297"/>
    </row>
    <row r="767" spans="1:6">
      <c r="A767" s="289" t="s">
        <v>19734</v>
      </c>
      <c r="B767" s="280" t="s">
        <v>19947</v>
      </c>
      <c r="C767" s="279" t="s">
        <v>2504</v>
      </c>
      <c r="D767" s="287">
        <v>45037</v>
      </c>
      <c r="E767" s="279" t="s">
        <v>18935</v>
      </c>
      <c r="F767" s="297"/>
    </row>
    <row r="768" spans="1:6">
      <c r="A768" s="289" t="s">
        <v>19735</v>
      </c>
      <c r="B768" s="280" t="s">
        <v>19948</v>
      </c>
      <c r="C768" s="279" t="s">
        <v>2504</v>
      </c>
      <c r="D768" s="287">
        <v>45035</v>
      </c>
      <c r="E768" s="279" t="s">
        <v>18976</v>
      </c>
      <c r="F768" s="297"/>
    </row>
    <row r="769" spans="1:6">
      <c r="A769" s="289" t="s">
        <v>19736</v>
      </c>
      <c r="B769" s="280" t="s">
        <v>19949</v>
      </c>
      <c r="C769" s="279" t="s">
        <v>19950</v>
      </c>
      <c r="D769" s="287">
        <v>45253</v>
      </c>
      <c r="E769" s="279" t="s">
        <v>18946</v>
      </c>
      <c r="F769" s="297"/>
    </row>
    <row r="770" spans="1:6">
      <c r="A770" s="289" t="s">
        <v>19737</v>
      </c>
      <c r="B770" s="280" t="s">
        <v>19951</v>
      </c>
      <c r="C770" s="279" t="s">
        <v>19952</v>
      </c>
      <c r="D770" s="287">
        <v>45245</v>
      </c>
      <c r="E770" s="279" t="s">
        <v>18935</v>
      </c>
      <c r="F770" s="297"/>
    </row>
    <row r="771" spans="1:6">
      <c r="A771" s="289" t="s">
        <v>19738</v>
      </c>
      <c r="B771" s="280" t="s">
        <v>19953</v>
      </c>
      <c r="C771" s="279" t="s">
        <v>19425</v>
      </c>
      <c r="D771" s="287">
        <v>45247</v>
      </c>
      <c r="E771" s="279" t="s">
        <v>2466</v>
      </c>
      <c r="F771" s="297"/>
    </row>
    <row r="772" spans="1:6">
      <c r="A772" s="289" t="s">
        <v>19739</v>
      </c>
      <c r="B772" s="280" t="s">
        <v>19954</v>
      </c>
      <c r="C772" s="279" t="s">
        <v>2491</v>
      </c>
      <c r="D772" s="287">
        <v>45131</v>
      </c>
      <c r="E772" s="279" t="s">
        <v>18974</v>
      </c>
      <c r="F772" s="297"/>
    </row>
    <row r="773" spans="1:6">
      <c r="A773" s="289" t="s">
        <v>19740</v>
      </c>
      <c r="B773" s="280" t="s">
        <v>19955</v>
      </c>
      <c r="C773" s="279" t="s">
        <v>19956</v>
      </c>
      <c r="D773" s="287">
        <v>45173</v>
      </c>
      <c r="E773" s="279" t="s">
        <v>18944</v>
      </c>
      <c r="F773" s="297"/>
    </row>
    <row r="774" spans="1:6">
      <c r="A774" s="289" t="s">
        <v>19741</v>
      </c>
      <c r="B774" s="280" t="s">
        <v>19957</v>
      </c>
      <c r="C774" s="279" t="s">
        <v>18975</v>
      </c>
      <c r="D774" s="287">
        <v>45264</v>
      </c>
      <c r="E774" s="279" t="s">
        <v>2466</v>
      </c>
      <c r="F774" s="297"/>
    </row>
    <row r="775" spans="1:6">
      <c r="A775" s="289" t="s">
        <v>19742</v>
      </c>
      <c r="B775" s="280" t="s">
        <v>19958</v>
      </c>
      <c r="C775" s="279" t="s">
        <v>2495</v>
      </c>
      <c r="D775" s="287">
        <v>45273</v>
      </c>
      <c r="E775" s="279" t="s">
        <v>19959</v>
      </c>
      <c r="F775" s="297"/>
    </row>
    <row r="776" spans="1:6">
      <c r="A776" s="289" t="s">
        <v>19743</v>
      </c>
      <c r="B776" s="280" t="s">
        <v>19960</v>
      </c>
      <c r="C776" s="279" t="s">
        <v>19050</v>
      </c>
      <c r="D776" s="287">
        <v>44889</v>
      </c>
      <c r="E776" s="279" t="s">
        <v>19105</v>
      </c>
      <c r="F776" s="297"/>
    </row>
    <row r="777" spans="1:6">
      <c r="A777" s="289" t="s">
        <v>19744</v>
      </c>
      <c r="B777" s="280" t="s">
        <v>19961</v>
      </c>
      <c r="C777" s="279" t="s">
        <v>19270</v>
      </c>
      <c r="D777" s="287">
        <v>45261</v>
      </c>
      <c r="E777" s="279" t="s">
        <v>18935</v>
      </c>
      <c r="F777" s="297"/>
    </row>
    <row r="778" spans="1:6">
      <c r="A778" s="289" t="s">
        <v>19745</v>
      </c>
      <c r="B778" s="280" t="s">
        <v>19962</v>
      </c>
      <c r="C778" s="279" t="s">
        <v>19086</v>
      </c>
      <c r="D778" s="287">
        <v>45238</v>
      </c>
      <c r="E778" s="279" t="s">
        <v>2473</v>
      </c>
      <c r="F778" s="297"/>
    </row>
    <row r="779" spans="1:6">
      <c r="A779" s="289" t="s">
        <v>19746</v>
      </c>
      <c r="B779" s="280" t="s">
        <v>19963</v>
      </c>
      <c r="C779" s="279" t="s">
        <v>19964</v>
      </c>
      <c r="D779" s="287">
        <v>45162</v>
      </c>
      <c r="E779" s="279" t="s">
        <v>18935</v>
      </c>
      <c r="F779" s="297"/>
    </row>
    <row r="780" spans="1:6">
      <c r="A780" s="289" t="s">
        <v>19747</v>
      </c>
      <c r="B780" s="280" t="s">
        <v>19965</v>
      </c>
      <c r="C780" s="279" t="s">
        <v>19104</v>
      </c>
      <c r="D780" s="287">
        <v>45246</v>
      </c>
      <c r="E780" s="279" t="s">
        <v>19966</v>
      </c>
      <c r="F780" s="297"/>
    </row>
    <row r="781" spans="1:6">
      <c r="A781" s="289" t="s">
        <v>19748</v>
      </c>
      <c r="B781" s="280" t="s">
        <v>19967</v>
      </c>
      <c r="C781" s="279" t="s">
        <v>19968</v>
      </c>
      <c r="D781" s="287">
        <v>44957</v>
      </c>
      <c r="E781" s="279" t="s">
        <v>2469</v>
      </c>
      <c r="F781" s="297"/>
    </row>
    <row r="782" spans="1:6">
      <c r="A782" s="289" t="s">
        <v>19749</v>
      </c>
      <c r="D782" s="287"/>
      <c r="F782" s="297"/>
    </row>
    <row r="783" spans="1:6">
      <c r="A783" s="289" t="s">
        <v>19750</v>
      </c>
      <c r="B783" s="280" t="s">
        <v>19969</v>
      </c>
      <c r="C783" s="279" t="s">
        <v>19970</v>
      </c>
      <c r="D783" s="287">
        <v>45201</v>
      </c>
      <c r="E783" s="279" t="s">
        <v>18935</v>
      </c>
      <c r="F783" s="297"/>
    </row>
    <row r="784" spans="1:6">
      <c r="A784" s="289" t="s">
        <v>19751</v>
      </c>
      <c r="B784" s="280" t="s">
        <v>19971</v>
      </c>
      <c r="C784" s="279" t="s">
        <v>19972</v>
      </c>
      <c r="D784" s="287">
        <v>45245</v>
      </c>
      <c r="E784" s="279" t="s">
        <v>2469</v>
      </c>
      <c r="F784" s="297"/>
    </row>
    <row r="785" spans="1:6">
      <c r="A785" s="289" t="s">
        <v>19973</v>
      </c>
      <c r="B785" s="280" t="s">
        <v>19979</v>
      </c>
      <c r="C785" s="279" t="s">
        <v>19980</v>
      </c>
      <c r="D785" s="287">
        <v>45014</v>
      </c>
      <c r="E785" s="279" t="s">
        <v>2469</v>
      </c>
      <c r="F785" s="297"/>
    </row>
    <row r="786" spans="1:6">
      <c r="A786" s="289" t="s">
        <v>19974</v>
      </c>
      <c r="B786" s="280" t="s">
        <v>19981</v>
      </c>
      <c r="C786" s="279" t="s">
        <v>2487</v>
      </c>
      <c r="D786" s="287">
        <v>44979</v>
      </c>
      <c r="E786" s="279" t="s">
        <v>18935</v>
      </c>
      <c r="F786" s="297"/>
    </row>
    <row r="787" spans="1:6">
      <c r="A787" s="289" t="s">
        <v>19975</v>
      </c>
      <c r="B787" s="280" t="s">
        <v>19982</v>
      </c>
      <c r="C787" s="279" t="s">
        <v>19924</v>
      </c>
      <c r="D787" s="287">
        <v>45084</v>
      </c>
      <c r="E787" s="279" t="s">
        <v>19899</v>
      </c>
      <c r="F787" s="297"/>
    </row>
    <row r="788" spans="1:6">
      <c r="A788" s="289" t="s">
        <v>19976</v>
      </c>
      <c r="B788" s="280" t="s">
        <v>19983</v>
      </c>
      <c r="C788" s="279" t="s">
        <v>19863</v>
      </c>
      <c r="D788" s="287">
        <v>45044</v>
      </c>
      <c r="E788" s="279" t="s">
        <v>18935</v>
      </c>
      <c r="F788" s="297"/>
    </row>
    <row r="789" spans="1:6">
      <c r="A789" s="289" t="s">
        <v>19977</v>
      </c>
      <c r="B789" s="280" t="s">
        <v>19984</v>
      </c>
      <c r="C789" s="287" t="s">
        <v>19985</v>
      </c>
      <c r="D789" s="287">
        <v>45271</v>
      </c>
      <c r="E789" s="279" t="s">
        <v>18935</v>
      </c>
      <c r="F789" s="297"/>
    </row>
    <row r="790" spans="1:6">
      <c r="A790" s="289" t="s">
        <v>19978</v>
      </c>
      <c r="B790" s="299" t="s">
        <v>19986</v>
      </c>
      <c r="C790" s="279" t="s">
        <v>19980</v>
      </c>
      <c r="D790" s="287">
        <v>45113</v>
      </c>
      <c r="E790" s="279" t="s">
        <v>18946</v>
      </c>
      <c r="F790" s="297"/>
    </row>
  </sheetData>
  <phoneticPr fontId="55" type="noConversion"/>
  <conditionalFormatting sqref="B378">
    <cfRule type="expression" dxfId="16422" priority="5">
      <formula>$L378="TERMINADO"</formula>
    </cfRule>
    <cfRule type="expression" dxfId="16421" priority="6">
      <formula>ROW()=CELL("FILA")</formula>
    </cfRule>
  </conditionalFormatting>
  <conditionalFormatting sqref="B711">
    <cfRule type="expression" dxfId="16420" priority="1">
      <formula>$D711="TERMINADO"</formula>
    </cfRule>
    <cfRule type="expression" dxfId="16419" priority="2">
      <formula>ROW()=CELL("FILA")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C15B-996A-4B1F-AAE0-AB3AC0CCEB5D}">
  <dimension ref="A1:E80"/>
  <sheetViews>
    <sheetView topLeftCell="A34" workbookViewId="0">
      <selection activeCell="C59" sqref="C59"/>
    </sheetView>
  </sheetViews>
  <sheetFormatPr baseColWidth="10" defaultRowHeight="14.4"/>
  <cols>
    <col min="1" max="1" width="13.6640625" customWidth="1"/>
    <col min="2" max="2" width="28.109375" customWidth="1"/>
    <col min="3" max="3" width="53.6640625" customWidth="1"/>
    <col min="4" max="4" width="28" customWidth="1"/>
    <col min="5" max="5" width="16.6640625" customWidth="1"/>
  </cols>
  <sheetData>
    <row r="1" spans="1:5">
      <c r="A1" t="s">
        <v>2</v>
      </c>
      <c r="B1" t="s">
        <v>2439</v>
      </c>
      <c r="C1" s="295" t="s">
        <v>2440</v>
      </c>
      <c r="D1" t="s">
        <v>2441</v>
      </c>
      <c r="E1" t="s">
        <v>1837</v>
      </c>
    </row>
    <row r="2" spans="1:5">
      <c r="A2" t="s">
        <v>19016</v>
      </c>
      <c r="B2" s="298" t="s">
        <v>19759</v>
      </c>
      <c r="C2" t="s">
        <v>19017</v>
      </c>
    </row>
    <row r="3" spans="1:5">
      <c r="A3" t="s">
        <v>19018</v>
      </c>
      <c r="B3" s="298" t="s">
        <v>19760</v>
      </c>
      <c r="C3" t="s">
        <v>19019</v>
      </c>
    </row>
    <row r="4" spans="1:5">
      <c r="A4" t="s">
        <v>19026</v>
      </c>
      <c r="B4" s="298" t="s">
        <v>19761</v>
      </c>
      <c r="C4" t="s">
        <v>19033</v>
      </c>
    </row>
    <row r="5" spans="1:5">
      <c r="A5" t="s">
        <v>19069</v>
      </c>
      <c r="B5" s="298" t="s">
        <v>19762</v>
      </c>
      <c r="C5" t="s">
        <v>19070</v>
      </c>
    </row>
    <row r="6" spans="1:5">
      <c r="A6" t="s">
        <v>19080</v>
      </c>
      <c r="B6" s="298" t="s">
        <v>19759</v>
      </c>
      <c r="C6" t="s">
        <v>19081</v>
      </c>
    </row>
    <row r="7" spans="1:5">
      <c r="A7" t="s">
        <v>19126</v>
      </c>
      <c r="B7" s="298" t="s">
        <v>19763</v>
      </c>
      <c r="C7" t="s">
        <v>19127</v>
      </c>
    </row>
    <row r="8" spans="1:5">
      <c r="A8" t="s">
        <v>19133</v>
      </c>
      <c r="B8" s="298" t="s">
        <v>19764</v>
      </c>
      <c r="C8" t="s">
        <v>19134</v>
      </c>
    </row>
    <row r="9" spans="1:5">
      <c r="A9" t="s">
        <v>19145</v>
      </c>
      <c r="B9" s="298" t="s">
        <v>19765</v>
      </c>
      <c r="C9" t="s">
        <v>19146</v>
      </c>
    </row>
    <row r="10" spans="1:5">
      <c r="A10" t="s">
        <v>19155</v>
      </c>
      <c r="B10" s="298" t="s">
        <v>19766</v>
      </c>
      <c r="C10" t="s">
        <v>19156</v>
      </c>
    </row>
    <row r="11" spans="1:5">
      <c r="A11" t="s">
        <v>19162</v>
      </c>
      <c r="B11" s="298" t="s">
        <v>19767</v>
      </c>
      <c r="C11" t="s">
        <v>19163</v>
      </c>
    </row>
    <row r="12" spans="1:5">
      <c r="A12" t="s">
        <v>19164</v>
      </c>
      <c r="B12" s="298" t="s">
        <v>19768</v>
      </c>
      <c r="C12" t="s">
        <v>19165</v>
      </c>
    </row>
    <row r="13" spans="1:5">
      <c r="A13" t="s">
        <v>19175</v>
      </c>
      <c r="B13" s="298" t="s">
        <v>19769</v>
      </c>
      <c r="C13" t="s">
        <v>19176</v>
      </c>
    </row>
    <row r="14" spans="1:5">
      <c r="A14" t="s">
        <v>19189</v>
      </c>
      <c r="B14" s="298" t="s">
        <v>19770</v>
      </c>
      <c r="C14" t="s">
        <v>19190</v>
      </c>
    </row>
    <row r="15" spans="1:5">
      <c r="A15" t="s">
        <v>19203</v>
      </c>
      <c r="B15" s="298" t="s">
        <v>19771</v>
      </c>
      <c r="C15" t="s">
        <v>19204</v>
      </c>
    </row>
    <row r="16" spans="1:5">
      <c r="A16" t="s">
        <v>19207</v>
      </c>
      <c r="B16" s="298" t="s">
        <v>19772</v>
      </c>
      <c r="C16" t="s">
        <v>19208</v>
      </c>
    </row>
    <row r="17" spans="1:3">
      <c r="A17" t="s">
        <v>19220</v>
      </c>
      <c r="B17" s="298" t="s">
        <v>19773</v>
      </c>
      <c r="C17" t="s">
        <v>19221</v>
      </c>
    </row>
    <row r="18" spans="1:3">
      <c r="A18" t="s">
        <v>19224</v>
      </c>
      <c r="B18" s="298" t="s">
        <v>19774</v>
      </c>
      <c r="C18" t="s">
        <v>19225</v>
      </c>
    </row>
    <row r="19" spans="1:3">
      <c r="A19" t="s">
        <v>19229</v>
      </c>
      <c r="B19" s="298" t="s">
        <v>19775</v>
      </c>
      <c r="C19" t="s">
        <v>19230</v>
      </c>
    </row>
    <row r="20" spans="1:3">
      <c r="A20" t="s">
        <v>19237</v>
      </c>
      <c r="B20" s="298" t="s">
        <v>19776</v>
      </c>
      <c r="C20" t="s">
        <v>19238</v>
      </c>
    </row>
    <row r="21" spans="1:3">
      <c r="A21" t="s">
        <v>19248</v>
      </c>
      <c r="B21" s="298" t="s">
        <v>19777</v>
      </c>
      <c r="C21" t="s">
        <v>19249</v>
      </c>
    </row>
    <row r="22" spans="1:3">
      <c r="A22" t="s">
        <v>19259</v>
      </c>
      <c r="B22" s="298" t="s">
        <v>19778</v>
      </c>
      <c r="C22" t="s">
        <v>19260</v>
      </c>
    </row>
    <row r="23" spans="1:3">
      <c r="A23" t="s">
        <v>19266</v>
      </c>
      <c r="B23" s="298" t="s">
        <v>19779</v>
      </c>
      <c r="C23" t="s">
        <v>19267</v>
      </c>
    </row>
    <row r="24" spans="1:3">
      <c r="A24" t="s">
        <v>19277</v>
      </c>
      <c r="B24" s="298" t="s">
        <v>19780</v>
      </c>
      <c r="C24" t="s">
        <v>19278</v>
      </c>
    </row>
    <row r="25" spans="1:3">
      <c r="A25" t="s">
        <v>19289</v>
      </c>
      <c r="B25" s="298" t="s">
        <v>19781</v>
      </c>
      <c r="C25" t="s">
        <v>19290</v>
      </c>
    </row>
    <row r="26" spans="1:3">
      <c r="A26" s="289" t="s">
        <v>19302</v>
      </c>
      <c r="B26" s="290" t="s">
        <v>19303</v>
      </c>
      <c r="C26" s="285" t="s">
        <v>19304</v>
      </c>
    </row>
    <row r="27" spans="1:3">
      <c r="A27" t="s">
        <v>19305</v>
      </c>
      <c r="B27" s="298" t="s">
        <v>19782</v>
      </c>
      <c r="C27" t="s">
        <v>19306</v>
      </c>
    </row>
    <row r="28" spans="1:3">
      <c r="A28" t="s">
        <v>19327</v>
      </c>
      <c r="B28" s="298" t="s">
        <v>19783</v>
      </c>
      <c r="C28" t="s">
        <v>19328</v>
      </c>
    </row>
    <row r="29" spans="1:3">
      <c r="A29" t="s">
        <v>19331</v>
      </c>
      <c r="B29" s="298" t="s">
        <v>19784</v>
      </c>
      <c r="C29" t="s">
        <v>19332</v>
      </c>
    </row>
    <row r="30" spans="1:3">
      <c r="A30" t="s">
        <v>19344</v>
      </c>
      <c r="B30" s="298" t="s">
        <v>19785</v>
      </c>
    </row>
    <row r="31" spans="1:3">
      <c r="A31" t="s">
        <v>19346</v>
      </c>
      <c r="B31" s="298" t="s">
        <v>19786</v>
      </c>
      <c r="C31" t="s">
        <v>19347</v>
      </c>
    </row>
    <row r="32" spans="1:3">
      <c r="A32" t="s">
        <v>19351</v>
      </c>
      <c r="B32" s="298" t="s">
        <v>19787</v>
      </c>
      <c r="C32" t="s">
        <v>19352</v>
      </c>
    </row>
    <row r="33" spans="1:3">
      <c r="A33" t="s">
        <v>19357</v>
      </c>
      <c r="B33" s="298" t="s">
        <v>19788</v>
      </c>
      <c r="C33" t="s">
        <v>19176</v>
      </c>
    </row>
    <row r="34" spans="1:3">
      <c r="A34" t="s">
        <v>19366</v>
      </c>
      <c r="B34" s="298" t="s">
        <v>19789</v>
      </c>
      <c r="C34" t="s">
        <v>19367</v>
      </c>
    </row>
    <row r="35" spans="1:3">
      <c r="A35" t="s">
        <v>19383</v>
      </c>
      <c r="B35" s="298" t="s">
        <v>19790</v>
      </c>
      <c r="C35" t="s">
        <v>19384</v>
      </c>
    </row>
    <row r="36" spans="1:3">
      <c r="A36" t="s">
        <v>19445</v>
      </c>
      <c r="B36" s="298" t="s">
        <v>19791</v>
      </c>
      <c r="C36" t="s">
        <v>19446</v>
      </c>
    </row>
    <row r="37" spans="1:3">
      <c r="A37" t="s">
        <v>19449</v>
      </c>
      <c r="B37" s="298" t="s">
        <v>19792</v>
      </c>
      <c r="C37" t="s">
        <v>19450</v>
      </c>
    </row>
    <row r="38" spans="1:3">
      <c r="A38" t="s">
        <v>19472</v>
      </c>
      <c r="B38" s="298" t="s">
        <v>19793</v>
      </c>
      <c r="C38" t="s">
        <v>19367</v>
      </c>
    </row>
    <row r="39" spans="1:3">
      <c r="A39" t="s">
        <v>19513</v>
      </c>
      <c r="B39" s="298" t="s">
        <v>19794</v>
      </c>
    </row>
    <row r="40" spans="1:3">
      <c r="A40" t="s">
        <v>19999</v>
      </c>
      <c r="B40" s="298" t="s">
        <v>20000</v>
      </c>
      <c r="C40" t="s">
        <v>20001</v>
      </c>
    </row>
    <row r="41" spans="1:3">
      <c r="A41" t="s">
        <v>19570</v>
      </c>
      <c r="B41" s="298" t="s">
        <v>20003</v>
      </c>
      <c r="C41" t="s">
        <v>20004</v>
      </c>
    </row>
    <row r="42" spans="1:3">
      <c r="A42" t="s">
        <v>19582</v>
      </c>
      <c r="B42" s="298" t="s">
        <v>20014</v>
      </c>
      <c r="C42" t="s">
        <v>20015</v>
      </c>
    </row>
    <row r="43" spans="1:3">
      <c r="A43" t="s">
        <v>19587</v>
      </c>
      <c r="B43" s="298" t="s">
        <v>20025</v>
      </c>
      <c r="C43" t="s">
        <v>20026</v>
      </c>
    </row>
    <row r="44" spans="1:3">
      <c r="A44" s="289" t="s">
        <v>19593</v>
      </c>
      <c r="B44" s="280" t="s">
        <v>20034</v>
      </c>
      <c r="C44" s="279" t="s">
        <v>19347</v>
      </c>
    </row>
    <row r="45" spans="1:3">
      <c r="A45" t="s">
        <v>19594</v>
      </c>
      <c r="B45" s="298" t="s">
        <v>20035</v>
      </c>
      <c r="C45" t="s">
        <v>19267</v>
      </c>
    </row>
    <row r="46" spans="1:3">
      <c r="A46" t="s">
        <v>19598</v>
      </c>
      <c r="B46" s="298" t="s">
        <v>20038</v>
      </c>
      <c r="C46" t="s">
        <v>20039</v>
      </c>
    </row>
    <row r="47" spans="1:3">
      <c r="A47" t="s">
        <v>19604</v>
      </c>
      <c r="B47" s="298" t="s">
        <v>20048</v>
      </c>
      <c r="C47" t="s">
        <v>20049</v>
      </c>
    </row>
    <row r="48" spans="1:3">
      <c r="A48" t="s">
        <v>19605</v>
      </c>
      <c r="B48" s="298" t="s">
        <v>20050</v>
      </c>
      <c r="C48" t="s">
        <v>19238</v>
      </c>
    </row>
    <row r="49" spans="1:3">
      <c r="A49" t="s">
        <v>19612</v>
      </c>
      <c r="B49" s="298" t="s">
        <v>20056</v>
      </c>
      <c r="C49" t="s">
        <v>19238</v>
      </c>
    </row>
    <row r="50" spans="1:3">
      <c r="A50" t="s">
        <v>19615</v>
      </c>
      <c r="B50" s="298" t="s">
        <v>20061</v>
      </c>
      <c r="C50" s="307" t="s">
        <v>20062</v>
      </c>
    </row>
    <row r="51" spans="1:3">
      <c r="A51" t="s">
        <v>19616</v>
      </c>
      <c r="B51" s="298" t="s">
        <v>20063</v>
      </c>
      <c r="C51" s="307" t="s">
        <v>20064</v>
      </c>
    </row>
    <row r="52" spans="1:3">
      <c r="A52" t="s">
        <v>19622</v>
      </c>
      <c r="B52" s="298" t="s">
        <v>20077</v>
      </c>
      <c r="C52" t="s">
        <v>20078</v>
      </c>
    </row>
    <row r="53" spans="1:3">
      <c r="A53" s="289" t="s">
        <v>19633</v>
      </c>
      <c r="B53" s="280" t="s">
        <v>20092</v>
      </c>
      <c r="C53" s="308" t="s">
        <v>20093</v>
      </c>
    </row>
    <row r="54" spans="1:3">
      <c r="A54" s="309" t="s">
        <v>19645</v>
      </c>
      <c r="B54" s="310" t="s">
        <v>19859</v>
      </c>
      <c r="C54" s="311" t="s">
        <v>19860</v>
      </c>
    </row>
    <row r="55" spans="1:3">
      <c r="A55" t="s">
        <v>19648</v>
      </c>
      <c r="B55" s="298" t="s">
        <v>20114</v>
      </c>
      <c r="C55" t="s">
        <v>20115</v>
      </c>
    </row>
    <row r="56" spans="1:3">
      <c r="A56" t="s">
        <v>19649</v>
      </c>
      <c r="B56" s="312" t="s">
        <v>20116</v>
      </c>
      <c r="C56" t="s">
        <v>20117</v>
      </c>
    </row>
    <row r="57" spans="1:3">
      <c r="A57" t="s">
        <v>19650</v>
      </c>
      <c r="B57" s="298" t="s">
        <v>20118</v>
      </c>
      <c r="C57" t="s">
        <v>19754</v>
      </c>
    </row>
    <row r="58" spans="1:3">
      <c r="A58" t="s">
        <v>19652</v>
      </c>
      <c r="B58" s="298" t="s">
        <v>20120</v>
      </c>
      <c r="C58" t="s">
        <v>20121</v>
      </c>
    </row>
    <row r="59" spans="1:3">
      <c r="A59" t="s">
        <v>19654</v>
      </c>
      <c r="B59" s="298" t="s">
        <v>20124</v>
      </c>
      <c r="C59" t="s">
        <v>20125</v>
      </c>
    </row>
    <row r="60" spans="1:3">
      <c r="A60" t="s">
        <v>19655</v>
      </c>
      <c r="B60" s="298" t="s">
        <v>20126</v>
      </c>
      <c r="C60" t="s">
        <v>20127</v>
      </c>
    </row>
    <row r="61" spans="1:3">
      <c r="A61" s="289" t="s">
        <v>19667</v>
      </c>
      <c r="B61" s="280" t="s">
        <v>20144</v>
      </c>
      <c r="C61" s="279" t="s">
        <v>20145</v>
      </c>
    </row>
    <row r="62" spans="1:3">
      <c r="A62" s="289" t="s">
        <v>19668</v>
      </c>
      <c r="B62" s="280" t="s">
        <v>20146</v>
      </c>
      <c r="C62" s="279" t="s">
        <v>20147</v>
      </c>
    </row>
    <row r="63" spans="1:3">
      <c r="A63" s="289" t="s">
        <v>19673</v>
      </c>
      <c r="B63" s="280" t="s">
        <v>20148</v>
      </c>
      <c r="C63" s="279" t="s">
        <v>19384</v>
      </c>
    </row>
    <row r="64" spans="1:3">
      <c r="A64" s="309" t="s">
        <v>19690</v>
      </c>
      <c r="B64" s="310" t="s">
        <v>19890</v>
      </c>
      <c r="C64" s="311" t="s">
        <v>19860</v>
      </c>
    </row>
    <row r="65" spans="2:2">
      <c r="B65" s="298"/>
    </row>
    <row r="66" spans="2:2">
      <c r="B66" s="298"/>
    </row>
    <row r="67" spans="2:2">
      <c r="B67" s="298"/>
    </row>
    <row r="68" spans="2:2">
      <c r="B68" s="298"/>
    </row>
    <row r="69" spans="2:2">
      <c r="B69" s="298"/>
    </row>
    <row r="70" spans="2:2">
      <c r="B70" s="298"/>
    </row>
    <row r="71" spans="2:2">
      <c r="B71" s="298"/>
    </row>
    <row r="72" spans="2:2">
      <c r="B72" s="298"/>
    </row>
    <row r="73" spans="2:2">
      <c r="B73" s="298"/>
    </row>
    <row r="74" spans="2:2">
      <c r="B74" s="298"/>
    </row>
    <row r="75" spans="2:2">
      <c r="B75" s="298"/>
    </row>
    <row r="76" spans="2:2">
      <c r="B76" s="298"/>
    </row>
    <row r="77" spans="2:2">
      <c r="B77" s="298"/>
    </row>
    <row r="78" spans="2:2">
      <c r="B78" s="298"/>
    </row>
    <row r="79" spans="2:2">
      <c r="B79" s="298"/>
    </row>
    <row r="80" spans="2:2">
      <c r="B80" s="29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1EE-55FB-485E-95B4-7023FBD26338}">
  <sheetPr codeName="Hoja4"/>
  <dimension ref="A1:E27"/>
  <sheetViews>
    <sheetView workbookViewId="0">
      <selection activeCell="C10" sqref="C10"/>
    </sheetView>
  </sheetViews>
  <sheetFormatPr baseColWidth="10" defaultColWidth="11.44140625" defaultRowHeight="14.4"/>
  <cols>
    <col min="1" max="1" width="84.88671875" customWidth="1"/>
    <col min="2" max="2" width="59" bestFit="1" customWidth="1"/>
    <col min="3" max="3" width="12.44140625" bestFit="1" customWidth="1"/>
    <col min="4" max="4" width="32" bestFit="1" customWidth="1"/>
    <col min="5" max="5" width="117.109375" customWidth="1"/>
  </cols>
  <sheetData>
    <row r="1" spans="1:5" ht="15.6">
      <c r="A1" s="14" t="s">
        <v>1233</v>
      </c>
      <c r="B1" s="13" t="s">
        <v>1</v>
      </c>
      <c r="C1" s="13" t="s">
        <v>2</v>
      </c>
      <c r="D1" s="14" t="s">
        <v>1233</v>
      </c>
      <c r="E1" s="40" t="s">
        <v>1234</v>
      </c>
    </row>
    <row r="2" spans="1:5" ht="15.6">
      <c r="A2" s="46"/>
      <c r="B2" s="45" t="s">
        <v>1235</v>
      </c>
      <c r="C2" s="45"/>
      <c r="D2" s="46"/>
      <c r="E2" s="256"/>
    </row>
    <row r="3" spans="1:5" ht="15.6">
      <c r="A3" s="10" t="s">
        <v>1236</v>
      </c>
      <c r="B3" s="2" t="s">
        <v>1237</v>
      </c>
      <c r="C3" s="3" t="s">
        <v>1238</v>
      </c>
      <c r="D3" s="1" t="s">
        <v>1239</v>
      </c>
      <c r="E3" s="256"/>
    </row>
    <row r="4" spans="1:5" ht="15.6">
      <c r="A4" s="10" t="s">
        <v>1236</v>
      </c>
      <c r="B4" s="2" t="s">
        <v>1240</v>
      </c>
      <c r="C4" s="3" t="s">
        <v>1241</v>
      </c>
      <c r="D4" s="1" t="s">
        <v>1242</v>
      </c>
      <c r="E4" s="256" t="s">
        <v>1243</v>
      </c>
    </row>
    <row r="5" spans="1:5" ht="15.6">
      <c r="A5" s="10" t="s">
        <v>1236</v>
      </c>
      <c r="B5" s="2" t="s">
        <v>1240</v>
      </c>
      <c r="C5" s="3" t="s">
        <v>1244</v>
      </c>
      <c r="D5" s="1" t="s">
        <v>1245</v>
      </c>
      <c r="E5" s="257"/>
    </row>
    <row r="6" spans="1:5" ht="15.6">
      <c r="A6" s="10" t="s">
        <v>1236</v>
      </c>
      <c r="B6" s="2" t="s">
        <v>1246</v>
      </c>
      <c r="C6" s="3" t="s">
        <v>1247</v>
      </c>
      <c r="D6" s="263" t="s">
        <v>1248</v>
      </c>
      <c r="E6" s="257"/>
    </row>
    <row r="7" spans="1:5" ht="15.6">
      <c r="A7" s="10" t="s">
        <v>1236</v>
      </c>
      <c r="B7" s="2" t="s">
        <v>2393</v>
      </c>
      <c r="C7" s="3" t="s">
        <v>2394</v>
      </c>
      <c r="D7" s="1" t="s">
        <v>2395</v>
      </c>
      <c r="E7" s="257"/>
    </row>
    <row r="8" spans="1:5" ht="15.6">
      <c r="A8" s="10" t="s">
        <v>1236</v>
      </c>
      <c r="B8" s="2" t="s">
        <v>1249</v>
      </c>
      <c r="C8" s="3" t="s">
        <v>1250</v>
      </c>
      <c r="D8" s="1" t="s">
        <v>1251</v>
      </c>
      <c r="E8" s="257"/>
    </row>
    <row r="9" spans="1:5" ht="15.6">
      <c r="A9" s="10" t="s">
        <v>1236</v>
      </c>
      <c r="B9" s="2" t="s">
        <v>1252</v>
      </c>
      <c r="C9" s="3" t="s">
        <v>87</v>
      </c>
      <c r="D9" s="1" t="s">
        <v>88</v>
      </c>
      <c r="E9" s="257"/>
    </row>
    <row r="10" spans="1:5" ht="15.6">
      <c r="A10" s="10" t="s">
        <v>1236</v>
      </c>
      <c r="B10" s="2" t="s">
        <v>1253</v>
      </c>
      <c r="C10" s="3" t="s">
        <v>1254</v>
      </c>
      <c r="D10" s="1" t="s">
        <v>425</v>
      </c>
      <c r="E10" s="257"/>
    </row>
    <row r="11" spans="1:5" ht="15.6">
      <c r="A11" s="10" t="s">
        <v>1236</v>
      </c>
      <c r="B11" s="2" t="s">
        <v>1253</v>
      </c>
      <c r="C11" s="3" t="s">
        <v>1255</v>
      </c>
      <c r="D11" s="1" t="s">
        <v>1256</v>
      </c>
      <c r="E11" s="257"/>
    </row>
    <row r="12" spans="1:5" ht="15.6">
      <c r="A12" s="10" t="s">
        <v>1236</v>
      </c>
      <c r="B12" s="2" t="s">
        <v>1253</v>
      </c>
      <c r="C12" s="3" t="s">
        <v>2426</v>
      </c>
      <c r="D12" s="1" t="s">
        <v>2427</v>
      </c>
      <c r="E12" s="257"/>
    </row>
    <row r="13" spans="1:5" ht="15.6">
      <c r="A13" s="10" t="s">
        <v>1236</v>
      </c>
      <c r="B13" s="2" t="s">
        <v>1257</v>
      </c>
      <c r="C13" s="3" t="s">
        <v>1258</v>
      </c>
      <c r="D13" s="1" t="s">
        <v>1259</v>
      </c>
      <c r="E13" s="257"/>
    </row>
    <row r="14" spans="1:5" ht="15.6">
      <c r="A14" s="10" t="s">
        <v>1236</v>
      </c>
      <c r="B14" s="2" t="s">
        <v>1260</v>
      </c>
      <c r="C14" s="3" t="s">
        <v>1261</v>
      </c>
      <c r="D14" s="1" t="s">
        <v>1262</v>
      </c>
      <c r="E14" s="257"/>
    </row>
    <row r="15" spans="1:5" ht="15.6">
      <c r="A15" s="10" t="s">
        <v>1236</v>
      </c>
      <c r="B15" s="2" t="s">
        <v>1260</v>
      </c>
      <c r="C15" s="3" t="s">
        <v>1263</v>
      </c>
      <c r="D15" s="1" t="s">
        <v>1264</v>
      </c>
      <c r="E15" s="257"/>
    </row>
    <row r="16" spans="1:5" ht="15.6">
      <c r="A16" s="10" t="s">
        <v>1236</v>
      </c>
      <c r="B16" s="2" t="s">
        <v>1260</v>
      </c>
      <c r="C16" s="3" t="s">
        <v>1265</v>
      </c>
      <c r="D16" s="1" t="s">
        <v>1266</v>
      </c>
      <c r="E16" s="257"/>
    </row>
    <row r="17" spans="1:5" ht="15.6">
      <c r="A17" s="10" t="s">
        <v>1236</v>
      </c>
      <c r="B17" s="2" t="s">
        <v>1260</v>
      </c>
      <c r="C17" s="3" t="s">
        <v>1267</v>
      </c>
      <c r="D17" s="1" t="s">
        <v>1268</v>
      </c>
      <c r="E17" s="257"/>
    </row>
    <row r="18" spans="1:5" ht="15.6">
      <c r="A18" s="10" t="s">
        <v>1236</v>
      </c>
      <c r="B18" s="2" t="s">
        <v>1260</v>
      </c>
      <c r="C18" s="3" t="s">
        <v>1269</v>
      </c>
      <c r="D18" s="1" t="s">
        <v>1270</v>
      </c>
      <c r="E18" s="257"/>
    </row>
    <row r="19" spans="1:5" ht="15.6">
      <c r="E19" s="257"/>
    </row>
    <row r="20" spans="1:5" ht="15.6">
      <c r="A20" s="61"/>
      <c r="B20" s="47" t="s">
        <v>1271</v>
      </c>
      <c r="C20" s="43"/>
      <c r="D20" s="44"/>
      <c r="E20" s="257"/>
    </row>
    <row r="21" spans="1:5" ht="15.6">
      <c r="A21" s="41" t="s">
        <v>1272</v>
      </c>
      <c r="B21" s="11" t="s">
        <v>1273</v>
      </c>
      <c r="C21" s="3" t="s">
        <v>1274</v>
      </c>
      <c r="D21" s="1" t="s">
        <v>1275</v>
      </c>
      <c r="E21" s="257"/>
    </row>
    <row r="22" spans="1:5" ht="15.6">
      <c r="A22" s="41" t="s">
        <v>1276</v>
      </c>
      <c r="B22" s="11" t="s">
        <v>1277</v>
      </c>
      <c r="C22" s="3" t="s">
        <v>1278</v>
      </c>
      <c r="D22" s="1" t="s">
        <v>1279</v>
      </c>
      <c r="E22" s="257" t="s">
        <v>1280</v>
      </c>
    </row>
    <row r="23" spans="1:5" ht="15.6">
      <c r="A23" s="41" t="s">
        <v>1276</v>
      </c>
      <c r="B23" s="11" t="s">
        <v>1281</v>
      </c>
      <c r="C23" s="3" t="s">
        <v>1282</v>
      </c>
      <c r="D23" s="1" t="s">
        <v>1283</v>
      </c>
      <c r="E23" s="257" t="s">
        <v>1280</v>
      </c>
    </row>
    <row r="24" spans="1:5" ht="15.6">
      <c r="A24" s="41" t="s">
        <v>1284</v>
      </c>
      <c r="B24" s="11" t="s">
        <v>1285</v>
      </c>
      <c r="C24" s="3" t="s">
        <v>1286</v>
      </c>
      <c r="D24" s="1" t="s">
        <v>1287</v>
      </c>
      <c r="E24" s="257" t="s">
        <v>1280</v>
      </c>
    </row>
    <row r="25" spans="1:5" ht="15.6">
      <c r="A25" s="41" t="s">
        <v>1288</v>
      </c>
      <c r="B25" s="11" t="s">
        <v>1289</v>
      </c>
      <c r="C25" s="3" t="s">
        <v>1290</v>
      </c>
      <c r="D25" s="1" t="s">
        <v>1291</v>
      </c>
      <c r="E25" s="257" t="s">
        <v>1280</v>
      </c>
    </row>
    <row r="26" spans="1:5" ht="15.6">
      <c r="A26" s="41" t="s">
        <v>1292</v>
      </c>
      <c r="B26" s="11" t="s">
        <v>1277</v>
      </c>
      <c r="C26" s="3" t="s">
        <v>1293</v>
      </c>
      <c r="D26" s="1" t="s">
        <v>1294</v>
      </c>
      <c r="E26" s="257" t="s">
        <v>1280</v>
      </c>
    </row>
    <row r="27" spans="1:5" ht="15.6">
      <c r="A27" s="41" t="s">
        <v>1292</v>
      </c>
      <c r="B27" s="11" t="s">
        <v>1295</v>
      </c>
      <c r="C27" s="3" t="s">
        <v>1296</v>
      </c>
      <c r="D27" s="1" t="s">
        <v>1297</v>
      </c>
      <c r="E27" s="257" t="s">
        <v>1280</v>
      </c>
    </row>
  </sheetData>
  <conditionalFormatting sqref="A20:E27 E19 A1:E18">
    <cfRule type="expression" dxfId="32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D3BB6-2BA0-4C09-A358-72CEFB161B59}">
  <sheetPr codeName="Hoja5"/>
  <dimension ref="A1:F105"/>
  <sheetViews>
    <sheetView topLeftCell="A52" zoomScaleNormal="100" workbookViewId="0">
      <selection activeCell="C66" sqref="C66"/>
    </sheetView>
  </sheetViews>
  <sheetFormatPr baseColWidth="10" defaultColWidth="11.44140625" defaultRowHeight="14.4"/>
  <cols>
    <col min="1" max="1" width="69" style="39" customWidth="1"/>
    <col min="2" max="2" width="69.44140625" style="15" customWidth="1"/>
    <col min="3" max="3" width="12.44140625" style="15" bestFit="1" customWidth="1"/>
    <col min="4" max="4" width="32" style="15" bestFit="1" customWidth="1"/>
    <col min="5" max="5" width="245.6640625" style="15" bestFit="1" customWidth="1"/>
    <col min="6" max="16384" width="11.44140625" style="15"/>
  </cols>
  <sheetData>
    <row r="1" spans="1:6" ht="15" customHeight="1">
      <c r="A1" s="319" t="s">
        <v>1298</v>
      </c>
      <c r="B1" s="319"/>
      <c r="C1" s="319"/>
      <c r="D1" s="319"/>
      <c r="E1" s="319"/>
    </row>
    <row r="2" spans="1:6">
      <c r="A2" s="319"/>
      <c r="B2" s="319"/>
      <c r="C2" s="319"/>
      <c r="D2" s="319"/>
      <c r="E2" s="319"/>
    </row>
    <row r="3" spans="1:6">
      <c r="A3" s="319"/>
      <c r="B3" s="319"/>
      <c r="C3" s="319"/>
      <c r="D3" s="319"/>
      <c r="E3" s="319"/>
    </row>
    <row r="4" spans="1:6">
      <c r="A4" s="319"/>
      <c r="B4" s="319"/>
      <c r="C4" s="319"/>
      <c r="D4" s="319"/>
      <c r="E4" s="319"/>
    </row>
    <row r="5" spans="1:6">
      <c r="A5" s="319"/>
      <c r="B5" s="319"/>
      <c r="C5" s="319"/>
      <c r="D5" s="319"/>
      <c r="E5" s="319"/>
    </row>
    <row r="6" spans="1:6" ht="203.25" customHeight="1">
      <c r="A6" s="319"/>
      <c r="B6" s="319"/>
      <c r="C6" s="319"/>
      <c r="D6" s="319"/>
      <c r="E6" s="319"/>
    </row>
    <row r="8" spans="1:6" ht="15.6">
      <c r="A8" s="16" t="s">
        <v>1233</v>
      </c>
      <c r="B8" s="17" t="s">
        <v>1</v>
      </c>
      <c r="C8" s="17" t="s">
        <v>2</v>
      </c>
      <c r="D8" s="18" t="s">
        <v>1233</v>
      </c>
      <c r="E8" s="19" t="s">
        <v>1234</v>
      </c>
    </row>
    <row r="9" spans="1:6" ht="15.6">
      <c r="A9" s="58"/>
      <c r="B9" s="45" t="s">
        <v>1299</v>
      </c>
      <c r="C9" s="45"/>
      <c r="D9" s="46"/>
      <c r="E9" s="19"/>
    </row>
    <row r="10" spans="1:6" ht="15.6">
      <c r="A10" s="20" t="s">
        <v>1300</v>
      </c>
      <c r="B10" s="21" t="s">
        <v>1301</v>
      </c>
      <c r="C10" s="22" t="s">
        <v>1302</v>
      </c>
      <c r="D10" s="23" t="s">
        <v>1303</v>
      </c>
      <c r="E10" s="19"/>
    </row>
    <row r="11" spans="1:6" ht="15.6">
      <c r="A11" s="20" t="s">
        <v>1300</v>
      </c>
      <c r="B11" s="21" t="s">
        <v>1304</v>
      </c>
      <c r="C11" s="22" t="s">
        <v>1305</v>
      </c>
      <c r="D11" s="23" t="s">
        <v>1306</v>
      </c>
      <c r="E11" s="24"/>
    </row>
    <row r="12" spans="1:6" ht="30">
      <c r="A12" s="20" t="s">
        <v>1307</v>
      </c>
      <c r="B12" s="21" t="s">
        <v>2423</v>
      </c>
      <c r="C12" s="22" t="s">
        <v>1309</v>
      </c>
      <c r="D12" s="23" t="s">
        <v>1310</v>
      </c>
      <c r="E12" s="63"/>
    </row>
    <row r="13" spans="1:6" ht="30">
      <c r="A13" s="20" t="s">
        <v>1307</v>
      </c>
      <c r="B13" s="21" t="s">
        <v>1308</v>
      </c>
      <c r="C13" s="22" t="s">
        <v>1311</v>
      </c>
      <c r="D13" s="23" t="s">
        <v>1312</v>
      </c>
      <c r="E13" s="63"/>
      <c r="F13" s="26"/>
    </row>
    <row r="14" spans="1:6" ht="15.6">
      <c r="A14" s="20" t="s">
        <v>1300</v>
      </c>
      <c r="B14" s="21" t="s">
        <v>1313</v>
      </c>
      <c r="C14" s="22" t="s">
        <v>1314</v>
      </c>
      <c r="D14" s="23" t="s">
        <v>1315</v>
      </c>
      <c r="E14" s="25"/>
    </row>
    <row r="15" spans="1:6" ht="15.6">
      <c r="A15" s="20" t="s">
        <v>1300</v>
      </c>
      <c r="B15" s="21" t="s">
        <v>1316</v>
      </c>
      <c r="C15" s="22" t="s">
        <v>1317</v>
      </c>
      <c r="D15" s="23" t="s">
        <v>1318</v>
      </c>
      <c r="E15" s="25"/>
      <c r="F15" s="26"/>
    </row>
    <row r="16" spans="1:6" ht="15.6">
      <c r="A16" s="20" t="s">
        <v>1300</v>
      </c>
      <c r="B16" s="21" t="s">
        <v>1319</v>
      </c>
      <c r="C16" s="22" t="s">
        <v>1320</v>
      </c>
      <c r="D16" s="23" t="s">
        <v>1321</v>
      </c>
      <c r="E16" s="24"/>
    </row>
    <row r="17" spans="1:5" ht="15.6">
      <c r="A17" s="20" t="s">
        <v>1322</v>
      </c>
      <c r="B17" s="21" t="s">
        <v>1323</v>
      </c>
      <c r="C17" s="22" t="s">
        <v>1324</v>
      </c>
      <c r="D17" s="23" t="s">
        <v>1325</v>
      </c>
      <c r="E17" s="25"/>
    </row>
    <row r="18" spans="1:5" ht="30">
      <c r="A18" s="20" t="s">
        <v>1307</v>
      </c>
      <c r="B18" s="21" t="s">
        <v>1326</v>
      </c>
      <c r="C18" s="22" t="s">
        <v>1327</v>
      </c>
      <c r="D18" s="23" t="s">
        <v>1328</v>
      </c>
      <c r="E18" s="25"/>
    </row>
    <row r="19" spans="1:5" ht="30">
      <c r="A19" s="20" t="s">
        <v>1307</v>
      </c>
      <c r="B19" s="21" t="s">
        <v>1329</v>
      </c>
      <c r="C19" s="22" t="s">
        <v>1330</v>
      </c>
      <c r="D19" s="23" t="s">
        <v>1331</v>
      </c>
      <c r="E19" s="25"/>
    </row>
    <row r="20" spans="1:5" ht="15.6">
      <c r="A20" s="20" t="s">
        <v>1332</v>
      </c>
      <c r="B20" s="21" t="s">
        <v>1333</v>
      </c>
      <c r="C20" s="22" t="s">
        <v>1334</v>
      </c>
      <c r="D20" s="23" t="s">
        <v>1335</v>
      </c>
      <c r="E20" s="25"/>
    </row>
    <row r="21" spans="1:5" ht="30">
      <c r="A21" s="20" t="s">
        <v>1307</v>
      </c>
      <c r="B21" s="21" t="s">
        <v>1336</v>
      </c>
      <c r="C21" s="22" t="s">
        <v>1337</v>
      </c>
      <c r="D21" s="23" t="s">
        <v>1338</v>
      </c>
      <c r="E21" s="25"/>
    </row>
    <row r="22" spans="1:5" ht="30">
      <c r="A22" s="20" t="s">
        <v>1307</v>
      </c>
      <c r="B22" s="21" t="s">
        <v>1339</v>
      </c>
      <c r="C22" s="22" t="s">
        <v>1340</v>
      </c>
      <c r="D22" s="23" t="s">
        <v>1341</v>
      </c>
      <c r="E22" s="25"/>
    </row>
    <row r="23" spans="1:5" ht="15.6">
      <c r="A23" s="20"/>
      <c r="B23" s="21" t="s">
        <v>1342</v>
      </c>
      <c r="C23" s="22" t="s">
        <v>2396</v>
      </c>
      <c r="D23" s="23" t="s">
        <v>1343</v>
      </c>
      <c r="E23" s="62" t="s">
        <v>2399</v>
      </c>
    </row>
    <row r="24" spans="1:5" ht="15.6">
      <c r="A24" s="20"/>
      <c r="B24" s="21" t="s">
        <v>1342</v>
      </c>
      <c r="C24" s="22" t="s">
        <v>1344</v>
      </c>
      <c r="D24" s="23" t="s">
        <v>1345</v>
      </c>
      <c r="E24" s="62" t="s">
        <v>2399</v>
      </c>
    </row>
    <row r="25" spans="1:5" ht="15.6">
      <c r="A25" s="59"/>
      <c r="B25" s="42" t="s">
        <v>1346</v>
      </c>
      <c r="C25" s="43"/>
      <c r="D25" s="44"/>
      <c r="E25" s="25"/>
    </row>
    <row r="26" spans="1:5" ht="15.6">
      <c r="A26" s="20" t="s">
        <v>1347</v>
      </c>
      <c r="B26" s="27" t="s">
        <v>1347</v>
      </c>
      <c r="C26" s="22" t="s">
        <v>1348</v>
      </c>
      <c r="D26" s="23" t="s">
        <v>1349</v>
      </c>
      <c r="E26" s="25"/>
    </row>
    <row r="27" spans="1:5" ht="15.6">
      <c r="A27" s="20" t="s">
        <v>1347</v>
      </c>
      <c r="B27" s="27" t="s">
        <v>1347</v>
      </c>
      <c r="C27" s="22" t="s">
        <v>1350</v>
      </c>
      <c r="D27" s="23" t="s">
        <v>1351</v>
      </c>
      <c r="E27" s="25"/>
    </row>
    <row r="28" spans="1:5" customFormat="1" ht="15.6">
      <c r="A28" s="12" t="s">
        <v>2431</v>
      </c>
      <c r="B28" s="2" t="s">
        <v>1352</v>
      </c>
      <c r="C28" s="3" t="s">
        <v>1353</v>
      </c>
      <c r="D28" s="1" t="s">
        <v>1354</v>
      </c>
      <c r="E28" s="62" t="s">
        <v>2399</v>
      </c>
    </row>
    <row r="29" spans="1:5" customFormat="1" ht="15.6">
      <c r="A29" s="12"/>
      <c r="B29" s="2" t="s">
        <v>1355</v>
      </c>
      <c r="C29" s="3" t="s">
        <v>1356</v>
      </c>
      <c r="D29" s="1" t="s">
        <v>1357</v>
      </c>
      <c r="E29" s="62" t="s">
        <v>2399</v>
      </c>
    </row>
    <row r="30" spans="1:5" ht="15.6">
      <c r="A30" s="20"/>
      <c r="B30" s="21" t="s">
        <v>1358</v>
      </c>
      <c r="C30" s="22" t="s">
        <v>1359</v>
      </c>
      <c r="D30" s="23" t="s">
        <v>1360</v>
      </c>
      <c r="E30" s="4" t="s">
        <v>2434</v>
      </c>
    </row>
    <row r="31" spans="1:5" ht="15.6">
      <c r="A31" s="27" t="s">
        <v>1362</v>
      </c>
      <c r="B31" s="21" t="s">
        <v>1363</v>
      </c>
      <c r="C31" s="22" t="s">
        <v>1364</v>
      </c>
      <c r="D31" s="23" t="s">
        <v>1365</v>
      </c>
      <c r="E31" s="4" t="s">
        <v>1361</v>
      </c>
    </row>
    <row r="32" spans="1:5" ht="30">
      <c r="A32" s="261" t="s">
        <v>2381</v>
      </c>
      <c r="B32" s="21" t="s">
        <v>2382</v>
      </c>
      <c r="C32" s="22" t="s">
        <v>2383</v>
      </c>
      <c r="D32" s="262" t="s">
        <v>2384</v>
      </c>
      <c r="E32" s="4"/>
    </row>
    <row r="33" spans="1:6" ht="15.6">
      <c r="A33" s="28" t="s">
        <v>1366</v>
      </c>
      <c r="B33" s="21" t="s">
        <v>1367</v>
      </c>
      <c r="C33" s="22" t="s">
        <v>1368</v>
      </c>
      <c r="D33" s="29" t="s">
        <v>1369</v>
      </c>
      <c r="E33" s="4" t="s">
        <v>2434</v>
      </c>
    </row>
    <row r="34" spans="1:6" ht="15.6">
      <c r="A34" s="28" t="s">
        <v>1370</v>
      </c>
      <c r="B34" s="21" t="s">
        <v>1371</v>
      </c>
      <c r="C34" s="22" t="s">
        <v>1372</v>
      </c>
      <c r="D34" s="29" t="s">
        <v>1373</v>
      </c>
      <c r="E34" s="25" t="s">
        <v>2434</v>
      </c>
    </row>
    <row r="35" spans="1:6" ht="15.6">
      <c r="A35" s="20" t="s">
        <v>1374</v>
      </c>
      <c r="B35" s="21" t="s">
        <v>1375</v>
      </c>
      <c r="C35" s="22" t="s">
        <v>1376</v>
      </c>
      <c r="D35" s="23" t="s">
        <v>1377</v>
      </c>
      <c r="E35" s="62" t="s">
        <v>2399</v>
      </c>
    </row>
    <row r="36" spans="1:6" ht="15.6">
      <c r="A36" s="20" t="s">
        <v>1378</v>
      </c>
      <c r="B36" s="21" t="s">
        <v>1379</v>
      </c>
      <c r="C36" s="22" t="s">
        <v>1380</v>
      </c>
      <c r="D36" s="23" t="s">
        <v>1381</v>
      </c>
      <c r="E36" s="62" t="s">
        <v>2399</v>
      </c>
    </row>
    <row r="37" spans="1:6" ht="15.6">
      <c r="A37" s="20"/>
      <c r="B37" s="21" t="s">
        <v>1382</v>
      </c>
      <c r="C37" s="22" t="s">
        <v>1383</v>
      </c>
      <c r="D37" s="23" t="s">
        <v>1384</v>
      </c>
      <c r="E37" s="62" t="s">
        <v>2399</v>
      </c>
      <c r="F37" s="15" t="s">
        <v>1385</v>
      </c>
    </row>
    <row r="38" spans="1:6" ht="15.6">
      <c r="A38" s="20"/>
      <c r="B38" s="21" t="s">
        <v>2407</v>
      </c>
      <c r="C38" s="22" t="s">
        <v>1386</v>
      </c>
      <c r="D38" s="23" t="s">
        <v>2420</v>
      </c>
      <c r="E38" s="25" t="s">
        <v>2421</v>
      </c>
    </row>
    <row r="39" spans="1:6" ht="15.6">
      <c r="A39" s="20" t="s">
        <v>1387</v>
      </c>
      <c r="B39" s="21" t="s">
        <v>1388</v>
      </c>
      <c r="C39" s="22" t="s">
        <v>1389</v>
      </c>
      <c r="D39" s="23" t="s">
        <v>1390</v>
      </c>
      <c r="E39" s="25"/>
    </row>
    <row r="40" spans="1:6" ht="30">
      <c r="A40" s="31" t="s">
        <v>1391</v>
      </c>
      <c r="B40" s="31" t="s">
        <v>1391</v>
      </c>
      <c r="C40" s="22" t="s">
        <v>1392</v>
      </c>
      <c r="D40" s="23" t="s">
        <v>1393</v>
      </c>
      <c r="E40" s="62" t="s">
        <v>2399</v>
      </c>
    </row>
    <row r="41" spans="1:6" ht="30">
      <c r="A41" s="28" t="s">
        <v>1394</v>
      </c>
      <c r="B41" s="28" t="s">
        <v>1394</v>
      </c>
      <c r="C41" s="22" t="s">
        <v>1395</v>
      </c>
      <c r="D41" s="23" t="s">
        <v>1396</v>
      </c>
      <c r="E41" s="25"/>
    </row>
    <row r="42" spans="1:6" ht="15.6">
      <c r="A42" s="28" t="s">
        <v>1397</v>
      </c>
      <c r="B42" s="21"/>
      <c r="C42" s="22" t="s">
        <v>1398</v>
      </c>
      <c r="D42" s="29" t="s">
        <v>1399</v>
      </c>
      <c r="E42" s="25" t="s">
        <v>1400</v>
      </c>
    </row>
    <row r="43" spans="1:6" ht="15.6">
      <c r="A43" s="28" t="s">
        <v>1401</v>
      </c>
      <c r="B43" s="21"/>
      <c r="C43" s="22" t="s">
        <v>1402</v>
      </c>
      <c r="D43" s="29" t="s">
        <v>1403</v>
      </c>
      <c r="E43" s="25" t="s">
        <v>1400</v>
      </c>
    </row>
    <row r="44" spans="1:6" ht="15.6">
      <c r="A44" s="28" t="s">
        <v>1401</v>
      </c>
      <c r="B44" s="21"/>
      <c r="C44" s="22" t="s">
        <v>1404</v>
      </c>
      <c r="D44" s="29" t="s">
        <v>1405</v>
      </c>
      <c r="E44" s="25" t="s">
        <v>1400</v>
      </c>
    </row>
    <row r="45" spans="1:6" ht="15.6">
      <c r="A45" s="28" t="s">
        <v>1401</v>
      </c>
      <c r="B45" s="21"/>
      <c r="C45" s="22" t="s">
        <v>1404</v>
      </c>
      <c r="D45" s="29" t="s">
        <v>1406</v>
      </c>
      <c r="E45" s="25" t="s">
        <v>1400</v>
      </c>
    </row>
    <row r="46" spans="1:6" ht="30">
      <c r="A46" s="28" t="s">
        <v>1407</v>
      </c>
      <c r="B46" s="21"/>
      <c r="C46" s="22" t="s">
        <v>1408</v>
      </c>
      <c r="D46" s="29" t="s">
        <v>1409</v>
      </c>
      <c r="E46" s="25" t="s">
        <v>1410</v>
      </c>
    </row>
    <row r="47" spans="1:6" ht="15.6">
      <c r="A47" s="59"/>
      <c r="B47" s="42" t="s">
        <v>1411</v>
      </c>
      <c r="C47" s="43"/>
      <c r="D47" s="44"/>
      <c r="E47" s="25"/>
    </row>
    <row r="48" spans="1:6" ht="30">
      <c r="A48" s="30" t="s">
        <v>1412</v>
      </c>
      <c r="B48" s="21" t="s">
        <v>1413</v>
      </c>
      <c r="C48" s="22" t="s">
        <v>1414</v>
      </c>
      <c r="D48" s="23" t="s">
        <v>1415</v>
      </c>
      <c r="E48" s="25" t="s">
        <v>1400</v>
      </c>
    </row>
    <row r="49" spans="1:5" ht="15.6">
      <c r="A49" s="60"/>
      <c r="B49" s="42" t="s">
        <v>1416</v>
      </c>
      <c r="C49" s="43"/>
      <c r="D49" s="44"/>
      <c r="E49" s="25"/>
    </row>
    <row r="50" spans="1:5" ht="30">
      <c r="A50" s="28" t="s">
        <v>1417</v>
      </c>
      <c r="B50" s="21" t="s">
        <v>1418</v>
      </c>
      <c r="C50" s="22" t="s">
        <v>1419</v>
      </c>
      <c r="D50" s="29" t="s">
        <v>1420</v>
      </c>
      <c r="E50" s="25"/>
    </row>
    <row r="51" spans="1:5" ht="30">
      <c r="A51" s="28" t="s">
        <v>1417</v>
      </c>
      <c r="B51" s="21" t="s">
        <v>1421</v>
      </c>
      <c r="C51" s="22" t="s">
        <v>1422</v>
      </c>
      <c r="D51" s="29" t="s">
        <v>1423</v>
      </c>
      <c r="E51" s="32"/>
    </row>
    <row r="52" spans="1:5" ht="15">
      <c r="A52" s="20" t="s">
        <v>1236</v>
      </c>
      <c r="B52" s="21" t="s">
        <v>1424</v>
      </c>
      <c r="C52" s="22" t="s">
        <v>1425</v>
      </c>
      <c r="D52" s="23" t="s">
        <v>2406</v>
      </c>
      <c r="E52" s="32" t="s">
        <v>2432</v>
      </c>
    </row>
    <row r="53" spans="1:5" ht="15">
      <c r="A53" s="20" t="s">
        <v>1236</v>
      </c>
      <c r="B53" s="21" t="s">
        <v>1424</v>
      </c>
      <c r="C53" s="22" t="s">
        <v>1426</v>
      </c>
      <c r="D53" s="23" t="s">
        <v>1427</v>
      </c>
      <c r="E53" s="32"/>
    </row>
    <row r="54" spans="1:5" ht="15">
      <c r="A54" s="20" t="s">
        <v>1236</v>
      </c>
      <c r="B54" s="21" t="s">
        <v>1428</v>
      </c>
      <c r="C54" s="22" t="s">
        <v>1429</v>
      </c>
      <c r="D54" s="23" t="s">
        <v>1430</v>
      </c>
      <c r="E54" s="32"/>
    </row>
    <row r="55" spans="1:5" ht="15">
      <c r="A55" s="28" t="s">
        <v>1431</v>
      </c>
      <c r="B55" s="21" t="s">
        <v>1432</v>
      </c>
      <c r="C55" s="22" t="s">
        <v>1433</v>
      </c>
      <c r="D55" s="23" t="s">
        <v>1434</v>
      </c>
      <c r="E55" s="32"/>
    </row>
    <row r="56" spans="1:5" ht="15">
      <c r="A56" s="28" t="s">
        <v>1431</v>
      </c>
      <c r="B56" s="21" t="s">
        <v>1435</v>
      </c>
      <c r="C56" s="22" t="s">
        <v>1436</v>
      </c>
      <c r="D56" s="23" t="s">
        <v>1437</v>
      </c>
      <c r="E56" s="32"/>
    </row>
    <row r="57" spans="1:5" ht="15">
      <c r="A57" s="28" t="s">
        <v>1431</v>
      </c>
      <c r="B57" s="21" t="s">
        <v>1438</v>
      </c>
      <c r="C57" s="22" t="s">
        <v>1439</v>
      </c>
      <c r="D57" s="29" t="s">
        <v>1440</v>
      </c>
      <c r="E57" s="32"/>
    </row>
    <row r="58" spans="1:5" ht="15">
      <c r="A58" s="254" t="s">
        <v>1236</v>
      </c>
      <c r="B58" s="21" t="s">
        <v>1441</v>
      </c>
      <c r="C58" s="22" t="s">
        <v>1442</v>
      </c>
      <c r="D58" s="255" t="s">
        <v>1443</v>
      </c>
      <c r="E58" s="32"/>
    </row>
    <row r="59" spans="1:5" ht="30">
      <c r="A59" s="31" t="s">
        <v>1444</v>
      </c>
      <c r="B59" s="30" t="s">
        <v>1445</v>
      </c>
      <c r="C59" s="22" t="s">
        <v>1446</v>
      </c>
      <c r="D59" s="33" t="s">
        <v>1447</v>
      </c>
      <c r="E59" s="32"/>
    </row>
    <row r="60" spans="1:5" ht="15">
      <c r="A60" s="34" t="s">
        <v>1236</v>
      </c>
      <c r="B60" s="21" t="s">
        <v>1448</v>
      </c>
      <c r="C60" s="22" t="s">
        <v>1449</v>
      </c>
      <c r="D60" s="29" t="s">
        <v>1450</v>
      </c>
      <c r="E60" s="32"/>
    </row>
    <row r="61" spans="1:5" ht="15">
      <c r="A61" s="34" t="s">
        <v>1236</v>
      </c>
      <c r="B61" s="21" t="s">
        <v>1448</v>
      </c>
      <c r="C61" s="22" t="s">
        <v>1451</v>
      </c>
      <c r="D61" s="29" t="s">
        <v>1452</v>
      </c>
      <c r="E61" s="32"/>
    </row>
    <row r="62" spans="1:5" ht="15">
      <c r="A62" s="28" t="s">
        <v>1453</v>
      </c>
      <c r="B62" s="21" t="s">
        <v>1454</v>
      </c>
      <c r="C62" s="22" t="s">
        <v>1455</v>
      </c>
      <c r="D62" s="29" t="s">
        <v>1456</v>
      </c>
      <c r="E62" s="32"/>
    </row>
    <row r="63" spans="1:5" ht="30">
      <c r="A63" s="28" t="s">
        <v>1457</v>
      </c>
      <c r="B63" s="21" t="s">
        <v>1458</v>
      </c>
      <c r="C63" s="22" t="s">
        <v>1459</v>
      </c>
      <c r="D63" s="29" t="s">
        <v>1460</v>
      </c>
      <c r="E63" s="25" t="s">
        <v>1461</v>
      </c>
    </row>
    <row r="64" spans="1:5" ht="15.6">
      <c r="A64" s="34" t="s">
        <v>1236</v>
      </c>
      <c r="B64" s="21" t="s">
        <v>1462</v>
      </c>
      <c r="C64" s="22" t="s">
        <v>1463</v>
      </c>
      <c r="D64" s="29" t="s">
        <v>1464</v>
      </c>
      <c r="E64" s="25"/>
    </row>
    <row r="65" spans="1:5" ht="15.6">
      <c r="A65" s="34" t="s">
        <v>1236</v>
      </c>
      <c r="B65" s="21" t="s">
        <v>1462</v>
      </c>
      <c r="C65" s="22" t="s">
        <v>1465</v>
      </c>
      <c r="D65" s="29" t="s">
        <v>1466</v>
      </c>
      <c r="E65" s="25"/>
    </row>
    <row r="66" spans="1:5" ht="15.6">
      <c r="A66" s="28" t="s">
        <v>1431</v>
      </c>
      <c r="B66" s="21" t="s">
        <v>1467</v>
      </c>
      <c r="C66" s="22" t="s">
        <v>1468</v>
      </c>
      <c r="D66" s="35" t="s">
        <v>1469</v>
      </c>
      <c r="E66" s="25"/>
    </row>
    <row r="67" spans="1:5" ht="15.6">
      <c r="A67" s="28" t="s">
        <v>1431</v>
      </c>
      <c r="B67" s="21" t="s">
        <v>1467</v>
      </c>
      <c r="C67" s="22" t="s">
        <v>1470</v>
      </c>
      <c r="D67" s="35" t="s">
        <v>1471</v>
      </c>
      <c r="E67" s="25"/>
    </row>
    <row r="68" spans="1:5" ht="15.6">
      <c r="A68" s="28" t="s">
        <v>1431</v>
      </c>
      <c r="B68" s="21" t="s">
        <v>1472</v>
      </c>
      <c r="C68" s="22" t="s">
        <v>1473</v>
      </c>
      <c r="D68" s="35" t="s">
        <v>1474</v>
      </c>
      <c r="E68" s="25"/>
    </row>
    <row r="69" spans="1:5" ht="15.6">
      <c r="A69" s="28" t="s">
        <v>1431</v>
      </c>
      <c r="B69" s="21" t="s">
        <v>1475</v>
      </c>
      <c r="C69" s="22" t="s">
        <v>1476</v>
      </c>
      <c r="D69" s="29" t="s">
        <v>1477</v>
      </c>
      <c r="E69" s="25"/>
    </row>
    <row r="70" spans="1:5" ht="15.6">
      <c r="A70" s="28" t="s">
        <v>1431</v>
      </c>
      <c r="B70" s="21" t="s">
        <v>1478</v>
      </c>
      <c r="C70" s="22" t="s">
        <v>1479</v>
      </c>
      <c r="D70" s="29" t="s">
        <v>1480</v>
      </c>
      <c r="E70" s="25"/>
    </row>
    <row r="71" spans="1:5" ht="15.6">
      <c r="A71" s="28" t="s">
        <v>1431</v>
      </c>
      <c r="B71" s="21" t="s">
        <v>1481</v>
      </c>
      <c r="C71" s="22" t="s">
        <v>1482</v>
      </c>
      <c r="D71" s="29" t="s">
        <v>1483</v>
      </c>
      <c r="E71" s="25" t="s">
        <v>1400</v>
      </c>
    </row>
    <row r="72" spans="1:5" ht="15.6">
      <c r="A72" s="28" t="s">
        <v>1431</v>
      </c>
      <c r="B72" s="21" t="s">
        <v>1484</v>
      </c>
      <c r="C72" s="22" t="s">
        <v>1485</v>
      </c>
      <c r="D72" s="29" t="s">
        <v>1486</v>
      </c>
      <c r="E72" s="25"/>
    </row>
    <row r="73" spans="1:5" ht="15.6">
      <c r="A73" s="28" t="s">
        <v>1431</v>
      </c>
      <c r="B73" s="21" t="s">
        <v>1484</v>
      </c>
      <c r="C73" s="22" t="s">
        <v>1487</v>
      </c>
      <c r="D73" s="262"/>
      <c r="E73" s="25" t="s">
        <v>2433</v>
      </c>
    </row>
    <row r="74" spans="1:5" ht="15.6">
      <c r="A74" s="28" t="s">
        <v>1431</v>
      </c>
      <c r="B74" s="21" t="s">
        <v>2428</v>
      </c>
      <c r="C74" s="22" t="s">
        <v>2429</v>
      </c>
      <c r="D74" s="29" t="s">
        <v>2430</v>
      </c>
      <c r="E74" s="25"/>
    </row>
    <row r="75" spans="1:5" ht="15.6">
      <c r="A75" s="28" t="s">
        <v>1431</v>
      </c>
      <c r="B75" s="21" t="s">
        <v>1488</v>
      </c>
      <c r="C75" s="22" t="s">
        <v>1489</v>
      </c>
      <c r="D75" s="29" t="s">
        <v>1490</v>
      </c>
      <c r="E75" s="25"/>
    </row>
    <row r="76" spans="1:5" ht="15.6">
      <c r="A76" s="28" t="s">
        <v>1431</v>
      </c>
      <c r="B76" s="21" t="s">
        <v>1491</v>
      </c>
      <c r="C76" s="22" t="s">
        <v>1492</v>
      </c>
      <c r="D76" s="29" t="s">
        <v>1493</v>
      </c>
      <c r="E76" s="25"/>
    </row>
    <row r="77" spans="1:5" ht="15.6">
      <c r="A77" s="28" t="s">
        <v>1431</v>
      </c>
      <c r="B77" s="21" t="s">
        <v>1494</v>
      </c>
      <c r="C77" s="22" t="s">
        <v>1495</v>
      </c>
      <c r="D77" s="29" t="s">
        <v>1496</v>
      </c>
      <c r="E77" s="25"/>
    </row>
    <row r="78" spans="1:5" ht="15.6">
      <c r="A78" s="28" t="s">
        <v>1431</v>
      </c>
      <c r="B78" s="21" t="s">
        <v>1497</v>
      </c>
      <c r="C78" s="22" t="s">
        <v>1498</v>
      </c>
      <c r="D78" s="36" t="s">
        <v>1499</v>
      </c>
      <c r="E78" s="25"/>
    </row>
    <row r="79" spans="1:5" ht="15.6">
      <c r="A79" s="28" t="s">
        <v>1431</v>
      </c>
      <c r="B79" s="21" t="s">
        <v>1500</v>
      </c>
      <c r="C79" s="22" t="s">
        <v>1501</v>
      </c>
      <c r="D79" s="36" t="s">
        <v>1502</v>
      </c>
      <c r="E79" s="25"/>
    </row>
    <row r="80" spans="1:5" ht="15.6">
      <c r="A80" s="28" t="s">
        <v>1431</v>
      </c>
      <c r="B80" s="21" t="s">
        <v>1503</v>
      </c>
      <c r="C80" s="22" t="s">
        <v>1504</v>
      </c>
      <c r="D80" s="29" t="s">
        <v>1505</v>
      </c>
      <c r="E80" s="25"/>
    </row>
    <row r="81" spans="1:5" ht="15.6">
      <c r="A81" s="28" t="s">
        <v>1431</v>
      </c>
      <c r="B81" s="21" t="s">
        <v>1506</v>
      </c>
      <c r="C81" s="22" t="s">
        <v>1507</v>
      </c>
      <c r="D81" s="29" t="s">
        <v>1508</v>
      </c>
      <c r="E81" s="25"/>
    </row>
    <row r="82" spans="1:5" ht="15.6">
      <c r="A82" s="28" t="s">
        <v>1431</v>
      </c>
      <c r="B82" s="21" t="s">
        <v>1509</v>
      </c>
      <c r="C82" s="22" t="s">
        <v>1510</v>
      </c>
      <c r="D82" s="29" t="s">
        <v>1511</v>
      </c>
      <c r="E82" s="25"/>
    </row>
    <row r="83" spans="1:5" ht="15.6">
      <c r="A83" s="28" t="s">
        <v>1431</v>
      </c>
      <c r="B83" s="21" t="s">
        <v>1509</v>
      </c>
      <c r="C83" s="22" t="s">
        <v>1512</v>
      </c>
      <c r="D83" s="29" t="s">
        <v>1513</v>
      </c>
      <c r="E83" s="25"/>
    </row>
    <row r="84" spans="1:5" ht="15.6">
      <c r="A84" s="28" t="s">
        <v>1431</v>
      </c>
      <c r="B84" s="21" t="s">
        <v>1509</v>
      </c>
      <c r="C84" s="22" t="s">
        <v>14</v>
      </c>
      <c r="D84" s="29" t="s">
        <v>1514</v>
      </c>
      <c r="E84" s="25"/>
    </row>
    <row r="85" spans="1:5" ht="15.6">
      <c r="A85" s="28" t="s">
        <v>1431</v>
      </c>
      <c r="B85" s="21" t="s">
        <v>1509</v>
      </c>
      <c r="C85" s="22" t="s">
        <v>233</v>
      </c>
      <c r="D85" s="29" t="s">
        <v>1515</v>
      </c>
      <c r="E85" s="25"/>
    </row>
    <row r="86" spans="1:5" ht="15.6">
      <c r="A86" s="28" t="s">
        <v>1431</v>
      </c>
      <c r="B86" s="21" t="s">
        <v>1509</v>
      </c>
      <c r="C86" s="22" t="s">
        <v>1516</v>
      </c>
      <c r="D86" s="29" t="s">
        <v>1517</v>
      </c>
      <c r="E86" s="25" t="s">
        <v>1518</v>
      </c>
    </row>
    <row r="87" spans="1:5" ht="15.6">
      <c r="A87" s="28" t="s">
        <v>1431</v>
      </c>
      <c r="B87" s="21" t="s">
        <v>1519</v>
      </c>
      <c r="C87" s="22" t="s">
        <v>1520</v>
      </c>
      <c r="D87" s="29"/>
      <c r="E87" s="25" t="s">
        <v>1521</v>
      </c>
    </row>
    <row r="88" spans="1:5" ht="15.6">
      <c r="A88" s="34" t="s">
        <v>1236</v>
      </c>
      <c r="B88" s="21" t="s">
        <v>1522</v>
      </c>
      <c r="C88" s="22" t="s">
        <v>1523</v>
      </c>
      <c r="D88" s="64" t="s">
        <v>1524</v>
      </c>
      <c r="E88" s="25"/>
    </row>
    <row r="89" spans="1:5" ht="15.6">
      <c r="A89" s="34" t="s">
        <v>1236</v>
      </c>
      <c r="B89" s="21" t="s">
        <v>1522</v>
      </c>
      <c r="C89" s="22" t="s">
        <v>1525</v>
      </c>
      <c r="D89" s="29" t="s">
        <v>1526</v>
      </c>
      <c r="E89" s="25"/>
    </row>
    <row r="90" spans="1:5" ht="15.6">
      <c r="A90" s="34" t="s">
        <v>1236</v>
      </c>
      <c r="B90" s="21" t="s">
        <v>1527</v>
      </c>
      <c r="C90" s="22" t="s">
        <v>1528</v>
      </c>
      <c r="D90" s="29" t="s">
        <v>1529</v>
      </c>
      <c r="E90" s="25" t="s">
        <v>1530</v>
      </c>
    </row>
    <row r="91" spans="1:5" s="107" customFormat="1" ht="15.6">
      <c r="A91" s="102" t="s">
        <v>1236</v>
      </c>
      <c r="B91" s="103" t="s">
        <v>1527</v>
      </c>
      <c r="C91" s="104" t="s">
        <v>1531</v>
      </c>
      <c r="D91" s="105" t="s">
        <v>1532</v>
      </c>
      <c r="E91" s="106" t="s">
        <v>1533</v>
      </c>
    </row>
    <row r="92" spans="1:5" ht="15.6">
      <c r="A92" s="34" t="s">
        <v>1236</v>
      </c>
      <c r="B92" s="21" t="s">
        <v>1534</v>
      </c>
      <c r="C92" s="22" t="s">
        <v>1535</v>
      </c>
      <c r="D92" s="29" t="s">
        <v>1536</v>
      </c>
      <c r="E92" s="25"/>
    </row>
    <row r="93" spans="1:5" ht="15.6">
      <c r="A93" s="34" t="s">
        <v>1236</v>
      </c>
      <c r="B93" s="144" t="s">
        <v>1537</v>
      </c>
      <c r="C93" s="145" t="s">
        <v>1538</v>
      </c>
      <c r="D93" s="143" t="s">
        <v>1539</v>
      </c>
      <c r="E93" s="25"/>
    </row>
    <row r="94" spans="1:5" ht="15.6">
      <c r="A94" s="34" t="s">
        <v>1236</v>
      </c>
      <c r="B94" s="144" t="s">
        <v>1537</v>
      </c>
      <c r="C94" s="145" t="s">
        <v>1540</v>
      </c>
      <c r="D94" s="143" t="s">
        <v>1541</v>
      </c>
      <c r="E94" s="25"/>
    </row>
    <row r="95" spans="1:5" ht="30">
      <c r="A95" s="31" t="s">
        <v>1444</v>
      </c>
      <c r="B95" s="30" t="s">
        <v>1542</v>
      </c>
      <c r="C95" s="22" t="s">
        <v>1543</v>
      </c>
      <c r="D95" s="33" t="s">
        <v>1544</v>
      </c>
      <c r="E95" s="25" t="s">
        <v>1545</v>
      </c>
    </row>
    <row r="96" spans="1:5" ht="30">
      <c r="A96" s="31" t="s">
        <v>1444</v>
      </c>
      <c r="B96" s="30" t="s">
        <v>1542</v>
      </c>
      <c r="C96" s="22" t="s">
        <v>2391</v>
      </c>
      <c r="D96" s="33" t="s">
        <v>2392</v>
      </c>
      <c r="E96" s="25"/>
    </row>
    <row r="97" spans="1:6" ht="30">
      <c r="A97" s="31" t="s">
        <v>1444</v>
      </c>
      <c r="B97" s="30" t="s">
        <v>1546</v>
      </c>
      <c r="C97" s="22" t="s">
        <v>1547</v>
      </c>
      <c r="D97" s="33" t="s">
        <v>1548</v>
      </c>
      <c r="E97" s="25"/>
    </row>
    <row r="98" spans="1:6" ht="15.6">
      <c r="A98" s="34" t="s">
        <v>1236</v>
      </c>
      <c r="B98" s="21" t="s">
        <v>1549</v>
      </c>
      <c r="C98" s="37" t="s">
        <v>1550</v>
      </c>
      <c r="D98" s="29" t="s">
        <v>1551</v>
      </c>
      <c r="E98" s="25"/>
    </row>
    <row r="99" spans="1:6" ht="15.6">
      <c r="A99" s="34" t="s">
        <v>1552</v>
      </c>
      <c r="B99" s="21" t="s">
        <v>1549</v>
      </c>
      <c r="C99" s="37" t="s">
        <v>1553</v>
      </c>
      <c r="D99" s="29" t="s">
        <v>1554</v>
      </c>
      <c r="E99" s="25" t="s">
        <v>1555</v>
      </c>
    </row>
    <row r="100" spans="1:6" ht="15.6">
      <c r="A100" s="34" t="s">
        <v>1236</v>
      </c>
      <c r="B100" s="21" t="s">
        <v>1556</v>
      </c>
      <c r="C100" s="22" t="s">
        <v>1557</v>
      </c>
      <c r="D100" s="29" t="s">
        <v>1558</v>
      </c>
      <c r="E100" s="25"/>
    </row>
    <row r="101" spans="1:6" ht="30">
      <c r="A101" s="28" t="s">
        <v>1457</v>
      </c>
      <c r="B101" s="21" t="s">
        <v>1559</v>
      </c>
      <c r="C101" s="22" t="s">
        <v>1560</v>
      </c>
      <c r="D101" s="33" t="s">
        <v>1561</v>
      </c>
      <c r="E101" s="25"/>
    </row>
    <row r="102" spans="1:6" ht="30">
      <c r="A102" s="28" t="s">
        <v>1457</v>
      </c>
      <c r="B102" s="21" t="s">
        <v>1559</v>
      </c>
      <c r="C102" s="22" t="s">
        <v>1562</v>
      </c>
      <c r="D102" s="33" t="s">
        <v>1563</v>
      </c>
      <c r="E102" s="25"/>
    </row>
    <row r="103" spans="1:6" ht="30">
      <c r="A103" s="28" t="s">
        <v>1457</v>
      </c>
      <c r="B103" s="21" t="s">
        <v>1559</v>
      </c>
      <c r="C103" s="22" t="s">
        <v>1564</v>
      </c>
      <c r="D103" s="33" t="s">
        <v>1565</v>
      </c>
      <c r="E103" s="38"/>
    </row>
    <row r="104" spans="1:6" ht="15.6">
      <c r="A104" s="34" t="s">
        <v>1236</v>
      </c>
      <c r="B104" s="21" t="s">
        <v>1566</v>
      </c>
      <c r="C104" s="22" t="s">
        <v>1567</v>
      </c>
      <c r="D104" s="29" t="s">
        <v>273</v>
      </c>
      <c r="F104" s="38"/>
    </row>
    <row r="105" spans="1:6" ht="15.6">
      <c r="A105" s="34" t="s">
        <v>1236</v>
      </c>
      <c r="B105" s="21" t="s">
        <v>1568</v>
      </c>
      <c r="C105" s="22" t="s">
        <v>1569</v>
      </c>
      <c r="D105" s="29" t="s">
        <v>1570</v>
      </c>
      <c r="E105" s="25"/>
      <c r="F105" s="38"/>
    </row>
  </sheetData>
  <autoFilter ref="A8:F105" xr:uid="{3D2D3BB6-2BA0-4C09-A358-72CEFB161B59}"/>
  <mergeCells count="1">
    <mergeCell ref="A1:E6"/>
  </mergeCells>
  <conditionalFormatting sqref="E93:F94 A93:A94 A95:F105 A8:F92">
    <cfRule type="expression" dxfId="31" priority="7">
      <formula>ROW()=CELL("fila")</formula>
    </cfRule>
  </conditionalFormatting>
  <conditionalFormatting sqref="D93:D94">
    <cfRule type="expression" dxfId="30" priority="5">
      <formula>$F93="TERMINADO"</formula>
    </cfRule>
    <cfRule type="expression" dxfId="29" priority="6">
      <formula>ROW()=CELL("FILA")</formula>
    </cfRule>
  </conditionalFormatting>
  <conditionalFormatting sqref="B93:B94">
    <cfRule type="expression" dxfId="28" priority="3">
      <formula>$F93="TERMINADO"</formula>
    </cfRule>
    <cfRule type="expression" dxfId="27" priority="4">
      <formula>ROW()=CELL("FILA")</formula>
    </cfRule>
  </conditionalFormatting>
  <conditionalFormatting sqref="C93:C94">
    <cfRule type="expression" dxfId="26" priority="1">
      <formula>$F93="TERMINADO"</formula>
    </cfRule>
    <cfRule type="expression" dxfId="25" priority="2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3D8F-7EA1-4F85-B011-6A19DF95FC98}">
  <sheetPr codeName="Hoja7"/>
  <dimension ref="A1:E57"/>
  <sheetViews>
    <sheetView topLeftCell="A42" workbookViewId="0">
      <selection activeCell="B46" sqref="B46"/>
    </sheetView>
  </sheetViews>
  <sheetFormatPr baseColWidth="10" defaultColWidth="11.44140625" defaultRowHeight="14.4"/>
  <cols>
    <col min="1" max="1" width="31.44140625" bestFit="1" customWidth="1"/>
    <col min="2" max="2" width="80" bestFit="1" customWidth="1"/>
    <col min="3" max="3" width="12.44140625" bestFit="1" customWidth="1"/>
    <col min="4" max="4" width="32" bestFit="1" customWidth="1"/>
    <col min="5" max="5" width="23.33203125" bestFit="1" customWidth="1"/>
  </cols>
  <sheetData>
    <row r="1" spans="1:5" ht="15.6">
      <c r="A1" s="14" t="s">
        <v>1233</v>
      </c>
      <c r="B1" s="13" t="s">
        <v>1</v>
      </c>
      <c r="C1" s="13" t="s">
        <v>2</v>
      </c>
      <c r="D1" s="14" t="s">
        <v>1233</v>
      </c>
      <c r="E1" s="50" t="s">
        <v>1234</v>
      </c>
    </row>
    <row r="2" spans="1:5" ht="15.6">
      <c r="A2" s="4"/>
      <c r="B2" s="2" t="s">
        <v>1571</v>
      </c>
      <c r="C2" s="3" t="s">
        <v>1572</v>
      </c>
      <c r="D2" s="1" t="s">
        <v>1573</v>
      </c>
      <c r="E2" s="51" t="s">
        <v>1400</v>
      </c>
    </row>
    <row r="3" spans="1:5" ht="45">
      <c r="A3" s="52" t="s">
        <v>1574</v>
      </c>
      <c r="B3" s="2" t="s">
        <v>1575</v>
      </c>
      <c r="C3" s="3" t="s">
        <v>1576</v>
      </c>
      <c r="D3" s="1" t="s">
        <v>1577</v>
      </c>
    </row>
    <row r="4" spans="1:5" ht="45">
      <c r="A4" s="52" t="s">
        <v>1574</v>
      </c>
      <c r="B4" s="2" t="s">
        <v>1575</v>
      </c>
      <c r="C4" s="3" t="s">
        <v>1578</v>
      </c>
      <c r="D4" s="53" t="s">
        <v>1579</v>
      </c>
    </row>
    <row r="5" spans="1:5" ht="45">
      <c r="A5" s="52" t="s">
        <v>1574</v>
      </c>
      <c r="B5" s="2" t="s">
        <v>1580</v>
      </c>
      <c r="C5" s="3" t="s">
        <v>1581</v>
      </c>
      <c r="D5" s="5" t="s">
        <v>1582</v>
      </c>
    </row>
    <row r="6" spans="1:5" ht="45">
      <c r="A6" s="52" t="s">
        <v>1574</v>
      </c>
      <c r="B6" s="2" t="s">
        <v>1580</v>
      </c>
      <c r="C6" s="3" t="s">
        <v>1583</v>
      </c>
      <c r="D6" s="5" t="s">
        <v>1584</v>
      </c>
    </row>
    <row r="7" spans="1:5" ht="45">
      <c r="A7" s="6" t="s">
        <v>1272</v>
      </c>
      <c r="B7" s="2" t="s">
        <v>1585</v>
      </c>
      <c r="C7" s="3" t="s">
        <v>1586</v>
      </c>
      <c r="D7" s="53" t="s">
        <v>1587</v>
      </c>
    </row>
    <row r="8" spans="1:5" ht="45">
      <c r="A8" s="6" t="s">
        <v>1272</v>
      </c>
      <c r="B8" s="2" t="s">
        <v>1585</v>
      </c>
      <c r="C8" s="3" t="s">
        <v>1588</v>
      </c>
      <c r="D8" s="7" t="s">
        <v>1589</v>
      </c>
    </row>
    <row r="9" spans="1:5" ht="45">
      <c r="A9" s="8" t="s">
        <v>1431</v>
      </c>
      <c r="B9" s="2" t="s">
        <v>1590</v>
      </c>
      <c r="C9" s="3" t="s">
        <v>1591</v>
      </c>
      <c r="D9" s="7" t="s">
        <v>1592</v>
      </c>
    </row>
    <row r="10" spans="1:5" ht="45">
      <c r="A10" s="6" t="s">
        <v>1431</v>
      </c>
      <c r="B10" s="2" t="s">
        <v>1593</v>
      </c>
      <c r="C10" s="3" t="s">
        <v>1594</v>
      </c>
      <c r="D10" s="53" t="s">
        <v>1595</v>
      </c>
    </row>
    <row r="11" spans="1:5" ht="45">
      <c r="A11" s="6" t="s">
        <v>1431</v>
      </c>
      <c r="B11" s="2" t="s">
        <v>1596</v>
      </c>
      <c r="C11" s="3" t="s">
        <v>1597</v>
      </c>
      <c r="D11" s="5" t="s">
        <v>1598</v>
      </c>
    </row>
    <row r="12" spans="1:5" ht="45">
      <c r="A12" s="6" t="s">
        <v>1431</v>
      </c>
      <c r="B12" s="2" t="s">
        <v>1596</v>
      </c>
      <c r="C12" s="3" t="s">
        <v>1599</v>
      </c>
      <c r="D12" s="7" t="s">
        <v>1600</v>
      </c>
    </row>
    <row r="13" spans="1:5" ht="45">
      <c r="A13" s="6" t="s">
        <v>1431</v>
      </c>
      <c r="B13" s="2" t="s">
        <v>1596</v>
      </c>
      <c r="C13" s="3" t="s">
        <v>1601</v>
      </c>
      <c r="D13" s="7" t="s">
        <v>1602</v>
      </c>
    </row>
    <row r="14" spans="1:5" ht="45">
      <c r="A14" s="6" t="s">
        <v>1431</v>
      </c>
      <c r="B14" s="2" t="s">
        <v>1596</v>
      </c>
      <c r="C14" s="3" t="s">
        <v>1603</v>
      </c>
      <c r="D14" s="7" t="s">
        <v>1604</v>
      </c>
    </row>
    <row r="15" spans="1:5" ht="45">
      <c r="A15" s="6" t="s">
        <v>1431</v>
      </c>
      <c r="B15" s="2" t="s">
        <v>1596</v>
      </c>
      <c r="C15" s="3" t="s">
        <v>1605</v>
      </c>
      <c r="D15" s="7" t="s">
        <v>1606</v>
      </c>
    </row>
    <row r="16" spans="1:5" ht="45">
      <c r="A16" s="6" t="s">
        <v>1431</v>
      </c>
      <c r="B16" s="2" t="s">
        <v>1607</v>
      </c>
      <c r="C16" s="3" t="s">
        <v>1608</v>
      </c>
      <c r="D16" s="53" t="s">
        <v>1609</v>
      </c>
    </row>
    <row r="17" spans="1:4" ht="45">
      <c r="A17" s="6" t="s">
        <v>1431</v>
      </c>
      <c r="B17" s="2" t="s">
        <v>1607</v>
      </c>
      <c r="C17" s="3" t="s">
        <v>1610</v>
      </c>
      <c r="D17" s="53" t="s">
        <v>1611</v>
      </c>
    </row>
    <row r="18" spans="1:4" ht="45">
      <c r="A18" s="6" t="s">
        <v>1444</v>
      </c>
      <c r="B18" s="2" t="s">
        <v>1612</v>
      </c>
      <c r="C18" s="3" t="s">
        <v>1613</v>
      </c>
      <c r="D18" s="53" t="s">
        <v>1614</v>
      </c>
    </row>
    <row r="19" spans="1:4" ht="45">
      <c r="A19" s="6" t="s">
        <v>1444</v>
      </c>
      <c r="B19" s="2" t="s">
        <v>1615</v>
      </c>
      <c r="C19" s="3" t="s">
        <v>1616</v>
      </c>
      <c r="D19" s="53" t="s">
        <v>1617</v>
      </c>
    </row>
    <row r="20" spans="1:4" ht="45">
      <c r="A20" s="8" t="s">
        <v>1618</v>
      </c>
      <c r="B20" s="2" t="s">
        <v>1619</v>
      </c>
      <c r="C20" s="3" t="s">
        <v>1620</v>
      </c>
      <c r="D20" s="7" t="s">
        <v>1621</v>
      </c>
    </row>
    <row r="21" spans="1:4" ht="45">
      <c r="A21" s="6" t="s">
        <v>1272</v>
      </c>
      <c r="B21" s="2" t="s">
        <v>1622</v>
      </c>
      <c r="C21" s="3" t="s">
        <v>1623</v>
      </c>
      <c r="D21" s="54" t="s">
        <v>1624</v>
      </c>
    </row>
    <row r="22" spans="1:4" ht="45">
      <c r="A22" s="6" t="s">
        <v>1272</v>
      </c>
      <c r="B22" s="2" t="s">
        <v>1622</v>
      </c>
      <c r="C22" s="3" t="s">
        <v>1625</v>
      </c>
      <c r="D22" s="7" t="s">
        <v>1626</v>
      </c>
    </row>
    <row r="23" spans="1:4" ht="45">
      <c r="A23" s="6" t="s">
        <v>1272</v>
      </c>
      <c r="B23" s="2" t="s">
        <v>1622</v>
      </c>
      <c r="C23" s="3" t="s">
        <v>1627</v>
      </c>
      <c r="D23" s="7" t="s">
        <v>1628</v>
      </c>
    </row>
    <row r="24" spans="1:4" ht="45">
      <c r="A24" s="6" t="s">
        <v>1272</v>
      </c>
      <c r="B24" s="2" t="s">
        <v>1622</v>
      </c>
      <c r="C24" s="3" t="s">
        <v>1629</v>
      </c>
      <c r="D24" s="7" t="s">
        <v>1630</v>
      </c>
    </row>
    <row r="25" spans="1:4" ht="45">
      <c r="A25" s="8" t="s">
        <v>1431</v>
      </c>
      <c r="B25" s="2" t="s">
        <v>1631</v>
      </c>
      <c r="C25" s="3" t="s">
        <v>1632</v>
      </c>
      <c r="D25" s="5" t="s">
        <v>1633</v>
      </c>
    </row>
    <row r="26" spans="1:4" ht="45">
      <c r="A26" s="8" t="s">
        <v>1431</v>
      </c>
      <c r="B26" s="2" t="s">
        <v>1634</v>
      </c>
      <c r="C26" s="3" t="s">
        <v>1635</v>
      </c>
      <c r="D26" s="5" t="s">
        <v>1636</v>
      </c>
    </row>
    <row r="27" spans="1:4" ht="45">
      <c r="A27" s="8" t="s">
        <v>1431</v>
      </c>
      <c r="B27" s="2" t="s">
        <v>1637</v>
      </c>
      <c r="C27" s="3" t="s">
        <v>1638</v>
      </c>
      <c r="D27" s="5" t="s">
        <v>1639</v>
      </c>
    </row>
    <row r="28" spans="1:4" ht="45">
      <c r="A28" s="8" t="s">
        <v>1431</v>
      </c>
      <c r="B28" s="2" t="s">
        <v>1640</v>
      </c>
      <c r="C28" s="3" t="s">
        <v>1641</v>
      </c>
      <c r="D28" s="5" t="s">
        <v>1642</v>
      </c>
    </row>
    <row r="29" spans="1:4" ht="45">
      <c r="A29" s="8" t="s">
        <v>1431</v>
      </c>
      <c r="B29" s="2" t="s">
        <v>1643</v>
      </c>
      <c r="C29" s="3" t="s">
        <v>1644</v>
      </c>
      <c r="D29" s="5" t="s">
        <v>1645</v>
      </c>
    </row>
    <row r="30" spans="1:4" ht="45">
      <c r="A30" s="8" t="s">
        <v>1431</v>
      </c>
      <c r="B30" s="2" t="s">
        <v>1646</v>
      </c>
      <c r="C30" s="55" t="s">
        <v>1647</v>
      </c>
      <c r="D30" s="5" t="s">
        <v>1648</v>
      </c>
    </row>
    <row r="31" spans="1:4" ht="45">
      <c r="A31" s="8" t="s">
        <v>1431</v>
      </c>
      <c r="B31" s="2" t="s">
        <v>1649</v>
      </c>
      <c r="C31" s="55" t="s">
        <v>1650</v>
      </c>
      <c r="D31" s="5" t="s">
        <v>1651</v>
      </c>
    </row>
    <row r="32" spans="1:4" ht="45">
      <c r="A32" s="8" t="s">
        <v>1431</v>
      </c>
      <c r="B32" s="2" t="s">
        <v>1652</v>
      </c>
      <c r="C32" s="3" t="s">
        <v>1653</v>
      </c>
      <c r="D32" s="5" t="s">
        <v>1654</v>
      </c>
    </row>
    <row r="33" spans="1:5" ht="45">
      <c r="A33" s="8" t="s">
        <v>1431</v>
      </c>
      <c r="B33" s="2" t="s">
        <v>1655</v>
      </c>
      <c r="C33" s="3" t="s">
        <v>1656</v>
      </c>
      <c r="D33" s="5" t="s">
        <v>1657</v>
      </c>
    </row>
    <row r="34" spans="1:5" ht="45">
      <c r="A34" s="8" t="s">
        <v>1431</v>
      </c>
      <c r="B34" s="2" t="s">
        <v>1658</v>
      </c>
      <c r="C34" s="3" t="s">
        <v>1659</v>
      </c>
      <c r="D34" s="5" t="s">
        <v>1660</v>
      </c>
    </row>
    <row r="35" spans="1:5" ht="45">
      <c r="A35" s="8" t="s">
        <v>1431</v>
      </c>
      <c r="B35" s="2" t="s">
        <v>1661</v>
      </c>
      <c r="C35" s="3" t="s">
        <v>1662</v>
      </c>
      <c r="D35" s="5" t="s">
        <v>1663</v>
      </c>
      <c r="E35" t="s">
        <v>1400</v>
      </c>
    </row>
    <row r="36" spans="1:5" ht="45">
      <c r="A36" s="8" t="s">
        <v>1431</v>
      </c>
      <c r="B36" s="2" t="s">
        <v>1661</v>
      </c>
      <c r="C36" s="3" t="s">
        <v>1664</v>
      </c>
      <c r="D36" s="5" t="s">
        <v>1665</v>
      </c>
    </row>
    <row r="37" spans="1:5" ht="45">
      <c r="A37" s="6" t="s">
        <v>1618</v>
      </c>
      <c r="B37" s="9" t="s">
        <v>1666</v>
      </c>
      <c r="C37" s="3" t="s">
        <v>1667</v>
      </c>
      <c r="D37" s="5" t="s">
        <v>1668</v>
      </c>
    </row>
    <row r="38" spans="1:5" ht="45">
      <c r="A38" s="6" t="s">
        <v>1618</v>
      </c>
      <c r="B38" s="9" t="s">
        <v>1666</v>
      </c>
      <c r="C38" s="3" t="s">
        <v>1669</v>
      </c>
      <c r="D38" s="5" t="s">
        <v>1670</v>
      </c>
    </row>
    <row r="39" spans="1:5" ht="45">
      <c r="A39" s="8" t="s">
        <v>1457</v>
      </c>
      <c r="B39" s="2" t="s">
        <v>1671</v>
      </c>
      <c r="C39" s="3" t="s">
        <v>1672</v>
      </c>
      <c r="D39" s="5" t="s">
        <v>1673</v>
      </c>
    </row>
    <row r="40" spans="1:5" ht="45">
      <c r="A40" s="8" t="s">
        <v>1457</v>
      </c>
      <c r="B40" s="2" t="s">
        <v>1559</v>
      </c>
      <c r="C40" s="3" t="s">
        <v>1674</v>
      </c>
      <c r="D40" s="5" t="s">
        <v>1675</v>
      </c>
    </row>
    <row r="41" spans="1:5" ht="45">
      <c r="A41" s="6" t="s">
        <v>1444</v>
      </c>
      <c r="B41" s="9" t="s">
        <v>1676</v>
      </c>
      <c r="C41" s="3" t="s">
        <v>1677</v>
      </c>
      <c r="D41" s="5" t="s">
        <v>1678</v>
      </c>
    </row>
    <row r="42" spans="1:5" ht="45">
      <c r="A42" s="6" t="s">
        <v>1444</v>
      </c>
      <c r="B42" s="9" t="s">
        <v>1679</v>
      </c>
      <c r="C42" s="3" t="s">
        <v>1680</v>
      </c>
      <c r="D42" s="5" t="s">
        <v>1681</v>
      </c>
    </row>
    <row r="43" spans="1:5" ht="45">
      <c r="A43" s="6" t="s">
        <v>1444</v>
      </c>
      <c r="B43" s="9" t="s">
        <v>1679</v>
      </c>
      <c r="C43" s="3" t="s">
        <v>1682</v>
      </c>
      <c r="D43" s="5" t="s">
        <v>1683</v>
      </c>
    </row>
    <row r="44" spans="1:5" ht="45">
      <c r="A44" s="6" t="s">
        <v>1444</v>
      </c>
      <c r="B44" s="9" t="s">
        <v>1679</v>
      </c>
      <c r="C44" s="3" t="s">
        <v>1684</v>
      </c>
      <c r="D44" s="5" t="s">
        <v>1685</v>
      </c>
    </row>
    <row r="45" spans="1:5" ht="45">
      <c r="A45" s="6" t="s">
        <v>1444</v>
      </c>
      <c r="B45" s="9" t="s">
        <v>1679</v>
      </c>
      <c r="C45" s="3" t="s">
        <v>1686</v>
      </c>
      <c r="D45" s="5" t="s">
        <v>1687</v>
      </c>
    </row>
    <row r="46" spans="1:5" ht="45">
      <c r="A46" s="6" t="s">
        <v>1444</v>
      </c>
      <c r="B46" s="9" t="s">
        <v>1679</v>
      </c>
      <c r="C46" s="3" t="s">
        <v>1688</v>
      </c>
      <c r="D46" s="5" t="s">
        <v>1689</v>
      </c>
    </row>
    <row r="47" spans="1:5" ht="15.6">
      <c r="A47" s="56"/>
      <c r="B47" s="57" t="s">
        <v>1690</v>
      </c>
      <c r="C47" s="43"/>
      <c r="D47" s="44"/>
    </row>
    <row r="48" spans="1:5" ht="15.6">
      <c r="A48" s="4"/>
      <c r="B48" s="9" t="s">
        <v>1691</v>
      </c>
      <c r="C48" s="3" t="s">
        <v>1692</v>
      </c>
      <c r="D48" s="1" t="s">
        <v>1693</v>
      </c>
      <c r="E48" t="s">
        <v>1400</v>
      </c>
    </row>
    <row r="49" spans="1:5" ht="15.6">
      <c r="A49" s="4"/>
      <c r="B49" s="2" t="s">
        <v>1694</v>
      </c>
      <c r="C49" s="3" t="s">
        <v>1695</v>
      </c>
      <c r="D49" s="1" t="s">
        <v>1696</v>
      </c>
    </row>
    <row r="50" spans="1:5" ht="15.6">
      <c r="A50" s="4"/>
      <c r="B50" s="2" t="s">
        <v>1694</v>
      </c>
      <c r="C50" s="3" t="s">
        <v>1697</v>
      </c>
      <c r="D50" s="1" t="s">
        <v>1698</v>
      </c>
    </row>
    <row r="51" spans="1:5" ht="15.6">
      <c r="A51" s="4"/>
      <c r="B51" s="2" t="s">
        <v>1699</v>
      </c>
      <c r="C51" s="3" t="s">
        <v>1700</v>
      </c>
      <c r="D51" s="1" t="s">
        <v>1701</v>
      </c>
    </row>
    <row r="52" spans="1:5" ht="15.6">
      <c r="A52" s="4"/>
      <c r="B52" s="2" t="s">
        <v>1699</v>
      </c>
      <c r="C52" s="3" t="s">
        <v>1702</v>
      </c>
      <c r="D52" s="1" t="s">
        <v>1703</v>
      </c>
    </row>
    <row r="53" spans="1:5" ht="15.6">
      <c r="A53" s="4"/>
      <c r="B53" s="2" t="s">
        <v>1699</v>
      </c>
      <c r="C53" s="3" t="s">
        <v>1704</v>
      </c>
      <c r="D53" s="1" t="s">
        <v>1705</v>
      </c>
    </row>
    <row r="54" spans="1:5" ht="15">
      <c r="B54" s="2" t="s">
        <v>1706</v>
      </c>
      <c r="C54" s="3" t="s">
        <v>1707</v>
      </c>
      <c r="D54" s="1" t="s">
        <v>1708</v>
      </c>
    </row>
    <row r="55" spans="1:5" ht="15.6">
      <c r="A55" s="4"/>
      <c r="B55" s="2" t="s">
        <v>1709</v>
      </c>
      <c r="C55" s="3" t="s">
        <v>1710</v>
      </c>
      <c r="D55" s="1" t="s">
        <v>1711</v>
      </c>
    </row>
    <row r="56" spans="1:5" ht="15.6">
      <c r="A56" s="49"/>
      <c r="B56" s="48" t="s">
        <v>1712</v>
      </c>
      <c r="C56" s="49"/>
      <c r="D56" s="101"/>
    </row>
    <row r="57" spans="1:5" ht="15">
      <c r="B57" s="2" t="s">
        <v>1713</v>
      </c>
      <c r="C57" s="3" t="s">
        <v>1714</v>
      </c>
      <c r="D57" s="1" t="s">
        <v>1715</v>
      </c>
      <c r="E57" t="s">
        <v>1716</v>
      </c>
    </row>
  </sheetData>
  <conditionalFormatting sqref="B54:XFD54 A1:XFD53 A55:XFD1048576">
    <cfRule type="expression" dxfId="24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6BA6-139A-4B1F-BAB3-A841664CD904}">
  <sheetPr codeName="Hoja8"/>
  <dimension ref="A1:F61"/>
  <sheetViews>
    <sheetView topLeftCell="A43" workbookViewId="0">
      <selection activeCell="B60" sqref="B60"/>
    </sheetView>
  </sheetViews>
  <sheetFormatPr baseColWidth="10" defaultColWidth="11.44140625" defaultRowHeight="14.4"/>
  <cols>
    <col min="1" max="1" width="60.88671875" bestFit="1" customWidth="1"/>
    <col min="2" max="2" width="12.44140625" bestFit="1" customWidth="1"/>
    <col min="3" max="3" width="31.33203125" bestFit="1" customWidth="1"/>
    <col min="4" max="4" width="24.33203125" bestFit="1" customWidth="1"/>
    <col min="5" max="5" width="43.88671875" bestFit="1" customWidth="1"/>
  </cols>
  <sheetData>
    <row r="1" spans="1:6" ht="15" customHeight="1">
      <c r="A1" s="320" t="s">
        <v>1717</v>
      </c>
      <c r="B1" s="321"/>
      <c r="C1" s="321"/>
      <c r="D1" s="321"/>
      <c r="E1" s="321"/>
      <c r="F1" s="321"/>
    </row>
    <row r="2" spans="1:6" ht="15" customHeight="1">
      <c r="A2" s="321"/>
      <c r="B2" s="321"/>
      <c r="C2" s="321"/>
      <c r="D2" s="321"/>
      <c r="E2" s="321"/>
      <c r="F2" s="321"/>
    </row>
    <row r="3" spans="1:6" ht="15" customHeight="1">
      <c r="A3" s="321"/>
      <c r="B3" s="321"/>
      <c r="C3" s="321"/>
      <c r="D3" s="321"/>
      <c r="E3" s="321"/>
      <c r="F3" s="321"/>
    </row>
    <row r="4" spans="1:6" ht="15" customHeight="1">
      <c r="A4" s="321"/>
      <c r="B4" s="321"/>
      <c r="C4" s="321"/>
      <c r="D4" s="321"/>
      <c r="E4" s="321"/>
      <c r="F4" s="321"/>
    </row>
    <row r="5" spans="1:6" ht="15" customHeight="1">
      <c r="A5" s="321"/>
      <c r="B5" s="321"/>
      <c r="C5" s="321"/>
      <c r="D5" s="321"/>
      <c r="E5" s="321"/>
      <c r="F5" s="321"/>
    </row>
    <row r="6" spans="1:6" ht="15" customHeight="1">
      <c r="A6" s="321"/>
      <c r="B6" s="321"/>
      <c r="C6" s="321"/>
      <c r="D6" s="321"/>
      <c r="E6" s="321"/>
      <c r="F6" s="321"/>
    </row>
    <row r="7" spans="1:6" ht="15" customHeight="1">
      <c r="A7" s="321"/>
      <c r="B7" s="321"/>
      <c r="C7" s="321"/>
      <c r="D7" s="321"/>
      <c r="E7" s="321"/>
      <c r="F7" s="321"/>
    </row>
    <row r="9" spans="1:6" ht="15.6">
      <c r="A9" s="13" t="s">
        <v>1</v>
      </c>
      <c r="B9" s="13" t="s">
        <v>2</v>
      </c>
      <c r="C9" s="14" t="s">
        <v>1233</v>
      </c>
    </row>
    <row r="10" spans="1:6" ht="15.6">
      <c r="A10" s="45" t="s">
        <v>1718</v>
      </c>
      <c r="B10" s="45"/>
      <c r="C10" s="46"/>
    </row>
    <row r="11" spans="1:6" ht="15">
      <c r="A11" s="2" t="s">
        <v>1719</v>
      </c>
      <c r="B11" s="3" t="s">
        <v>1720</v>
      </c>
      <c r="C11" s="1" t="s">
        <v>1721</v>
      </c>
    </row>
    <row r="12" spans="1:6" ht="15">
      <c r="A12" s="2" t="s">
        <v>1722</v>
      </c>
      <c r="B12" s="3" t="s">
        <v>1723</v>
      </c>
      <c r="C12" s="1" t="s">
        <v>1724</v>
      </c>
    </row>
    <row r="13" spans="1:6" ht="15">
      <c r="A13" s="2" t="s">
        <v>1722</v>
      </c>
      <c r="B13" s="3" t="s">
        <v>1725</v>
      </c>
      <c r="C13" s="1" t="s">
        <v>1726</v>
      </c>
    </row>
    <row r="14" spans="1:6" ht="15">
      <c r="A14" s="2" t="s">
        <v>1727</v>
      </c>
      <c r="B14" s="3" t="s">
        <v>1728</v>
      </c>
      <c r="C14" s="1" t="s">
        <v>1729</v>
      </c>
      <c r="D14" t="s">
        <v>2435</v>
      </c>
    </row>
    <row r="15" spans="1:6" ht="15">
      <c r="A15" s="2" t="s">
        <v>1727</v>
      </c>
      <c r="B15" s="3" t="s">
        <v>1730</v>
      </c>
      <c r="C15" s="1" t="s">
        <v>1731</v>
      </c>
      <c r="D15" t="s">
        <v>2435</v>
      </c>
    </row>
    <row r="16" spans="1:6" ht="15">
      <c r="A16" s="2" t="s">
        <v>1727</v>
      </c>
      <c r="B16" s="3" t="s">
        <v>1732</v>
      </c>
      <c r="C16" s="1" t="s">
        <v>1733</v>
      </c>
      <c r="D16" t="s">
        <v>2435</v>
      </c>
    </row>
    <row r="17" spans="1:5" ht="15">
      <c r="A17" s="2" t="s">
        <v>1727</v>
      </c>
      <c r="B17" s="3" t="s">
        <v>1759</v>
      </c>
      <c r="C17" s="1" t="s">
        <v>2415</v>
      </c>
      <c r="D17" t="s">
        <v>2413</v>
      </c>
      <c r="E17" t="s">
        <v>2414</v>
      </c>
    </row>
    <row r="18" spans="1:5" ht="15">
      <c r="A18" s="2" t="s">
        <v>1734</v>
      </c>
      <c r="B18" s="3" t="s">
        <v>1735</v>
      </c>
      <c r="C18" s="1" t="s">
        <v>1736</v>
      </c>
    </row>
    <row r="19" spans="1:5" ht="15">
      <c r="A19" s="2" t="s">
        <v>1734</v>
      </c>
      <c r="B19" s="3" t="s">
        <v>1737</v>
      </c>
      <c r="C19" s="1" t="s">
        <v>1738</v>
      </c>
    </row>
    <row r="20" spans="1:5" ht="15">
      <c r="A20" s="2" t="s">
        <v>1734</v>
      </c>
      <c r="B20" s="3" t="s">
        <v>1739</v>
      </c>
      <c r="C20" s="1" t="s">
        <v>1740</v>
      </c>
    </row>
    <row r="21" spans="1:5" ht="15">
      <c r="A21" s="2" t="s">
        <v>1741</v>
      </c>
      <c r="B21" s="3" t="s">
        <v>800</v>
      </c>
      <c r="C21" s="1" t="s">
        <v>801</v>
      </c>
      <c r="D21" t="s">
        <v>2435</v>
      </c>
    </row>
    <row r="22" spans="1:5" ht="15">
      <c r="A22" s="2" t="s">
        <v>1742</v>
      </c>
      <c r="B22" s="3" t="s">
        <v>1743</v>
      </c>
      <c r="C22" s="1" t="s">
        <v>1744</v>
      </c>
    </row>
    <row r="23" spans="1:5" ht="15">
      <c r="A23" s="2" t="s">
        <v>1742</v>
      </c>
      <c r="B23" s="3" t="s">
        <v>1745</v>
      </c>
      <c r="C23" s="1" t="s">
        <v>1746</v>
      </c>
    </row>
    <row r="24" spans="1:5" ht="15">
      <c r="A24" s="2" t="s">
        <v>1742</v>
      </c>
      <c r="B24" s="3" t="s">
        <v>1747</v>
      </c>
      <c r="C24" s="1" t="s">
        <v>1748</v>
      </c>
    </row>
    <row r="25" spans="1:5" ht="15">
      <c r="A25" s="2" t="s">
        <v>1749</v>
      </c>
      <c r="B25" s="3" t="s">
        <v>1750</v>
      </c>
      <c r="C25" s="1" t="s">
        <v>1751</v>
      </c>
      <c r="D25" t="s">
        <v>2435</v>
      </c>
    </row>
    <row r="26" spans="1:5" ht="15">
      <c r="A26" s="2" t="s">
        <v>1752</v>
      </c>
      <c r="B26" s="3" t="s">
        <v>1753</v>
      </c>
      <c r="C26" s="1" t="s">
        <v>1754</v>
      </c>
    </row>
    <row r="27" spans="1:5" ht="15">
      <c r="A27" s="2" t="s">
        <v>1752</v>
      </c>
      <c r="B27" s="3" t="s">
        <v>1755</v>
      </c>
      <c r="C27" s="1" t="s">
        <v>1756</v>
      </c>
    </row>
    <row r="28" spans="1:5" ht="15">
      <c r="A28" s="2" t="s">
        <v>1752</v>
      </c>
      <c r="B28" s="3" t="s">
        <v>1757</v>
      </c>
      <c r="C28" s="1" t="s">
        <v>1758</v>
      </c>
    </row>
    <row r="29" spans="1:5" ht="15">
      <c r="A29" s="2" t="s">
        <v>1760</v>
      </c>
      <c r="B29" s="3" t="s">
        <v>1761</v>
      </c>
      <c r="C29" s="1" t="s">
        <v>1762</v>
      </c>
    </row>
    <row r="30" spans="1:5" ht="15">
      <c r="A30" s="2" t="s">
        <v>1752</v>
      </c>
      <c r="B30" s="3" t="s">
        <v>1763</v>
      </c>
      <c r="C30" s="1" t="s">
        <v>1764</v>
      </c>
    </row>
    <row r="31" spans="1:5" ht="15">
      <c r="A31" s="2" t="s">
        <v>1760</v>
      </c>
      <c r="B31" s="3" t="s">
        <v>1765</v>
      </c>
      <c r="C31" s="1" t="s">
        <v>1766</v>
      </c>
    </row>
    <row r="32" spans="1:5" ht="15">
      <c r="A32" s="2" t="s">
        <v>1767</v>
      </c>
      <c r="B32" s="3" t="s">
        <v>1768</v>
      </c>
      <c r="C32" s="1" t="s">
        <v>1769</v>
      </c>
    </row>
    <row r="33" spans="1:4" ht="15">
      <c r="A33" s="2" t="s">
        <v>1767</v>
      </c>
      <c r="B33" s="3" t="s">
        <v>1770</v>
      </c>
      <c r="C33" s="1" t="s">
        <v>1771</v>
      </c>
    </row>
    <row r="34" spans="1:4" ht="15">
      <c r="A34" s="2" t="s">
        <v>1767</v>
      </c>
      <c r="B34" s="3" t="s">
        <v>1772</v>
      </c>
      <c r="C34" s="1" t="s">
        <v>1773</v>
      </c>
    </row>
    <row r="35" spans="1:4" ht="15.6">
      <c r="A35" s="47" t="s">
        <v>1774</v>
      </c>
      <c r="B35" s="43"/>
      <c r="C35" s="44"/>
    </row>
    <row r="36" spans="1:4" ht="15">
      <c r="A36" s="2" t="s">
        <v>1775</v>
      </c>
      <c r="B36" s="3" t="s">
        <v>1776</v>
      </c>
      <c r="C36" s="1" t="s">
        <v>1777</v>
      </c>
    </row>
    <row r="37" spans="1:4" ht="15">
      <c r="A37" s="2" t="s">
        <v>1778</v>
      </c>
      <c r="B37" s="3" t="s">
        <v>1779</v>
      </c>
      <c r="C37" s="1" t="s">
        <v>1780</v>
      </c>
      <c r="D37" t="s">
        <v>2435</v>
      </c>
    </row>
    <row r="38" spans="1:4" ht="15">
      <c r="A38" s="2" t="s">
        <v>1778</v>
      </c>
      <c r="B38" s="3" t="s">
        <v>1781</v>
      </c>
      <c r="C38" s="1" t="s">
        <v>1782</v>
      </c>
      <c r="D38" t="s">
        <v>2435</v>
      </c>
    </row>
    <row r="39" spans="1:4" ht="15">
      <c r="A39" s="2" t="s">
        <v>1783</v>
      </c>
      <c r="B39" s="3" t="s">
        <v>1784</v>
      </c>
      <c r="C39" s="1" t="s">
        <v>1785</v>
      </c>
      <c r="D39" t="s">
        <v>2435</v>
      </c>
    </row>
    <row r="40" spans="1:4" ht="15.6">
      <c r="A40" s="48" t="s">
        <v>1786</v>
      </c>
      <c r="B40" s="49"/>
      <c r="C40" s="49"/>
    </row>
    <row r="41" spans="1:4" ht="15">
      <c r="A41" s="2" t="s">
        <v>1787</v>
      </c>
      <c r="B41" s="3" t="s">
        <v>1788</v>
      </c>
      <c r="C41" s="1" t="s">
        <v>2416</v>
      </c>
    </row>
    <row r="42" spans="1:4" ht="15">
      <c r="A42" s="2" t="s">
        <v>1789</v>
      </c>
      <c r="B42" s="3" t="s">
        <v>1790</v>
      </c>
      <c r="C42" s="1" t="s">
        <v>1791</v>
      </c>
      <c r="D42" t="s">
        <v>2435</v>
      </c>
    </row>
    <row r="43" spans="1:4" ht="15">
      <c r="A43" s="2" t="s">
        <v>1792</v>
      </c>
      <c r="B43" s="3" t="s">
        <v>1793</v>
      </c>
      <c r="C43" s="1" t="s">
        <v>1794</v>
      </c>
      <c r="D43" t="s">
        <v>2435</v>
      </c>
    </row>
    <row r="44" spans="1:4" ht="15">
      <c r="A44" s="2" t="s">
        <v>1792</v>
      </c>
      <c r="B44" s="3" t="s">
        <v>1795</v>
      </c>
      <c r="C44" s="1" t="s">
        <v>1796</v>
      </c>
    </row>
    <row r="45" spans="1:4" ht="15">
      <c r="A45" s="2" t="s">
        <v>1792</v>
      </c>
      <c r="B45" s="3" t="s">
        <v>1797</v>
      </c>
      <c r="C45" s="1" t="s">
        <v>1798</v>
      </c>
      <c r="D45" t="s">
        <v>2435</v>
      </c>
    </row>
    <row r="46" spans="1:4" ht="15">
      <c r="A46" s="2" t="s">
        <v>1792</v>
      </c>
      <c r="B46" s="3" t="s">
        <v>233</v>
      </c>
      <c r="C46" s="1" t="s">
        <v>1799</v>
      </c>
      <c r="D46" t="s">
        <v>2435</v>
      </c>
    </row>
    <row r="47" spans="1:4" ht="15">
      <c r="A47" s="2" t="s">
        <v>1800</v>
      </c>
      <c r="B47" s="3" t="s">
        <v>1801</v>
      </c>
      <c r="C47" s="1" t="s">
        <v>1802</v>
      </c>
    </row>
    <row r="48" spans="1:4" ht="15">
      <c r="A48" s="2" t="s">
        <v>1800</v>
      </c>
      <c r="B48" s="3" t="s">
        <v>1803</v>
      </c>
      <c r="C48" s="1" t="s">
        <v>1804</v>
      </c>
    </row>
    <row r="49" spans="1:4" ht="15">
      <c r="A49" s="2" t="s">
        <v>1805</v>
      </c>
      <c r="B49" s="3" t="s">
        <v>1806</v>
      </c>
      <c r="C49" s="1" t="s">
        <v>1807</v>
      </c>
    </row>
    <row r="50" spans="1:4" ht="15">
      <c r="A50" s="2" t="s">
        <v>1808</v>
      </c>
      <c r="B50" s="3" t="s">
        <v>1809</v>
      </c>
      <c r="C50" s="1" t="s">
        <v>1810</v>
      </c>
    </row>
    <row r="51" spans="1:4" ht="15">
      <c r="A51" s="2" t="s">
        <v>1808</v>
      </c>
      <c r="B51" s="3" t="s">
        <v>1811</v>
      </c>
      <c r="C51" s="1" t="s">
        <v>1812</v>
      </c>
    </row>
    <row r="52" spans="1:4" ht="15">
      <c r="A52" s="2" t="s">
        <v>1808</v>
      </c>
      <c r="B52" s="3" t="s">
        <v>1813</v>
      </c>
      <c r="C52" s="1" t="s">
        <v>1814</v>
      </c>
    </row>
    <row r="53" spans="1:4" ht="15">
      <c r="A53" s="2" t="s">
        <v>1808</v>
      </c>
      <c r="B53" s="3" t="s">
        <v>1815</v>
      </c>
      <c r="C53" s="1" t="s">
        <v>1816</v>
      </c>
    </row>
    <row r="54" spans="1:4" ht="15">
      <c r="A54" s="2" t="s">
        <v>1808</v>
      </c>
      <c r="B54" s="3" t="s">
        <v>1817</v>
      </c>
      <c r="C54" s="1" t="s">
        <v>1818</v>
      </c>
    </row>
    <row r="55" spans="1:4" ht="15">
      <c r="A55" s="2" t="s">
        <v>1819</v>
      </c>
      <c r="B55" s="3" t="s">
        <v>1820</v>
      </c>
      <c r="C55" s="1" t="s">
        <v>1821</v>
      </c>
      <c r="D55" t="s">
        <v>2435</v>
      </c>
    </row>
    <row r="56" spans="1:4" ht="15">
      <c r="A56" s="2" t="s">
        <v>1819</v>
      </c>
      <c r="B56" s="3" t="s">
        <v>1822</v>
      </c>
      <c r="C56" s="1" t="s">
        <v>1823</v>
      </c>
    </row>
    <row r="57" spans="1:4" ht="15">
      <c r="A57" s="2" t="s">
        <v>1819</v>
      </c>
      <c r="B57" s="3" t="s">
        <v>1824</v>
      </c>
      <c r="C57" s="1" t="s">
        <v>1825</v>
      </c>
      <c r="D57" t="s">
        <v>2435</v>
      </c>
    </row>
    <row r="58" spans="1:4" ht="15">
      <c r="A58" s="2" t="s">
        <v>1819</v>
      </c>
      <c r="B58" s="3" t="s">
        <v>1826</v>
      </c>
      <c r="C58" s="1" t="s">
        <v>1827</v>
      </c>
      <c r="D58" t="s">
        <v>2435</v>
      </c>
    </row>
    <row r="59" spans="1:4" ht="15">
      <c r="A59" s="2" t="s">
        <v>1819</v>
      </c>
      <c r="B59" s="3" t="s">
        <v>1828</v>
      </c>
      <c r="C59" s="1" t="s">
        <v>1829</v>
      </c>
      <c r="D59" t="s">
        <v>2435</v>
      </c>
    </row>
    <row r="60" spans="1:4" ht="15">
      <c r="A60" s="2" t="s">
        <v>1819</v>
      </c>
      <c r="B60" s="3" t="s">
        <v>1830</v>
      </c>
      <c r="C60" s="1" t="s">
        <v>1831</v>
      </c>
      <c r="D60" t="s">
        <v>2435</v>
      </c>
    </row>
    <row r="61" spans="1:4" ht="15">
      <c r="A61" s="272" t="s">
        <v>2436</v>
      </c>
      <c r="B61" s="273" t="s">
        <v>2437</v>
      </c>
      <c r="C61" s="274" t="s">
        <v>2438</v>
      </c>
      <c r="D61" t="s">
        <v>2435</v>
      </c>
    </row>
  </sheetData>
  <mergeCells count="1">
    <mergeCell ref="A1:F7"/>
  </mergeCells>
  <conditionalFormatting sqref="A9:C61">
    <cfRule type="expression" dxfId="23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7A97-698B-426C-B6CF-FD3106790C7B}">
  <sheetPr codeName="Hoja2"/>
  <dimension ref="A1:M1087"/>
  <sheetViews>
    <sheetView zoomScaleNormal="100" workbookViewId="0">
      <pane ySplit="1" topLeftCell="A148" activePane="bottomLeft" state="frozen"/>
      <selection pane="bottomLeft" activeCell="E172" sqref="E172"/>
    </sheetView>
  </sheetViews>
  <sheetFormatPr baseColWidth="10" defaultColWidth="173.6640625" defaultRowHeight="13.8"/>
  <cols>
    <col min="1" max="1" width="10" style="95" bestFit="1" customWidth="1"/>
    <col min="2" max="2" width="15.44140625" style="95" customWidth="1"/>
    <col min="3" max="3" width="18" style="95" bestFit="1" customWidth="1"/>
    <col min="4" max="4" width="18.6640625" style="95" customWidth="1"/>
    <col min="5" max="7" width="18" style="95" customWidth="1"/>
    <col min="8" max="8" width="18.5546875" style="117" bestFit="1" customWidth="1"/>
    <col min="9" max="9" width="18.44140625" style="95" bestFit="1" customWidth="1"/>
    <col min="10" max="10" width="119.88671875" style="95" customWidth="1"/>
    <col min="11" max="11" width="132.5546875" style="97" customWidth="1"/>
    <col min="12" max="12" width="79.5546875" style="95" bestFit="1" customWidth="1"/>
    <col min="13" max="13" width="14.44140625" style="94" bestFit="1" customWidth="1"/>
    <col min="14" max="14" width="67.109375" style="141" bestFit="1" customWidth="1"/>
    <col min="15" max="16384" width="173.6640625" style="141"/>
  </cols>
  <sheetData>
    <row r="1" spans="1:12">
      <c r="A1" s="65" t="s">
        <v>1832</v>
      </c>
      <c r="B1" s="65" t="s">
        <v>11</v>
      </c>
      <c r="C1" s="65" t="s">
        <v>1833</v>
      </c>
      <c r="D1" s="65" t="s">
        <v>11</v>
      </c>
      <c r="E1" s="322" t="s">
        <v>1834</v>
      </c>
      <c r="F1" s="322"/>
      <c r="G1" s="322"/>
      <c r="H1" s="108" t="s">
        <v>1835</v>
      </c>
      <c r="I1" s="65" t="s">
        <v>1836</v>
      </c>
      <c r="J1" s="65" t="s">
        <v>1837</v>
      </c>
      <c r="K1" s="65" t="s">
        <v>1838</v>
      </c>
      <c r="L1" s="65" t="s">
        <v>1839</v>
      </c>
    </row>
    <row r="2" spans="1:12">
      <c r="A2" s="96"/>
      <c r="B2" s="93"/>
      <c r="C2" s="93" t="s">
        <v>1840</v>
      </c>
      <c r="D2" s="93"/>
      <c r="E2" s="93" t="s">
        <v>1841</v>
      </c>
      <c r="F2" s="93" t="s">
        <v>1842</v>
      </c>
      <c r="G2" s="93" t="s">
        <v>1843</v>
      </c>
      <c r="H2" s="109" t="s">
        <v>1844</v>
      </c>
      <c r="I2" s="93" t="s">
        <v>1840</v>
      </c>
      <c r="J2" s="93"/>
      <c r="K2" s="93"/>
      <c r="L2" s="93"/>
    </row>
    <row r="3" spans="1:12">
      <c r="A3" s="66" t="s">
        <v>1041</v>
      </c>
      <c r="B3" s="98">
        <v>44863</v>
      </c>
      <c r="C3" s="67" t="s">
        <v>1845</v>
      </c>
      <c r="D3" s="98">
        <v>44895</v>
      </c>
      <c r="E3" s="67"/>
      <c r="F3" s="67"/>
      <c r="G3" s="67"/>
      <c r="H3" s="110"/>
      <c r="I3" s="68"/>
      <c r="J3" s="66"/>
      <c r="K3" s="72"/>
      <c r="L3" s="72"/>
    </row>
    <row r="4" spans="1:12">
      <c r="A4" s="66" t="s">
        <v>806</v>
      </c>
      <c r="B4" s="98">
        <v>44863</v>
      </c>
      <c r="C4" s="67" t="s">
        <v>1845</v>
      </c>
      <c r="D4" s="98">
        <v>44869</v>
      </c>
      <c r="E4" s="67"/>
      <c r="F4" s="67"/>
      <c r="G4" s="67"/>
      <c r="H4" s="110"/>
      <c r="I4" s="68"/>
      <c r="J4" s="72"/>
      <c r="K4" s="72"/>
      <c r="L4" s="72"/>
    </row>
    <row r="5" spans="1:12">
      <c r="A5" s="66" t="s">
        <v>1114</v>
      </c>
      <c r="B5" s="98">
        <v>44863</v>
      </c>
      <c r="C5" s="67" t="s">
        <v>1845</v>
      </c>
      <c r="D5" s="98">
        <v>44863</v>
      </c>
      <c r="E5" s="67"/>
      <c r="F5" s="67"/>
      <c r="G5" s="67"/>
      <c r="H5" s="110"/>
      <c r="I5" s="68" t="s">
        <v>1846</v>
      </c>
      <c r="J5" s="72" t="s">
        <v>1847</v>
      </c>
      <c r="K5" s="72" t="s">
        <v>1848</v>
      </c>
      <c r="L5" s="66"/>
    </row>
    <row r="6" spans="1:12">
      <c r="A6" s="66" t="s">
        <v>998</v>
      </c>
      <c r="B6" s="98">
        <v>44863</v>
      </c>
      <c r="C6" s="67" t="s">
        <v>1845</v>
      </c>
      <c r="D6" s="98">
        <v>44869</v>
      </c>
      <c r="E6" s="67"/>
      <c r="F6" s="67"/>
      <c r="G6" s="67"/>
      <c r="H6" s="110"/>
      <c r="I6" s="68"/>
      <c r="J6" s="72" t="s">
        <v>1849</v>
      </c>
      <c r="K6" s="72"/>
      <c r="L6" s="66"/>
    </row>
    <row r="7" spans="1:12">
      <c r="A7" s="66" t="s">
        <v>1197</v>
      </c>
      <c r="B7" s="99">
        <v>44852</v>
      </c>
      <c r="C7" s="66" t="s">
        <v>1845</v>
      </c>
      <c r="D7" s="99">
        <v>44852</v>
      </c>
      <c r="E7" s="66" t="s">
        <v>1850</v>
      </c>
      <c r="F7" s="66"/>
      <c r="G7" s="66"/>
      <c r="H7" s="110"/>
      <c r="I7" s="68"/>
      <c r="J7" s="66" t="s">
        <v>1851</v>
      </c>
      <c r="K7" s="72"/>
      <c r="L7" s="66"/>
    </row>
    <row r="8" spans="1:12">
      <c r="A8" s="66" t="s">
        <v>946</v>
      </c>
      <c r="B8" s="98">
        <v>44767</v>
      </c>
      <c r="C8" s="67" t="s">
        <v>1845</v>
      </c>
      <c r="D8" s="67"/>
      <c r="E8" s="67"/>
      <c r="F8" s="67"/>
      <c r="G8" s="67"/>
      <c r="H8" s="110"/>
      <c r="I8" s="68"/>
      <c r="J8" s="66" t="s">
        <v>1851</v>
      </c>
      <c r="K8" s="72"/>
      <c r="L8" s="66"/>
    </row>
    <row r="9" spans="1:12">
      <c r="A9" s="66" t="s">
        <v>678</v>
      </c>
      <c r="B9" s="98">
        <v>44863</v>
      </c>
      <c r="C9" s="67" t="s">
        <v>1846</v>
      </c>
      <c r="D9" s="67"/>
      <c r="E9" s="67"/>
      <c r="F9" s="67"/>
      <c r="G9" s="67"/>
      <c r="H9" s="110"/>
      <c r="I9" s="68"/>
      <c r="J9" s="66" t="s">
        <v>1852</v>
      </c>
      <c r="K9" s="72"/>
      <c r="L9" s="66"/>
    </row>
    <row r="10" spans="1:12">
      <c r="A10" s="66" t="s">
        <v>681</v>
      </c>
      <c r="B10" s="67"/>
      <c r="C10" s="67"/>
      <c r="D10" s="67"/>
      <c r="E10" s="67"/>
      <c r="F10" s="67"/>
      <c r="G10" s="67"/>
      <c r="H10" s="110"/>
      <c r="I10" s="68"/>
      <c r="J10" s="66"/>
      <c r="K10" s="72"/>
      <c r="L10" s="66"/>
    </row>
    <row r="11" spans="1:12">
      <c r="A11" s="66" t="s">
        <v>809</v>
      </c>
      <c r="B11" s="67"/>
      <c r="C11" s="67"/>
      <c r="D11" s="67"/>
      <c r="E11" s="67"/>
      <c r="F11" s="67"/>
      <c r="G11" s="67"/>
      <c r="H11" s="110"/>
      <c r="I11" s="68"/>
      <c r="J11" s="66"/>
      <c r="K11" s="72"/>
      <c r="L11" s="66"/>
    </row>
    <row r="12" spans="1:12">
      <c r="A12" s="66" t="s">
        <v>1853</v>
      </c>
      <c r="B12" s="66"/>
      <c r="C12" s="66"/>
      <c r="D12" s="66"/>
      <c r="E12" s="66"/>
      <c r="F12" s="66"/>
      <c r="G12" s="66"/>
      <c r="H12" s="110"/>
      <c r="I12" s="68"/>
      <c r="J12" s="66"/>
      <c r="K12" s="72"/>
      <c r="L12" s="66"/>
    </row>
    <row r="13" spans="1:12">
      <c r="A13" s="66" t="s">
        <v>948</v>
      </c>
      <c r="B13" s="67"/>
      <c r="C13" s="67"/>
      <c r="D13" s="67"/>
      <c r="E13" s="67"/>
      <c r="F13" s="67"/>
      <c r="G13" s="67"/>
      <c r="H13" s="110"/>
      <c r="I13" s="68"/>
      <c r="J13" s="66"/>
      <c r="K13" s="72"/>
      <c r="L13" s="66"/>
    </row>
    <row r="14" spans="1:12">
      <c r="A14" s="66" t="s">
        <v>1854</v>
      </c>
      <c r="B14" s="67"/>
      <c r="C14" s="67"/>
      <c r="D14" s="67"/>
      <c r="E14" s="67"/>
      <c r="F14" s="67"/>
      <c r="G14" s="67"/>
      <c r="H14" s="110"/>
      <c r="I14" s="68"/>
      <c r="J14" s="66"/>
      <c r="K14" s="72"/>
      <c r="L14" s="66"/>
    </row>
    <row r="15" spans="1:12" s="142" customFormat="1">
      <c r="A15" s="66" t="s">
        <v>505</v>
      </c>
      <c r="B15" s="67"/>
      <c r="C15" s="67"/>
      <c r="D15" s="67"/>
      <c r="E15" s="67"/>
      <c r="F15" s="67"/>
      <c r="G15" s="67"/>
      <c r="H15" s="110"/>
      <c r="I15" s="68"/>
      <c r="J15" s="66"/>
      <c r="K15" s="72"/>
      <c r="L15" s="66"/>
    </row>
    <row r="16" spans="1:12" s="142" customFormat="1">
      <c r="A16" s="66" t="s">
        <v>634</v>
      </c>
      <c r="B16" s="66"/>
      <c r="C16" s="66"/>
      <c r="D16" s="66"/>
      <c r="E16" s="66"/>
      <c r="F16" s="66"/>
      <c r="G16" s="66"/>
      <c r="H16" s="110"/>
      <c r="I16" s="68"/>
      <c r="J16" s="66"/>
      <c r="K16" s="72"/>
      <c r="L16" s="66"/>
    </row>
    <row r="17" spans="1:12" s="142" customFormat="1">
      <c r="A17" s="66" t="s">
        <v>764</v>
      </c>
      <c r="B17" s="66"/>
      <c r="C17" s="66"/>
      <c r="D17" s="66"/>
      <c r="E17" s="66"/>
      <c r="F17" s="66"/>
      <c r="G17" s="66"/>
      <c r="H17" s="110"/>
      <c r="I17" s="68"/>
      <c r="J17" s="66"/>
      <c r="K17" s="72"/>
      <c r="L17" s="66"/>
    </row>
    <row r="18" spans="1:12" s="142" customFormat="1">
      <c r="A18" s="66" t="s">
        <v>1855</v>
      </c>
      <c r="B18" s="66"/>
      <c r="C18" s="66"/>
      <c r="D18" s="66"/>
      <c r="E18" s="66"/>
      <c r="F18" s="66"/>
      <c r="G18" s="66"/>
      <c r="H18" s="110"/>
      <c r="I18" s="68"/>
      <c r="J18" s="66"/>
      <c r="K18" s="72"/>
      <c r="L18" s="66"/>
    </row>
    <row r="19" spans="1:12" s="142" customFormat="1">
      <c r="A19" s="66" t="s">
        <v>619</v>
      </c>
      <c r="B19" s="67"/>
      <c r="C19" s="67"/>
      <c r="D19" s="67"/>
      <c r="E19" s="67"/>
      <c r="F19" s="67"/>
      <c r="G19" s="67"/>
      <c r="H19" s="110"/>
      <c r="I19" s="68"/>
      <c r="J19" s="66"/>
      <c r="K19" s="72"/>
      <c r="L19" s="66"/>
    </row>
    <row r="20" spans="1:12" s="142" customFormat="1">
      <c r="A20" s="66" t="s">
        <v>766</v>
      </c>
      <c r="B20" s="66"/>
      <c r="C20" s="66"/>
      <c r="D20" s="66"/>
      <c r="E20" s="66"/>
      <c r="F20" s="66"/>
      <c r="G20" s="66"/>
      <c r="H20" s="110"/>
      <c r="I20" s="68"/>
      <c r="J20" s="66"/>
      <c r="K20" s="72"/>
      <c r="L20" s="66"/>
    </row>
    <row r="21" spans="1:12" s="142" customFormat="1">
      <c r="A21" s="66" t="s">
        <v>989</v>
      </c>
      <c r="B21" s="99">
        <v>44875</v>
      </c>
      <c r="C21" s="66" t="s">
        <v>1845</v>
      </c>
      <c r="D21" s="99">
        <v>44877</v>
      </c>
      <c r="E21" s="66" t="s">
        <v>1856</v>
      </c>
      <c r="F21" s="66"/>
      <c r="G21" s="66"/>
      <c r="H21" s="110"/>
      <c r="I21" s="68"/>
      <c r="J21" s="66" t="s">
        <v>1857</v>
      </c>
      <c r="K21" s="72"/>
      <c r="L21" s="66"/>
    </row>
    <row r="22" spans="1:12" s="142" customFormat="1">
      <c r="A22" s="66" t="s">
        <v>856</v>
      </c>
      <c r="B22" s="99">
        <v>44875</v>
      </c>
      <c r="C22" s="66" t="s">
        <v>1845</v>
      </c>
      <c r="D22" s="99">
        <v>44877</v>
      </c>
      <c r="E22" s="66" t="s">
        <v>1856</v>
      </c>
      <c r="F22" s="66"/>
      <c r="G22" s="66"/>
      <c r="H22" s="110"/>
      <c r="I22" s="68"/>
      <c r="J22" s="66" t="s">
        <v>1857</v>
      </c>
      <c r="K22" s="72"/>
      <c r="L22" s="66"/>
    </row>
    <row r="23" spans="1:12" s="142" customFormat="1">
      <c r="A23" s="66" t="s">
        <v>811</v>
      </c>
      <c r="B23" s="67"/>
      <c r="C23" s="67"/>
      <c r="D23" s="67"/>
      <c r="E23" s="67"/>
      <c r="F23" s="67"/>
      <c r="G23" s="67"/>
      <c r="H23" s="110"/>
      <c r="I23" s="68"/>
      <c r="J23" s="66"/>
      <c r="K23" s="72"/>
      <c r="L23" s="66"/>
    </row>
    <row r="24" spans="1:12" s="142" customFormat="1">
      <c r="A24" s="66" t="s">
        <v>306</v>
      </c>
      <c r="B24" s="66"/>
      <c r="C24" s="66"/>
      <c r="D24" s="66"/>
      <c r="E24" s="66"/>
      <c r="F24" s="66"/>
      <c r="G24" s="66"/>
      <c r="H24" s="110"/>
      <c r="I24" s="68"/>
      <c r="J24" s="66"/>
      <c r="K24" s="72"/>
      <c r="L24" s="66"/>
    </row>
    <row r="25" spans="1:12" s="142" customFormat="1">
      <c r="A25" s="66" t="s">
        <v>437</v>
      </c>
      <c r="B25" s="67"/>
      <c r="C25" s="67"/>
      <c r="D25" s="67"/>
      <c r="E25" s="67"/>
      <c r="F25" s="67"/>
      <c r="G25" s="67"/>
      <c r="H25" s="110"/>
      <c r="I25" s="68"/>
      <c r="J25" s="66"/>
      <c r="K25" s="72"/>
      <c r="L25" s="66"/>
    </row>
    <row r="26" spans="1:12" s="142" customFormat="1">
      <c r="A26" s="66" t="s">
        <v>814</v>
      </c>
      <c r="B26" s="66"/>
      <c r="C26" s="66"/>
      <c r="D26" s="66"/>
      <c r="E26" s="66"/>
      <c r="F26" s="66"/>
      <c r="G26" s="66"/>
      <c r="H26" s="110"/>
      <c r="I26" s="68"/>
      <c r="J26" s="66"/>
      <c r="K26" s="72"/>
      <c r="L26" s="66"/>
    </row>
    <row r="27" spans="1:12" s="142" customFormat="1">
      <c r="A27" s="66" t="s">
        <v>1858</v>
      </c>
      <c r="B27" s="67"/>
      <c r="C27" s="67"/>
      <c r="D27" s="67"/>
      <c r="E27" s="67"/>
      <c r="F27" s="67"/>
      <c r="G27" s="67"/>
      <c r="H27" s="110"/>
      <c r="I27" s="68"/>
      <c r="J27" s="66"/>
      <c r="K27" s="72"/>
      <c r="L27" s="66"/>
    </row>
    <row r="28" spans="1:12" s="142" customFormat="1">
      <c r="A28" s="66" t="s">
        <v>816</v>
      </c>
      <c r="B28" s="66"/>
      <c r="C28" s="66"/>
      <c r="D28" s="66"/>
      <c r="E28" s="66"/>
      <c r="F28" s="66"/>
      <c r="G28" s="66"/>
      <c r="H28" s="110"/>
      <c r="I28" s="68"/>
      <c r="J28" s="66"/>
      <c r="K28" s="72"/>
      <c r="L28" s="66"/>
    </row>
    <row r="29" spans="1:12" s="142" customFormat="1">
      <c r="A29" s="66" t="s">
        <v>819</v>
      </c>
      <c r="B29" s="67"/>
      <c r="C29" s="67"/>
      <c r="D29" s="67"/>
      <c r="E29" s="67"/>
      <c r="F29" s="67"/>
      <c r="G29" s="67"/>
      <c r="H29" s="110"/>
      <c r="I29" s="68"/>
      <c r="J29" s="66"/>
      <c r="K29" s="72"/>
      <c r="L29" s="66"/>
    </row>
    <row r="30" spans="1:12" s="142" customFormat="1">
      <c r="A30" s="66" t="s">
        <v>1859</v>
      </c>
      <c r="B30" s="66"/>
      <c r="C30" s="66"/>
      <c r="D30" s="66"/>
      <c r="E30" s="66"/>
      <c r="F30" s="66"/>
      <c r="G30" s="66"/>
      <c r="H30" s="110"/>
      <c r="I30" s="68"/>
      <c r="J30" s="66"/>
      <c r="K30" s="72"/>
      <c r="L30" s="66"/>
    </row>
    <row r="31" spans="1:12" s="142" customFormat="1">
      <c r="A31" s="66" t="s">
        <v>1200</v>
      </c>
      <c r="B31" s="66"/>
      <c r="C31" s="66"/>
      <c r="D31" s="66"/>
      <c r="E31" s="66"/>
      <c r="F31" s="66"/>
      <c r="G31" s="66"/>
      <c r="H31" s="110"/>
      <c r="I31" s="68"/>
      <c r="J31" s="66"/>
      <c r="K31" s="72"/>
      <c r="L31" s="66"/>
    </row>
    <row r="32" spans="1:12" s="142" customFormat="1">
      <c r="A32" s="66" t="s">
        <v>99</v>
      </c>
      <c r="B32" s="99">
        <v>44938</v>
      </c>
      <c r="C32" s="66" t="s">
        <v>1845</v>
      </c>
      <c r="D32" s="99">
        <v>44862</v>
      </c>
      <c r="E32" s="66" t="s">
        <v>1850</v>
      </c>
      <c r="F32" s="66" t="s">
        <v>1850</v>
      </c>
      <c r="G32" s="66" t="s">
        <v>1850</v>
      </c>
      <c r="H32" s="110">
        <v>90178615</v>
      </c>
      <c r="I32" s="68" t="s">
        <v>1860</v>
      </c>
      <c r="J32" s="66" t="s">
        <v>1861</v>
      </c>
      <c r="K32" s="72"/>
      <c r="L32" s="66"/>
    </row>
    <row r="33" spans="1:12" s="142" customFormat="1">
      <c r="A33" s="66" t="s">
        <v>858</v>
      </c>
      <c r="B33" s="66"/>
      <c r="C33" s="66"/>
      <c r="D33" s="66"/>
      <c r="E33" s="66"/>
      <c r="F33" s="66"/>
      <c r="G33" s="66"/>
      <c r="H33" s="110"/>
      <c r="I33" s="68"/>
      <c r="J33" s="66"/>
      <c r="K33" s="72"/>
      <c r="L33" s="66"/>
    </row>
    <row r="34" spans="1:12" s="142" customFormat="1">
      <c r="A34" s="66" t="s">
        <v>440</v>
      </c>
      <c r="B34" s="66"/>
      <c r="C34" s="66"/>
      <c r="D34" s="66"/>
      <c r="E34" s="66"/>
      <c r="F34" s="66"/>
      <c r="G34" s="66"/>
      <c r="H34" s="110"/>
      <c r="I34" s="68"/>
      <c r="J34" s="66"/>
      <c r="K34" s="72"/>
      <c r="L34" s="66"/>
    </row>
    <row r="35" spans="1:12" s="142" customFormat="1">
      <c r="A35" s="66" t="s">
        <v>1862</v>
      </c>
      <c r="B35" s="66"/>
      <c r="C35" s="66"/>
      <c r="D35" s="66"/>
      <c r="E35" s="66"/>
      <c r="F35" s="66"/>
      <c r="G35" s="66"/>
      <c r="H35" s="110"/>
      <c r="I35" s="68"/>
      <c r="J35" s="66"/>
      <c r="K35" s="72"/>
      <c r="L35" s="66"/>
    </row>
    <row r="36" spans="1:12" s="142" customFormat="1">
      <c r="A36" s="66" t="s">
        <v>1439</v>
      </c>
      <c r="B36" s="66"/>
      <c r="C36" s="66"/>
      <c r="D36" s="66"/>
      <c r="E36" s="66"/>
      <c r="F36" s="66"/>
      <c r="G36" s="66"/>
      <c r="H36" s="110"/>
      <c r="I36" s="68"/>
      <c r="J36" s="66"/>
      <c r="K36" s="72"/>
      <c r="L36" s="66"/>
    </row>
    <row r="37" spans="1:12" s="142" customFormat="1">
      <c r="A37" s="66" t="s">
        <v>180</v>
      </c>
      <c r="B37" s="66"/>
      <c r="C37" s="66"/>
      <c r="D37" s="66"/>
      <c r="E37" s="66"/>
      <c r="F37" s="66"/>
      <c r="G37" s="66"/>
      <c r="H37" s="110"/>
      <c r="I37" s="68"/>
      <c r="J37" s="66"/>
      <c r="K37" s="72"/>
      <c r="L37" s="66"/>
    </row>
    <row r="38" spans="1:12" s="142" customFormat="1">
      <c r="A38" s="66" t="s">
        <v>1863</v>
      </c>
      <c r="B38" s="66"/>
      <c r="C38" s="66"/>
      <c r="D38" s="66"/>
      <c r="E38" s="66"/>
      <c r="F38" s="66"/>
      <c r="G38" s="66"/>
      <c r="H38" s="110"/>
      <c r="I38" s="68"/>
      <c r="J38" s="66"/>
      <c r="K38" s="72"/>
      <c r="L38" s="66"/>
    </row>
    <row r="39" spans="1:12" s="142" customFormat="1">
      <c r="A39" s="66" t="s">
        <v>381</v>
      </c>
      <c r="B39" s="66"/>
      <c r="C39" s="66"/>
      <c r="D39" s="66"/>
      <c r="E39" s="66"/>
      <c r="F39" s="66"/>
      <c r="G39" s="66"/>
      <c r="H39" s="110"/>
      <c r="I39" s="68"/>
      <c r="J39" s="66"/>
      <c r="K39" s="72"/>
      <c r="L39" s="66"/>
    </row>
    <row r="40" spans="1:12" s="142" customFormat="1">
      <c r="A40" s="66" t="s">
        <v>508</v>
      </c>
      <c r="B40" s="66"/>
      <c r="C40" s="66"/>
      <c r="D40" s="66"/>
      <c r="E40" s="66"/>
      <c r="F40" s="66"/>
      <c r="G40" s="66"/>
      <c r="H40" s="110"/>
      <c r="I40" s="68"/>
      <c r="J40" s="66"/>
      <c r="K40" s="72"/>
      <c r="L40" s="66"/>
    </row>
    <row r="41" spans="1:12" s="142" customFormat="1">
      <c r="A41" s="66" t="s">
        <v>1153</v>
      </c>
      <c r="B41" s="67"/>
      <c r="C41" s="67"/>
      <c r="D41" s="67"/>
      <c r="E41" s="67"/>
      <c r="F41" s="67"/>
      <c r="G41" s="67"/>
      <c r="H41" s="110"/>
      <c r="I41" s="68"/>
      <c r="J41" s="66"/>
      <c r="K41" s="72"/>
      <c r="L41" s="66"/>
    </row>
    <row r="42" spans="1:12">
      <c r="A42" s="66" t="s">
        <v>1116</v>
      </c>
      <c r="B42" s="67"/>
      <c r="C42" s="67"/>
      <c r="D42" s="67"/>
      <c r="E42" s="67"/>
      <c r="F42" s="67"/>
      <c r="G42" s="67"/>
      <c r="H42" s="110"/>
      <c r="I42" s="68"/>
      <c r="J42" s="66"/>
      <c r="K42" s="72"/>
      <c r="L42" s="66"/>
    </row>
    <row r="43" spans="1:12">
      <c r="A43" s="66" t="s">
        <v>1864</v>
      </c>
      <c r="B43" s="66"/>
      <c r="C43" s="66"/>
      <c r="D43" s="66"/>
      <c r="E43" s="66"/>
      <c r="F43" s="66"/>
      <c r="G43" s="66"/>
      <c r="H43" s="110"/>
      <c r="I43" s="68"/>
      <c r="J43" s="66"/>
      <c r="K43" s="72"/>
      <c r="L43" s="66"/>
    </row>
    <row r="44" spans="1:12">
      <c r="A44" s="66" t="s">
        <v>731</v>
      </c>
      <c r="B44" s="67"/>
      <c r="C44" s="67"/>
      <c r="D44" s="67"/>
      <c r="E44" s="67"/>
      <c r="F44" s="67"/>
      <c r="G44" s="67"/>
      <c r="H44" s="110"/>
      <c r="I44" s="68"/>
      <c r="J44" s="66"/>
      <c r="K44" s="72"/>
      <c r="L44" s="66"/>
    </row>
    <row r="45" spans="1:12">
      <c r="A45" s="66" t="s">
        <v>897</v>
      </c>
      <c r="B45" s="66"/>
      <c r="C45" s="66"/>
      <c r="D45" s="66"/>
      <c r="E45" s="66"/>
      <c r="F45" s="66"/>
      <c r="G45" s="66"/>
      <c r="H45" s="110"/>
      <c r="I45" s="68"/>
      <c r="J45" s="66"/>
      <c r="K45" s="72"/>
      <c r="L45" s="66"/>
    </row>
    <row r="46" spans="1:12">
      <c r="A46" s="66" t="s">
        <v>1000</v>
      </c>
      <c r="B46" s="67"/>
      <c r="C46" s="67"/>
      <c r="D46" s="67"/>
      <c r="E46" s="67"/>
      <c r="F46" s="67"/>
      <c r="G46" s="67"/>
      <c r="H46" s="110"/>
      <c r="I46" s="68"/>
      <c r="J46" s="66"/>
      <c r="K46" s="72"/>
      <c r="L46" s="66"/>
    </row>
    <row r="47" spans="1:12">
      <c r="A47" s="66" t="s">
        <v>1003</v>
      </c>
      <c r="B47" s="67"/>
      <c r="C47" s="67"/>
      <c r="D47" s="67"/>
      <c r="E47" s="67"/>
      <c r="F47" s="67"/>
      <c r="G47" s="67"/>
      <c r="H47" s="110"/>
      <c r="I47" s="68"/>
      <c r="J47" s="66"/>
      <c r="K47" s="72"/>
      <c r="L47" s="66"/>
    </row>
    <row r="48" spans="1:12">
      <c r="A48" s="66" t="s">
        <v>900</v>
      </c>
      <c r="B48" s="67"/>
      <c r="C48" s="67"/>
      <c r="D48" s="67"/>
      <c r="E48" s="67"/>
      <c r="F48" s="67"/>
      <c r="G48" s="67"/>
      <c r="H48" s="110"/>
      <c r="I48" s="68"/>
      <c r="J48" s="66"/>
      <c r="K48" s="72"/>
      <c r="L48" s="66"/>
    </row>
    <row r="49" spans="1:12">
      <c r="A49" s="66" t="s">
        <v>636</v>
      </c>
      <c r="B49" s="67"/>
      <c r="C49" s="67"/>
      <c r="D49" s="67"/>
      <c r="E49" s="67"/>
      <c r="F49" s="67"/>
      <c r="G49" s="67"/>
      <c r="H49" s="110"/>
      <c r="I49" s="68"/>
      <c r="J49" s="66"/>
      <c r="K49" s="72"/>
      <c r="L49" s="66"/>
    </row>
    <row r="50" spans="1:12">
      <c r="A50" s="66" t="s">
        <v>583</v>
      </c>
      <c r="B50" s="67"/>
      <c r="C50" s="67"/>
      <c r="D50" s="67"/>
      <c r="E50" s="67"/>
      <c r="F50" s="67"/>
      <c r="G50" s="67"/>
      <c r="H50" s="110"/>
      <c r="I50" s="68"/>
      <c r="J50" s="66"/>
      <c r="K50" s="72"/>
      <c r="L50" s="66"/>
    </row>
    <row r="51" spans="1:12">
      <c r="A51" s="66" t="s">
        <v>1202</v>
      </c>
      <c r="B51" s="67"/>
      <c r="C51" s="67"/>
      <c r="D51" s="67"/>
      <c r="E51" s="67"/>
      <c r="F51" s="67"/>
      <c r="G51" s="67"/>
      <c r="H51" s="110"/>
      <c r="I51" s="68"/>
      <c r="J51" s="66"/>
      <c r="K51" s="72"/>
      <c r="L51" s="66"/>
    </row>
    <row r="52" spans="1:12">
      <c r="A52" s="66" t="s">
        <v>1865</v>
      </c>
      <c r="B52" s="66"/>
      <c r="C52" s="66"/>
      <c r="D52" s="66"/>
      <c r="E52" s="66"/>
      <c r="F52" s="66"/>
      <c r="G52" s="66"/>
      <c r="H52" s="110"/>
      <c r="I52" s="68"/>
      <c r="J52" s="66"/>
      <c r="K52" s="72"/>
      <c r="L52" s="66"/>
    </row>
    <row r="53" spans="1:12">
      <c r="A53" s="66" t="s">
        <v>1204</v>
      </c>
      <c r="B53" s="67"/>
      <c r="C53" s="67"/>
      <c r="D53" s="67"/>
      <c r="E53" s="67"/>
      <c r="F53" s="67"/>
      <c r="G53" s="67"/>
      <c r="H53" s="110"/>
      <c r="I53" s="68"/>
      <c r="J53" s="66"/>
      <c r="K53" s="72"/>
      <c r="L53" s="66"/>
    </row>
    <row r="54" spans="1:12">
      <c r="A54" s="66" t="s">
        <v>1207</v>
      </c>
      <c r="B54" s="67"/>
      <c r="C54" s="67"/>
      <c r="D54" s="67"/>
      <c r="E54" s="67"/>
      <c r="F54" s="67"/>
      <c r="G54" s="67"/>
      <c r="H54" s="110"/>
      <c r="I54" s="68"/>
      <c r="J54" s="66"/>
      <c r="K54" s="72"/>
      <c r="L54" s="66"/>
    </row>
    <row r="55" spans="1:12">
      <c r="A55" s="66" t="s">
        <v>1210</v>
      </c>
      <c r="B55" s="67"/>
      <c r="C55" s="67"/>
      <c r="D55" s="67"/>
      <c r="E55" s="67"/>
      <c r="F55" s="67"/>
      <c r="G55" s="67"/>
      <c r="H55" s="110"/>
      <c r="I55" s="68"/>
      <c r="J55" s="66"/>
      <c r="K55" s="72"/>
      <c r="L55" s="66"/>
    </row>
    <row r="56" spans="1:12" s="142" customFormat="1">
      <c r="A56" s="66" t="s">
        <v>1866</v>
      </c>
      <c r="B56" s="66"/>
      <c r="C56" s="66"/>
      <c r="D56" s="66"/>
      <c r="E56" s="66"/>
      <c r="F56" s="66"/>
      <c r="G56" s="66"/>
      <c r="H56" s="110"/>
      <c r="I56" s="68"/>
      <c r="J56" s="66"/>
      <c r="K56" s="72"/>
      <c r="L56" s="66"/>
    </row>
    <row r="57" spans="1:12" s="142" customFormat="1">
      <c r="A57" s="66" t="s">
        <v>1867</v>
      </c>
      <c r="B57" s="66"/>
      <c r="C57" s="66"/>
      <c r="D57" s="66"/>
      <c r="E57" s="66"/>
      <c r="F57" s="66"/>
      <c r="G57" s="66"/>
      <c r="H57" s="110"/>
      <c r="I57" s="68"/>
      <c r="J57" s="66"/>
      <c r="K57" s="72"/>
      <c r="L57" s="66"/>
    </row>
    <row r="58" spans="1:12" s="142" customFormat="1">
      <c r="A58" s="66" t="s">
        <v>511</v>
      </c>
      <c r="B58" s="66"/>
      <c r="C58" s="66"/>
      <c r="D58" s="66"/>
      <c r="E58" s="66"/>
      <c r="F58" s="66"/>
      <c r="G58" s="66"/>
      <c r="H58" s="110"/>
      <c r="I58" s="68"/>
      <c r="J58" s="66"/>
      <c r="K58" s="72"/>
      <c r="L58" s="66"/>
    </row>
    <row r="59" spans="1:12" s="142" customFormat="1">
      <c r="A59" s="66" t="s">
        <v>639</v>
      </c>
      <c r="B59" s="66"/>
      <c r="C59" s="66"/>
      <c r="D59" s="66"/>
      <c r="E59" s="66"/>
      <c r="F59" s="66"/>
      <c r="G59" s="66"/>
      <c r="H59" s="110"/>
      <c r="I59" s="68"/>
      <c r="J59" s="66"/>
      <c r="K59" s="72"/>
      <c r="L59" s="66"/>
    </row>
    <row r="60" spans="1:12" s="142" customFormat="1">
      <c r="A60" s="66" t="s">
        <v>1868</v>
      </c>
      <c r="B60" s="66"/>
      <c r="C60" s="66"/>
      <c r="D60" s="66"/>
      <c r="E60" s="66"/>
      <c r="F60" s="66"/>
      <c r="G60" s="66"/>
      <c r="H60" s="110"/>
      <c r="I60" s="68"/>
      <c r="J60" s="66"/>
      <c r="K60" s="72"/>
      <c r="L60" s="66"/>
    </row>
    <row r="61" spans="1:12" s="142" customFormat="1">
      <c r="A61" s="66" t="s">
        <v>514</v>
      </c>
      <c r="B61" s="67"/>
      <c r="C61" s="67"/>
      <c r="D61" s="67"/>
      <c r="E61" s="67"/>
      <c r="F61" s="67"/>
      <c r="G61" s="67"/>
      <c r="H61" s="110"/>
      <c r="I61" s="68"/>
      <c r="J61" s="66"/>
      <c r="K61" s="72"/>
      <c r="L61" s="66"/>
    </row>
    <row r="62" spans="1:12" s="142" customFormat="1">
      <c r="A62" s="66" t="s">
        <v>101</v>
      </c>
      <c r="B62" s="66"/>
      <c r="C62" s="66"/>
      <c r="D62" s="66"/>
      <c r="E62" s="66"/>
      <c r="F62" s="66"/>
      <c r="G62" s="66"/>
      <c r="H62" s="110"/>
      <c r="I62" s="68"/>
      <c r="J62" s="66"/>
      <c r="K62" s="72"/>
      <c r="L62" s="66"/>
    </row>
    <row r="63" spans="1:12" s="142" customFormat="1">
      <c r="A63" s="66" t="s">
        <v>950</v>
      </c>
      <c r="B63" s="67"/>
      <c r="C63" s="67"/>
      <c r="D63" s="67"/>
      <c r="E63" s="67"/>
      <c r="F63" s="67"/>
      <c r="G63" s="67"/>
      <c r="H63" s="110"/>
      <c r="I63" s="68"/>
      <c r="J63" s="66"/>
      <c r="K63" s="72"/>
      <c r="L63" s="66"/>
    </row>
    <row r="64" spans="1:12" s="142" customFormat="1">
      <c r="A64" s="66" t="s">
        <v>1869</v>
      </c>
      <c r="B64" s="66"/>
      <c r="C64" s="66"/>
      <c r="D64" s="66"/>
      <c r="E64" s="66"/>
      <c r="F64" s="66"/>
      <c r="G64" s="66"/>
      <c r="H64" s="110"/>
      <c r="I64" s="68"/>
      <c r="J64" s="66"/>
      <c r="K64" s="72"/>
      <c r="L64" s="66"/>
    </row>
    <row r="65" spans="1:12" s="142" customFormat="1">
      <c r="A65" s="66" t="s">
        <v>517</v>
      </c>
      <c r="B65" s="98">
        <v>44868</v>
      </c>
      <c r="C65" s="67" t="s">
        <v>1845</v>
      </c>
      <c r="D65" s="98">
        <v>44868</v>
      </c>
      <c r="E65" s="67" t="s">
        <v>1850</v>
      </c>
      <c r="F65" s="67"/>
      <c r="G65" s="67"/>
      <c r="H65" s="110"/>
      <c r="I65" s="68"/>
      <c r="J65" s="72" t="s">
        <v>1870</v>
      </c>
      <c r="K65" s="72"/>
      <c r="L65" s="66"/>
    </row>
    <row r="66" spans="1:12" s="142" customFormat="1">
      <c r="A66" s="66" t="s">
        <v>1790</v>
      </c>
      <c r="B66" s="66"/>
      <c r="C66" s="66"/>
      <c r="D66" s="66"/>
      <c r="E66" s="66"/>
      <c r="F66" s="66"/>
      <c r="G66" s="66"/>
      <c r="H66" s="110"/>
      <c r="I66" s="68"/>
      <c r="J66" s="66"/>
      <c r="K66" s="72"/>
      <c r="L66" s="66"/>
    </row>
    <row r="67" spans="1:12" s="142" customFormat="1">
      <c r="A67" s="66" t="s">
        <v>1156</v>
      </c>
      <c r="B67" s="66"/>
      <c r="C67" s="66"/>
      <c r="D67" s="66"/>
      <c r="E67" s="66"/>
      <c r="F67" s="66"/>
      <c r="G67" s="66"/>
      <c r="H67" s="110"/>
      <c r="I67" s="68"/>
      <c r="J67" s="66"/>
      <c r="K67" s="72"/>
      <c r="L67" s="66"/>
    </row>
    <row r="68" spans="1:12" s="142" customFormat="1">
      <c r="A68" s="66" t="s">
        <v>1158</v>
      </c>
      <c r="B68" s="66"/>
      <c r="C68" s="66"/>
      <c r="D68" s="66"/>
      <c r="E68" s="66"/>
      <c r="F68" s="66"/>
      <c r="G68" s="66"/>
      <c r="H68" s="110"/>
      <c r="I68" s="68"/>
      <c r="J68" s="66"/>
      <c r="K68" s="72"/>
      <c r="L68" s="66"/>
    </row>
    <row r="69" spans="1:12" s="142" customFormat="1">
      <c r="A69" s="66" t="s">
        <v>953</v>
      </c>
      <c r="B69" s="66"/>
      <c r="C69" s="66"/>
      <c r="D69" s="66"/>
      <c r="E69" s="66"/>
      <c r="F69" s="66"/>
      <c r="G69" s="66"/>
      <c r="H69" s="110"/>
      <c r="I69" s="68"/>
      <c r="J69" s="66"/>
      <c r="K69" s="72"/>
      <c r="L69" s="66"/>
    </row>
    <row r="70" spans="1:12" s="142" customFormat="1">
      <c r="A70" s="66" t="s">
        <v>1871</v>
      </c>
      <c r="B70" s="66"/>
      <c r="C70" s="66"/>
      <c r="D70" s="66"/>
      <c r="E70" s="66"/>
      <c r="F70" s="66"/>
      <c r="G70" s="66"/>
      <c r="H70" s="110"/>
      <c r="I70" s="68"/>
      <c r="J70" s="66"/>
      <c r="K70" s="72"/>
      <c r="L70" s="66"/>
    </row>
    <row r="71" spans="1:12" s="142" customFormat="1">
      <c r="A71" s="66" t="s">
        <v>1872</v>
      </c>
      <c r="B71" s="66"/>
      <c r="C71" s="66"/>
      <c r="D71" s="66"/>
      <c r="E71" s="66"/>
      <c r="F71" s="66"/>
      <c r="G71" s="66"/>
      <c r="H71" s="110"/>
      <c r="I71" s="68"/>
      <c r="J71" s="66"/>
      <c r="K71" s="72"/>
      <c r="L71" s="66"/>
    </row>
    <row r="72" spans="1:12" s="142" customFormat="1">
      <c r="A72" s="66" t="s">
        <v>1162</v>
      </c>
      <c r="B72" s="67"/>
      <c r="C72" s="67"/>
      <c r="D72" s="67"/>
      <c r="E72" s="67"/>
      <c r="F72" s="67"/>
      <c r="G72" s="67"/>
      <c r="H72" s="110"/>
      <c r="I72" s="68"/>
      <c r="J72" s="66"/>
      <c r="K72" s="72"/>
      <c r="L72" s="66"/>
    </row>
    <row r="73" spans="1:12" s="142" customFormat="1">
      <c r="A73" s="66" t="s">
        <v>1873</v>
      </c>
      <c r="B73" s="66"/>
      <c r="C73" s="66"/>
      <c r="D73" s="66"/>
      <c r="E73" s="66"/>
      <c r="F73" s="66"/>
      <c r="G73" s="66"/>
      <c r="H73" s="110"/>
      <c r="I73" s="68"/>
      <c r="J73" s="66"/>
      <c r="K73" s="72"/>
      <c r="L73" s="66"/>
    </row>
    <row r="74" spans="1:12" s="142" customFormat="1">
      <c r="A74" s="66" t="s">
        <v>1874</v>
      </c>
      <c r="B74" s="66"/>
      <c r="C74" s="66"/>
      <c r="D74" s="66"/>
      <c r="E74" s="66"/>
      <c r="F74" s="66"/>
      <c r="G74" s="66"/>
      <c r="H74" s="110"/>
      <c r="I74" s="68"/>
      <c r="J74" s="73"/>
      <c r="K74" s="74"/>
      <c r="L74" s="73"/>
    </row>
    <row r="75" spans="1:12" s="142" customFormat="1">
      <c r="A75" s="66" t="s">
        <v>642</v>
      </c>
      <c r="B75" s="66"/>
      <c r="C75" s="66"/>
      <c r="D75" s="66"/>
      <c r="E75" s="66"/>
      <c r="F75" s="66"/>
      <c r="G75" s="66"/>
      <c r="H75" s="110"/>
      <c r="I75" s="68"/>
      <c r="J75" s="66"/>
      <c r="K75" s="72"/>
      <c r="L75" s="66"/>
    </row>
    <row r="76" spans="1:12" s="142" customFormat="1">
      <c r="A76" s="66" t="s">
        <v>733</v>
      </c>
      <c r="B76" s="66"/>
      <c r="C76" s="66"/>
      <c r="D76" s="66"/>
      <c r="E76" s="66"/>
      <c r="F76" s="66"/>
      <c r="G76" s="66"/>
      <c r="H76" s="110"/>
      <c r="I76" s="68"/>
      <c r="J76" s="66"/>
      <c r="K76" s="72"/>
      <c r="L76" s="66"/>
    </row>
    <row r="77" spans="1:12" s="142" customFormat="1">
      <c r="A77" s="66" t="s">
        <v>985</v>
      </c>
      <c r="B77" s="67"/>
      <c r="C77" s="67"/>
      <c r="D77" s="67"/>
      <c r="E77" s="67"/>
      <c r="F77" s="67"/>
      <c r="G77" s="67"/>
      <c r="H77" s="110"/>
      <c r="I77" s="68"/>
      <c r="J77" s="66"/>
      <c r="K77" s="72"/>
      <c r="L77" s="66"/>
    </row>
    <row r="78" spans="1:12" s="142" customFormat="1">
      <c r="A78" s="66" t="s">
        <v>1875</v>
      </c>
      <c r="B78" s="66"/>
      <c r="C78" s="66"/>
      <c r="D78" s="66"/>
      <c r="E78" s="66"/>
      <c r="F78" s="66"/>
      <c r="G78" s="66"/>
      <c r="H78" s="110"/>
      <c r="I78" s="68"/>
      <c r="J78" s="66"/>
      <c r="K78" s="72"/>
      <c r="L78" s="66"/>
    </row>
    <row r="79" spans="1:12" s="142" customFormat="1">
      <c r="A79" s="66" t="s">
        <v>821</v>
      </c>
      <c r="B79" s="67"/>
      <c r="C79" s="67"/>
      <c r="D79" s="67"/>
      <c r="E79" s="67"/>
      <c r="F79" s="67"/>
      <c r="G79" s="67"/>
      <c r="H79" s="110"/>
      <c r="I79" s="68"/>
      <c r="J79" s="66"/>
      <c r="K79" s="72"/>
      <c r="L79" s="66"/>
    </row>
    <row r="80" spans="1:12" s="142" customFormat="1">
      <c r="A80" s="66" t="s">
        <v>1876</v>
      </c>
      <c r="B80" s="66"/>
      <c r="C80" s="66"/>
      <c r="D80" s="66"/>
      <c r="E80" s="66"/>
      <c r="F80" s="66"/>
      <c r="G80" s="66"/>
      <c r="H80" s="110"/>
      <c r="I80" s="68"/>
      <c r="J80" s="66"/>
      <c r="K80" s="72"/>
      <c r="L80" s="66"/>
    </row>
    <row r="81" spans="1:12" ht="27.6">
      <c r="A81" s="66" t="s">
        <v>1119</v>
      </c>
      <c r="B81" s="98">
        <v>44765</v>
      </c>
      <c r="C81" s="67" t="s">
        <v>1845</v>
      </c>
      <c r="D81" s="98">
        <v>44874</v>
      </c>
      <c r="E81" s="67" t="s">
        <v>1850</v>
      </c>
      <c r="F81" s="67"/>
      <c r="G81" s="67"/>
      <c r="H81" s="110"/>
      <c r="I81" s="68"/>
      <c r="J81" s="72" t="s">
        <v>1877</v>
      </c>
      <c r="K81" s="72"/>
      <c r="L81" s="66"/>
    </row>
    <row r="82" spans="1:12">
      <c r="A82" s="66" t="s">
        <v>1212</v>
      </c>
      <c r="B82" s="67"/>
      <c r="C82" s="67"/>
      <c r="D82" s="67"/>
      <c r="E82" s="67"/>
      <c r="F82" s="67"/>
      <c r="G82" s="67"/>
      <c r="H82" s="110"/>
      <c r="I82" s="68"/>
      <c r="J82" s="66"/>
      <c r="K82" s="72"/>
      <c r="L82" s="66"/>
    </row>
    <row r="83" spans="1:12">
      <c r="A83" s="66" t="s">
        <v>1495</v>
      </c>
      <c r="B83" s="67"/>
      <c r="C83" s="67"/>
      <c r="D83" s="67"/>
      <c r="E83" s="67"/>
      <c r="F83" s="67"/>
      <c r="G83" s="67"/>
      <c r="H83" s="110"/>
      <c r="I83" s="68"/>
      <c r="J83" s="66"/>
      <c r="K83" s="72"/>
      <c r="L83" s="66"/>
    </row>
    <row r="84" spans="1:12">
      <c r="A84" s="66" t="s">
        <v>645</v>
      </c>
      <c r="B84" s="98">
        <v>44874</v>
      </c>
      <c r="C84" s="67" t="s">
        <v>1845</v>
      </c>
      <c r="D84" s="98">
        <v>44874</v>
      </c>
      <c r="E84" s="67" t="s">
        <v>1850</v>
      </c>
      <c r="F84" s="67"/>
      <c r="G84" s="67"/>
      <c r="H84" s="110"/>
      <c r="I84" s="68"/>
      <c r="J84" s="66" t="s">
        <v>1851</v>
      </c>
      <c r="K84" s="72"/>
      <c r="L84" s="66"/>
    </row>
    <row r="85" spans="1:12">
      <c r="A85" s="66" t="s">
        <v>520</v>
      </c>
      <c r="B85" s="67"/>
      <c r="C85" s="67"/>
      <c r="D85" s="67"/>
      <c r="E85" s="67"/>
      <c r="F85" s="67"/>
      <c r="G85" s="67"/>
      <c r="H85" s="110"/>
      <c r="I85" s="68"/>
      <c r="J85" s="66"/>
      <c r="K85" s="72"/>
      <c r="L85" s="66"/>
    </row>
    <row r="86" spans="1:12">
      <c r="A86" s="66" t="s">
        <v>1878</v>
      </c>
      <c r="B86" s="67"/>
      <c r="C86" s="67"/>
      <c r="D86" s="67"/>
      <c r="E86" s="67"/>
      <c r="F86" s="67"/>
      <c r="G86" s="67"/>
      <c r="H86" s="110"/>
      <c r="I86" s="68"/>
      <c r="J86" s="66"/>
      <c r="K86" s="72"/>
      <c r="L86" s="66"/>
    </row>
    <row r="87" spans="1:12">
      <c r="A87" s="66" t="s">
        <v>859</v>
      </c>
      <c r="B87" s="67"/>
      <c r="C87" s="67"/>
      <c r="D87" s="67"/>
      <c r="E87" s="67"/>
      <c r="F87" s="67"/>
      <c r="G87" s="67"/>
      <c r="H87" s="110"/>
      <c r="I87" s="68"/>
      <c r="J87" s="66"/>
      <c r="K87" s="72"/>
      <c r="L87" s="66"/>
    </row>
    <row r="88" spans="1:12">
      <c r="A88" s="66" t="s">
        <v>647</v>
      </c>
      <c r="B88" s="66"/>
      <c r="C88" s="66"/>
      <c r="D88" s="66"/>
      <c r="E88" s="66"/>
      <c r="F88" s="66"/>
      <c r="G88" s="66"/>
      <c r="H88" s="110"/>
      <c r="I88" s="68"/>
      <c r="J88" s="66"/>
      <c r="K88" s="72"/>
      <c r="L88" s="66"/>
    </row>
    <row r="89" spans="1:12">
      <c r="A89" s="66" t="s">
        <v>1879</v>
      </c>
      <c r="B89" s="67"/>
      <c r="C89" s="67"/>
      <c r="D89" s="67"/>
      <c r="E89" s="67"/>
      <c r="F89" s="67"/>
      <c r="G89" s="67"/>
      <c r="H89" s="110"/>
      <c r="I89" s="68"/>
      <c r="J89" s="66"/>
      <c r="K89" s="72"/>
      <c r="L89" s="66"/>
    </row>
    <row r="90" spans="1:12">
      <c r="A90" s="66" t="s">
        <v>1005</v>
      </c>
      <c r="B90" s="67"/>
      <c r="C90" s="67"/>
      <c r="D90" s="67"/>
      <c r="E90" s="67"/>
      <c r="F90" s="67"/>
      <c r="G90" s="67"/>
      <c r="H90" s="110"/>
      <c r="I90" s="68"/>
      <c r="J90" s="66"/>
      <c r="K90" s="72"/>
      <c r="L90" s="66"/>
    </row>
    <row r="91" spans="1:12">
      <c r="A91" s="66" t="s">
        <v>443</v>
      </c>
      <c r="B91" s="67"/>
      <c r="C91" s="67"/>
      <c r="D91" s="67"/>
      <c r="E91" s="67"/>
      <c r="F91" s="67"/>
      <c r="G91" s="67"/>
      <c r="H91" s="110"/>
      <c r="I91" s="68"/>
      <c r="J91" s="66"/>
      <c r="K91" s="72"/>
      <c r="L91" s="66"/>
    </row>
    <row r="92" spans="1:12">
      <c r="A92" s="66" t="s">
        <v>1880</v>
      </c>
      <c r="B92" s="67"/>
      <c r="C92" s="67"/>
      <c r="D92" s="67"/>
      <c r="E92" s="67"/>
      <c r="F92" s="67"/>
      <c r="G92" s="67"/>
      <c r="H92" s="110"/>
      <c r="I92" s="68"/>
      <c r="J92" s="66"/>
      <c r="K92" s="72"/>
      <c r="L92" s="66"/>
    </row>
    <row r="93" spans="1:12">
      <c r="A93" s="66" t="s">
        <v>621</v>
      </c>
      <c r="B93" s="67"/>
      <c r="C93" s="67"/>
      <c r="D93" s="67"/>
      <c r="E93" s="67"/>
      <c r="F93" s="67"/>
      <c r="G93" s="67"/>
      <c r="H93" s="110"/>
      <c r="I93" s="68"/>
      <c r="J93" s="66"/>
      <c r="K93" s="72"/>
      <c r="L93" s="66"/>
    </row>
    <row r="94" spans="1:12">
      <c r="A94" s="66" t="s">
        <v>1881</v>
      </c>
      <c r="B94" s="67"/>
      <c r="C94" s="67"/>
      <c r="D94" s="67"/>
      <c r="E94" s="67"/>
      <c r="F94" s="67"/>
      <c r="G94" s="67"/>
      <c r="H94" s="110"/>
      <c r="I94" s="68"/>
      <c r="J94" s="66"/>
      <c r="K94" s="72"/>
      <c r="L94" s="66"/>
    </row>
    <row r="95" spans="1:12" s="142" customFormat="1">
      <c r="A95" s="66" t="s">
        <v>1215</v>
      </c>
      <c r="B95" s="67"/>
      <c r="C95" s="67"/>
      <c r="D95" s="67"/>
      <c r="E95" s="67"/>
      <c r="F95" s="67"/>
      <c r="G95" s="67"/>
      <c r="H95" s="110"/>
      <c r="I95" s="68"/>
      <c r="J95" s="66"/>
      <c r="K95" s="72"/>
      <c r="L95" s="66"/>
    </row>
    <row r="96" spans="1:12" s="142" customFormat="1">
      <c r="A96" s="66" t="s">
        <v>1165</v>
      </c>
      <c r="B96" s="67"/>
      <c r="C96" s="67"/>
      <c r="D96" s="67"/>
      <c r="E96" s="67"/>
      <c r="F96" s="67"/>
      <c r="G96" s="67"/>
      <c r="H96" s="110"/>
      <c r="I96" s="68"/>
      <c r="J96" s="66"/>
      <c r="K96" s="72"/>
      <c r="L96" s="66"/>
    </row>
    <row r="97" spans="1:12" s="142" customFormat="1">
      <c r="A97" s="66" t="s">
        <v>446</v>
      </c>
      <c r="B97" s="67"/>
      <c r="C97" s="67"/>
      <c r="D97" s="67"/>
      <c r="E97" s="67"/>
      <c r="F97" s="67"/>
      <c r="G97" s="67"/>
      <c r="H97" s="110"/>
      <c r="I97" s="68"/>
      <c r="J97" s="66"/>
      <c r="K97" s="72"/>
      <c r="L97" s="66"/>
    </row>
    <row r="98" spans="1:12" s="142" customFormat="1">
      <c r="A98" s="66" t="s">
        <v>623</v>
      </c>
      <c r="B98" s="66"/>
      <c r="C98" s="66"/>
      <c r="D98" s="66"/>
      <c r="E98" s="66"/>
      <c r="F98" s="66"/>
      <c r="G98" s="66"/>
      <c r="H98" s="110"/>
      <c r="I98" s="68"/>
      <c r="J98" s="66"/>
      <c r="K98" s="72"/>
      <c r="L98" s="66"/>
    </row>
    <row r="99" spans="1:12" s="142" customFormat="1">
      <c r="A99" s="66" t="s">
        <v>1882</v>
      </c>
      <c r="B99" s="67"/>
      <c r="C99" s="67"/>
      <c r="D99" s="67"/>
      <c r="E99" s="67"/>
      <c r="F99" s="67"/>
      <c r="G99" s="67"/>
      <c r="H99" s="110"/>
      <c r="I99" s="68"/>
      <c r="J99" s="66"/>
      <c r="K99" s="72"/>
      <c r="L99" s="66"/>
    </row>
    <row r="100" spans="1:12" s="142" customFormat="1">
      <c r="A100" s="66" t="s">
        <v>384</v>
      </c>
      <c r="B100" s="66"/>
      <c r="C100" s="66"/>
      <c r="D100" s="66"/>
      <c r="E100" s="66"/>
      <c r="F100" s="66"/>
      <c r="G100" s="66"/>
      <c r="H100" s="110"/>
      <c r="I100" s="68"/>
      <c r="J100" s="66"/>
      <c r="K100" s="72"/>
      <c r="L100" s="66"/>
    </row>
    <row r="101" spans="1:12" s="142" customFormat="1">
      <c r="A101" s="66" t="s">
        <v>684</v>
      </c>
      <c r="B101" s="67"/>
      <c r="C101" s="67"/>
      <c r="D101" s="67"/>
      <c r="E101" s="67"/>
      <c r="F101" s="67"/>
      <c r="G101" s="67"/>
      <c r="H101" s="110"/>
      <c r="I101" s="68"/>
      <c r="J101" s="66"/>
      <c r="K101" s="72"/>
      <c r="L101" s="66"/>
    </row>
    <row r="102" spans="1:12" s="142" customFormat="1">
      <c r="A102" s="66" t="s">
        <v>1883</v>
      </c>
      <c r="B102" s="67"/>
      <c r="C102" s="67"/>
      <c r="D102" s="67"/>
      <c r="E102" s="67"/>
      <c r="F102" s="67"/>
      <c r="G102" s="67"/>
      <c r="H102" s="110"/>
      <c r="I102" s="68"/>
      <c r="J102" s="66"/>
      <c r="K102" s="72"/>
      <c r="L102" s="66"/>
    </row>
    <row r="103" spans="1:12" s="142" customFormat="1">
      <c r="A103" s="66" t="s">
        <v>449</v>
      </c>
      <c r="B103" s="66"/>
      <c r="C103" s="66"/>
      <c r="D103" s="66"/>
      <c r="E103" s="66"/>
      <c r="F103" s="66"/>
      <c r="G103" s="66"/>
      <c r="H103" s="110"/>
      <c r="I103" s="68"/>
      <c r="J103" s="66"/>
      <c r="K103" s="72"/>
      <c r="L103" s="66"/>
    </row>
    <row r="104" spans="1:12" s="142" customFormat="1">
      <c r="A104" s="66" t="s">
        <v>452</v>
      </c>
      <c r="B104" s="66"/>
      <c r="C104" s="66"/>
      <c r="D104" s="66"/>
      <c r="E104" s="66"/>
      <c r="F104" s="66"/>
      <c r="G104" s="66"/>
      <c r="H104" s="110"/>
      <c r="I104" s="68"/>
      <c r="J104" s="66"/>
      <c r="K104" s="72"/>
      <c r="L104" s="66"/>
    </row>
    <row r="105" spans="1:12" s="142" customFormat="1">
      <c r="A105" s="66" t="s">
        <v>1884</v>
      </c>
      <c r="B105" s="66"/>
      <c r="C105" s="66"/>
      <c r="D105" s="66"/>
      <c r="E105" s="66"/>
      <c r="F105" s="66"/>
      <c r="G105" s="66"/>
      <c r="H105" s="110"/>
      <c r="I105" s="68"/>
      <c r="J105" s="66"/>
      <c r="K105" s="72"/>
      <c r="L105" s="66"/>
    </row>
    <row r="106" spans="1:12" s="142" customFormat="1">
      <c r="A106" s="66" t="s">
        <v>1885</v>
      </c>
      <c r="B106" s="67"/>
      <c r="C106" s="67"/>
      <c r="D106" s="67"/>
      <c r="E106" s="67"/>
      <c r="F106" s="67"/>
      <c r="G106" s="67"/>
      <c r="H106" s="110"/>
      <c r="I106" s="68"/>
      <c r="J106" s="66"/>
      <c r="K106" s="72"/>
      <c r="L106" s="66"/>
    </row>
    <row r="107" spans="1:12" s="142" customFormat="1">
      <c r="A107" s="66" t="s">
        <v>1886</v>
      </c>
      <c r="B107" s="66"/>
      <c r="C107" s="66"/>
      <c r="D107" s="66"/>
      <c r="E107" s="66"/>
      <c r="F107" s="66"/>
      <c r="G107" s="66"/>
      <c r="H107" s="110"/>
      <c r="I107" s="68"/>
      <c r="J107" s="66"/>
      <c r="K107" s="72"/>
      <c r="L107" s="66"/>
    </row>
    <row r="108" spans="1:12" s="142" customFormat="1">
      <c r="A108" s="66" t="s">
        <v>1887</v>
      </c>
      <c r="B108" s="66"/>
      <c r="C108" s="66"/>
      <c r="D108" s="66"/>
      <c r="E108" s="66"/>
      <c r="F108" s="66"/>
      <c r="G108" s="66"/>
      <c r="H108" s="110"/>
      <c r="I108" s="68"/>
      <c r="J108" s="66"/>
      <c r="K108" s="72"/>
      <c r="L108" s="66"/>
    </row>
    <row r="109" spans="1:12" s="142" customFormat="1">
      <c r="A109" s="66" t="s">
        <v>1888</v>
      </c>
      <c r="B109" s="67"/>
      <c r="C109" s="67"/>
      <c r="D109" s="67"/>
      <c r="E109" s="67"/>
      <c r="F109" s="67"/>
      <c r="G109" s="67"/>
      <c r="H109" s="110"/>
      <c r="I109" s="68"/>
      <c r="J109" s="66"/>
      <c r="K109" s="72"/>
      <c r="L109" s="66"/>
    </row>
    <row r="110" spans="1:12" s="142" customFormat="1">
      <c r="A110" s="66" t="s">
        <v>1889</v>
      </c>
      <c r="B110" s="67"/>
      <c r="C110" s="67"/>
      <c r="D110" s="67"/>
      <c r="E110" s="67"/>
      <c r="F110" s="67"/>
      <c r="G110" s="67"/>
      <c r="H110" s="110"/>
      <c r="I110" s="68"/>
      <c r="J110" s="66"/>
      <c r="K110" s="72"/>
      <c r="L110" s="66"/>
    </row>
    <row r="111" spans="1:12" s="142" customFormat="1">
      <c r="A111" s="66" t="s">
        <v>687</v>
      </c>
      <c r="B111" s="66"/>
      <c r="C111" s="66"/>
      <c r="D111" s="66"/>
      <c r="E111" s="66"/>
      <c r="F111" s="66"/>
      <c r="G111" s="66"/>
      <c r="H111" s="110"/>
      <c r="I111" s="68"/>
      <c r="J111" s="66"/>
      <c r="K111" s="72"/>
      <c r="L111" s="66"/>
    </row>
    <row r="112" spans="1:12" s="142" customFormat="1">
      <c r="A112" s="66" t="s">
        <v>1890</v>
      </c>
      <c r="B112" s="67"/>
      <c r="C112" s="67"/>
      <c r="D112" s="67"/>
      <c r="E112" s="67"/>
      <c r="F112" s="67"/>
      <c r="G112" s="67"/>
      <c r="H112" s="110"/>
      <c r="I112" s="68"/>
      <c r="J112" s="66"/>
      <c r="K112" s="72"/>
      <c r="L112" s="66"/>
    </row>
    <row r="113" spans="1:12" s="142" customFormat="1">
      <c r="A113" s="66" t="s">
        <v>1008</v>
      </c>
      <c r="B113" s="67"/>
      <c r="C113" s="67"/>
      <c r="D113" s="67"/>
      <c r="E113" s="67"/>
      <c r="F113" s="67"/>
      <c r="G113" s="67"/>
      <c r="H113" s="110"/>
      <c r="I113" s="68"/>
      <c r="J113" s="66"/>
      <c r="K113" s="72"/>
      <c r="L113" s="66"/>
    </row>
    <row r="114" spans="1:12" s="142" customFormat="1">
      <c r="A114" s="66" t="s">
        <v>1043</v>
      </c>
      <c r="B114" s="66"/>
      <c r="C114" s="66"/>
      <c r="D114" s="66"/>
      <c r="E114" s="66"/>
      <c r="F114" s="66"/>
      <c r="G114" s="66"/>
      <c r="H114" s="110"/>
      <c r="I114" s="68"/>
      <c r="J114" s="66"/>
      <c r="K114" s="72"/>
      <c r="L114" s="66"/>
    </row>
    <row r="115" spans="1:12" s="142" customFormat="1">
      <c r="A115" s="66" t="s">
        <v>454</v>
      </c>
      <c r="B115" s="66"/>
      <c r="C115" s="66"/>
      <c r="D115" s="66"/>
      <c r="E115" s="66"/>
      <c r="F115" s="66"/>
      <c r="G115" s="66"/>
      <c r="H115" s="110"/>
      <c r="I115" s="68"/>
      <c r="J115" s="66"/>
      <c r="K115" s="72"/>
      <c r="L115" s="66"/>
    </row>
    <row r="116" spans="1:12" s="142" customFormat="1">
      <c r="A116" s="66" t="s">
        <v>387</v>
      </c>
      <c r="B116" s="98">
        <v>44765</v>
      </c>
      <c r="C116" s="67" t="s">
        <v>1891</v>
      </c>
      <c r="D116" s="98">
        <v>44932</v>
      </c>
      <c r="E116" s="67"/>
      <c r="F116" s="67"/>
      <c r="G116" s="67"/>
      <c r="H116" s="110">
        <v>15776901</v>
      </c>
      <c r="I116" s="68" t="s">
        <v>1860</v>
      </c>
      <c r="J116" s="66" t="s">
        <v>1892</v>
      </c>
      <c r="K116" s="72" t="s">
        <v>1893</v>
      </c>
      <c r="L116" s="66" t="s">
        <v>1894</v>
      </c>
    </row>
    <row r="117" spans="1:12" s="142" customFormat="1">
      <c r="A117" s="66" t="s">
        <v>1167</v>
      </c>
      <c r="B117" s="67"/>
      <c r="C117" s="67"/>
      <c r="D117" s="67"/>
      <c r="E117" s="67"/>
      <c r="F117" s="67"/>
      <c r="G117" s="67"/>
      <c r="H117" s="110"/>
      <c r="I117" s="68"/>
      <c r="J117" s="66"/>
      <c r="K117" s="72"/>
      <c r="L117" s="66"/>
    </row>
    <row r="118" spans="1:12" s="142" customFormat="1">
      <c r="A118" s="66" t="s">
        <v>690</v>
      </c>
      <c r="B118" s="67"/>
      <c r="C118" s="67"/>
      <c r="D118" s="67"/>
      <c r="E118" s="67"/>
      <c r="F118" s="67"/>
      <c r="G118" s="67"/>
      <c r="H118" s="110"/>
      <c r="I118" s="68"/>
      <c r="J118" s="66"/>
      <c r="K118" s="72"/>
      <c r="L118" s="66"/>
    </row>
    <row r="119" spans="1:12" s="142" customFormat="1">
      <c r="A119" s="66" t="s">
        <v>651</v>
      </c>
      <c r="B119" s="66"/>
      <c r="C119" s="66"/>
      <c r="D119" s="66"/>
      <c r="E119" s="66"/>
      <c r="F119" s="66"/>
      <c r="G119" s="66"/>
      <c r="H119" s="110"/>
      <c r="I119" s="68"/>
      <c r="J119" s="66"/>
      <c r="K119" s="72"/>
      <c r="L119" s="66"/>
    </row>
    <row r="120" spans="1:12" s="142" customFormat="1">
      <c r="A120" s="66" t="s">
        <v>823</v>
      </c>
      <c r="B120" s="67"/>
      <c r="C120" s="67"/>
      <c r="D120" s="67"/>
      <c r="E120" s="67"/>
      <c r="F120" s="67"/>
      <c r="G120" s="67"/>
      <c r="H120" s="110"/>
      <c r="I120" s="68"/>
      <c r="J120" s="66"/>
      <c r="K120" s="72"/>
      <c r="L120" s="66"/>
    </row>
    <row r="121" spans="1:12" s="142" customFormat="1">
      <c r="A121" s="66" t="s">
        <v>1895</v>
      </c>
      <c r="B121" s="67"/>
      <c r="C121" s="67"/>
      <c r="D121" s="67"/>
      <c r="E121" s="67"/>
      <c r="F121" s="67"/>
      <c r="G121" s="67"/>
      <c r="H121" s="110"/>
      <c r="I121" s="68"/>
      <c r="J121" s="66"/>
      <c r="K121" s="72"/>
      <c r="L121" s="66"/>
    </row>
    <row r="122" spans="1:12" s="142" customFormat="1">
      <c r="A122" s="66" t="s">
        <v>736</v>
      </c>
      <c r="B122" s="67"/>
      <c r="C122" s="67"/>
      <c r="D122" s="67"/>
      <c r="E122" s="67"/>
      <c r="F122" s="67"/>
      <c r="G122" s="67"/>
      <c r="H122" s="110"/>
      <c r="I122" s="68"/>
      <c r="J122" s="66"/>
      <c r="K122" s="72"/>
      <c r="L122" s="66"/>
    </row>
    <row r="123" spans="1:12" s="142" customFormat="1">
      <c r="A123" s="66" t="s">
        <v>1217</v>
      </c>
      <c r="B123" s="67"/>
      <c r="C123" s="67"/>
      <c r="D123" s="67"/>
      <c r="E123" s="67"/>
      <c r="F123" s="67"/>
      <c r="G123" s="67"/>
      <c r="H123" s="110"/>
      <c r="I123" s="68"/>
      <c r="J123" s="66"/>
      <c r="K123" s="72"/>
      <c r="L123" s="66"/>
    </row>
    <row r="124" spans="1:12" s="142" customFormat="1">
      <c r="A124" s="66" t="s">
        <v>457</v>
      </c>
      <c r="B124" s="66"/>
      <c r="C124" s="66"/>
      <c r="D124" s="66"/>
      <c r="E124" s="66"/>
      <c r="F124" s="66"/>
      <c r="G124" s="66"/>
      <c r="H124" s="110"/>
      <c r="I124" s="68"/>
      <c r="J124" s="66"/>
      <c r="K124" s="72"/>
      <c r="L124" s="66"/>
    </row>
    <row r="125" spans="1:12" s="142" customFormat="1">
      <c r="A125" s="66" t="s">
        <v>957</v>
      </c>
      <c r="B125" s="67"/>
      <c r="C125" s="67"/>
      <c r="D125" s="67"/>
      <c r="E125" s="67"/>
      <c r="F125" s="67"/>
      <c r="G125" s="67"/>
      <c r="H125" s="110"/>
      <c r="I125" s="68"/>
      <c r="J125" s="66"/>
      <c r="K125" s="72"/>
      <c r="L125" s="66"/>
    </row>
    <row r="126" spans="1:12" s="142" customFormat="1">
      <c r="A126" s="66" t="s">
        <v>586</v>
      </c>
      <c r="B126" s="67"/>
      <c r="C126" s="67"/>
      <c r="D126" s="67"/>
      <c r="E126" s="67"/>
      <c r="F126" s="67"/>
      <c r="G126" s="67"/>
      <c r="H126" s="110"/>
      <c r="I126" s="68"/>
      <c r="J126" s="66"/>
      <c r="K126" s="72"/>
      <c r="L126" s="66"/>
    </row>
    <row r="127" spans="1:12" s="142" customFormat="1">
      <c r="A127" s="66" t="s">
        <v>1896</v>
      </c>
      <c r="B127" s="66"/>
      <c r="C127" s="66"/>
      <c r="D127" s="66"/>
      <c r="E127" s="66"/>
      <c r="F127" s="66"/>
      <c r="G127" s="66"/>
      <c r="H127" s="110"/>
      <c r="I127" s="68"/>
      <c r="J127" s="66"/>
      <c r="K127" s="72"/>
      <c r="L127" s="66"/>
    </row>
    <row r="128" spans="1:12" s="142" customFormat="1">
      <c r="A128" s="66" t="s">
        <v>769</v>
      </c>
      <c r="B128" s="67"/>
      <c r="C128" s="67"/>
      <c r="D128" s="67"/>
      <c r="E128" s="67"/>
      <c r="F128" s="67"/>
      <c r="G128" s="67"/>
      <c r="H128" s="110"/>
      <c r="I128" s="68"/>
      <c r="J128" s="66"/>
      <c r="K128" s="72"/>
      <c r="L128" s="66"/>
    </row>
    <row r="129" spans="1:12" s="142" customFormat="1">
      <c r="A129" s="66" t="s">
        <v>862</v>
      </c>
      <c r="B129" s="67"/>
      <c r="C129" s="67"/>
      <c r="D129" s="67"/>
      <c r="E129" s="67"/>
      <c r="F129" s="67"/>
      <c r="G129" s="67"/>
      <c r="H129" s="110"/>
      <c r="I129" s="68"/>
      <c r="J129" s="66"/>
      <c r="K129" s="72"/>
      <c r="L129" s="66"/>
    </row>
    <row r="130" spans="1:12" s="142" customFormat="1">
      <c r="A130" s="66" t="s">
        <v>309</v>
      </c>
      <c r="B130" s="66"/>
      <c r="C130" s="66"/>
      <c r="D130" s="66"/>
      <c r="E130" s="66"/>
      <c r="F130" s="66"/>
      <c r="G130" s="66"/>
      <c r="H130" s="110"/>
      <c r="I130" s="68"/>
      <c r="J130" s="66"/>
      <c r="K130" s="72"/>
      <c r="L130" s="66"/>
    </row>
    <row r="131" spans="1:12" s="142" customFormat="1">
      <c r="A131" s="66" t="s">
        <v>236</v>
      </c>
      <c r="B131" s="66"/>
      <c r="C131" s="66"/>
      <c r="D131" s="66"/>
      <c r="E131" s="66"/>
      <c r="F131" s="66"/>
      <c r="G131" s="66"/>
      <c r="H131" s="110"/>
      <c r="I131" s="68"/>
      <c r="J131" s="66"/>
      <c r="K131" s="72"/>
      <c r="L131" s="66"/>
    </row>
    <row r="132" spans="1:12" s="142" customFormat="1">
      <c r="A132" s="66" t="s">
        <v>238</v>
      </c>
      <c r="B132" s="66"/>
      <c r="C132" s="66"/>
      <c r="D132" s="66"/>
      <c r="E132" s="66"/>
      <c r="F132" s="66"/>
      <c r="G132" s="66"/>
      <c r="H132" s="110"/>
      <c r="I132" s="68"/>
      <c r="J132" s="66"/>
      <c r="K132" s="72"/>
      <c r="L132" s="66"/>
    </row>
    <row r="133" spans="1:12" s="142" customFormat="1">
      <c r="A133" s="66" t="s">
        <v>103</v>
      </c>
      <c r="B133" s="66"/>
      <c r="C133" s="66"/>
      <c r="D133" s="66"/>
      <c r="E133" s="66"/>
      <c r="F133" s="66"/>
      <c r="G133" s="66"/>
      <c r="H133" s="110"/>
      <c r="I133" s="68"/>
      <c r="J133" s="66"/>
      <c r="K133" s="72"/>
      <c r="L133" s="66"/>
    </row>
    <row r="134" spans="1:12" s="142" customFormat="1">
      <c r="A134" s="66" t="s">
        <v>1449</v>
      </c>
      <c r="B134" s="66"/>
      <c r="C134" s="66"/>
      <c r="D134" s="66"/>
      <c r="E134" s="66"/>
      <c r="F134" s="66"/>
      <c r="G134" s="66"/>
      <c r="H134" s="110"/>
      <c r="I134" s="68"/>
      <c r="J134" s="66"/>
      <c r="K134" s="72"/>
      <c r="L134" s="66"/>
    </row>
    <row r="135" spans="1:12" s="142" customFormat="1">
      <c r="A135" s="66" t="s">
        <v>19</v>
      </c>
      <c r="B135" s="66"/>
      <c r="C135" s="66"/>
      <c r="D135" s="66"/>
      <c r="E135" s="66"/>
      <c r="F135" s="66"/>
      <c r="G135" s="66"/>
      <c r="H135" s="110"/>
      <c r="I135" s="68"/>
      <c r="J135" s="66"/>
      <c r="K135" s="72"/>
      <c r="L135" s="66"/>
    </row>
    <row r="136" spans="1:12" s="142" customFormat="1">
      <c r="A136" s="66" t="s">
        <v>21</v>
      </c>
      <c r="B136" s="66"/>
      <c r="C136" s="66"/>
      <c r="D136" s="66"/>
      <c r="E136" s="66"/>
      <c r="F136" s="66"/>
      <c r="G136" s="66"/>
      <c r="H136" s="110"/>
      <c r="I136" s="68"/>
      <c r="J136" s="66"/>
      <c r="K136" s="72"/>
      <c r="L136" s="66"/>
    </row>
    <row r="137" spans="1:12">
      <c r="A137" s="66" t="s">
        <v>182</v>
      </c>
      <c r="B137" s="99">
        <v>44858</v>
      </c>
      <c r="C137" s="66" t="s">
        <v>1845</v>
      </c>
      <c r="D137" s="99">
        <v>44851</v>
      </c>
      <c r="E137" s="66" t="s">
        <v>1897</v>
      </c>
      <c r="F137" s="66"/>
      <c r="G137" s="66"/>
      <c r="H137" s="110"/>
      <c r="I137" s="68"/>
      <c r="J137" s="72" t="s">
        <v>1898</v>
      </c>
      <c r="K137" s="72"/>
      <c r="L137" s="66"/>
    </row>
    <row r="138" spans="1:12">
      <c r="A138" s="66" t="s">
        <v>185</v>
      </c>
      <c r="B138" s="66"/>
      <c r="C138" s="66"/>
      <c r="D138" s="66"/>
      <c r="E138" s="66"/>
      <c r="F138" s="66"/>
      <c r="G138" s="66"/>
      <c r="H138" s="110"/>
      <c r="I138" s="68"/>
      <c r="J138" s="66"/>
      <c r="K138" s="72"/>
      <c r="L138" s="66"/>
    </row>
    <row r="139" spans="1:12">
      <c r="A139" s="66" t="s">
        <v>188</v>
      </c>
      <c r="B139" s="99">
        <v>44862</v>
      </c>
      <c r="C139" s="66" t="s">
        <v>1845</v>
      </c>
      <c r="D139" s="99">
        <v>44862</v>
      </c>
      <c r="E139" s="66"/>
      <c r="F139" s="66"/>
      <c r="G139" s="66"/>
      <c r="H139" s="110"/>
      <c r="I139" s="68"/>
      <c r="J139" s="66"/>
      <c r="K139" s="72"/>
      <c r="L139" s="66"/>
    </row>
    <row r="140" spans="1:12">
      <c r="A140" s="66" t="s">
        <v>312</v>
      </c>
      <c r="B140" s="67"/>
      <c r="C140" s="67"/>
      <c r="D140" s="67"/>
      <c r="E140" s="67"/>
      <c r="F140" s="67"/>
      <c r="G140" s="67"/>
      <c r="H140" s="110"/>
      <c r="I140" s="68"/>
      <c r="J140" s="66"/>
      <c r="K140" s="72"/>
      <c r="L140" s="66"/>
    </row>
    <row r="141" spans="1:12">
      <c r="A141" s="66" t="s">
        <v>240</v>
      </c>
      <c r="B141" s="66"/>
      <c r="C141" s="66"/>
      <c r="D141" s="66"/>
      <c r="E141" s="66"/>
      <c r="F141" s="66"/>
      <c r="G141" s="66"/>
      <c r="H141" s="110"/>
      <c r="I141" s="68"/>
      <c r="J141" s="66"/>
      <c r="K141" s="72"/>
      <c r="L141" s="66"/>
    </row>
    <row r="142" spans="1:12">
      <c r="A142" s="66" t="s">
        <v>243</v>
      </c>
      <c r="B142" s="66"/>
      <c r="C142" s="66"/>
      <c r="D142" s="66"/>
      <c r="E142" s="66"/>
      <c r="F142" s="66"/>
      <c r="G142" s="66"/>
      <c r="H142" s="110"/>
      <c r="I142" s="68"/>
      <c r="J142" s="66"/>
      <c r="K142" s="72"/>
      <c r="L142" s="66"/>
    </row>
    <row r="143" spans="1:12">
      <c r="A143" s="66" t="s">
        <v>314</v>
      </c>
      <c r="B143" s="66"/>
      <c r="C143" s="66"/>
      <c r="D143" s="66"/>
      <c r="E143" s="66"/>
      <c r="F143" s="66"/>
      <c r="G143" s="66"/>
      <c r="H143" s="110"/>
      <c r="I143" s="68"/>
      <c r="J143" s="66"/>
      <c r="K143" s="72"/>
      <c r="L143" s="66"/>
    </row>
    <row r="144" spans="1:12">
      <c r="A144" s="66" t="s">
        <v>317</v>
      </c>
      <c r="B144" s="66"/>
      <c r="C144" s="66"/>
      <c r="D144" s="66"/>
      <c r="E144" s="66"/>
      <c r="F144" s="66"/>
      <c r="G144" s="66"/>
      <c r="H144" s="110"/>
      <c r="I144" s="68"/>
      <c r="J144" s="66"/>
      <c r="K144" s="72"/>
      <c r="L144" s="66"/>
    </row>
    <row r="145" spans="1:12">
      <c r="A145" s="66" t="s">
        <v>319</v>
      </c>
      <c r="B145" s="66"/>
      <c r="C145" s="66"/>
      <c r="D145" s="66"/>
      <c r="E145" s="66"/>
      <c r="F145" s="66"/>
      <c r="G145" s="66"/>
      <c r="H145" s="110"/>
      <c r="I145" s="68"/>
      <c r="J145" s="66"/>
      <c r="K145" s="72"/>
      <c r="L145" s="66"/>
    </row>
    <row r="146" spans="1:12">
      <c r="A146" s="66" t="s">
        <v>321</v>
      </c>
      <c r="B146" s="66"/>
      <c r="C146" s="66"/>
      <c r="D146" s="66"/>
      <c r="E146" s="66"/>
      <c r="F146" s="66"/>
      <c r="G146" s="66"/>
      <c r="H146" s="110"/>
      <c r="I146" s="68"/>
      <c r="J146" s="66"/>
      <c r="K146" s="72"/>
      <c r="L146" s="66"/>
    </row>
    <row r="147" spans="1:12">
      <c r="A147" s="66" t="s">
        <v>324</v>
      </c>
      <c r="B147" s="67"/>
      <c r="C147" s="67"/>
      <c r="D147" s="67"/>
      <c r="E147" s="67"/>
      <c r="F147" s="67"/>
      <c r="G147" s="67"/>
      <c r="H147" s="110"/>
      <c r="I147" s="68"/>
      <c r="J147" s="66"/>
      <c r="K147" s="72"/>
      <c r="L147" s="66"/>
    </row>
    <row r="148" spans="1:12">
      <c r="A148" s="66" t="s">
        <v>1899</v>
      </c>
      <c r="B148" s="66"/>
      <c r="C148" s="66"/>
      <c r="D148" s="66"/>
      <c r="E148" s="66"/>
      <c r="F148" s="66"/>
      <c r="G148" s="66"/>
      <c r="H148" s="110"/>
      <c r="I148" s="68"/>
      <c r="J148" s="66"/>
      <c r="K148" s="72"/>
      <c r="L148" s="66"/>
    </row>
    <row r="149" spans="1:12">
      <c r="A149" s="66" t="s">
        <v>1900</v>
      </c>
      <c r="B149" s="66"/>
      <c r="C149" s="66"/>
      <c r="D149" s="66"/>
      <c r="E149" s="66"/>
      <c r="F149" s="66"/>
      <c r="G149" s="66"/>
      <c r="H149" s="110"/>
      <c r="I149" s="68"/>
      <c r="J149" s="66"/>
      <c r="K149" s="72"/>
      <c r="L149" s="66"/>
    </row>
    <row r="150" spans="1:12">
      <c r="A150" s="66" t="s">
        <v>1078</v>
      </c>
      <c r="B150" s="99">
        <v>44852</v>
      </c>
      <c r="C150" s="66" t="s">
        <v>1845</v>
      </c>
      <c r="D150" s="99">
        <v>44855</v>
      </c>
      <c r="E150" s="66"/>
      <c r="F150" s="66"/>
      <c r="G150" s="66"/>
      <c r="H150" s="110"/>
      <c r="I150" s="68"/>
      <c r="J150" s="72" t="s">
        <v>1901</v>
      </c>
      <c r="K150" s="72"/>
      <c r="L150" s="66"/>
    </row>
    <row r="151" spans="1:12">
      <c r="A151" s="66" t="s">
        <v>826</v>
      </c>
      <c r="B151" s="98">
        <v>44847</v>
      </c>
      <c r="C151" s="67" t="s">
        <v>1845</v>
      </c>
      <c r="D151" s="98">
        <v>44852</v>
      </c>
      <c r="E151" s="67"/>
      <c r="F151" s="67"/>
      <c r="G151" s="67"/>
      <c r="H151" s="110"/>
      <c r="I151" s="68"/>
      <c r="J151" s="72" t="s">
        <v>1902</v>
      </c>
      <c r="K151" s="72"/>
      <c r="L151" s="66"/>
    </row>
    <row r="152" spans="1:12" s="142" customFormat="1" ht="27.6">
      <c r="A152" s="66" t="s">
        <v>1045</v>
      </c>
      <c r="B152" s="99">
        <v>44895</v>
      </c>
      <c r="C152" s="66" t="s">
        <v>1891</v>
      </c>
      <c r="D152" s="99">
        <v>44895</v>
      </c>
      <c r="E152" s="66"/>
      <c r="F152" s="66"/>
      <c r="G152" s="66"/>
      <c r="H152" s="110"/>
      <c r="I152" s="68"/>
      <c r="J152" s="72" t="s">
        <v>1903</v>
      </c>
      <c r="K152" s="72"/>
      <c r="L152" s="66"/>
    </row>
    <row r="153" spans="1:12" s="142" customFormat="1">
      <c r="A153" s="66" t="s">
        <v>523</v>
      </c>
      <c r="B153" s="66"/>
      <c r="C153" s="66"/>
      <c r="D153" s="66"/>
      <c r="E153" s="66"/>
      <c r="F153" s="66"/>
      <c r="G153" s="66"/>
      <c r="H153" s="110"/>
      <c r="I153" s="68"/>
      <c r="J153" s="66"/>
      <c r="K153" s="72"/>
      <c r="L153" s="66"/>
    </row>
    <row r="154" spans="1:12" s="142" customFormat="1">
      <c r="A154" s="66" t="s">
        <v>693</v>
      </c>
      <c r="B154" s="66"/>
      <c r="C154" s="66"/>
      <c r="D154" s="66"/>
      <c r="E154" s="66"/>
      <c r="F154" s="66"/>
      <c r="G154" s="66"/>
      <c r="H154" s="110"/>
      <c r="I154" s="68"/>
      <c r="J154" s="66"/>
      <c r="K154" s="72"/>
      <c r="L154" s="66"/>
    </row>
    <row r="155" spans="1:12" s="142" customFormat="1">
      <c r="A155" s="66" t="s">
        <v>105</v>
      </c>
      <c r="B155" s="99">
        <v>44407</v>
      </c>
      <c r="C155" s="66" t="s">
        <v>1845</v>
      </c>
      <c r="D155" s="66"/>
      <c r="E155" s="66"/>
      <c r="F155" s="66"/>
      <c r="G155" s="66"/>
      <c r="H155" s="110"/>
      <c r="I155" s="68"/>
      <c r="J155" s="66"/>
      <c r="K155" s="72"/>
      <c r="L155" s="66"/>
    </row>
    <row r="156" spans="1:12" s="142" customFormat="1" ht="27.6">
      <c r="A156" s="66" t="s">
        <v>654</v>
      </c>
      <c r="B156" s="99">
        <v>44874</v>
      </c>
      <c r="C156" s="66" t="s">
        <v>1845</v>
      </c>
      <c r="D156" s="99">
        <v>44874</v>
      </c>
      <c r="E156" s="66" t="s">
        <v>1850</v>
      </c>
      <c r="F156" s="66"/>
      <c r="G156" s="66"/>
      <c r="H156" s="110"/>
      <c r="I156" s="68"/>
      <c r="J156" s="72" t="s">
        <v>1903</v>
      </c>
      <c r="K156" s="72"/>
      <c r="L156" s="66"/>
    </row>
    <row r="157" spans="1:12" s="142" customFormat="1" ht="27.6">
      <c r="A157" s="66" t="s">
        <v>24</v>
      </c>
      <c r="B157" s="99">
        <v>44869</v>
      </c>
      <c r="C157" s="66" t="s">
        <v>1845</v>
      </c>
      <c r="D157" s="99">
        <v>44869</v>
      </c>
      <c r="E157" s="66" t="s">
        <v>1850</v>
      </c>
      <c r="F157" s="66"/>
      <c r="G157" s="66"/>
      <c r="H157" s="110"/>
      <c r="I157" s="68"/>
      <c r="J157" s="72" t="s">
        <v>1903</v>
      </c>
      <c r="K157" s="72"/>
      <c r="L157" s="66"/>
    </row>
    <row r="158" spans="1:12" s="142" customFormat="1">
      <c r="A158" s="66" t="s">
        <v>107</v>
      </c>
      <c r="B158" s="66"/>
      <c r="C158" s="66"/>
      <c r="D158" s="66"/>
      <c r="E158" s="66"/>
      <c r="F158" s="66"/>
      <c r="G158" s="66"/>
      <c r="H158" s="110"/>
      <c r="I158" s="68"/>
      <c r="J158" s="66"/>
      <c r="K158" s="72"/>
      <c r="L158" s="66"/>
    </row>
    <row r="159" spans="1:12" s="142" customFormat="1">
      <c r="A159" s="66" t="s">
        <v>109</v>
      </c>
      <c r="B159" s="66"/>
      <c r="C159" s="66"/>
      <c r="D159" s="66"/>
      <c r="E159" s="66"/>
      <c r="F159" s="66"/>
      <c r="G159" s="66"/>
      <c r="H159" s="110"/>
      <c r="I159" s="68"/>
      <c r="J159" s="66"/>
      <c r="K159" s="72"/>
      <c r="L159" s="66"/>
    </row>
    <row r="160" spans="1:12" s="142" customFormat="1">
      <c r="A160" s="66" t="s">
        <v>245</v>
      </c>
      <c r="B160" s="66"/>
      <c r="C160" s="66"/>
      <c r="D160" s="66"/>
      <c r="E160" s="66"/>
      <c r="F160" s="66"/>
      <c r="G160" s="66"/>
      <c r="H160" s="110"/>
      <c r="I160" s="68"/>
      <c r="J160" s="66"/>
      <c r="K160" s="72"/>
      <c r="L160" s="66"/>
    </row>
    <row r="161" spans="1:12" s="142" customFormat="1">
      <c r="A161" s="66" t="s">
        <v>1904</v>
      </c>
      <c r="B161" s="66"/>
      <c r="C161" s="66"/>
      <c r="D161" s="66"/>
      <c r="E161" s="66"/>
      <c r="F161" s="66"/>
      <c r="G161" s="66"/>
      <c r="H161" s="110"/>
      <c r="I161" s="68"/>
      <c r="J161" s="66"/>
      <c r="K161" s="72"/>
      <c r="L161" s="66"/>
    </row>
    <row r="162" spans="1:12" s="142" customFormat="1">
      <c r="A162" s="66" t="s">
        <v>326</v>
      </c>
      <c r="B162" s="99">
        <v>44860</v>
      </c>
      <c r="C162" s="66" t="s">
        <v>1845</v>
      </c>
      <c r="D162" s="99">
        <v>44851</v>
      </c>
      <c r="E162" s="66" t="s">
        <v>1850</v>
      </c>
      <c r="F162" s="66"/>
      <c r="G162" s="66"/>
      <c r="H162" s="110"/>
      <c r="I162" s="68"/>
      <c r="J162" s="72" t="s">
        <v>1902</v>
      </c>
      <c r="K162" s="72"/>
      <c r="L162" s="66"/>
    </row>
    <row r="163" spans="1:12" s="142" customFormat="1">
      <c r="A163" s="66" t="s">
        <v>1905</v>
      </c>
      <c r="B163" s="66"/>
      <c r="C163" s="66"/>
      <c r="D163" s="66"/>
      <c r="E163" s="66"/>
      <c r="F163" s="66"/>
      <c r="G163" s="66"/>
      <c r="H163" s="110"/>
      <c r="I163" s="68"/>
      <c r="J163" s="66"/>
      <c r="K163" s="72"/>
      <c r="L163" s="66"/>
    </row>
    <row r="164" spans="1:12" s="142" customFormat="1">
      <c r="A164" s="66" t="s">
        <v>247</v>
      </c>
      <c r="B164" s="66"/>
      <c r="C164" s="66"/>
      <c r="D164" s="66"/>
      <c r="E164" s="66"/>
      <c r="F164" s="66"/>
      <c r="G164" s="66"/>
      <c r="H164" s="110"/>
      <c r="I164" s="68"/>
      <c r="J164" s="66"/>
      <c r="K164" s="72"/>
      <c r="L164" s="66"/>
    </row>
    <row r="165" spans="1:12" s="142" customFormat="1">
      <c r="A165" s="66" t="s">
        <v>328</v>
      </c>
      <c r="B165" s="66"/>
      <c r="C165" s="66"/>
      <c r="D165" s="66"/>
      <c r="E165" s="66"/>
      <c r="F165" s="66"/>
      <c r="G165" s="66"/>
      <c r="H165" s="110"/>
      <c r="I165" s="68"/>
      <c r="J165" s="66"/>
      <c r="K165" s="72"/>
      <c r="L165" s="72"/>
    </row>
    <row r="166" spans="1:12" s="142" customFormat="1">
      <c r="A166" s="66" t="s">
        <v>112</v>
      </c>
      <c r="B166" s="66"/>
      <c r="C166" s="66"/>
      <c r="D166" s="66"/>
      <c r="E166" s="66"/>
      <c r="F166" s="66"/>
      <c r="G166" s="66"/>
      <c r="H166" s="110">
        <v>493870215</v>
      </c>
      <c r="I166" s="68"/>
      <c r="J166" s="66" t="s">
        <v>1906</v>
      </c>
      <c r="K166" s="72"/>
      <c r="L166" s="66"/>
    </row>
    <row r="167" spans="1:12" s="142" customFormat="1">
      <c r="A167" s="66" t="s">
        <v>250</v>
      </c>
      <c r="B167" s="66"/>
      <c r="C167" s="66"/>
      <c r="D167" s="66"/>
      <c r="E167" s="66"/>
      <c r="F167" s="66"/>
      <c r="G167" s="66"/>
      <c r="H167" s="110"/>
      <c r="I167" s="68"/>
      <c r="J167" s="66"/>
      <c r="K167" s="72"/>
      <c r="L167" s="66"/>
    </row>
    <row r="168" spans="1:12" s="142" customFormat="1">
      <c r="A168" s="66" t="s">
        <v>116</v>
      </c>
      <c r="B168" s="66"/>
      <c r="C168" s="66"/>
      <c r="D168" s="66"/>
      <c r="E168" s="66"/>
      <c r="F168" s="66"/>
      <c r="G168" s="66"/>
      <c r="H168" s="110"/>
      <c r="I168" s="68"/>
      <c r="J168" s="66"/>
      <c r="K168" s="72"/>
      <c r="L168" s="66"/>
    </row>
    <row r="169" spans="1:12" s="142" customFormat="1">
      <c r="A169" s="66" t="s">
        <v>27</v>
      </c>
      <c r="B169" s="66"/>
      <c r="C169" s="66"/>
      <c r="D169" s="66"/>
      <c r="E169" s="66"/>
      <c r="F169" s="66"/>
      <c r="G169" s="66"/>
      <c r="H169" s="110"/>
      <c r="I169" s="68"/>
      <c r="J169" s="66"/>
      <c r="K169" s="72"/>
      <c r="L169" s="66"/>
    </row>
    <row r="170" spans="1:12" s="142" customFormat="1">
      <c r="A170" s="66" t="s">
        <v>252</v>
      </c>
      <c r="B170" s="66"/>
      <c r="C170" s="66"/>
      <c r="D170" s="66"/>
      <c r="E170" s="66"/>
      <c r="F170" s="66"/>
      <c r="G170" s="66"/>
      <c r="H170" s="110">
        <v>223328822</v>
      </c>
      <c r="I170" s="68"/>
      <c r="J170" s="66" t="s">
        <v>1906</v>
      </c>
      <c r="K170" s="72"/>
      <c r="L170" s="66"/>
    </row>
    <row r="171" spans="1:12" s="142" customFormat="1">
      <c r="A171" s="66" t="s">
        <v>118</v>
      </c>
      <c r="B171" s="66"/>
      <c r="C171" s="66"/>
      <c r="D171" s="66"/>
      <c r="E171" s="66"/>
      <c r="F171" s="66"/>
      <c r="G171" s="66"/>
      <c r="H171" s="110"/>
      <c r="I171" s="68"/>
      <c r="J171" s="69"/>
      <c r="K171" s="72"/>
      <c r="L171" s="66"/>
    </row>
    <row r="172" spans="1:12" s="142" customFormat="1">
      <c r="A172" s="66" t="s">
        <v>121</v>
      </c>
      <c r="B172" s="99">
        <v>44961</v>
      </c>
      <c r="C172" s="66" t="s">
        <v>2373</v>
      </c>
      <c r="D172" s="66"/>
      <c r="E172" s="66"/>
      <c r="F172" s="66"/>
      <c r="G172" s="66"/>
      <c r="H172" s="110"/>
      <c r="I172" s="68"/>
      <c r="J172" s="66"/>
      <c r="K172" s="72"/>
      <c r="L172" s="66"/>
    </row>
    <row r="173" spans="1:12" s="142" customFormat="1">
      <c r="A173" s="66" t="s">
        <v>190</v>
      </c>
      <c r="B173" s="66"/>
      <c r="C173" s="66"/>
      <c r="D173" s="66"/>
      <c r="E173" s="66"/>
      <c r="F173" s="66"/>
      <c r="G173" s="66"/>
      <c r="H173" s="110">
        <v>224142730</v>
      </c>
      <c r="I173" s="68"/>
      <c r="J173" s="66" t="s">
        <v>1906</v>
      </c>
      <c r="K173" s="72"/>
      <c r="L173" s="66"/>
    </row>
    <row r="174" spans="1:12" s="142" customFormat="1">
      <c r="A174" s="66" t="s">
        <v>254</v>
      </c>
      <c r="B174" s="66"/>
      <c r="C174" s="66"/>
      <c r="D174" s="66"/>
      <c r="E174" s="66"/>
      <c r="F174" s="66"/>
      <c r="G174" s="66"/>
      <c r="H174" s="110"/>
      <c r="I174" s="68"/>
      <c r="J174" s="66"/>
      <c r="K174" s="72"/>
      <c r="L174" s="66"/>
    </row>
    <row r="175" spans="1:12" s="142" customFormat="1">
      <c r="A175" s="66" t="s">
        <v>1258</v>
      </c>
      <c r="B175" s="66"/>
      <c r="C175" s="66"/>
      <c r="D175" s="66"/>
      <c r="E175" s="66"/>
      <c r="F175" s="66"/>
      <c r="G175" s="66"/>
      <c r="H175" s="110"/>
      <c r="I175" s="68"/>
      <c r="J175" s="66"/>
      <c r="K175" s="72"/>
      <c r="L175" s="66"/>
    </row>
    <row r="176" spans="1:12" s="142" customFormat="1">
      <c r="A176" s="66" t="s">
        <v>123</v>
      </c>
      <c r="B176" s="66"/>
      <c r="C176" s="66"/>
      <c r="D176" s="66"/>
      <c r="E176" s="66"/>
      <c r="F176" s="66"/>
      <c r="G176" s="66"/>
      <c r="H176" s="110"/>
      <c r="I176" s="68"/>
      <c r="J176" s="66"/>
      <c r="K176" s="72"/>
      <c r="L176" s="66"/>
    </row>
    <row r="177" spans="1:12" s="142" customFormat="1">
      <c r="A177" s="66" t="s">
        <v>192</v>
      </c>
      <c r="B177" s="66"/>
      <c r="C177" s="66"/>
      <c r="D177" s="66"/>
      <c r="E177" s="66"/>
      <c r="F177" s="66"/>
      <c r="G177" s="66"/>
      <c r="H177" s="110"/>
      <c r="I177" s="68"/>
      <c r="J177" s="66"/>
      <c r="K177" s="72"/>
      <c r="L177" s="66"/>
    </row>
    <row r="178" spans="1:12" s="142" customFormat="1">
      <c r="A178" s="66" t="s">
        <v>194</v>
      </c>
      <c r="B178" s="66"/>
      <c r="C178" s="66"/>
      <c r="D178" s="66"/>
      <c r="E178" s="66"/>
      <c r="F178" s="66"/>
      <c r="G178" s="66"/>
      <c r="H178" s="110"/>
      <c r="I178" s="68"/>
      <c r="J178" s="66"/>
      <c r="K178" s="72"/>
      <c r="L178" s="66"/>
    </row>
    <row r="179" spans="1:12" s="142" customFormat="1">
      <c r="A179" s="66" t="s">
        <v>196</v>
      </c>
      <c r="B179" s="66"/>
      <c r="C179" s="66"/>
      <c r="D179" s="66"/>
      <c r="E179" s="66"/>
      <c r="F179" s="66"/>
      <c r="G179" s="66"/>
      <c r="H179" s="111">
        <v>829311052</v>
      </c>
      <c r="I179" s="68"/>
      <c r="J179" s="66"/>
      <c r="K179" s="72"/>
      <c r="L179" s="66"/>
    </row>
    <row r="180" spans="1:12" s="142" customFormat="1">
      <c r="A180" s="66" t="s">
        <v>1263</v>
      </c>
      <c r="B180" s="66"/>
      <c r="C180" s="66"/>
      <c r="D180" s="66"/>
      <c r="E180" s="66"/>
      <c r="F180" s="66"/>
      <c r="G180" s="66"/>
      <c r="H180" s="110"/>
      <c r="I180" s="68"/>
      <c r="J180" s="66"/>
      <c r="K180" s="72"/>
      <c r="L180" s="66"/>
    </row>
    <row r="181" spans="1:12" s="142" customFormat="1">
      <c r="A181" s="66" t="s">
        <v>30</v>
      </c>
      <c r="B181" s="66"/>
      <c r="C181" s="66"/>
      <c r="D181" s="66"/>
      <c r="E181" s="66"/>
      <c r="F181" s="66"/>
      <c r="G181" s="66"/>
      <c r="H181" s="110"/>
      <c r="I181" s="68"/>
      <c r="J181" s="66"/>
      <c r="K181" s="72"/>
      <c r="L181" s="66"/>
    </row>
    <row r="182" spans="1:12" s="142" customFormat="1">
      <c r="A182" s="66" t="s">
        <v>126</v>
      </c>
      <c r="B182" s="99">
        <v>44851</v>
      </c>
      <c r="C182" s="66" t="s">
        <v>1845</v>
      </c>
      <c r="D182" s="99">
        <v>44855</v>
      </c>
      <c r="E182" s="66" t="s">
        <v>1850</v>
      </c>
      <c r="F182" s="66"/>
      <c r="G182" s="66"/>
      <c r="H182" s="110"/>
      <c r="I182" s="68"/>
      <c r="J182" s="72" t="s">
        <v>1901</v>
      </c>
      <c r="K182" s="72"/>
      <c r="L182" s="66"/>
    </row>
    <row r="183" spans="1:12" s="142" customFormat="1">
      <c r="A183" s="66" t="s">
        <v>331</v>
      </c>
      <c r="B183" s="66"/>
      <c r="C183" s="66"/>
      <c r="D183" s="66"/>
      <c r="E183" s="66"/>
      <c r="F183" s="66"/>
      <c r="G183" s="66"/>
      <c r="H183" s="110"/>
      <c r="I183" s="68"/>
      <c r="J183" s="66"/>
      <c r="K183" s="72"/>
      <c r="L183" s="66"/>
    </row>
    <row r="184" spans="1:12" s="142" customFormat="1">
      <c r="A184" s="66" t="s">
        <v>256</v>
      </c>
      <c r="B184" s="66"/>
      <c r="C184" s="66"/>
      <c r="D184" s="66"/>
      <c r="E184" s="66"/>
      <c r="F184" s="66"/>
      <c r="G184" s="66"/>
      <c r="H184" s="110"/>
      <c r="I184" s="68"/>
      <c r="J184" s="66"/>
      <c r="K184" s="72"/>
      <c r="L184" s="66"/>
    </row>
    <row r="185" spans="1:12" s="142" customFormat="1">
      <c r="A185" s="66" t="s">
        <v>198</v>
      </c>
      <c r="B185" s="66"/>
      <c r="C185" s="66"/>
      <c r="D185" s="66"/>
      <c r="E185" s="66"/>
      <c r="F185" s="66"/>
      <c r="G185" s="66"/>
      <c r="H185" s="110"/>
      <c r="I185" s="68"/>
      <c r="J185" s="66"/>
      <c r="K185" s="72"/>
      <c r="L185" s="66"/>
    </row>
    <row r="186" spans="1:12" s="142" customFormat="1">
      <c r="A186" s="66" t="s">
        <v>129</v>
      </c>
      <c r="B186" s="66"/>
      <c r="C186" s="66"/>
      <c r="D186" s="66"/>
      <c r="E186" s="66"/>
      <c r="F186" s="66"/>
      <c r="G186" s="66"/>
      <c r="H186" s="110"/>
      <c r="I186" s="68"/>
      <c r="J186" s="66"/>
      <c r="K186" s="72"/>
      <c r="L186" s="66"/>
    </row>
    <row r="187" spans="1:12" s="142" customFormat="1">
      <c r="A187" s="66" t="s">
        <v>201</v>
      </c>
      <c r="B187" s="66"/>
      <c r="C187" s="66"/>
      <c r="D187" s="66"/>
      <c r="E187" s="66"/>
      <c r="F187" s="66"/>
      <c r="G187" s="66"/>
      <c r="H187" s="110"/>
      <c r="I187" s="68"/>
      <c r="J187" s="66"/>
      <c r="K187" s="72"/>
      <c r="L187" s="66"/>
    </row>
    <row r="188" spans="1:12" s="142" customFormat="1">
      <c r="A188" s="66" t="s">
        <v>333</v>
      </c>
      <c r="B188" s="66"/>
      <c r="C188" s="66"/>
      <c r="D188" s="66"/>
      <c r="E188" s="66"/>
      <c r="F188" s="66"/>
      <c r="G188" s="66"/>
      <c r="H188" s="110"/>
      <c r="I188" s="68"/>
      <c r="J188" s="66"/>
      <c r="K188" s="72"/>
      <c r="L188" s="66"/>
    </row>
    <row r="189" spans="1:12" s="142" customFormat="1">
      <c r="A189" s="66" t="s">
        <v>335</v>
      </c>
      <c r="B189" s="66"/>
      <c r="C189" s="66"/>
      <c r="D189" s="66"/>
      <c r="E189" s="66"/>
      <c r="F189" s="66"/>
      <c r="G189" s="66"/>
      <c r="H189" s="110"/>
      <c r="I189" s="68"/>
      <c r="J189" s="66"/>
      <c r="K189" s="72"/>
      <c r="L189" s="66"/>
    </row>
    <row r="190" spans="1:12" s="142" customFormat="1">
      <c r="A190" s="66" t="s">
        <v>1451</v>
      </c>
      <c r="B190" s="66"/>
      <c r="C190" s="66"/>
      <c r="D190" s="66"/>
      <c r="E190" s="66"/>
      <c r="F190" s="66"/>
      <c r="G190" s="66"/>
      <c r="H190" s="110"/>
      <c r="I190" s="68"/>
      <c r="J190" s="66"/>
      <c r="K190" s="72"/>
      <c r="L190" s="66"/>
    </row>
    <row r="191" spans="1:12" s="142" customFormat="1">
      <c r="A191" s="66" t="s">
        <v>204</v>
      </c>
      <c r="B191" s="99">
        <v>44930</v>
      </c>
      <c r="C191" s="66"/>
      <c r="D191" s="66"/>
      <c r="E191" s="66"/>
      <c r="F191" s="66"/>
      <c r="G191" s="66"/>
      <c r="H191" s="110">
        <v>92437221</v>
      </c>
      <c r="I191" s="68"/>
      <c r="J191" s="66" t="s">
        <v>1907</v>
      </c>
      <c r="K191" s="72"/>
      <c r="L191" s="66"/>
    </row>
    <row r="192" spans="1:12" s="142" customFormat="1">
      <c r="A192" s="66" t="s">
        <v>259</v>
      </c>
      <c r="B192" s="66"/>
      <c r="C192" s="66"/>
      <c r="D192" s="66"/>
      <c r="E192" s="66"/>
      <c r="F192" s="66"/>
      <c r="G192" s="66"/>
      <c r="H192" s="110"/>
      <c r="I192" s="68"/>
      <c r="J192" s="66"/>
      <c r="K192" s="72"/>
      <c r="L192" s="66"/>
    </row>
    <row r="193" spans="1:12" s="142" customFormat="1">
      <c r="A193" s="66" t="s">
        <v>337</v>
      </c>
      <c r="B193" s="66"/>
      <c r="C193" s="66"/>
      <c r="D193" s="66"/>
      <c r="E193" s="66"/>
      <c r="F193" s="66"/>
      <c r="G193" s="66"/>
      <c r="H193" s="110"/>
      <c r="I193" s="68"/>
      <c r="J193" s="66"/>
      <c r="K193" s="72"/>
      <c r="L193" s="66"/>
    </row>
    <row r="194" spans="1:12" s="142" customFormat="1">
      <c r="A194" s="66" t="s">
        <v>132</v>
      </c>
      <c r="B194" s="66"/>
      <c r="C194" s="66"/>
      <c r="D194" s="66"/>
      <c r="E194" s="66"/>
      <c r="F194" s="66"/>
      <c r="G194" s="66"/>
      <c r="H194" s="110"/>
      <c r="I194" s="68"/>
      <c r="J194" s="66"/>
      <c r="K194" s="72"/>
      <c r="L194" s="66"/>
    </row>
    <row r="195" spans="1:12" s="142" customFormat="1">
      <c r="A195" s="66" t="s">
        <v>206</v>
      </c>
      <c r="B195" s="66"/>
      <c r="C195" s="66"/>
      <c r="D195" s="66"/>
      <c r="E195" s="66"/>
      <c r="F195" s="66"/>
      <c r="G195" s="66"/>
      <c r="H195" s="110"/>
      <c r="I195" s="68"/>
      <c r="J195" s="66"/>
      <c r="K195" s="72"/>
      <c r="L195" s="66"/>
    </row>
    <row r="196" spans="1:12" s="142" customFormat="1">
      <c r="A196" s="66" t="s">
        <v>340</v>
      </c>
      <c r="B196" s="66"/>
      <c r="C196" s="66"/>
      <c r="D196" s="66"/>
      <c r="E196" s="66"/>
      <c r="F196" s="66"/>
      <c r="G196" s="66"/>
      <c r="H196" s="110"/>
      <c r="I196" s="68"/>
      <c r="J196" s="66"/>
      <c r="K196" s="72"/>
      <c r="L196" s="66"/>
    </row>
    <row r="197" spans="1:12" s="142" customFormat="1">
      <c r="A197" s="66" t="s">
        <v>209</v>
      </c>
      <c r="B197" s="66"/>
      <c r="C197" s="66"/>
      <c r="D197" s="66"/>
      <c r="E197" s="66"/>
      <c r="F197" s="66"/>
      <c r="G197" s="66"/>
      <c r="H197" s="110"/>
      <c r="I197" s="68"/>
      <c r="J197" s="66"/>
      <c r="K197" s="72"/>
      <c r="L197" s="66"/>
    </row>
    <row r="198" spans="1:12" s="142" customFormat="1">
      <c r="A198" s="66" t="s">
        <v>1463</v>
      </c>
      <c r="B198" s="66"/>
      <c r="C198" s="66"/>
      <c r="D198" s="66"/>
      <c r="E198" s="66"/>
      <c r="F198" s="66"/>
      <c r="G198" s="66"/>
      <c r="H198" s="110"/>
      <c r="I198" s="68"/>
      <c r="J198" s="66"/>
      <c r="K198" s="72"/>
      <c r="L198" s="66"/>
    </row>
    <row r="199" spans="1:12" s="142" customFormat="1">
      <c r="A199" s="66" t="s">
        <v>1908</v>
      </c>
      <c r="B199" s="66"/>
      <c r="C199" s="66"/>
      <c r="D199" s="66"/>
      <c r="E199" s="66"/>
      <c r="F199" s="66"/>
      <c r="G199" s="66"/>
      <c r="H199" s="110"/>
      <c r="I199" s="68"/>
      <c r="J199" s="66"/>
      <c r="K199" s="72"/>
      <c r="L199" s="66"/>
    </row>
    <row r="200" spans="1:12" s="142" customFormat="1">
      <c r="A200" s="66" t="s">
        <v>343</v>
      </c>
      <c r="B200" s="66"/>
      <c r="C200" s="66"/>
      <c r="D200" s="66"/>
      <c r="E200" s="66"/>
      <c r="F200" s="66"/>
      <c r="G200" s="66"/>
      <c r="H200" s="110"/>
      <c r="I200" s="68"/>
      <c r="J200" s="66"/>
      <c r="K200" s="72"/>
      <c r="L200" s="66"/>
    </row>
    <row r="201" spans="1:12" s="142" customFormat="1">
      <c r="A201" s="66" t="s">
        <v>33</v>
      </c>
      <c r="B201" s="99">
        <v>44849</v>
      </c>
      <c r="C201" s="66" t="s">
        <v>1845</v>
      </c>
      <c r="D201" s="99">
        <v>44874</v>
      </c>
      <c r="E201" s="66" t="s">
        <v>1897</v>
      </c>
      <c r="F201" s="66"/>
      <c r="G201" s="66"/>
      <c r="H201" s="110"/>
      <c r="I201" s="68"/>
      <c r="J201" s="66" t="s">
        <v>1857</v>
      </c>
      <c r="K201" s="72"/>
      <c r="L201" s="66"/>
    </row>
    <row r="202" spans="1:12" s="142" customFormat="1">
      <c r="A202" s="66" t="s">
        <v>346</v>
      </c>
      <c r="B202" s="66"/>
      <c r="C202" s="66"/>
      <c r="D202" s="66"/>
      <c r="E202" s="66"/>
      <c r="F202" s="66"/>
      <c r="G202" s="66"/>
      <c r="H202" s="110"/>
      <c r="I202" s="68"/>
      <c r="J202" s="66"/>
      <c r="K202" s="72"/>
      <c r="L202" s="66"/>
    </row>
    <row r="203" spans="1:12" s="142" customFormat="1">
      <c r="A203" s="66" t="s">
        <v>38</v>
      </c>
      <c r="B203" s="66"/>
      <c r="C203" s="66"/>
      <c r="D203" s="66"/>
      <c r="E203" s="66"/>
      <c r="F203" s="66"/>
      <c r="G203" s="66"/>
      <c r="H203" s="110"/>
      <c r="I203" s="68"/>
      <c r="J203" s="66"/>
      <c r="K203" s="72"/>
      <c r="L203" s="66"/>
    </row>
    <row r="204" spans="1:12" s="142" customFormat="1">
      <c r="A204" s="66" t="s">
        <v>134</v>
      </c>
      <c r="B204" s="66"/>
      <c r="C204" s="66"/>
      <c r="D204" s="66"/>
      <c r="E204" s="66"/>
      <c r="F204" s="66"/>
      <c r="G204" s="66"/>
      <c r="H204" s="110"/>
      <c r="I204" s="68"/>
      <c r="J204" s="66"/>
      <c r="K204" s="72"/>
      <c r="L204" s="66"/>
    </row>
    <row r="205" spans="1:12" s="142" customFormat="1">
      <c r="A205" s="66" t="s">
        <v>41</v>
      </c>
      <c r="B205" s="66"/>
      <c r="C205" s="66"/>
      <c r="D205" s="66"/>
      <c r="E205" s="66"/>
      <c r="F205" s="66"/>
      <c r="G205" s="66"/>
      <c r="H205" s="110">
        <v>662552351</v>
      </c>
      <c r="I205" s="68"/>
      <c r="J205" s="66" t="s">
        <v>1909</v>
      </c>
      <c r="K205" s="72"/>
      <c r="L205" s="66"/>
    </row>
    <row r="206" spans="1:12" s="142" customFormat="1">
      <c r="A206" s="66" t="s">
        <v>1910</v>
      </c>
      <c r="B206" s="66"/>
      <c r="C206" s="66"/>
      <c r="D206" s="66"/>
      <c r="E206" s="66"/>
      <c r="F206" s="66"/>
      <c r="G206" s="66"/>
      <c r="H206" s="110"/>
      <c r="I206" s="68"/>
      <c r="J206" s="66"/>
      <c r="K206" s="72"/>
      <c r="L206" s="66"/>
    </row>
    <row r="207" spans="1:12" s="142" customFormat="1">
      <c r="A207" s="66" t="s">
        <v>261</v>
      </c>
      <c r="B207" s="66"/>
      <c r="C207" s="66"/>
      <c r="D207" s="66"/>
      <c r="E207" s="66"/>
      <c r="F207" s="66"/>
      <c r="G207" s="66"/>
      <c r="H207" s="110"/>
      <c r="I207" s="68"/>
      <c r="J207" s="66"/>
      <c r="K207" s="72"/>
      <c r="L207" s="66"/>
    </row>
    <row r="208" spans="1:12" s="142" customFormat="1">
      <c r="A208" s="66" t="s">
        <v>349</v>
      </c>
      <c r="B208" s="66"/>
      <c r="C208" s="66"/>
      <c r="D208" s="66"/>
      <c r="E208" s="66"/>
      <c r="F208" s="66"/>
      <c r="G208" s="66"/>
      <c r="H208" s="110">
        <v>171334427</v>
      </c>
      <c r="I208" s="68"/>
      <c r="J208" s="66" t="s">
        <v>1906</v>
      </c>
      <c r="K208" s="72"/>
      <c r="L208" s="66"/>
    </row>
    <row r="209" spans="1:12" s="142" customFormat="1">
      <c r="A209" s="66" t="s">
        <v>1911</v>
      </c>
      <c r="B209" s="99">
        <v>44937</v>
      </c>
      <c r="C209" s="66" t="s">
        <v>1860</v>
      </c>
      <c r="D209" s="66"/>
      <c r="E209" s="66"/>
      <c r="F209" s="66"/>
      <c r="G209" s="66"/>
      <c r="H209" s="110"/>
      <c r="I209" s="68" t="s">
        <v>1860</v>
      </c>
      <c r="J209" s="66" t="s">
        <v>1912</v>
      </c>
      <c r="K209" s="72"/>
      <c r="L209" s="66"/>
    </row>
    <row r="210" spans="1:12">
      <c r="A210" s="66" t="s">
        <v>44</v>
      </c>
      <c r="B210" s="66"/>
      <c r="C210" s="66"/>
      <c r="D210" s="66"/>
      <c r="E210" s="66"/>
      <c r="F210" s="66"/>
      <c r="G210" s="66"/>
      <c r="H210" s="110"/>
      <c r="I210" s="68"/>
      <c r="J210" s="66"/>
      <c r="K210" s="72"/>
      <c r="L210" s="66"/>
    </row>
    <row r="211" spans="1:12">
      <c r="A211" s="66" t="s">
        <v>526</v>
      </c>
      <c r="B211" s="66"/>
      <c r="C211" s="66"/>
      <c r="D211" s="66"/>
      <c r="E211" s="66"/>
      <c r="F211" s="66"/>
      <c r="G211" s="66"/>
      <c r="H211" s="110"/>
      <c r="I211" s="68"/>
      <c r="J211" s="66"/>
      <c r="K211" s="72"/>
      <c r="L211" s="66"/>
    </row>
    <row r="212" spans="1:12">
      <c r="A212" s="66" t="s">
        <v>390</v>
      </c>
      <c r="B212" s="66"/>
      <c r="C212" s="66"/>
      <c r="D212" s="66"/>
      <c r="E212" s="66"/>
      <c r="F212" s="66"/>
      <c r="G212" s="66"/>
      <c r="H212" s="110"/>
      <c r="I212" s="68"/>
      <c r="J212" s="66"/>
      <c r="K212" s="72"/>
      <c r="L212" s="66"/>
    </row>
    <row r="213" spans="1:12">
      <c r="A213" s="66" t="s">
        <v>1169</v>
      </c>
      <c r="B213" s="66"/>
      <c r="C213" s="66"/>
      <c r="D213" s="66"/>
      <c r="E213" s="66"/>
      <c r="F213" s="66"/>
      <c r="G213" s="66"/>
      <c r="H213" s="110"/>
      <c r="I213" s="68"/>
      <c r="J213" s="66"/>
      <c r="K213" s="72"/>
      <c r="L213" s="66"/>
    </row>
    <row r="214" spans="1:12">
      <c r="A214" s="66" t="s">
        <v>829</v>
      </c>
      <c r="B214" s="66"/>
      <c r="C214" s="66"/>
      <c r="D214" s="66"/>
      <c r="E214" s="66"/>
      <c r="F214" s="66"/>
      <c r="G214" s="66"/>
      <c r="H214" s="110"/>
      <c r="I214" s="68"/>
      <c r="J214" s="66"/>
      <c r="K214" s="72"/>
      <c r="L214" s="66"/>
    </row>
    <row r="215" spans="1:12">
      <c r="A215" s="66" t="s">
        <v>588</v>
      </c>
      <c r="B215" s="66"/>
      <c r="C215" s="66"/>
      <c r="D215" s="66"/>
      <c r="E215" s="66"/>
      <c r="F215" s="66"/>
      <c r="G215" s="66"/>
      <c r="H215" s="110"/>
      <c r="I215" s="68"/>
      <c r="J215" s="66"/>
      <c r="K215" s="72"/>
      <c r="L215" s="66"/>
    </row>
    <row r="216" spans="1:12">
      <c r="A216" s="66" t="s">
        <v>903</v>
      </c>
      <c r="B216" s="66"/>
      <c r="C216" s="66"/>
      <c r="D216" s="66"/>
      <c r="E216" s="66"/>
      <c r="F216" s="66"/>
      <c r="G216" s="66"/>
      <c r="H216" s="110"/>
      <c r="I216" s="68"/>
      <c r="J216" s="66"/>
      <c r="K216" s="72"/>
      <c r="L216" s="66"/>
    </row>
    <row r="217" spans="1:12">
      <c r="A217" s="66" t="s">
        <v>865</v>
      </c>
      <c r="B217" s="66"/>
      <c r="C217" s="66"/>
      <c r="D217" s="66"/>
      <c r="E217" s="66"/>
      <c r="F217" s="66"/>
      <c r="G217" s="66"/>
      <c r="H217" s="110"/>
      <c r="I217" s="68"/>
      <c r="J217" s="66"/>
      <c r="K217" s="72"/>
      <c r="L217" s="66"/>
    </row>
    <row r="218" spans="1:12">
      <c r="A218" s="66" t="s">
        <v>868</v>
      </c>
      <c r="B218" s="66"/>
      <c r="C218" s="66"/>
      <c r="D218" s="66"/>
      <c r="E218" s="66"/>
      <c r="F218" s="66"/>
      <c r="G218" s="66"/>
      <c r="H218" s="110"/>
      <c r="I218" s="68"/>
      <c r="J218" s="66"/>
      <c r="K218" s="72"/>
      <c r="L218" s="66"/>
    </row>
    <row r="219" spans="1:12">
      <c r="A219" s="66" t="s">
        <v>738</v>
      </c>
      <c r="B219" s="66"/>
      <c r="C219" s="66"/>
      <c r="D219" s="66"/>
      <c r="E219" s="66"/>
      <c r="F219" s="66"/>
      <c r="G219" s="66"/>
      <c r="H219" s="110"/>
      <c r="I219" s="68"/>
      <c r="J219" s="66"/>
      <c r="K219" s="72"/>
      <c r="L219" s="66"/>
    </row>
    <row r="220" spans="1:12">
      <c r="A220" s="66" t="s">
        <v>695</v>
      </c>
      <c r="B220" s="66"/>
      <c r="C220" s="66"/>
      <c r="D220" s="66"/>
      <c r="E220" s="66"/>
      <c r="F220" s="66"/>
      <c r="G220" s="66"/>
      <c r="H220" s="110"/>
      <c r="I220" s="68"/>
      <c r="J220" s="66"/>
      <c r="K220" s="72"/>
      <c r="L220" s="66"/>
    </row>
    <row r="221" spans="1:12">
      <c r="A221" s="66" t="s">
        <v>1913</v>
      </c>
      <c r="B221" s="66"/>
      <c r="C221" s="66"/>
      <c r="D221" s="66"/>
      <c r="E221" s="66"/>
      <c r="F221" s="66"/>
      <c r="G221" s="66"/>
      <c r="H221" s="110"/>
      <c r="I221" s="68"/>
      <c r="J221" s="66"/>
      <c r="K221" s="72"/>
      <c r="L221" s="66"/>
    </row>
    <row r="222" spans="1:12">
      <c r="A222" s="66" t="s">
        <v>1914</v>
      </c>
      <c r="B222" s="66"/>
      <c r="C222" s="66"/>
      <c r="D222" s="66"/>
      <c r="E222" s="66"/>
      <c r="F222" s="66"/>
      <c r="G222" s="66"/>
      <c r="H222" s="110"/>
      <c r="I222" s="68"/>
      <c r="J222" s="66"/>
      <c r="K222" s="72"/>
      <c r="L222" s="66"/>
    </row>
    <row r="223" spans="1:12">
      <c r="A223" s="66" t="s">
        <v>460</v>
      </c>
      <c r="B223" s="66"/>
      <c r="C223" s="66"/>
      <c r="D223" s="66"/>
      <c r="E223" s="66"/>
      <c r="F223" s="66"/>
      <c r="G223" s="66"/>
      <c r="H223" s="110"/>
      <c r="I223" s="68"/>
      <c r="J223" s="66"/>
      <c r="K223" s="72"/>
      <c r="L223" s="66"/>
    </row>
    <row r="224" spans="1:12">
      <c r="A224" s="66" t="s">
        <v>959</v>
      </c>
      <c r="B224" s="66"/>
      <c r="C224" s="66"/>
      <c r="D224" s="66"/>
      <c r="E224" s="66"/>
      <c r="F224" s="66"/>
      <c r="G224" s="66"/>
      <c r="H224" s="110"/>
      <c r="I224" s="68"/>
      <c r="J224" s="66"/>
      <c r="K224" s="72"/>
      <c r="L224" s="66"/>
    </row>
    <row r="225" spans="1:12" s="142" customFormat="1">
      <c r="A225" s="66" t="s">
        <v>1220</v>
      </c>
      <c r="B225" s="66"/>
      <c r="C225" s="66"/>
      <c r="D225" s="66"/>
      <c r="E225" s="66"/>
      <c r="F225" s="66"/>
      <c r="G225" s="66"/>
      <c r="H225" s="110"/>
      <c r="I225" s="68"/>
      <c r="J225" s="66"/>
      <c r="K225" s="72"/>
      <c r="L225" s="66"/>
    </row>
    <row r="226" spans="1:12" s="142" customFormat="1">
      <c r="A226" s="66" t="s">
        <v>214</v>
      </c>
      <c r="B226" s="66"/>
      <c r="C226" s="66"/>
      <c r="D226" s="66"/>
      <c r="E226" s="66"/>
      <c r="F226" s="66"/>
      <c r="G226" s="66"/>
      <c r="H226" s="110"/>
      <c r="I226" s="68"/>
      <c r="J226" s="66"/>
      <c r="K226" s="72"/>
      <c r="L226" s="66"/>
    </row>
    <row r="227" spans="1:12" s="142" customFormat="1">
      <c r="A227" s="66" t="s">
        <v>1915</v>
      </c>
      <c r="B227" s="66"/>
      <c r="C227" s="66"/>
      <c r="D227" s="66"/>
      <c r="E227" s="66"/>
      <c r="F227" s="66"/>
      <c r="G227" s="66"/>
      <c r="H227" s="110"/>
      <c r="I227" s="68"/>
      <c r="J227" s="66"/>
      <c r="K227" s="72"/>
      <c r="L227" s="66"/>
    </row>
    <row r="228" spans="1:12" s="142" customFormat="1">
      <c r="A228" s="66" t="s">
        <v>463</v>
      </c>
      <c r="B228" s="66"/>
      <c r="C228" s="66"/>
      <c r="D228" s="66"/>
      <c r="E228" s="66"/>
      <c r="F228" s="66"/>
      <c r="G228" s="66"/>
      <c r="H228" s="110"/>
      <c r="I228" s="68"/>
      <c r="J228" s="66"/>
      <c r="K228" s="72"/>
      <c r="L228" s="66"/>
    </row>
    <row r="229" spans="1:12" s="142" customFormat="1">
      <c r="A229" s="66" t="s">
        <v>590</v>
      </c>
      <c r="B229" s="66"/>
      <c r="C229" s="66"/>
      <c r="D229" s="66"/>
      <c r="E229" s="66"/>
      <c r="F229" s="66"/>
      <c r="G229" s="66"/>
      <c r="H229" s="110"/>
      <c r="I229" s="68"/>
      <c r="J229" s="66"/>
      <c r="K229" s="72"/>
      <c r="L229" s="66"/>
    </row>
    <row r="230" spans="1:12" s="142" customFormat="1">
      <c r="A230" s="66" t="s">
        <v>1916</v>
      </c>
      <c r="B230" s="66"/>
      <c r="C230" s="66"/>
      <c r="D230" s="66"/>
      <c r="E230" s="66"/>
      <c r="F230" s="66"/>
      <c r="G230" s="66"/>
      <c r="H230" s="110"/>
      <c r="I230" s="68"/>
      <c r="J230" s="66"/>
      <c r="K230" s="72"/>
      <c r="L230" s="66"/>
    </row>
    <row r="231" spans="1:12" s="142" customFormat="1">
      <c r="A231" s="66" t="s">
        <v>1917</v>
      </c>
      <c r="B231" s="66"/>
      <c r="C231" s="66"/>
      <c r="D231" s="66"/>
      <c r="E231" s="66"/>
      <c r="F231" s="66"/>
      <c r="G231" s="66"/>
      <c r="H231" s="110"/>
      <c r="I231" s="68"/>
      <c r="J231" s="66"/>
      <c r="K231" s="72"/>
      <c r="L231" s="66"/>
    </row>
    <row r="232" spans="1:12" s="142" customFormat="1">
      <c r="A232" s="66" t="s">
        <v>1011</v>
      </c>
      <c r="B232" s="66"/>
      <c r="C232" s="66"/>
      <c r="D232" s="66"/>
      <c r="E232" s="66"/>
      <c r="F232" s="66"/>
      <c r="G232" s="66"/>
      <c r="H232" s="110"/>
      <c r="I232" s="68"/>
      <c r="J232" s="66"/>
      <c r="K232" s="72"/>
      <c r="L232" s="66"/>
    </row>
    <row r="233" spans="1:12" s="142" customFormat="1">
      <c r="A233" s="66" t="s">
        <v>987</v>
      </c>
      <c r="B233" s="66"/>
      <c r="C233" s="66"/>
      <c r="D233" s="66"/>
      <c r="E233" s="66"/>
      <c r="F233" s="66"/>
      <c r="G233" s="66"/>
      <c r="H233" s="110"/>
      <c r="I233" s="68"/>
      <c r="J233" s="66"/>
      <c r="K233" s="72"/>
      <c r="L233" s="66"/>
    </row>
    <row r="234" spans="1:12" s="142" customFormat="1">
      <c r="A234" s="66" t="s">
        <v>1918</v>
      </c>
      <c r="B234" s="66"/>
      <c r="C234" s="66"/>
      <c r="D234" s="66"/>
      <c r="E234" s="66"/>
      <c r="F234" s="66"/>
      <c r="G234" s="66"/>
      <c r="H234" s="110"/>
      <c r="I234" s="68"/>
      <c r="J234" s="66"/>
      <c r="K234" s="72"/>
      <c r="L234" s="66"/>
    </row>
    <row r="235" spans="1:12" s="142" customFormat="1">
      <c r="A235" s="66" t="s">
        <v>529</v>
      </c>
      <c r="B235" s="99">
        <v>44747</v>
      </c>
      <c r="C235" s="66" t="s">
        <v>1845</v>
      </c>
      <c r="D235" s="99">
        <v>44874</v>
      </c>
      <c r="E235" s="66" t="s">
        <v>1897</v>
      </c>
      <c r="F235" s="66"/>
      <c r="G235" s="66"/>
      <c r="H235" s="110"/>
      <c r="I235" s="68"/>
      <c r="J235" s="66" t="s">
        <v>1919</v>
      </c>
      <c r="K235" s="72"/>
      <c r="L235" s="66"/>
    </row>
    <row r="236" spans="1:12" s="142" customFormat="1">
      <c r="A236" s="66" t="s">
        <v>905</v>
      </c>
      <c r="B236" s="66"/>
      <c r="C236" s="66"/>
      <c r="D236" s="66"/>
      <c r="E236" s="66"/>
      <c r="F236" s="66"/>
      <c r="G236" s="66"/>
      <c r="H236" s="110"/>
      <c r="I236" s="68"/>
      <c r="J236" s="66"/>
      <c r="K236" s="72"/>
      <c r="L236" s="66"/>
    </row>
    <row r="237" spans="1:12" s="142" customFormat="1">
      <c r="A237" s="66" t="s">
        <v>740</v>
      </c>
      <c r="B237" s="66"/>
      <c r="C237" s="66"/>
      <c r="D237" s="66"/>
      <c r="E237" s="66"/>
      <c r="F237" s="66"/>
      <c r="G237" s="66"/>
      <c r="H237" s="110"/>
      <c r="I237" s="68"/>
      <c r="J237" s="66"/>
      <c r="K237" s="72"/>
      <c r="L237" s="66"/>
    </row>
    <row r="238" spans="1:12" s="142" customFormat="1">
      <c r="A238" s="66" t="s">
        <v>907</v>
      </c>
      <c r="B238" s="66"/>
      <c r="C238" s="66"/>
      <c r="D238" s="66"/>
      <c r="E238" s="66"/>
      <c r="F238" s="66"/>
      <c r="G238" s="66"/>
      <c r="H238" s="110"/>
      <c r="I238" s="68"/>
      <c r="J238" s="66"/>
      <c r="K238" s="72"/>
      <c r="L238" s="66"/>
    </row>
    <row r="239" spans="1:12" s="142" customFormat="1">
      <c r="A239" s="66" t="s">
        <v>832</v>
      </c>
      <c r="B239" s="66"/>
      <c r="C239" s="66"/>
      <c r="D239" s="66"/>
      <c r="E239" s="66"/>
      <c r="F239" s="66"/>
      <c r="G239" s="66"/>
      <c r="H239" s="110"/>
      <c r="I239" s="68"/>
      <c r="J239" s="66"/>
      <c r="K239" s="72"/>
      <c r="L239" s="66"/>
    </row>
    <row r="240" spans="1:12" s="142" customFormat="1">
      <c r="A240" s="66" t="s">
        <v>466</v>
      </c>
      <c r="B240" s="66"/>
      <c r="C240" s="66"/>
      <c r="D240" s="66"/>
      <c r="E240" s="66"/>
      <c r="F240" s="66"/>
      <c r="G240" s="66"/>
      <c r="H240" s="110"/>
      <c r="I240" s="68"/>
      <c r="J240" s="66"/>
      <c r="K240" s="72"/>
      <c r="L240" s="66"/>
    </row>
    <row r="241" spans="1:12" s="142" customFormat="1">
      <c r="A241" s="66" t="s">
        <v>870</v>
      </c>
      <c r="B241" s="66"/>
      <c r="C241" s="66"/>
      <c r="D241" s="66"/>
      <c r="E241" s="66"/>
      <c r="F241" s="66"/>
      <c r="G241" s="66"/>
      <c r="H241" s="110"/>
      <c r="I241" s="68"/>
      <c r="J241" s="66"/>
      <c r="K241" s="72"/>
      <c r="L241" s="66"/>
    </row>
    <row r="242" spans="1:12" s="142" customFormat="1">
      <c r="A242" s="66" t="s">
        <v>1920</v>
      </c>
      <c r="B242" s="66"/>
      <c r="C242" s="66"/>
      <c r="D242" s="66"/>
      <c r="E242" s="66"/>
      <c r="F242" s="66"/>
      <c r="G242" s="66"/>
      <c r="H242" s="110"/>
      <c r="I242" s="68"/>
      <c r="J242" s="66"/>
      <c r="K242" s="72"/>
      <c r="L242" s="66"/>
    </row>
    <row r="243" spans="1:12" s="142" customFormat="1">
      <c r="A243" s="66" t="s">
        <v>1921</v>
      </c>
      <c r="B243" s="66"/>
      <c r="C243" s="66"/>
      <c r="D243" s="66"/>
      <c r="E243" s="66"/>
      <c r="F243" s="66"/>
      <c r="G243" s="66"/>
      <c r="H243" s="110"/>
      <c r="I243" s="68"/>
      <c r="J243" s="66"/>
      <c r="K243" s="72"/>
      <c r="L243" s="66"/>
    </row>
    <row r="244" spans="1:12" s="142" customFormat="1">
      <c r="A244" s="66" t="s">
        <v>469</v>
      </c>
      <c r="B244" s="66"/>
      <c r="C244" s="66"/>
      <c r="D244" s="66"/>
      <c r="E244" s="66"/>
      <c r="F244" s="66"/>
      <c r="G244" s="66"/>
      <c r="H244" s="110"/>
      <c r="I244" s="68"/>
      <c r="J244" s="66"/>
      <c r="K244" s="72"/>
      <c r="L244" s="66"/>
    </row>
    <row r="245" spans="1:12" s="142" customFormat="1">
      <c r="A245" s="66" t="s">
        <v>1013</v>
      </c>
      <c r="B245" s="66"/>
      <c r="C245" s="66"/>
      <c r="D245" s="66"/>
      <c r="E245" s="66"/>
      <c r="F245" s="66"/>
      <c r="G245" s="66"/>
      <c r="H245" s="110"/>
      <c r="I245" s="68"/>
      <c r="J245" s="66"/>
      <c r="K245" s="72"/>
      <c r="L245" s="66"/>
    </row>
    <row r="246" spans="1:12" s="142" customFormat="1">
      <c r="A246" s="66" t="s">
        <v>1922</v>
      </c>
      <c r="B246" s="66"/>
      <c r="C246" s="66"/>
      <c r="D246" s="66"/>
      <c r="E246" s="66"/>
      <c r="F246" s="66"/>
      <c r="G246" s="66"/>
      <c r="H246" s="110"/>
      <c r="I246" s="68"/>
      <c r="J246" s="66"/>
      <c r="K246" s="72"/>
      <c r="L246" s="66"/>
    </row>
    <row r="247" spans="1:12" s="142" customFormat="1">
      <c r="A247" s="66" t="s">
        <v>1121</v>
      </c>
      <c r="B247" s="66"/>
      <c r="C247" s="66"/>
      <c r="D247" s="66"/>
      <c r="E247" s="66"/>
      <c r="F247" s="66"/>
      <c r="G247" s="66"/>
      <c r="H247" s="110"/>
      <c r="I247" s="68"/>
      <c r="J247" s="66"/>
      <c r="K247" s="72"/>
      <c r="L247" s="66"/>
    </row>
    <row r="248" spans="1:12" s="142" customFormat="1">
      <c r="A248" s="66" t="s">
        <v>1923</v>
      </c>
      <c r="B248" s="66"/>
      <c r="C248" s="66"/>
      <c r="D248" s="66"/>
      <c r="E248" s="66"/>
      <c r="F248" s="66"/>
      <c r="G248" s="66"/>
      <c r="H248" s="110"/>
      <c r="I248" s="68"/>
      <c r="J248" s="66"/>
      <c r="K248" s="72"/>
      <c r="L248" s="66"/>
    </row>
    <row r="249" spans="1:12" s="142" customFormat="1">
      <c r="A249" s="66" t="s">
        <v>1924</v>
      </c>
      <c r="B249" s="66"/>
      <c r="C249" s="66"/>
      <c r="D249" s="66"/>
      <c r="E249" s="66"/>
      <c r="F249" s="66"/>
      <c r="G249" s="66"/>
      <c r="H249" s="110"/>
      <c r="I249" s="68"/>
      <c r="J249" s="66"/>
      <c r="K249" s="72"/>
      <c r="L249" s="66"/>
    </row>
    <row r="250" spans="1:12" s="142" customFormat="1">
      <c r="A250" s="66" t="s">
        <v>1016</v>
      </c>
      <c r="B250" s="66"/>
      <c r="C250" s="66"/>
      <c r="D250" s="66"/>
      <c r="E250" s="66"/>
      <c r="F250" s="66"/>
      <c r="G250" s="66"/>
      <c r="H250" s="110"/>
      <c r="I250" s="68"/>
      <c r="J250" s="66"/>
      <c r="K250" s="72"/>
      <c r="L250" s="66"/>
    </row>
    <row r="251" spans="1:12" s="142" customFormat="1">
      <c r="A251" s="66" t="s">
        <v>1047</v>
      </c>
      <c r="B251" s="66"/>
      <c r="C251" s="66"/>
      <c r="D251" s="66"/>
      <c r="E251" s="66"/>
      <c r="F251" s="66"/>
      <c r="G251" s="66"/>
      <c r="H251" s="110"/>
      <c r="I251" s="68"/>
      <c r="J251" s="66"/>
      <c r="K251" s="72"/>
      <c r="L251" s="66"/>
    </row>
    <row r="252" spans="1:12" s="142" customFormat="1">
      <c r="A252" s="66" t="s">
        <v>531</v>
      </c>
      <c r="B252" s="66"/>
      <c r="C252" s="66"/>
      <c r="D252" s="66"/>
      <c r="E252" s="66"/>
      <c r="F252" s="66"/>
      <c r="G252" s="66"/>
      <c r="H252" s="110"/>
      <c r="I252" s="68"/>
      <c r="J252" s="66"/>
      <c r="K252" s="72"/>
      <c r="L252" s="66"/>
    </row>
    <row r="253" spans="1:12" s="142" customFormat="1">
      <c r="A253" s="66" t="s">
        <v>534</v>
      </c>
      <c r="B253" s="66"/>
      <c r="C253" s="66"/>
      <c r="D253" s="66"/>
      <c r="E253" s="66"/>
      <c r="F253" s="66"/>
      <c r="G253" s="66"/>
      <c r="H253" s="110"/>
      <c r="I253" s="68"/>
      <c r="J253" s="66"/>
      <c r="K253" s="72"/>
      <c r="L253" s="66"/>
    </row>
    <row r="254" spans="1:12" s="142" customFormat="1">
      <c r="A254" s="66" t="s">
        <v>991</v>
      </c>
      <c r="B254" s="66"/>
      <c r="C254" s="66"/>
      <c r="D254" s="66"/>
      <c r="E254" s="66"/>
      <c r="F254" s="66"/>
      <c r="G254" s="66"/>
      <c r="H254" s="110"/>
      <c r="I254" s="68"/>
      <c r="J254" s="66"/>
      <c r="K254" s="72"/>
      <c r="L254" s="66"/>
    </row>
    <row r="255" spans="1:12" s="142" customFormat="1">
      <c r="A255" s="66" t="s">
        <v>1925</v>
      </c>
      <c r="B255" s="66"/>
      <c r="C255" s="66"/>
      <c r="D255" s="66"/>
      <c r="E255" s="66"/>
      <c r="F255" s="66"/>
      <c r="G255" s="66"/>
      <c r="H255" s="110"/>
      <c r="I255" s="68"/>
      <c r="J255" s="66"/>
      <c r="K255" s="72"/>
      <c r="L255" s="66"/>
    </row>
    <row r="256" spans="1:12" s="142" customFormat="1">
      <c r="A256" s="66" t="s">
        <v>472</v>
      </c>
      <c r="B256" s="66"/>
      <c r="C256" s="66"/>
      <c r="D256" s="66"/>
      <c r="E256" s="66"/>
      <c r="F256" s="66"/>
      <c r="G256" s="66"/>
      <c r="H256" s="110"/>
      <c r="I256" s="68"/>
      <c r="J256" s="66"/>
      <c r="K256" s="72"/>
      <c r="L256" s="66"/>
    </row>
    <row r="257" spans="1:12" s="142" customFormat="1">
      <c r="A257" s="66" t="s">
        <v>536</v>
      </c>
      <c r="B257" s="66"/>
      <c r="C257" s="66"/>
      <c r="D257" s="66"/>
      <c r="E257" s="66"/>
      <c r="F257" s="66"/>
      <c r="G257" s="66"/>
      <c r="H257" s="110"/>
      <c r="I257" s="68"/>
      <c r="J257" s="66"/>
      <c r="K257" s="72"/>
      <c r="L257" s="66"/>
    </row>
    <row r="258" spans="1:12" s="142" customFormat="1">
      <c r="A258" s="66" t="s">
        <v>1926</v>
      </c>
      <c r="B258" s="66"/>
      <c r="C258" s="66"/>
      <c r="D258" s="66"/>
      <c r="E258" s="66"/>
      <c r="F258" s="66"/>
      <c r="G258" s="66"/>
      <c r="H258" s="110"/>
      <c r="I258" s="68"/>
      <c r="J258" s="66"/>
      <c r="K258" s="72"/>
      <c r="L258" s="66"/>
    </row>
    <row r="259" spans="1:12" s="142" customFormat="1">
      <c r="A259" s="66" t="s">
        <v>593</v>
      </c>
      <c r="B259" s="66"/>
      <c r="C259" s="66"/>
      <c r="D259" s="66"/>
      <c r="E259" s="66"/>
      <c r="F259" s="66"/>
      <c r="G259" s="66"/>
      <c r="H259" s="110"/>
      <c r="I259" s="68"/>
      <c r="J259" s="66"/>
      <c r="K259" s="72"/>
      <c r="L259" s="66"/>
    </row>
    <row r="260" spans="1:12" s="142" customFormat="1">
      <c r="A260" s="66" t="s">
        <v>1927</v>
      </c>
      <c r="B260" s="66"/>
      <c r="C260" s="66"/>
      <c r="D260" s="66"/>
      <c r="E260" s="66"/>
      <c r="F260" s="66"/>
      <c r="G260" s="66"/>
      <c r="H260" s="110"/>
      <c r="I260" s="68"/>
      <c r="J260" s="66"/>
      <c r="K260" s="72"/>
      <c r="L260" s="66"/>
    </row>
    <row r="261" spans="1:12" s="142" customFormat="1">
      <c r="A261" s="66" t="s">
        <v>910</v>
      </c>
      <c r="B261" s="66"/>
      <c r="C261" s="66"/>
      <c r="D261" s="66"/>
      <c r="E261" s="66"/>
      <c r="F261" s="66"/>
      <c r="G261" s="66"/>
      <c r="H261" s="110"/>
      <c r="I261" s="68"/>
      <c r="J261" s="66"/>
      <c r="K261" s="72"/>
      <c r="L261" s="66"/>
    </row>
    <row r="262" spans="1:12" s="142" customFormat="1">
      <c r="A262" s="66" t="s">
        <v>1171</v>
      </c>
      <c r="B262" s="66"/>
      <c r="C262" s="66"/>
      <c r="D262" s="66"/>
      <c r="E262" s="66"/>
      <c r="F262" s="66"/>
      <c r="G262" s="66"/>
      <c r="H262" s="110"/>
      <c r="I262" s="68"/>
      <c r="J262" s="66"/>
      <c r="K262" s="72"/>
      <c r="L262" s="66"/>
    </row>
    <row r="263" spans="1:12" s="142" customFormat="1">
      <c r="A263" s="66" t="s">
        <v>1173</v>
      </c>
      <c r="B263" s="66"/>
      <c r="C263" s="66"/>
      <c r="D263" s="66"/>
      <c r="E263" s="66"/>
      <c r="F263" s="66"/>
      <c r="G263" s="66"/>
      <c r="H263" s="110"/>
      <c r="I263" s="68"/>
      <c r="J263" s="66"/>
      <c r="K263" s="72"/>
      <c r="L263" s="66"/>
    </row>
    <row r="264" spans="1:12" s="142" customFormat="1">
      <c r="A264" s="66" t="s">
        <v>539</v>
      </c>
      <c r="B264" s="66"/>
      <c r="C264" s="66"/>
      <c r="D264" s="66"/>
      <c r="E264" s="66"/>
      <c r="F264" s="66"/>
      <c r="G264" s="66"/>
      <c r="H264" s="110"/>
      <c r="I264" s="68"/>
      <c r="J264" s="66"/>
      <c r="K264" s="72"/>
      <c r="L264" s="66"/>
    </row>
    <row r="265" spans="1:12" s="142" customFormat="1">
      <c r="A265" s="66" t="s">
        <v>1176</v>
      </c>
      <c r="B265" s="66"/>
      <c r="C265" s="66"/>
      <c r="D265" s="66"/>
      <c r="E265" s="66"/>
      <c r="F265" s="66"/>
      <c r="G265" s="66"/>
      <c r="H265" s="110"/>
      <c r="I265" s="68"/>
      <c r="J265" s="66"/>
      <c r="K265" s="72"/>
      <c r="L265" s="66"/>
    </row>
    <row r="266" spans="1:12" s="142" customFormat="1">
      <c r="A266" s="66" t="s">
        <v>1928</v>
      </c>
      <c r="B266" s="66"/>
      <c r="C266" s="66"/>
      <c r="D266" s="66"/>
      <c r="E266" s="66"/>
      <c r="F266" s="66"/>
      <c r="G266" s="66"/>
      <c r="H266" s="110"/>
      <c r="I266" s="68"/>
      <c r="J266" s="75"/>
      <c r="K266" s="76"/>
      <c r="L266" s="75"/>
    </row>
    <row r="267" spans="1:12" s="142" customFormat="1">
      <c r="A267" s="66" t="s">
        <v>1929</v>
      </c>
      <c r="B267" s="66"/>
      <c r="C267" s="66"/>
      <c r="D267" s="66"/>
      <c r="E267" s="66"/>
      <c r="F267" s="66"/>
      <c r="G267" s="66"/>
      <c r="H267" s="110"/>
      <c r="I267" s="68"/>
      <c r="J267" s="66"/>
      <c r="K267" s="72"/>
      <c r="L267" s="66"/>
    </row>
    <row r="268" spans="1:12" s="142" customFormat="1">
      <c r="A268" s="66" t="s">
        <v>1930</v>
      </c>
      <c r="B268" s="66"/>
      <c r="C268" s="66"/>
      <c r="D268" s="66"/>
      <c r="E268" s="66"/>
      <c r="F268" s="66"/>
      <c r="G268" s="66"/>
      <c r="H268" s="110"/>
      <c r="I268" s="68"/>
      <c r="J268" s="66"/>
      <c r="K268" s="72"/>
      <c r="L268" s="66"/>
    </row>
    <row r="269" spans="1:12" s="142" customFormat="1">
      <c r="A269" s="66" t="s">
        <v>1931</v>
      </c>
      <c r="B269" s="67"/>
      <c r="C269" s="67"/>
      <c r="D269" s="67"/>
      <c r="E269" s="67"/>
      <c r="F269" s="67"/>
      <c r="G269" s="67"/>
      <c r="H269" s="110"/>
      <c r="I269" s="68"/>
      <c r="J269" s="66"/>
      <c r="K269" s="72"/>
      <c r="L269" s="66"/>
    </row>
    <row r="270" spans="1:12" s="142" customFormat="1">
      <c r="A270" s="66" t="s">
        <v>1932</v>
      </c>
      <c r="B270" s="66"/>
      <c r="C270" s="66"/>
      <c r="D270" s="66"/>
      <c r="E270" s="66"/>
      <c r="F270" s="66"/>
      <c r="G270" s="66"/>
      <c r="H270" s="110"/>
      <c r="I270" s="68"/>
      <c r="J270" s="66"/>
      <c r="K270" s="72"/>
      <c r="L270" s="66"/>
    </row>
    <row r="271" spans="1:12" s="142" customFormat="1">
      <c r="A271" s="66" t="s">
        <v>1933</v>
      </c>
      <c r="B271" s="66"/>
      <c r="C271" s="66"/>
      <c r="D271" s="66"/>
      <c r="E271" s="66"/>
      <c r="F271" s="66"/>
      <c r="G271" s="66"/>
      <c r="H271" s="110"/>
      <c r="I271" s="68"/>
      <c r="J271" s="66"/>
      <c r="K271" s="72"/>
      <c r="L271" s="66"/>
    </row>
    <row r="272" spans="1:12" s="142" customFormat="1">
      <c r="A272" s="66" t="s">
        <v>961</v>
      </c>
      <c r="B272" s="66"/>
      <c r="C272" s="66"/>
      <c r="D272" s="66"/>
      <c r="E272" s="66"/>
      <c r="F272" s="66"/>
      <c r="G272" s="66"/>
      <c r="H272" s="110"/>
      <c r="I272" s="68"/>
      <c r="J272" s="66"/>
      <c r="K272" s="72"/>
      <c r="L272" s="66"/>
    </row>
    <row r="273" spans="1:12" s="142" customFormat="1">
      <c r="A273" s="66" t="s">
        <v>1934</v>
      </c>
      <c r="B273" s="66"/>
      <c r="C273" s="66"/>
      <c r="D273" s="66"/>
      <c r="E273" s="66"/>
      <c r="F273" s="66"/>
      <c r="G273" s="66"/>
      <c r="H273" s="110"/>
      <c r="I273" s="68"/>
      <c r="J273" s="66"/>
      <c r="K273" s="72"/>
      <c r="L273" s="66"/>
    </row>
    <row r="274" spans="1:12" s="142" customFormat="1">
      <c r="A274" s="66" t="s">
        <v>1935</v>
      </c>
      <c r="B274" s="66"/>
      <c r="C274" s="66"/>
      <c r="D274" s="66"/>
      <c r="E274" s="66"/>
      <c r="F274" s="66"/>
      <c r="G274" s="66"/>
      <c r="H274" s="110"/>
      <c r="I274" s="68"/>
      <c r="J274" s="66"/>
      <c r="K274" s="72"/>
      <c r="L274" s="66"/>
    </row>
    <row r="275" spans="1:12" s="142" customFormat="1">
      <c r="A275" s="66" t="s">
        <v>1936</v>
      </c>
      <c r="B275" s="66"/>
      <c r="C275" s="66"/>
      <c r="D275" s="66"/>
      <c r="E275" s="66"/>
      <c r="F275" s="66"/>
      <c r="G275" s="66"/>
      <c r="H275" s="110"/>
      <c r="I275" s="68"/>
      <c r="J275" s="66"/>
      <c r="K275" s="72"/>
      <c r="L275" s="66"/>
    </row>
    <row r="276" spans="1:12" s="142" customFormat="1">
      <c r="A276" s="66" t="s">
        <v>1937</v>
      </c>
      <c r="B276" s="66"/>
      <c r="C276" s="66"/>
      <c r="D276" s="66"/>
      <c r="E276" s="66"/>
      <c r="F276" s="66"/>
      <c r="G276" s="66"/>
      <c r="H276" s="110"/>
      <c r="I276" s="68"/>
      <c r="J276" s="66"/>
      <c r="K276" s="72"/>
      <c r="L276" s="66"/>
    </row>
    <row r="277" spans="1:12" s="142" customFormat="1">
      <c r="A277" s="66" t="s">
        <v>834</v>
      </c>
      <c r="B277" s="66"/>
      <c r="C277" s="66"/>
      <c r="D277" s="66"/>
      <c r="E277" s="66"/>
      <c r="F277" s="66"/>
      <c r="G277" s="66"/>
      <c r="H277" s="110"/>
      <c r="I277" s="68"/>
      <c r="J277" s="66"/>
      <c r="K277" s="72"/>
      <c r="L277" s="66"/>
    </row>
    <row r="278" spans="1:12" s="142" customFormat="1">
      <c r="A278" s="66" t="s">
        <v>1123</v>
      </c>
      <c r="B278" s="66"/>
      <c r="C278" s="66"/>
      <c r="D278" s="66"/>
      <c r="E278" s="66"/>
      <c r="F278" s="66"/>
      <c r="G278" s="66"/>
      <c r="H278" s="110"/>
      <c r="I278" s="68"/>
      <c r="J278" s="66"/>
      <c r="K278" s="72"/>
      <c r="L278" s="66"/>
    </row>
    <row r="279" spans="1:12" s="142" customFormat="1">
      <c r="A279" s="66" t="s">
        <v>1938</v>
      </c>
      <c r="B279" s="66"/>
      <c r="C279" s="66"/>
      <c r="D279" s="66"/>
      <c r="E279" s="66"/>
      <c r="F279" s="66"/>
      <c r="G279" s="66"/>
      <c r="H279" s="110"/>
      <c r="I279" s="68"/>
      <c r="J279" s="66"/>
      <c r="K279" s="72"/>
      <c r="L279" s="66"/>
    </row>
    <row r="280" spans="1:12" s="142" customFormat="1">
      <c r="A280" s="66" t="s">
        <v>913</v>
      </c>
      <c r="B280" s="66"/>
      <c r="C280" s="66"/>
      <c r="D280" s="66"/>
      <c r="E280" s="66"/>
      <c r="F280" s="66"/>
      <c r="G280" s="66"/>
      <c r="H280" s="110"/>
      <c r="I280" s="68"/>
      <c r="J280" s="66"/>
      <c r="K280" s="72"/>
      <c r="L280" s="66"/>
    </row>
    <row r="281" spans="1:12" s="142" customFormat="1">
      <c r="A281" s="66" t="s">
        <v>393</v>
      </c>
      <c r="B281" s="66"/>
      <c r="C281" s="66"/>
      <c r="D281" s="66"/>
      <c r="E281" s="66"/>
      <c r="F281" s="66"/>
      <c r="G281" s="66"/>
      <c r="H281" s="110"/>
      <c r="I281" s="68"/>
      <c r="J281" s="66"/>
      <c r="K281" s="72"/>
      <c r="L281" s="66"/>
    </row>
    <row r="282" spans="1:12" s="142" customFormat="1">
      <c r="A282" s="66" t="s">
        <v>1939</v>
      </c>
      <c r="B282" s="66"/>
      <c r="C282" s="66"/>
      <c r="D282" s="66"/>
      <c r="E282" s="66"/>
      <c r="F282" s="66"/>
      <c r="G282" s="66"/>
      <c r="H282" s="110"/>
      <c r="I282" s="68"/>
      <c r="J282" s="66"/>
      <c r="K282" s="72"/>
      <c r="L282" s="66"/>
    </row>
    <row r="283" spans="1:12" s="142" customFormat="1">
      <c r="A283" s="66" t="s">
        <v>1940</v>
      </c>
      <c r="B283" s="66"/>
      <c r="C283" s="66"/>
      <c r="D283" s="66"/>
      <c r="E283" s="66"/>
      <c r="F283" s="66"/>
      <c r="G283" s="66"/>
      <c r="H283" s="110"/>
      <c r="I283" s="68"/>
      <c r="J283" s="66"/>
      <c r="K283" s="72"/>
      <c r="L283" s="66"/>
    </row>
    <row r="284" spans="1:12" s="142" customFormat="1">
      <c r="A284" s="66" t="s">
        <v>1941</v>
      </c>
      <c r="B284" s="66"/>
      <c r="C284" s="66"/>
      <c r="D284" s="66"/>
      <c r="E284" s="66"/>
      <c r="F284" s="66"/>
      <c r="G284" s="66"/>
      <c r="H284" s="110"/>
      <c r="I284" s="68"/>
      <c r="J284" s="66"/>
      <c r="K284" s="72"/>
      <c r="L284" s="66"/>
    </row>
    <row r="285" spans="1:12" s="142" customFormat="1">
      <c r="A285" s="66" t="s">
        <v>1942</v>
      </c>
      <c r="B285" s="66"/>
      <c r="C285" s="66"/>
      <c r="D285" s="66"/>
      <c r="E285" s="66"/>
      <c r="F285" s="66"/>
      <c r="G285" s="66"/>
      <c r="H285" s="110"/>
      <c r="I285" s="68"/>
      <c r="J285" s="66"/>
      <c r="K285" s="72"/>
      <c r="L285" s="66"/>
    </row>
    <row r="286" spans="1:12" s="142" customFormat="1">
      <c r="A286" s="66" t="s">
        <v>1510</v>
      </c>
      <c r="B286" s="67"/>
      <c r="C286" s="67"/>
      <c r="D286" s="67"/>
      <c r="E286" s="67"/>
      <c r="F286" s="67"/>
      <c r="G286" s="67"/>
      <c r="H286" s="110"/>
      <c r="I286" s="68"/>
      <c r="J286" s="66"/>
      <c r="K286" s="72"/>
      <c r="L286" s="66"/>
    </row>
    <row r="287" spans="1:12" s="142" customFormat="1">
      <c r="A287" s="66" t="s">
        <v>1943</v>
      </c>
      <c r="B287" s="66"/>
      <c r="C287" s="66"/>
      <c r="D287" s="66"/>
      <c r="E287" s="66"/>
      <c r="F287" s="66"/>
      <c r="G287" s="66"/>
      <c r="H287" s="110"/>
      <c r="I287" s="68"/>
      <c r="J287" s="66"/>
      <c r="K287" s="72"/>
      <c r="L287" s="66"/>
    </row>
    <row r="288" spans="1:12" s="142" customFormat="1">
      <c r="A288" s="66" t="s">
        <v>872</v>
      </c>
      <c r="B288" s="66"/>
      <c r="C288" s="66"/>
      <c r="D288" s="66"/>
      <c r="E288" s="66"/>
      <c r="F288" s="66"/>
      <c r="G288" s="66"/>
      <c r="H288" s="110"/>
      <c r="I288" s="68"/>
      <c r="J288" s="66"/>
      <c r="K288" s="72"/>
      <c r="L288" s="66"/>
    </row>
    <row r="289" spans="1:12" s="142" customFormat="1">
      <c r="A289" s="66" t="s">
        <v>1944</v>
      </c>
      <c r="B289" s="66"/>
      <c r="C289" s="66"/>
      <c r="D289" s="66"/>
      <c r="E289" s="66"/>
      <c r="F289" s="66"/>
      <c r="G289" s="66"/>
      <c r="H289" s="110"/>
      <c r="I289" s="68"/>
      <c r="J289" s="66"/>
      <c r="K289" s="72"/>
      <c r="L289" s="66"/>
    </row>
    <row r="290" spans="1:12" s="142" customFormat="1">
      <c r="A290" s="66" t="s">
        <v>1945</v>
      </c>
      <c r="B290" s="66"/>
      <c r="C290" s="66"/>
      <c r="D290" s="66"/>
      <c r="E290" s="66"/>
      <c r="F290" s="66"/>
      <c r="G290" s="66"/>
      <c r="H290" s="110"/>
      <c r="I290" s="68"/>
      <c r="J290" s="66"/>
      <c r="K290" s="72"/>
      <c r="L290" s="66"/>
    </row>
    <row r="291" spans="1:12" s="142" customFormat="1">
      <c r="A291" s="66" t="s">
        <v>1946</v>
      </c>
      <c r="B291" s="66"/>
      <c r="C291" s="66"/>
      <c r="D291" s="66"/>
      <c r="E291" s="66"/>
      <c r="F291" s="66"/>
      <c r="G291" s="66"/>
      <c r="H291" s="110"/>
      <c r="I291" s="68"/>
      <c r="J291" s="66"/>
      <c r="K291" s="72"/>
      <c r="L291" s="66"/>
    </row>
    <row r="292" spans="1:12" s="142" customFormat="1">
      <c r="A292" s="66" t="s">
        <v>47</v>
      </c>
      <c r="B292" s="66"/>
      <c r="C292" s="66"/>
      <c r="D292" s="66"/>
      <c r="E292" s="66"/>
      <c r="F292" s="66"/>
      <c r="G292" s="66"/>
      <c r="H292" s="110"/>
      <c r="I292" s="68"/>
      <c r="J292" s="66"/>
      <c r="K292" s="72"/>
      <c r="L292" s="66"/>
    </row>
    <row r="293" spans="1:12" s="142" customFormat="1">
      <c r="A293" s="66" t="s">
        <v>216</v>
      </c>
      <c r="B293" s="66"/>
      <c r="C293" s="66"/>
      <c r="D293" s="66"/>
      <c r="E293" s="66"/>
      <c r="F293" s="66"/>
      <c r="G293" s="66"/>
      <c r="H293" s="110"/>
      <c r="I293" s="68"/>
      <c r="J293" s="66"/>
      <c r="K293" s="72"/>
      <c r="L293" s="66"/>
    </row>
    <row r="294" spans="1:12" s="142" customFormat="1">
      <c r="A294" s="66" t="s">
        <v>396</v>
      </c>
      <c r="B294" s="66"/>
      <c r="C294" s="66"/>
      <c r="D294" s="66"/>
      <c r="E294" s="66"/>
      <c r="F294" s="66"/>
      <c r="G294" s="66"/>
      <c r="H294" s="110"/>
      <c r="I294" s="68"/>
      <c r="J294" s="66"/>
      <c r="K294" s="72"/>
      <c r="L294" s="66"/>
    </row>
    <row r="295" spans="1:12" s="142" customFormat="1">
      <c r="A295" s="66" t="s">
        <v>743</v>
      </c>
      <c r="B295" s="66"/>
      <c r="C295" s="66"/>
      <c r="D295" s="66"/>
      <c r="E295" s="66"/>
      <c r="F295" s="66"/>
      <c r="G295" s="66"/>
      <c r="H295" s="110"/>
      <c r="I295" s="68"/>
      <c r="J295" s="66"/>
      <c r="K295" s="72"/>
      <c r="L295" s="66"/>
    </row>
    <row r="296" spans="1:12" s="142" customFormat="1">
      <c r="A296" s="66" t="s">
        <v>1125</v>
      </c>
      <c r="B296" s="99">
        <v>44852</v>
      </c>
      <c r="C296" s="66" t="s">
        <v>1845</v>
      </c>
      <c r="D296" s="99">
        <v>44852</v>
      </c>
      <c r="E296" s="66" t="s">
        <v>1850</v>
      </c>
      <c r="F296" s="66"/>
      <c r="G296" s="66"/>
      <c r="H296" s="110"/>
      <c r="I296" s="68"/>
      <c r="J296" s="66" t="s">
        <v>1947</v>
      </c>
      <c r="K296" s="72"/>
      <c r="L296" s="66"/>
    </row>
    <row r="297" spans="1:12" s="142" customFormat="1">
      <c r="A297" s="66" t="s">
        <v>542</v>
      </c>
      <c r="B297" s="66"/>
      <c r="C297" s="66"/>
      <c r="D297" s="66"/>
      <c r="E297" s="66"/>
      <c r="F297" s="66"/>
      <c r="G297" s="66"/>
      <c r="H297" s="110"/>
      <c r="I297" s="68"/>
      <c r="J297" s="66"/>
      <c r="K297" s="72"/>
      <c r="L297" s="66"/>
    </row>
    <row r="298" spans="1:12" s="142" customFormat="1">
      <c r="A298" s="66" t="s">
        <v>915</v>
      </c>
      <c r="B298" s="66"/>
      <c r="C298" s="66"/>
      <c r="D298" s="66"/>
      <c r="E298" s="66"/>
      <c r="F298" s="66"/>
      <c r="G298" s="66"/>
      <c r="H298" s="110"/>
      <c r="I298" s="68"/>
      <c r="J298" s="66"/>
      <c r="K298" s="72"/>
      <c r="L298" s="66"/>
    </row>
    <row r="299" spans="1:12" s="142" customFormat="1">
      <c r="A299" s="66" t="s">
        <v>50</v>
      </c>
      <c r="B299" s="66"/>
      <c r="C299" s="66"/>
      <c r="D299" s="66"/>
      <c r="E299" s="66"/>
      <c r="F299" s="66"/>
      <c r="G299" s="66"/>
      <c r="H299" s="110"/>
      <c r="I299" s="68"/>
      <c r="J299" s="66"/>
      <c r="K299" s="72"/>
      <c r="L299" s="66"/>
    </row>
    <row r="300" spans="1:12" s="142" customFormat="1">
      <c r="A300" s="66" t="s">
        <v>53</v>
      </c>
      <c r="B300" s="99">
        <v>44867</v>
      </c>
      <c r="C300" s="66" t="s">
        <v>1845</v>
      </c>
      <c r="D300" s="99">
        <v>44877</v>
      </c>
      <c r="E300" s="66"/>
      <c r="F300" s="66"/>
      <c r="G300" s="66" t="s">
        <v>1850</v>
      </c>
      <c r="H300" s="110"/>
      <c r="I300" s="68"/>
      <c r="J300" s="66" t="s">
        <v>1948</v>
      </c>
      <c r="K300" s="72"/>
      <c r="L300" s="66"/>
    </row>
    <row r="301" spans="1:12" s="142" customFormat="1">
      <c r="A301" s="66" t="s">
        <v>352</v>
      </c>
      <c r="B301" s="66"/>
      <c r="C301" s="66"/>
      <c r="D301" s="66"/>
      <c r="E301" s="66"/>
      <c r="F301" s="66"/>
      <c r="G301" s="66"/>
      <c r="H301" s="110"/>
      <c r="I301" s="68"/>
      <c r="J301" s="66"/>
      <c r="K301" s="72"/>
      <c r="L301" s="66"/>
    </row>
    <row r="302" spans="1:12" s="142" customFormat="1">
      <c r="A302" s="66" t="s">
        <v>596</v>
      </c>
      <c r="B302" s="67"/>
      <c r="C302" s="67"/>
      <c r="D302" s="67"/>
      <c r="E302" s="67"/>
      <c r="F302" s="67"/>
      <c r="G302" s="67"/>
      <c r="H302" s="110"/>
      <c r="I302" s="68"/>
      <c r="J302" s="66"/>
      <c r="K302" s="72"/>
      <c r="L302" s="66"/>
    </row>
    <row r="303" spans="1:12" s="142" customFormat="1">
      <c r="A303" s="66" t="s">
        <v>874</v>
      </c>
      <c r="B303" s="66"/>
      <c r="C303" s="66"/>
      <c r="D303" s="66"/>
      <c r="E303" s="66"/>
      <c r="F303" s="66"/>
      <c r="G303" s="66"/>
      <c r="H303" s="110"/>
      <c r="I303" s="68"/>
      <c r="J303" s="66"/>
      <c r="K303" s="72"/>
      <c r="L303" s="66"/>
    </row>
    <row r="304" spans="1:12" s="142" customFormat="1">
      <c r="A304" s="66" t="s">
        <v>745</v>
      </c>
      <c r="B304" s="67"/>
      <c r="C304" s="67"/>
      <c r="D304" s="67"/>
      <c r="E304" s="67"/>
      <c r="F304" s="67"/>
      <c r="G304" s="67"/>
      <c r="H304" s="110"/>
      <c r="I304" s="68"/>
      <c r="J304" s="66"/>
      <c r="K304" s="72"/>
      <c r="L304" s="66"/>
    </row>
    <row r="305" spans="1:12" s="142" customFormat="1">
      <c r="A305" s="66" t="s">
        <v>544</v>
      </c>
      <c r="B305" s="67"/>
      <c r="C305" s="67"/>
      <c r="D305" s="67"/>
      <c r="E305" s="67"/>
      <c r="F305" s="67"/>
      <c r="G305" s="67"/>
      <c r="H305" s="110"/>
      <c r="I305" s="68"/>
      <c r="J305" s="66"/>
      <c r="K305" s="72"/>
      <c r="L305" s="66"/>
    </row>
    <row r="306" spans="1:12" s="142" customFormat="1">
      <c r="A306" s="66" t="s">
        <v>625</v>
      </c>
      <c r="B306" s="66"/>
      <c r="C306" s="66"/>
      <c r="D306" s="66"/>
      <c r="E306" s="66"/>
      <c r="F306" s="66"/>
      <c r="G306" s="66"/>
      <c r="H306" s="110"/>
      <c r="I306" s="68"/>
      <c r="J306" s="66"/>
      <c r="K306" s="72"/>
      <c r="L306" s="66"/>
    </row>
    <row r="307" spans="1:12" s="142" customFormat="1">
      <c r="A307" s="66" t="s">
        <v>136</v>
      </c>
      <c r="B307" s="66"/>
      <c r="C307" s="66"/>
      <c r="D307" s="66"/>
      <c r="E307" s="66"/>
      <c r="F307" s="66"/>
      <c r="G307" s="66"/>
      <c r="H307" s="110"/>
      <c r="I307" s="68"/>
      <c r="J307" s="66"/>
      <c r="K307" s="72"/>
      <c r="L307" s="66"/>
    </row>
    <row r="308" spans="1:12" s="142" customFormat="1">
      <c r="A308" s="66" t="s">
        <v>56</v>
      </c>
      <c r="B308" s="66"/>
      <c r="C308" s="66"/>
      <c r="D308" s="66"/>
      <c r="E308" s="66"/>
      <c r="F308" s="66"/>
      <c r="G308" s="66"/>
      <c r="H308" s="110"/>
      <c r="I308" s="68"/>
      <c r="J308" s="66"/>
      <c r="K308" s="72"/>
      <c r="L308" s="66"/>
    </row>
    <row r="309" spans="1:12" s="142" customFormat="1">
      <c r="A309" s="66" t="s">
        <v>218</v>
      </c>
      <c r="B309" s="66"/>
      <c r="C309" s="66"/>
      <c r="D309" s="66"/>
      <c r="E309" s="66"/>
      <c r="F309" s="66"/>
      <c r="G309" s="66"/>
      <c r="H309" s="110"/>
      <c r="I309" s="68"/>
      <c r="J309" s="66"/>
      <c r="K309" s="66"/>
      <c r="L309" s="66"/>
    </row>
    <row r="310" spans="1:12" s="142" customFormat="1">
      <c r="A310" s="66" t="s">
        <v>701</v>
      </c>
      <c r="B310" s="66"/>
      <c r="C310" s="66"/>
      <c r="D310" s="66"/>
      <c r="E310" s="66"/>
      <c r="F310" s="66"/>
      <c r="G310" s="66"/>
      <c r="H310" s="110"/>
      <c r="I310" s="68"/>
      <c r="J310" s="66"/>
      <c r="K310" s="72"/>
      <c r="L310" s="66"/>
    </row>
    <row r="311" spans="1:12" s="142" customFormat="1">
      <c r="A311" s="66" t="s">
        <v>1949</v>
      </c>
      <c r="B311" s="66"/>
      <c r="C311" s="66"/>
      <c r="D311" s="66"/>
      <c r="E311" s="66"/>
      <c r="F311" s="66"/>
      <c r="G311" s="66"/>
      <c r="H311" s="110"/>
      <c r="I311" s="68"/>
      <c r="J311" s="66"/>
      <c r="K311" s="72"/>
      <c r="L311" s="66"/>
    </row>
    <row r="312" spans="1:12" s="142" customFormat="1">
      <c r="A312" s="66" t="s">
        <v>1050</v>
      </c>
      <c r="B312" s="66"/>
      <c r="C312" s="66"/>
      <c r="D312" s="66"/>
      <c r="E312" s="66"/>
      <c r="F312" s="66"/>
      <c r="G312" s="66"/>
      <c r="H312" s="110"/>
      <c r="I312" s="68"/>
      <c r="J312" s="66"/>
      <c r="K312" s="72"/>
      <c r="L312" s="66"/>
    </row>
    <row r="313" spans="1:12" s="142" customFormat="1">
      <c r="A313" s="66" t="s">
        <v>1127</v>
      </c>
      <c r="B313" s="66"/>
      <c r="C313" s="66"/>
      <c r="D313" s="66"/>
      <c r="E313" s="66"/>
      <c r="F313" s="66"/>
      <c r="G313" s="66"/>
      <c r="H313" s="110"/>
      <c r="I313" s="68"/>
      <c r="J313" s="66"/>
      <c r="K313" s="69"/>
      <c r="L313" s="66"/>
    </row>
    <row r="314" spans="1:12" s="142" customFormat="1">
      <c r="A314" s="66" t="s">
        <v>1950</v>
      </c>
      <c r="B314" s="66"/>
      <c r="C314" s="66"/>
      <c r="D314" s="66"/>
      <c r="E314" s="66"/>
      <c r="F314" s="66"/>
      <c r="G314" s="66"/>
      <c r="H314" s="110"/>
      <c r="I314" s="68"/>
      <c r="J314" s="66"/>
      <c r="K314" s="72"/>
      <c r="L314" s="66"/>
    </row>
    <row r="315" spans="1:12" s="142" customFormat="1">
      <c r="A315" s="66" t="s">
        <v>918</v>
      </c>
      <c r="B315" s="66"/>
      <c r="C315" s="66"/>
      <c r="D315" s="66"/>
      <c r="E315" s="66"/>
      <c r="F315" s="66"/>
      <c r="G315" s="66"/>
      <c r="H315" s="110"/>
      <c r="I315" s="68"/>
      <c r="J315" s="66"/>
      <c r="K315" s="72"/>
      <c r="L315" s="66"/>
    </row>
    <row r="316" spans="1:12" s="142" customFormat="1">
      <c r="A316" s="66" t="s">
        <v>1053</v>
      </c>
      <c r="B316" s="66"/>
      <c r="C316" s="66"/>
      <c r="D316" s="66"/>
      <c r="E316" s="66"/>
      <c r="F316" s="66"/>
      <c r="G316" s="66"/>
      <c r="H316" s="110"/>
      <c r="I316" s="68"/>
      <c r="J316" s="66"/>
      <c r="K316" s="69"/>
      <c r="L316" s="66"/>
    </row>
    <row r="317" spans="1:12" s="142" customFormat="1">
      <c r="A317" s="66" t="s">
        <v>1951</v>
      </c>
      <c r="B317" s="66"/>
      <c r="C317" s="66"/>
      <c r="D317" s="66"/>
      <c r="E317" s="66"/>
      <c r="F317" s="66"/>
      <c r="G317" s="66"/>
      <c r="H317" s="110"/>
      <c r="I317" s="68"/>
      <c r="J317" s="66"/>
      <c r="K317" s="72"/>
      <c r="L317" s="66"/>
    </row>
    <row r="318" spans="1:12" s="142" customFormat="1">
      <c r="A318" s="66" t="s">
        <v>1952</v>
      </c>
      <c r="B318" s="66"/>
      <c r="C318" s="66"/>
      <c r="D318" s="66"/>
      <c r="E318" s="66"/>
      <c r="F318" s="66"/>
      <c r="G318" s="66"/>
      <c r="H318" s="110"/>
      <c r="I318" s="68"/>
      <c r="J318" s="66"/>
      <c r="K318" s="72"/>
      <c r="L318" s="66"/>
    </row>
    <row r="319" spans="1:12" s="142" customFormat="1">
      <c r="A319" s="66" t="s">
        <v>220</v>
      </c>
      <c r="B319" s="66"/>
      <c r="C319" s="66"/>
      <c r="D319" s="66"/>
      <c r="E319" s="66"/>
      <c r="F319" s="66"/>
      <c r="G319" s="66"/>
      <c r="H319" s="110"/>
      <c r="I319" s="68"/>
      <c r="J319" s="66"/>
      <c r="K319" s="72"/>
      <c r="L319" s="66"/>
    </row>
    <row r="320" spans="1:12" s="142" customFormat="1">
      <c r="A320" s="66" t="s">
        <v>475</v>
      </c>
      <c r="B320" s="66"/>
      <c r="C320" s="66"/>
      <c r="D320" s="66"/>
      <c r="E320" s="66"/>
      <c r="F320" s="66"/>
      <c r="G320" s="66"/>
      <c r="H320" s="110"/>
      <c r="I320" s="68"/>
      <c r="J320" s="66"/>
      <c r="K320" s="72"/>
      <c r="L320" s="66"/>
    </row>
    <row r="321" spans="1:12" s="142" customFormat="1">
      <c r="A321" s="66" t="s">
        <v>704</v>
      </c>
      <c r="B321" s="66"/>
      <c r="C321" s="66"/>
      <c r="D321" s="66"/>
      <c r="E321" s="66"/>
      <c r="F321" s="66"/>
      <c r="G321" s="66"/>
      <c r="H321" s="110"/>
      <c r="I321" s="68"/>
      <c r="J321" s="66"/>
      <c r="K321" s="69"/>
      <c r="L321" s="66"/>
    </row>
    <row r="322" spans="1:12" s="142" customFormat="1">
      <c r="A322" s="66" t="s">
        <v>478</v>
      </c>
      <c r="B322" s="66"/>
      <c r="C322" s="66"/>
      <c r="D322" s="66"/>
      <c r="E322" s="66"/>
      <c r="F322" s="66"/>
      <c r="G322" s="66"/>
      <c r="H322" s="110"/>
      <c r="I322" s="68"/>
      <c r="J322" s="66"/>
      <c r="K322" s="72"/>
      <c r="L322" s="66"/>
    </row>
    <row r="323" spans="1:12" s="142" customFormat="1">
      <c r="A323" s="66" t="s">
        <v>547</v>
      </c>
      <c r="B323" s="67"/>
      <c r="C323" s="67"/>
      <c r="D323" s="67"/>
      <c r="E323" s="67"/>
      <c r="F323" s="67"/>
      <c r="G323" s="67"/>
      <c r="H323" s="110"/>
      <c r="I323" s="68"/>
      <c r="J323" s="66"/>
      <c r="K323" s="69"/>
      <c r="L323" s="66"/>
    </row>
    <row r="324" spans="1:12" s="142" customFormat="1">
      <c r="A324" s="66" t="s">
        <v>1129</v>
      </c>
      <c r="B324" s="67"/>
      <c r="C324" s="67"/>
      <c r="D324" s="67"/>
      <c r="E324" s="67"/>
      <c r="F324" s="67"/>
      <c r="G324" s="67"/>
      <c r="H324" s="110"/>
      <c r="I324" s="68"/>
      <c r="J324" s="69"/>
      <c r="K324" s="72"/>
      <c r="L324" s="66"/>
    </row>
    <row r="325" spans="1:12" s="142" customFormat="1">
      <c r="A325" s="66" t="s">
        <v>1953</v>
      </c>
      <c r="B325" s="66"/>
      <c r="C325" s="66"/>
      <c r="D325" s="66"/>
      <c r="E325" s="66"/>
      <c r="F325" s="66"/>
      <c r="G325" s="66"/>
      <c r="H325" s="110"/>
      <c r="I325" s="68"/>
      <c r="J325" s="66"/>
      <c r="K325" s="72"/>
      <c r="L325" s="66"/>
    </row>
    <row r="326" spans="1:12" s="142" customFormat="1">
      <c r="A326" s="66" t="s">
        <v>1954</v>
      </c>
      <c r="B326" s="67"/>
      <c r="C326" s="67"/>
      <c r="D326" s="67"/>
      <c r="E326" s="67"/>
      <c r="F326" s="67"/>
      <c r="G326" s="67"/>
      <c r="H326" s="110"/>
      <c r="I326" s="68"/>
      <c r="J326" s="66"/>
      <c r="K326" s="69"/>
      <c r="L326" s="66"/>
    </row>
    <row r="327" spans="1:12" s="142" customFormat="1">
      <c r="A327" s="66" t="s">
        <v>1955</v>
      </c>
      <c r="B327" s="66"/>
      <c r="C327" s="66"/>
      <c r="D327" s="66"/>
      <c r="E327" s="66"/>
      <c r="F327" s="66"/>
      <c r="G327" s="66"/>
      <c r="H327" s="110"/>
      <c r="I327" s="68"/>
      <c r="J327" s="66"/>
      <c r="K327" s="69"/>
      <c r="L327" s="66"/>
    </row>
    <row r="328" spans="1:12" s="142" customFormat="1">
      <c r="A328" s="66" t="s">
        <v>263</v>
      </c>
      <c r="B328" s="66"/>
      <c r="C328" s="66"/>
      <c r="D328" s="66"/>
      <c r="E328" s="66"/>
      <c r="F328" s="66"/>
      <c r="G328" s="66"/>
      <c r="H328" s="110"/>
      <c r="I328" s="68"/>
      <c r="J328" s="66"/>
      <c r="K328" s="72"/>
      <c r="L328" s="68"/>
    </row>
    <row r="329" spans="1:12" s="142" customFormat="1">
      <c r="A329" s="66" t="s">
        <v>398</v>
      </c>
      <c r="B329" s="66"/>
      <c r="C329" s="66"/>
      <c r="D329" s="66"/>
      <c r="E329" s="66"/>
      <c r="F329" s="66"/>
      <c r="G329" s="66"/>
      <c r="H329" s="110"/>
      <c r="I329" s="68"/>
      <c r="J329" s="66"/>
      <c r="K329" s="68"/>
      <c r="L329" s="66"/>
    </row>
    <row r="330" spans="1:12" s="142" customFormat="1">
      <c r="A330" s="66" t="s">
        <v>480</v>
      </c>
      <c r="B330" s="66"/>
      <c r="C330" s="66"/>
      <c r="D330" s="66"/>
      <c r="E330" s="66"/>
      <c r="F330" s="66"/>
      <c r="G330" s="66"/>
      <c r="H330" s="110"/>
      <c r="I330" s="68"/>
      <c r="J330" s="66"/>
      <c r="K330" s="72"/>
      <c r="L330" s="68"/>
    </row>
    <row r="331" spans="1:12" s="142" customFormat="1">
      <c r="A331" s="66" t="s">
        <v>707</v>
      </c>
      <c r="B331" s="66"/>
      <c r="C331" s="66"/>
      <c r="D331" s="66"/>
      <c r="E331" s="66"/>
      <c r="F331" s="66"/>
      <c r="G331" s="66"/>
      <c r="H331" s="110"/>
      <c r="I331" s="68"/>
      <c r="J331" s="66"/>
      <c r="K331" s="72"/>
      <c r="L331" s="68"/>
    </row>
    <row r="332" spans="1:12" s="142" customFormat="1">
      <c r="A332" s="66" t="s">
        <v>266</v>
      </c>
      <c r="B332" s="66"/>
      <c r="C332" s="66"/>
      <c r="D332" s="66"/>
      <c r="E332" s="66"/>
      <c r="F332" s="66"/>
      <c r="G332" s="66"/>
      <c r="H332" s="110"/>
      <c r="I332" s="68"/>
      <c r="J332" s="69"/>
      <c r="K332" s="72"/>
      <c r="L332" s="68"/>
    </row>
    <row r="333" spans="1:12" s="142" customFormat="1">
      <c r="A333" s="66" t="s">
        <v>920</v>
      </c>
      <c r="B333" s="66"/>
      <c r="C333" s="66"/>
      <c r="D333" s="66"/>
      <c r="E333" s="66"/>
      <c r="F333" s="66"/>
      <c r="G333" s="66"/>
      <c r="H333" s="110"/>
      <c r="I333" s="68"/>
      <c r="J333" s="66"/>
      <c r="K333" s="68"/>
      <c r="L333" s="68"/>
    </row>
    <row r="334" spans="1:12" s="142" customFormat="1">
      <c r="A334" s="66" t="s">
        <v>1956</v>
      </c>
      <c r="B334" s="66"/>
      <c r="C334" s="66"/>
      <c r="D334" s="66"/>
      <c r="E334" s="66"/>
      <c r="F334" s="66"/>
      <c r="G334" s="66"/>
      <c r="H334" s="110"/>
      <c r="I334" s="68"/>
      <c r="J334" s="66"/>
      <c r="K334" s="72"/>
      <c r="L334" s="68"/>
    </row>
    <row r="335" spans="1:12" s="142" customFormat="1">
      <c r="A335" s="66" t="s">
        <v>401</v>
      </c>
      <c r="B335" s="66"/>
      <c r="C335" s="66"/>
      <c r="D335" s="66"/>
      <c r="E335" s="66"/>
      <c r="F335" s="66"/>
      <c r="G335" s="66"/>
      <c r="H335" s="110"/>
      <c r="I335" s="68"/>
      <c r="J335" s="66"/>
      <c r="K335" s="72"/>
      <c r="L335" s="68"/>
    </row>
    <row r="336" spans="1:12" s="142" customFormat="1">
      <c r="A336" s="66" t="s">
        <v>59</v>
      </c>
      <c r="B336" s="66"/>
      <c r="C336" s="66"/>
      <c r="D336" s="66"/>
      <c r="E336" s="66"/>
      <c r="F336" s="66"/>
      <c r="G336" s="66"/>
      <c r="H336" s="110"/>
      <c r="I336" s="68"/>
      <c r="J336" s="66"/>
      <c r="K336" s="72"/>
      <c r="L336" s="68"/>
    </row>
    <row r="337" spans="1:12" s="142" customFormat="1" ht="27.6">
      <c r="A337" s="66" t="s">
        <v>1081</v>
      </c>
      <c r="B337" s="99">
        <v>44936</v>
      </c>
      <c r="C337" s="66"/>
      <c r="D337" s="66"/>
      <c r="E337" s="66"/>
      <c r="F337" s="66"/>
      <c r="G337" s="66"/>
      <c r="H337" s="110"/>
      <c r="I337" s="68"/>
      <c r="J337" s="72" t="s">
        <v>1957</v>
      </c>
      <c r="K337" s="72"/>
      <c r="L337" s="68"/>
    </row>
    <row r="338" spans="1:12" s="142" customFormat="1">
      <c r="A338" s="66" t="s">
        <v>1958</v>
      </c>
      <c r="B338" s="66"/>
      <c r="C338" s="66"/>
      <c r="D338" s="66"/>
      <c r="E338" s="66"/>
      <c r="F338" s="66"/>
      <c r="G338" s="66"/>
      <c r="H338" s="110"/>
      <c r="I338" s="68"/>
      <c r="J338" s="66"/>
      <c r="K338" s="72"/>
      <c r="L338" s="68"/>
    </row>
    <row r="339" spans="1:12" s="142" customFormat="1">
      <c r="A339" s="66" t="s">
        <v>1959</v>
      </c>
      <c r="B339" s="66"/>
      <c r="C339" s="66"/>
      <c r="D339" s="66"/>
      <c r="E339" s="66"/>
      <c r="F339" s="66"/>
      <c r="G339" s="66"/>
      <c r="H339" s="110"/>
      <c r="I339" s="68"/>
      <c r="J339" s="66"/>
      <c r="K339" s="72"/>
      <c r="L339" s="68"/>
    </row>
    <row r="340" spans="1:12" s="142" customFormat="1">
      <c r="A340" s="66" t="s">
        <v>1132</v>
      </c>
      <c r="B340" s="66"/>
      <c r="C340" s="66"/>
      <c r="D340" s="66"/>
      <c r="E340" s="66"/>
      <c r="F340" s="66"/>
      <c r="G340" s="66"/>
      <c r="H340" s="110"/>
      <c r="I340" s="68"/>
      <c r="J340" s="66"/>
      <c r="K340" s="72"/>
      <c r="L340" s="68"/>
    </row>
    <row r="341" spans="1:12" s="142" customFormat="1">
      <c r="A341" s="66" t="s">
        <v>483</v>
      </c>
      <c r="B341" s="66"/>
      <c r="C341" s="66"/>
      <c r="D341" s="66"/>
      <c r="E341" s="66"/>
      <c r="F341" s="66"/>
      <c r="G341" s="66"/>
      <c r="H341" s="110"/>
      <c r="I341" s="68"/>
      <c r="J341" s="66"/>
      <c r="K341" s="72"/>
      <c r="L341" s="68"/>
    </row>
    <row r="342" spans="1:12" s="142" customFormat="1">
      <c r="A342" s="66" t="s">
        <v>550</v>
      </c>
      <c r="B342" s="66"/>
      <c r="C342" s="66"/>
      <c r="D342" s="66"/>
      <c r="E342" s="66"/>
      <c r="F342" s="66"/>
      <c r="G342" s="66"/>
      <c r="H342" s="110"/>
      <c r="I342" s="68"/>
      <c r="J342" s="66"/>
      <c r="K342" s="72"/>
      <c r="L342" s="68"/>
    </row>
    <row r="343" spans="1:12" s="142" customFormat="1">
      <c r="A343" s="66" t="s">
        <v>1479</v>
      </c>
      <c r="B343" s="99">
        <v>44865</v>
      </c>
      <c r="C343" s="66" t="s">
        <v>1845</v>
      </c>
      <c r="D343" s="99">
        <v>44877</v>
      </c>
      <c r="E343" s="66" t="s">
        <v>1850</v>
      </c>
      <c r="F343" s="66"/>
      <c r="G343" s="66"/>
      <c r="H343" s="110"/>
      <c r="I343" s="68"/>
      <c r="J343" s="66" t="s">
        <v>1960</v>
      </c>
      <c r="K343" s="72"/>
      <c r="L343" s="68"/>
    </row>
    <row r="344" spans="1:12" s="142" customFormat="1">
      <c r="A344" s="66" t="s">
        <v>1961</v>
      </c>
      <c r="B344" s="66"/>
      <c r="C344" s="66"/>
      <c r="D344" s="66"/>
      <c r="E344" s="66"/>
      <c r="F344" s="66"/>
      <c r="G344" s="66"/>
      <c r="H344" s="110"/>
      <c r="I344" s="68"/>
      <c r="J344" s="66"/>
      <c r="K344" s="72"/>
      <c r="L344" s="68"/>
    </row>
    <row r="345" spans="1:12" s="142" customFormat="1">
      <c r="A345" s="66" t="s">
        <v>1055</v>
      </c>
      <c r="B345" s="66"/>
      <c r="C345" s="66"/>
      <c r="D345" s="66"/>
      <c r="E345" s="66"/>
      <c r="F345" s="66"/>
      <c r="G345" s="66"/>
      <c r="H345" s="110"/>
      <c r="I345" s="68"/>
      <c r="J345" s="66"/>
      <c r="K345" s="72"/>
      <c r="L345" s="68"/>
    </row>
    <row r="346" spans="1:12" s="142" customFormat="1">
      <c r="A346" s="66" t="s">
        <v>1962</v>
      </c>
      <c r="B346" s="66"/>
      <c r="C346" s="66"/>
      <c r="D346" s="66"/>
      <c r="E346" s="66"/>
      <c r="F346" s="66"/>
      <c r="G346" s="66"/>
      <c r="H346" s="110"/>
      <c r="I346" s="68"/>
      <c r="J346" s="66"/>
      <c r="K346" s="72"/>
      <c r="L346" s="68"/>
    </row>
    <row r="347" spans="1:12" s="142" customFormat="1">
      <c r="A347" s="66" t="s">
        <v>1963</v>
      </c>
      <c r="B347" s="66"/>
      <c r="C347" s="66"/>
      <c r="D347" s="66"/>
      <c r="E347" s="66"/>
      <c r="F347" s="66"/>
      <c r="G347" s="66"/>
      <c r="H347" s="110"/>
      <c r="I347" s="68"/>
      <c r="J347" s="66"/>
      <c r="K347" s="72"/>
      <c r="L347" s="68"/>
    </row>
    <row r="348" spans="1:12" s="142" customFormat="1">
      <c r="A348" s="66" t="s">
        <v>837</v>
      </c>
      <c r="B348" s="66"/>
      <c r="C348" s="66"/>
      <c r="D348" s="66"/>
      <c r="E348" s="66"/>
      <c r="F348" s="66"/>
      <c r="G348" s="66"/>
      <c r="H348" s="110"/>
      <c r="I348" s="68"/>
      <c r="J348" s="66"/>
      <c r="K348" s="72"/>
      <c r="L348" s="68"/>
    </row>
    <row r="349" spans="1:12" s="142" customFormat="1">
      <c r="A349" s="66" t="s">
        <v>772</v>
      </c>
      <c r="B349" s="66"/>
      <c r="C349" s="66"/>
      <c r="D349" s="66"/>
      <c r="E349" s="66"/>
      <c r="F349" s="66"/>
      <c r="G349" s="66"/>
      <c r="H349" s="110"/>
      <c r="I349" s="68"/>
      <c r="J349" s="66"/>
      <c r="K349" s="72"/>
      <c r="L349" s="68"/>
    </row>
    <row r="350" spans="1:12" s="142" customFormat="1">
      <c r="A350" s="66" t="s">
        <v>1964</v>
      </c>
      <c r="B350" s="66"/>
      <c r="C350" s="66"/>
      <c r="D350" s="66"/>
      <c r="E350" s="66"/>
      <c r="F350" s="66"/>
      <c r="G350" s="66"/>
      <c r="H350" s="110"/>
      <c r="I350" s="68"/>
      <c r="J350" s="66"/>
      <c r="K350" s="72"/>
      <c r="L350" s="68"/>
    </row>
    <row r="351" spans="1:12" s="142" customFormat="1">
      <c r="A351" s="66" t="s">
        <v>404</v>
      </c>
      <c r="B351" s="66"/>
      <c r="C351" s="66"/>
      <c r="D351" s="66"/>
      <c r="E351" s="66"/>
      <c r="F351" s="66"/>
      <c r="G351" s="66"/>
      <c r="H351" s="110"/>
      <c r="I351" s="68"/>
      <c r="J351" s="66"/>
      <c r="K351" s="72"/>
      <c r="L351" s="68"/>
    </row>
    <row r="352" spans="1:12" s="142" customFormat="1">
      <c r="A352" s="66" t="s">
        <v>407</v>
      </c>
      <c r="B352" s="66"/>
      <c r="C352" s="66"/>
      <c r="D352" s="66"/>
      <c r="E352" s="66"/>
      <c r="F352" s="66"/>
      <c r="G352" s="66"/>
      <c r="H352" s="110"/>
      <c r="I352" s="68"/>
      <c r="J352" s="66"/>
      <c r="K352" s="72"/>
      <c r="L352" s="68"/>
    </row>
    <row r="353" spans="1:12" s="142" customFormat="1">
      <c r="A353" s="66" t="s">
        <v>410</v>
      </c>
      <c r="B353" s="66"/>
      <c r="C353" s="66"/>
      <c r="D353" s="66"/>
      <c r="E353" s="66"/>
      <c r="F353" s="66"/>
      <c r="G353" s="66"/>
      <c r="H353" s="110"/>
      <c r="I353" s="68"/>
      <c r="J353" s="66"/>
      <c r="K353" s="72"/>
      <c r="L353" s="68"/>
    </row>
    <row r="354" spans="1:12" s="142" customFormat="1">
      <c r="A354" s="66" t="s">
        <v>1223</v>
      </c>
      <c r="B354" s="66"/>
      <c r="C354" s="66"/>
      <c r="D354" s="66"/>
      <c r="E354" s="66"/>
      <c r="F354" s="66"/>
      <c r="G354" s="66"/>
      <c r="H354" s="110"/>
      <c r="I354" s="68"/>
      <c r="J354" s="66"/>
      <c r="K354" s="72"/>
      <c r="L354" s="68"/>
    </row>
    <row r="355" spans="1:12" s="142" customFormat="1">
      <c r="A355" s="66" t="s">
        <v>413</v>
      </c>
      <c r="B355" s="99">
        <v>44923</v>
      </c>
      <c r="C355" s="66"/>
      <c r="D355" s="66"/>
      <c r="E355" s="66"/>
      <c r="F355" s="66" t="s">
        <v>1856</v>
      </c>
      <c r="G355" s="66" t="s">
        <v>1856</v>
      </c>
      <c r="H355" s="110"/>
      <c r="I355" s="68" t="s">
        <v>1891</v>
      </c>
      <c r="J355" s="66" t="s">
        <v>1965</v>
      </c>
      <c r="K355" s="72"/>
      <c r="L355" s="68"/>
    </row>
    <row r="356" spans="1:12" s="142" customFormat="1">
      <c r="A356" s="66" t="s">
        <v>415</v>
      </c>
      <c r="B356" s="66"/>
      <c r="C356" s="66"/>
      <c r="D356" s="66"/>
      <c r="E356" s="66"/>
      <c r="F356" s="66"/>
      <c r="G356" s="66"/>
      <c r="H356" s="110"/>
      <c r="I356" s="68"/>
      <c r="J356" s="66"/>
      <c r="K356" s="72"/>
      <c r="L356" s="68"/>
    </row>
    <row r="357" spans="1:12" s="142" customFormat="1">
      <c r="A357" s="66" t="s">
        <v>774</v>
      </c>
      <c r="B357" s="66"/>
      <c r="C357" s="66"/>
      <c r="D357" s="66"/>
      <c r="E357" s="66"/>
      <c r="F357" s="66"/>
      <c r="G357" s="66"/>
      <c r="H357" s="110"/>
      <c r="I357" s="68"/>
      <c r="J357" s="66"/>
      <c r="K357" s="72"/>
      <c r="L357" s="68"/>
    </row>
    <row r="358" spans="1:12" s="142" customFormat="1">
      <c r="A358" s="66" t="s">
        <v>1966</v>
      </c>
      <c r="B358" s="66"/>
      <c r="C358" s="66"/>
      <c r="D358" s="66"/>
      <c r="E358" s="66"/>
      <c r="F358" s="66"/>
      <c r="G358" s="66"/>
      <c r="H358" s="110"/>
      <c r="I358" s="68"/>
      <c r="J358" s="66"/>
      <c r="K358" s="72"/>
      <c r="L358" s="68"/>
    </row>
    <row r="359" spans="1:12" s="142" customFormat="1">
      <c r="A359" s="77" t="s">
        <v>776</v>
      </c>
      <c r="B359" s="77"/>
      <c r="C359" s="77"/>
      <c r="D359" s="77"/>
      <c r="E359" s="77"/>
      <c r="F359" s="77"/>
      <c r="G359" s="77"/>
      <c r="H359" s="110"/>
      <c r="I359" s="78"/>
      <c r="J359" s="77"/>
      <c r="K359" s="79"/>
      <c r="L359" s="78"/>
    </row>
    <row r="360" spans="1:12" s="142" customFormat="1">
      <c r="A360" s="77" t="s">
        <v>923</v>
      </c>
      <c r="B360" s="77"/>
      <c r="C360" s="77"/>
      <c r="D360" s="77"/>
      <c r="E360" s="77"/>
      <c r="F360" s="77"/>
      <c r="G360" s="77"/>
      <c r="H360" s="110"/>
      <c r="I360" s="78"/>
      <c r="J360" s="77"/>
      <c r="K360" s="79"/>
      <c r="L360" s="78"/>
    </row>
    <row r="361" spans="1:12" s="142" customFormat="1">
      <c r="A361" s="77" t="s">
        <v>963</v>
      </c>
      <c r="B361" s="77"/>
      <c r="C361" s="77"/>
      <c r="D361" s="77"/>
      <c r="E361" s="77"/>
      <c r="F361" s="77"/>
      <c r="G361" s="77"/>
      <c r="H361" s="110"/>
      <c r="I361" s="78"/>
      <c r="J361" s="77"/>
      <c r="K361" s="79"/>
      <c r="L361" s="78"/>
    </row>
    <row r="362" spans="1:12" s="142" customFormat="1">
      <c r="A362" s="77" t="s">
        <v>1019</v>
      </c>
      <c r="B362" s="77"/>
      <c r="C362" s="77"/>
      <c r="D362" s="77"/>
      <c r="E362" s="77"/>
      <c r="F362" s="77"/>
      <c r="G362" s="77"/>
      <c r="H362" s="110"/>
      <c r="I362" s="78"/>
      <c r="J362" s="77"/>
      <c r="K362" s="79"/>
      <c r="L362" s="78"/>
    </row>
    <row r="363" spans="1:12" s="142" customFormat="1">
      <c r="A363" s="77" t="s">
        <v>1083</v>
      </c>
      <c r="B363" s="77"/>
      <c r="C363" s="77"/>
      <c r="D363" s="77"/>
      <c r="E363" s="77"/>
      <c r="F363" s="77"/>
      <c r="G363" s="77"/>
      <c r="H363" s="110"/>
      <c r="I363" s="78"/>
      <c r="J363" s="77"/>
      <c r="K363" s="79"/>
      <c r="L363" s="78"/>
    </row>
    <row r="364" spans="1:12" s="142" customFormat="1">
      <c r="A364" s="77" t="s">
        <v>778</v>
      </c>
      <c r="B364" s="77"/>
      <c r="C364" s="77"/>
      <c r="D364" s="77"/>
      <c r="E364" s="77"/>
      <c r="F364" s="77"/>
      <c r="G364" s="77"/>
      <c r="H364" s="110"/>
      <c r="I364" s="78"/>
      <c r="J364" s="77"/>
      <c r="K364" s="79"/>
      <c r="L364" s="78"/>
    </row>
    <row r="365" spans="1:12" s="142" customFormat="1">
      <c r="A365" s="77" t="s">
        <v>656</v>
      </c>
      <c r="B365" s="77"/>
      <c r="C365" s="77"/>
      <c r="D365" s="77"/>
      <c r="E365" s="77"/>
      <c r="F365" s="77"/>
      <c r="G365" s="77"/>
      <c r="H365" s="110"/>
      <c r="I365" s="78"/>
      <c r="J365" s="77"/>
      <c r="K365" s="79"/>
      <c r="L365" s="78"/>
    </row>
    <row r="366" spans="1:12" s="142" customFormat="1">
      <c r="A366" s="77" t="s">
        <v>925</v>
      </c>
      <c r="B366" s="77"/>
      <c r="C366" s="77"/>
      <c r="D366" s="77"/>
      <c r="E366" s="77"/>
      <c r="F366" s="77"/>
      <c r="G366" s="77"/>
      <c r="H366" s="110"/>
      <c r="I366" s="78"/>
      <c r="J366" s="77"/>
      <c r="K366" s="79"/>
      <c r="L366" s="78"/>
    </row>
    <row r="367" spans="1:12" s="142" customFormat="1">
      <c r="A367" s="77" t="s">
        <v>1967</v>
      </c>
      <c r="B367" s="77"/>
      <c r="C367" s="77"/>
      <c r="D367" s="77"/>
      <c r="E367" s="77"/>
      <c r="F367" s="77"/>
      <c r="G367" s="77"/>
      <c r="H367" s="110"/>
      <c r="I367" s="78"/>
      <c r="J367" s="77"/>
      <c r="K367" s="79"/>
      <c r="L367" s="78"/>
    </row>
    <row r="368" spans="1:12" s="142" customFormat="1">
      <c r="A368" s="77" t="s">
        <v>1968</v>
      </c>
      <c r="B368" s="77"/>
      <c r="C368" s="77"/>
      <c r="D368" s="77"/>
      <c r="E368" s="77"/>
      <c r="F368" s="77"/>
      <c r="G368" s="77"/>
      <c r="H368" s="110"/>
      <c r="I368" s="78"/>
      <c r="J368" s="77"/>
      <c r="K368" s="79"/>
      <c r="L368" s="78"/>
    </row>
    <row r="369" spans="1:12" s="142" customFormat="1">
      <c r="A369" s="77" t="s">
        <v>1969</v>
      </c>
      <c r="B369" s="77"/>
      <c r="C369" s="77"/>
      <c r="D369" s="77"/>
      <c r="E369" s="77"/>
      <c r="F369" s="77"/>
      <c r="G369" s="77"/>
      <c r="H369" s="110"/>
      <c r="I369" s="78"/>
      <c r="J369" s="77"/>
      <c r="K369" s="79"/>
      <c r="L369" s="78"/>
    </row>
    <row r="370" spans="1:12" s="142" customFormat="1">
      <c r="A370" s="77" t="s">
        <v>1970</v>
      </c>
      <c r="B370" s="77"/>
      <c r="C370" s="77"/>
      <c r="D370" s="77"/>
      <c r="E370" s="77"/>
      <c r="F370" s="77"/>
      <c r="G370" s="77"/>
      <c r="H370" s="110"/>
      <c r="I370" s="78"/>
      <c r="J370" s="77"/>
      <c r="K370" s="72"/>
      <c r="L370" s="66"/>
    </row>
    <row r="371" spans="1:12" s="142" customFormat="1">
      <c r="A371" s="77" t="s">
        <v>1022</v>
      </c>
      <c r="B371" s="100">
        <v>44749</v>
      </c>
      <c r="C371" s="77" t="s">
        <v>1845</v>
      </c>
      <c r="D371" s="100">
        <v>44874</v>
      </c>
      <c r="E371" s="77" t="s">
        <v>1897</v>
      </c>
      <c r="F371" s="77"/>
      <c r="G371" s="77"/>
      <c r="H371" s="110"/>
      <c r="I371" s="78"/>
      <c r="J371" s="66" t="s">
        <v>1919</v>
      </c>
      <c r="K371" s="79"/>
      <c r="L371" s="78"/>
    </row>
    <row r="372" spans="1:12" s="142" customFormat="1">
      <c r="A372" s="77" t="s">
        <v>553</v>
      </c>
      <c r="B372" s="77"/>
      <c r="C372" s="77"/>
      <c r="D372" s="77"/>
      <c r="E372" s="77"/>
      <c r="F372" s="77"/>
      <c r="G372" s="77"/>
      <c r="H372" s="110"/>
      <c r="I372" s="78"/>
      <c r="J372" s="77"/>
      <c r="K372" s="79"/>
      <c r="L372" s="78"/>
    </row>
    <row r="373" spans="1:12" s="142" customFormat="1">
      <c r="A373" s="77" t="s">
        <v>1024</v>
      </c>
      <c r="B373" s="77"/>
      <c r="C373" s="77"/>
      <c r="D373" s="77"/>
      <c r="E373" s="77"/>
      <c r="F373" s="77"/>
      <c r="G373" s="77"/>
      <c r="H373" s="110"/>
      <c r="I373" s="78"/>
      <c r="J373" s="77"/>
      <c r="K373" s="79"/>
      <c r="L373" s="78"/>
    </row>
    <row r="374" spans="1:12" s="142" customFormat="1">
      <c r="A374" s="77" t="s">
        <v>1057</v>
      </c>
      <c r="B374" s="77"/>
      <c r="C374" s="77"/>
      <c r="D374" s="77"/>
      <c r="E374" s="77"/>
      <c r="F374" s="77"/>
      <c r="G374" s="77"/>
      <c r="H374" s="110"/>
      <c r="I374" s="78"/>
      <c r="J374" s="77"/>
      <c r="K374" s="79"/>
      <c r="L374" s="78"/>
    </row>
    <row r="375" spans="1:12" s="142" customFormat="1">
      <c r="A375" s="77" t="s">
        <v>1026</v>
      </c>
      <c r="B375" s="77"/>
      <c r="C375" s="77"/>
      <c r="D375" s="77"/>
      <c r="E375" s="77"/>
      <c r="F375" s="77"/>
      <c r="G375" s="77"/>
      <c r="H375" s="110"/>
      <c r="I375" s="78"/>
      <c r="J375" s="77"/>
      <c r="K375" s="79"/>
      <c r="L375" s="78"/>
    </row>
    <row r="376" spans="1:12" s="142" customFormat="1">
      <c r="A376" s="77" t="s">
        <v>1971</v>
      </c>
      <c r="B376" s="77"/>
      <c r="C376" s="77"/>
      <c r="D376" s="77"/>
      <c r="E376" s="77"/>
      <c r="F376" s="77"/>
      <c r="G376" s="77"/>
      <c r="H376" s="110"/>
      <c r="I376" s="78"/>
      <c r="J376" s="77"/>
      <c r="K376" s="79"/>
      <c r="L376" s="78"/>
    </row>
    <row r="377" spans="1:12" s="142" customFormat="1">
      <c r="A377" s="77" t="s">
        <v>839</v>
      </c>
      <c r="B377" s="77"/>
      <c r="C377" s="77"/>
      <c r="D377" s="77"/>
      <c r="E377" s="77"/>
      <c r="F377" s="77"/>
      <c r="G377" s="77"/>
      <c r="H377" s="110"/>
      <c r="I377" s="78"/>
      <c r="J377" s="77"/>
      <c r="K377" s="79"/>
      <c r="L377" s="78"/>
    </row>
    <row r="378" spans="1:12" s="142" customFormat="1">
      <c r="A378" s="77" t="s">
        <v>600</v>
      </c>
      <c r="B378" s="77"/>
      <c r="C378" s="77"/>
      <c r="D378" s="77"/>
      <c r="E378" s="77"/>
      <c r="F378" s="77"/>
      <c r="G378" s="77"/>
      <c r="H378" s="110"/>
      <c r="I378" s="78"/>
      <c r="J378" s="77"/>
      <c r="K378" s="79"/>
      <c r="L378" s="78"/>
    </row>
    <row r="379" spans="1:12" s="142" customFormat="1">
      <c r="A379" s="77" t="s">
        <v>1085</v>
      </c>
      <c r="B379" s="77"/>
      <c r="C379" s="77"/>
      <c r="D379" s="77"/>
      <c r="E379" s="77"/>
      <c r="F379" s="77"/>
      <c r="G379" s="77"/>
      <c r="H379" s="110"/>
      <c r="I379" s="78"/>
      <c r="J379" s="77"/>
      <c r="K379" s="77"/>
      <c r="L379" s="78"/>
    </row>
    <row r="380" spans="1:12" s="142" customFormat="1">
      <c r="A380" s="77" t="s">
        <v>842</v>
      </c>
      <c r="B380" s="77"/>
      <c r="C380" s="77"/>
      <c r="D380" s="77"/>
      <c r="E380" s="77"/>
      <c r="F380" s="77"/>
      <c r="G380" s="77"/>
      <c r="H380" s="110"/>
      <c r="I380" s="78"/>
      <c r="J380" s="77"/>
      <c r="K380" s="79"/>
      <c r="L380" s="78"/>
    </row>
    <row r="381" spans="1:12" s="142" customFormat="1" ht="27.6">
      <c r="A381" s="77" t="s">
        <v>965</v>
      </c>
      <c r="B381" s="100">
        <v>44895</v>
      </c>
      <c r="C381" s="77" t="s">
        <v>1845</v>
      </c>
      <c r="D381" s="100">
        <v>44895</v>
      </c>
      <c r="E381" s="77"/>
      <c r="F381" s="77"/>
      <c r="G381" s="77"/>
      <c r="H381" s="110"/>
      <c r="I381" s="78"/>
      <c r="J381" s="72" t="s">
        <v>1903</v>
      </c>
      <c r="K381" s="79"/>
      <c r="L381" s="78"/>
    </row>
    <row r="382" spans="1:12" s="142" customFormat="1">
      <c r="A382" s="77" t="s">
        <v>1087</v>
      </c>
      <c r="B382" s="77"/>
      <c r="C382" s="77"/>
      <c r="D382" s="77"/>
      <c r="E382" s="77"/>
      <c r="F382" s="77"/>
      <c r="G382" s="77"/>
      <c r="H382" s="110"/>
      <c r="I382" s="78"/>
      <c r="J382" s="77"/>
      <c r="K382" s="79"/>
      <c r="L382" s="78"/>
    </row>
    <row r="383" spans="1:12" s="142" customFormat="1">
      <c r="A383" s="77" t="s">
        <v>1089</v>
      </c>
      <c r="B383" s="77"/>
      <c r="C383" s="77"/>
      <c r="D383" s="77"/>
      <c r="E383" s="77"/>
      <c r="F383" s="77"/>
      <c r="G383" s="77"/>
      <c r="H383" s="110"/>
      <c r="I383" s="78"/>
      <c r="J383" s="77"/>
      <c r="K383" s="79"/>
      <c r="L383" s="78"/>
    </row>
    <row r="384" spans="1:12" s="142" customFormat="1">
      <c r="A384" s="77" t="s">
        <v>1972</v>
      </c>
      <c r="B384" s="77"/>
      <c r="C384" s="77"/>
      <c r="D384" s="77"/>
      <c r="E384" s="77"/>
      <c r="F384" s="77"/>
      <c r="G384" s="77"/>
      <c r="H384" s="110"/>
      <c r="I384" s="78"/>
      <c r="J384" s="77"/>
      <c r="K384" s="79"/>
      <c r="L384" s="78"/>
    </row>
    <row r="385" spans="1:12" s="142" customFormat="1">
      <c r="A385" s="77" t="s">
        <v>1973</v>
      </c>
      <c r="B385" s="77"/>
      <c r="C385" s="77"/>
      <c r="D385" s="77"/>
      <c r="E385" s="77"/>
      <c r="F385" s="77"/>
      <c r="G385" s="77"/>
      <c r="H385" s="110"/>
      <c r="I385" s="78"/>
      <c r="J385" s="77"/>
      <c r="K385" s="79"/>
      <c r="L385" s="78"/>
    </row>
    <row r="386" spans="1:12" s="142" customFormat="1">
      <c r="A386" s="77" t="s">
        <v>1974</v>
      </c>
      <c r="B386" s="77"/>
      <c r="C386" s="77"/>
      <c r="D386" s="77"/>
      <c r="E386" s="77"/>
      <c r="F386" s="77"/>
      <c r="G386" s="77"/>
      <c r="H386" s="110"/>
      <c r="I386" s="78"/>
      <c r="J386" s="77"/>
      <c r="K386" s="79"/>
      <c r="L386" s="78"/>
    </row>
    <row r="387" spans="1:12" s="142" customFormat="1">
      <c r="A387" s="77" t="s">
        <v>659</v>
      </c>
      <c r="B387" s="77"/>
      <c r="C387" s="77"/>
      <c r="D387" s="77"/>
      <c r="E387" s="77"/>
      <c r="F387" s="77"/>
      <c r="G387" s="77"/>
      <c r="H387" s="110"/>
      <c r="I387" s="78"/>
      <c r="J387" s="77"/>
      <c r="K387" s="79"/>
      <c r="L387" s="78"/>
    </row>
    <row r="388" spans="1:12" s="142" customFormat="1">
      <c r="A388" s="77" t="s">
        <v>662</v>
      </c>
      <c r="B388" s="77"/>
      <c r="C388" s="77"/>
      <c r="D388" s="77"/>
      <c r="E388" s="77"/>
      <c r="F388" s="77"/>
      <c r="G388" s="77"/>
      <c r="H388" s="110"/>
      <c r="I388" s="78"/>
      <c r="J388" s="77" t="s">
        <v>1975</v>
      </c>
      <c r="K388" s="79"/>
      <c r="L388" s="78"/>
    </row>
    <row r="389" spans="1:12" s="142" customFormat="1">
      <c r="A389" s="77" t="s">
        <v>710</v>
      </c>
      <c r="B389" s="77"/>
      <c r="C389" s="77"/>
      <c r="D389" s="77"/>
      <c r="E389" s="77"/>
      <c r="F389" s="77"/>
      <c r="G389" s="77"/>
      <c r="H389" s="110"/>
      <c r="I389" s="78"/>
      <c r="J389" s="77"/>
      <c r="K389" s="79"/>
      <c r="L389" s="78"/>
    </row>
    <row r="390" spans="1:12" s="142" customFormat="1">
      <c r="A390" s="77" t="s">
        <v>1560</v>
      </c>
      <c r="B390" s="77"/>
      <c r="C390" s="77"/>
      <c r="D390" s="77"/>
      <c r="E390" s="77"/>
      <c r="F390" s="77"/>
      <c r="G390" s="77"/>
      <c r="H390" s="110"/>
      <c r="I390" s="78"/>
      <c r="J390" s="77"/>
      <c r="K390" s="79"/>
      <c r="L390" s="78"/>
    </row>
    <row r="391" spans="1:12" s="142" customFormat="1">
      <c r="A391" s="77" t="s">
        <v>555</v>
      </c>
      <c r="B391" s="77"/>
      <c r="C391" s="77"/>
      <c r="D391" s="77"/>
      <c r="E391" s="77"/>
      <c r="F391" s="77"/>
      <c r="G391" s="77"/>
      <c r="H391" s="110"/>
      <c r="I391" s="78"/>
      <c r="J391" s="77"/>
      <c r="K391" s="79"/>
      <c r="L391" s="78"/>
    </row>
    <row r="392" spans="1:12" s="142" customFormat="1">
      <c r="A392" s="77" t="s">
        <v>1976</v>
      </c>
      <c r="B392" s="77"/>
      <c r="C392" s="77"/>
      <c r="D392" s="77"/>
      <c r="E392" s="77"/>
      <c r="F392" s="77"/>
      <c r="G392" s="77"/>
      <c r="H392" s="110"/>
      <c r="I392" s="78"/>
      <c r="J392" s="77"/>
      <c r="K392" s="79"/>
      <c r="L392" s="78"/>
    </row>
    <row r="393" spans="1:12" s="142" customFormat="1">
      <c r="A393" s="77" t="s">
        <v>712</v>
      </c>
      <c r="B393" s="77"/>
      <c r="C393" s="77"/>
      <c r="D393" s="77"/>
      <c r="E393" s="77"/>
      <c r="F393" s="77"/>
      <c r="G393" s="77"/>
      <c r="H393" s="110"/>
      <c r="I393" s="78"/>
      <c r="J393" s="77"/>
      <c r="K393" s="79"/>
      <c r="L393" s="78"/>
    </row>
    <row r="394" spans="1:12" s="142" customFormat="1">
      <c r="A394" s="77" t="s">
        <v>967</v>
      </c>
      <c r="B394" s="77"/>
      <c r="C394" s="77"/>
      <c r="D394" s="77"/>
      <c r="E394" s="77"/>
      <c r="F394" s="77"/>
      <c r="G394" s="77"/>
      <c r="H394" s="110"/>
      <c r="I394" s="78"/>
      <c r="J394" s="77"/>
      <c r="K394" s="79"/>
      <c r="L394" s="78"/>
    </row>
    <row r="395" spans="1:12" s="142" customFormat="1">
      <c r="A395" s="77" t="s">
        <v>139</v>
      </c>
      <c r="B395" s="77"/>
      <c r="C395" s="77"/>
      <c r="D395" s="77"/>
      <c r="E395" s="77"/>
      <c r="F395" s="77"/>
      <c r="G395" s="77"/>
      <c r="H395" s="110"/>
      <c r="I395" s="78"/>
      <c r="J395" s="77"/>
      <c r="K395" s="79"/>
      <c r="L395" s="78"/>
    </row>
    <row r="396" spans="1:12" s="142" customFormat="1">
      <c r="A396" s="66" t="s">
        <v>222</v>
      </c>
      <c r="B396" s="66"/>
      <c r="C396" s="66"/>
      <c r="D396" s="66"/>
      <c r="E396" s="66"/>
      <c r="F396" s="66"/>
      <c r="G396" s="66"/>
      <c r="H396" s="110"/>
      <c r="I396" s="68"/>
      <c r="J396" s="66"/>
      <c r="K396" s="72"/>
      <c r="L396" s="66"/>
    </row>
    <row r="397" spans="1:12" s="142" customFormat="1">
      <c r="A397" s="77" t="s">
        <v>355</v>
      </c>
      <c r="B397" s="66"/>
      <c r="C397" s="66"/>
      <c r="D397" s="66"/>
      <c r="E397" s="66"/>
      <c r="F397" s="66"/>
      <c r="G397" s="66"/>
      <c r="H397" s="110"/>
      <c r="I397" s="68"/>
      <c r="J397" s="66"/>
      <c r="K397" s="72"/>
      <c r="L397" s="66"/>
    </row>
    <row r="398" spans="1:12" s="142" customFormat="1">
      <c r="A398" s="77" t="s">
        <v>142</v>
      </c>
      <c r="B398" s="66"/>
      <c r="C398" s="66"/>
      <c r="D398" s="66"/>
      <c r="E398" s="66"/>
      <c r="F398" s="66"/>
      <c r="G398" s="66"/>
      <c r="H398" s="110"/>
      <c r="I398" s="68"/>
      <c r="J398" s="66"/>
      <c r="K398" s="72"/>
      <c r="L398" s="68"/>
    </row>
    <row r="399" spans="1:12" s="142" customFormat="1">
      <c r="A399" s="66" t="s">
        <v>1528</v>
      </c>
      <c r="B399" s="66"/>
      <c r="C399" s="66"/>
      <c r="D399" s="66"/>
      <c r="E399" s="66"/>
      <c r="F399" s="66"/>
      <c r="G399" s="66"/>
      <c r="H399" s="110"/>
      <c r="I399" s="68"/>
      <c r="J399" s="66"/>
      <c r="K399" s="72"/>
      <c r="L399" s="68"/>
    </row>
    <row r="400" spans="1:12" s="142" customFormat="1">
      <c r="A400" s="66" t="s">
        <v>486</v>
      </c>
      <c r="B400" s="66"/>
      <c r="C400" s="66"/>
      <c r="D400" s="66"/>
      <c r="E400" s="66"/>
      <c r="F400" s="66"/>
      <c r="G400" s="66"/>
      <c r="H400" s="110"/>
      <c r="I400" s="68"/>
      <c r="J400" s="66"/>
      <c r="K400" s="72"/>
      <c r="L400" s="68"/>
    </row>
    <row r="401" spans="1:12" s="142" customFormat="1">
      <c r="A401" s="66" t="s">
        <v>1225</v>
      </c>
      <c r="B401" s="99">
        <v>44718</v>
      </c>
      <c r="C401" s="66" t="s">
        <v>1845</v>
      </c>
      <c r="D401" s="99">
        <v>44874</v>
      </c>
      <c r="E401" s="66" t="s">
        <v>1897</v>
      </c>
      <c r="F401" s="66"/>
      <c r="G401" s="66"/>
      <c r="H401" s="110"/>
      <c r="I401" s="68"/>
      <c r="J401" s="66" t="s">
        <v>1919</v>
      </c>
      <c r="K401" s="72"/>
      <c r="L401" s="68"/>
    </row>
    <row r="402" spans="1:12" s="142" customFormat="1">
      <c r="A402" s="66" t="s">
        <v>780</v>
      </c>
      <c r="B402" s="99">
        <v>44874</v>
      </c>
      <c r="C402" s="66" t="s">
        <v>1845</v>
      </c>
      <c r="D402" s="99">
        <v>44874</v>
      </c>
      <c r="E402" s="66" t="s">
        <v>1897</v>
      </c>
      <c r="F402" s="66"/>
      <c r="G402" s="66"/>
      <c r="H402" s="110"/>
      <c r="I402" s="68"/>
      <c r="J402" s="66" t="s">
        <v>1919</v>
      </c>
      <c r="K402" s="72"/>
      <c r="L402" s="68"/>
    </row>
    <row r="403" spans="1:12" s="142" customFormat="1">
      <c r="A403" s="66" t="s">
        <v>269</v>
      </c>
      <c r="B403" s="66"/>
      <c r="C403" s="66"/>
      <c r="D403" s="66"/>
      <c r="E403" s="66"/>
      <c r="F403" s="66"/>
      <c r="G403" s="66"/>
      <c r="H403" s="110"/>
      <c r="I403" s="68"/>
      <c r="J403" s="77"/>
      <c r="K403" s="72"/>
      <c r="L403" s="68"/>
    </row>
    <row r="404" spans="1:12" s="142" customFormat="1">
      <c r="A404" s="66" t="s">
        <v>1977</v>
      </c>
      <c r="B404" s="66"/>
      <c r="C404" s="80"/>
      <c r="D404" s="66"/>
      <c r="E404" s="80"/>
      <c r="F404" s="80"/>
      <c r="G404" s="80"/>
      <c r="H404" s="112"/>
      <c r="I404" s="68"/>
      <c r="J404" s="66"/>
      <c r="K404" s="72"/>
      <c r="L404" s="68"/>
    </row>
    <row r="405" spans="1:12" s="142" customFormat="1">
      <c r="A405" s="66" t="s">
        <v>1134</v>
      </c>
      <c r="B405" s="99">
        <v>44945</v>
      </c>
      <c r="C405" s="80" t="s">
        <v>1846</v>
      </c>
      <c r="D405" s="66"/>
      <c r="E405" s="80"/>
      <c r="F405" s="80"/>
      <c r="G405" s="80"/>
      <c r="H405" s="112"/>
      <c r="I405" s="68"/>
      <c r="J405" s="66"/>
      <c r="K405" s="72"/>
      <c r="L405" s="68"/>
    </row>
    <row r="406" spans="1:12" s="142" customFormat="1">
      <c r="A406" s="66" t="s">
        <v>358</v>
      </c>
      <c r="B406" s="81"/>
      <c r="C406" s="81"/>
      <c r="D406" s="81"/>
      <c r="E406" s="81"/>
      <c r="F406" s="81"/>
      <c r="G406" s="81"/>
      <c r="H406" s="113"/>
      <c r="I406" s="68"/>
      <c r="J406" s="69"/>
      <c r="K406" s="81"/>
      <c r="L406" s="81"/>
    </row>
    <row r="407" spans="1:12" s="142" customFormat="1">
      <c r="A407" s="66" t="s">
        <v>844</v>
      </c>
      <c r="B407" s="66"/>
      <c r="C407" s="80"/>
      <c r="D407" s="66"/>
      <c r="E407" s="80"/>
      <c r="F407" s="80"/>
      <c r="G407" s="80"/>
      <c r="H407" s="112"/>
      <c r="I407" s="68"/>
      <c r="J407" s="66"/>
      <c r="K407" s="72"/>
      <c r="L407" s="68"/>
    </row>
    <row r="408" spans="1:12" s="142" customFormat="1">
      <c r="A408" s="66" t="s">
        <v>1091</v>
      </c>
      <c r="B408" s="66"/>
      <c r="C408" s="80"/>
      <c r="D408" s="66"/>
      <c r="E408" s="80"/>
      <c r="F408" s="80"/>
      <c r="G408" s="80"/>
      <c r="H408" s="112"/>
      <c r="I408" s="68"/>
      <c r="J408" s="66"/>
      <c r="K408" s="72"/>
      <c r="L408" s="68"/>
    </row>
    <row r="409" spans="1:12" s="142" customFormat="1">
      <c r="A409" s="66" t="s">
        <v>1978</v>
      </c>
      <c r="B409" s="66"/>
      <c r="C409" s="80"/>
      <c r="D409" s="66"/>
      <c r="E409" s="80"/>
      <c r="F409" s="80"/>
      <c r="G409" s="80"/>
      <c r="H409" s="112"/>
      <c r="I409" s="68"/>
      <c r="J409" s="66"/>
      <c r="K409" s="72"/>
      <c r="L409" s="68"/>
    </row>
    <row r="410" spans="1:12" s="142" customFormat="1">
      <c r="A410" s="66" t="s">
        <v>1531</v>
      </c>
      <c r="B410" s="66"/>
      <c r="C410" s="80"/>
      <c r="D410" s="66"/>
      <c r="E410" s="80"/>
      <c r="F410" s="80"/>
      <c r="G410" s="80"/>
      <c r="H410" s="112"/>
      <c r="I410" s="68"/>
      <c r="J410" s="66"/>
      <c r="K410" s="72"/>
      <c r="L410" s="68"/>
    </row>
    <row r="411" spans="1:12" s="142" customFormat="1">
      <c r="A411" s="66" t="s">
        <v>419</v>
      </c>
      <c r="B411" s="66"/>
      <c r="C411" s="80"/>
      <c r="D411" s="66"/>
      <c r="E411" s="80"/>
      <c r="F411" s="80"/>
      <c r="G411" s="80"/>
      <c r="H411" s="112"/>
      <c r="I411" s="68"/>
      <c r="J411" s="66"/>
      <c r="K411" s="72"/>
      <c r="L411" s="68"/>
    </row>
    <row r="412" spans="1:12" s="142" customFormat="1">
      <c r="A412" s="66" t="s">
        <v>1179</v>
      </c>
      <c r="B412" s="66"/>
      <c r="C412" s="80"/>
      <c r="D412" s="66"/>
      <c r="E412" s="80"/>
      <c r="F412" s="80"/>
      <c r="G412" s="80"/>
      <c r="H412" s="112"/>
      <c r="I412" s="68"/>
      <c r="J412" s="66"/>
      <c r="K412" s="72"/>
      <c r="L412" s="68"/>
    </row>
    <row r="413" spans="1:12" s="142" customFormat="1">
      <c r="A413" s="66" t="s">
        <v>877</v>
      </c>
      <c r="B413" s="99">
        <v>44895</v>
      </c>
      <c r="C413" s="80" t="s">
        <v>1845</v>
      </c>
      <c r="D413" s="99"/>
      <c r="E413" s="80" t="s">
        <v>1850</v>
      </c>
      <c r="F413" s="80"/>
      <c r="G413" s="80"/>
      <c r="H413" s="112"/>
      <c r="I413" s="68" t="s">
        <v>1979</v>
      </c>
      <c r="J413" s="72" t="s">
        <v>1980</v>
      </c>
      <c r="K413" s="72"/>
      <c r="L413" s="68"/>
    </row>
    <row r="414" spans="1:12" s="142" customFormat="1">
      <c r="A414" s="66" t="s">
        <v>558</v>
      </c>
      <c r="B414" s="66"/>
      <c r="C414" s="80"/>
      <c r="D414" s="66"/>
      <c r="E414" s="80"/>
      <c r="F414" s="80"/>
      <c r="G414" s="80"/>
      <c r="H414" s="112"/>
      <c r="I414" s="68"/>
      <c r="J414" s="66"/>
      <c r="K414" s="72"/>
      <c r="L414" s="68"/>
    </row>
    <row r="415" spans="1:12" s="142" customFormat="1">
      <c r="A415" s="66" t="s">
        <v>1538</v>
      </c>
      <c r="B415" s="66"/>
      <c r="C415" s="80"/>
      <c r="D415" s="66"/>
      <c r="E415" s="80"/>
      <c r="F415" s="80"/>
      <c r="G415" s="80"/>
      <c r="H415" s="112"/>
      <c r="I415" s="68"/>
      <c r="J415" s="66"/>
      <c r="K415" s="72"/>
      <c r="L415" s="68"/>
    </row>
    <row r="416" spans="1:12" s="142" customFormat="1">
      <c r="A416" s="66" t="s">
        <v>1981</v>
      </c>
      <c r="B416" s="66"/>
      <c r="C416" s="80"/>
      <c r="D416" s="66"/>
      <c r="E416" s="80"/>
      <c r="F416" s="80"/>
      <c r="G416" s="80"/>
      <c r="H416" s="112"/>
      <c r="I416" s="68"/>
      <c r="J416" s="66"/>
      <c r="K416" s="72"/>
      <c r="L416" s="68"/>
    </row>
    <row r="417" spans="1:12" s="142" customFormat="1">
      <c r="A417" s="66" t="s">
        <v>62</v>
      </c>
      <c r="B417" s="66"/>
      <c r="C417" s="80"/>
      <c r="D417" s="66"/>
      <c r="E417" s="80"/>
      <c r="F417" s="80"/>
      <c r="G417" s="80"/>
      <c r="H417" s="112"/>
      <c r="I417" s="68"/>
      <c r="J417" s="66"/>
      <c r="K417" s="72"/>
      <c r="L417" s="68"/>
    </row>
    <row r="418" spans="1:12" s="142" customFormat="1">
      <c r="A418" s="66" t="s">
        <v>145</v>
      </c>
      <c r="B418" s="66"/>
      <c r="C418" s="80"/>
      <c r="D418" s="66"/>
      <c r="E418" s="80"/>
      <c r="F418" s="80"/>
      <c r="G418" s="80"/>
      <c r="H418" s="112"/>
      <c r="I418" s="68"/>
      <c r="J418" s="66"/>
      <c r="K418" s="72"/>
      <c r="L418" s="68"/>
    </row>
    <row r="419" spans="1:12" s="142" customFormat="1">
      <c r="A419" s="66" t="s">
        <v>1094</v>
      </c>
      <c r="B419" s="66"/>
      <c r="C419" s="80"/>
      <c r="D419" s="66"/>
      <c r="E419" s="80"/>
      <c r="F419" s="80"/>
      <c r="G419" s="80"/>
      <c r="H419" s="112"/>
      <c r="I419" s="68"/>
      <c r="J419" s="66"/>
      <c r="K419" s="72"/>
      <c r="L419" s="68"/>
    </row>
    <row r="420" spans="1:12" s="142" customFormat="1">
      <c r="A420" s="66" t="s">
        <v>993</v>
      </c>
      <c r="B420" s="66"/>
      <c r="C420" s="80"/>
      <c r="D420" s="66"/>
      <c r="E420" s="80"/>
      <c r="F420" s="80"/>
      <c r="G420" s="80"/>
      <c r="H420" s="112"/>
      <c r="I420" s="68"/>
      <c r="J420" s="66"/>
      <c r="K420" s="72"/>
      <c r="L420" s="68"/>
    </row>
    <row r="421" spans="1:12" s="142" customFormat="1">
      <c r="A421" s="66" t="s">
        <v>65</v>
      </c>
      <c r="B421" s="66"/>
      <c r="C421" s="80"/>
      <c r="D421" s="66"/>
      <c r="E421" s="80"/>
      <c r="F421" s="80"/>
      <c r="G421" s="80"/>
      <c r="H421" s="112"/>
      <c r="I421" s="68"/>
      <c r="J421" s="66"/>
      <c r="K421" s="72"/>
      <c r="L421" s="68"/>
    </row>
    <row r="422" spans="1:12" s="142" customFormat="1">
      <c r="A422" s="66" t="s">
        <v>489</v>
      </c>
      <c r="B422" s="66"/>
      <c r="C422" s="80"/>
      <c r="D422" s="66"/>
      <c r="E422" s="80"/>
      <c r="F422" s="80"/>
      <c r="G422" s="80"/>
      <c r="H422" s="112"/>
      <c r="I422" s="68"/>
      <c r="J422" s="66"/>
      <c r="K422" s="72"/>
      <c r="L422" s="68"/>
    </row>
    <row r="423" spans="1:12" s="142" customFormat="1">
      <c r="A423" s="66" t="s">
        <v>272</v>
      </c>
      <c r="B423" s="66"/>
      <c r="C423" s="80"/>
      <c r="D423" s="66"/>
      <c r="E423" s="80"/>
      <c r="F423" s="80"/>
      <c r="G423" s="80"/>
      <c r="H423" s="112"/>
      <c r="I423" s="68"/>
      <c r="J423" s="69"/>
      <c r="K423" s="72"/>
      <c r="L423" s="68"/>
    </row>
    <row r="424" spans="1:12" s="142" customFormat="1">
      <c r="A424" s="66" t="s">
        <v>1567</v>
      </c>
      <c r="B424" s="83"/>
      <c r="C424" s="82"/>
      <c r="D424" s="83"/>
      <c r="E424" s="82"/>
      <c r="F424" s="82"/>
      <c r="G424" s="82"/>
      <c r="H424" s="114"/>
      <c r="I424" s="68"/>
      <c r="J424" s="69"/>
      <c r="K424" s="84"/>
      <c r="L424" s="82"/>
    </row>
    <row r="425" spans="1:12" s="142" customFormat="1">
      <c r="A425" s="66" t="s">
        <v>1982</v>
      </c>
      <c r="B425" s="66"/>
      <c r="C425" s="80"/>
      <c r="D425" s="66"/>
      <c r="E425" s="80"/>
      <c r="F425" s="80"/>
      <c r="G425" s="80"/>
      <c r="H425" s="112"/>
      <c r="I425" s="68"/>
      <c r="J425" s="66"/>
      <c r="K425" s="72"/>
      <c r="L425" s="68"/>
    </row>
    <row r="426" spans="1:12" s="142" customFormat="1">
      <c r="A426" s="66" t="s">
        <v>148</v>
      </c>
      <c r="B426" s="66"/>
      <c r="C426" s="80"/>
      <c r="D426" s="66"/>
      <c r="E426" s="80"/>
      <c r="F426" s="80"/>
      <c r="G426" s="80"/>
      <c r="H426" s="112"/>
      <c r="I426" s="68"/>
      <c r="J426" s="66"/>
      <c r="K426" s="72"/>
      <c r="L426" s="68"/>
    </row>
    <row r="427" spans="1:12" s="142" customFormat="1">
      <c r="A427" s="66" t="s">
        <v>150</v>
      </c>
      <c r="B427" s="66"/>
      <c r="C427" s="80"/>
      <c r="D427" s="66"/>
      <c r="E427" s="80"/>
      <c r="F427" s="80"/>
      <c r="G427" s="80"/>
      <c r="H427" s="112"/>
      <c r="I427" s="68"/>
      <c r="J427" s="66"/>
      <c r="K427" s="72"/>
      <c r="L427" s="68"/>
    </row>
    <row r="428" spans="1:12" s="142" customFormat="1">
      <c r="A428" s="66" t="s">
        <v>1983</v>
      </c>
      <c r="B428" s="66"/>
      <c r="C428" s="80"/>
      <c r="D428" s="66"/>
      <c r="E428" s="80"/>
      <c r="F428" s="80"/>
      <c r="G428" s="80"/>
      <c r="H428" s="112"/>
      <c r="I428" s="68"/>
      <c r="J428" s="66"/>
      <c r="K428" s="72"/>
      <c r="L428" s="68"/>
    </row>
    <row r="429" spans="1:12" s="142" customFormat="1">
      <c r="A429" s="66" t="s">
        <v>560</v>
      </c>
      <c r="B429" s="66"/>
      <c r="C429" s="80"/>
      <c r="D429" s="66"/>
      <c r="E429" s="80"/>
      <c r="F429" s="80"/>
      <c r="G429" s="80"/>
      <c r="H429" s="112"/>
      <c r="I429" s="68"/>
      <c r="J429" s="66"/>
      <c r="K429" s="72"/>
      <c r="L429" s="68"/>
    </row>
    <row r="430" spans="1:12" s="142" customFormat="1">
      <c r="A430" s="66" t="s">
        <v>603</v>
      </c>
      <c r="B430" s="66"/>
      <c r="C430" s="80"/>
      <c r="D430" s="66"/>
      <c r="E430" s="80"/>
      <c r="F430" s="80"/>
      <c r="G430" s="80"/>
      <c r="H430" s="112"/>
      <c r="I430" s="68"/>
      <c r="J430" s="66"/>
      <c r="K430" s="72"/>
      <c r="L430" s="68"/>
    </row>
    <row r="431" spans="1:12" s="142" customFormat="1">
      <c r="A431" s="66" t="s">
        <v>1984</v>
      </c>
      <c r="B431" s="66"/>
      <c r="C431" s="80"/>
      <c r="D431" s="66"/>
      <c r="E431" s="80"/>
      <c r="F431" s="80"/>
      <c r="G431" s="80"/>
      <c r="H431" s="112"/>
      <c r="I431" s="68"/>
      <c r="J431" s="66"/>
      <c r="K431" s="72"/>
      <c r="L431" s="68"/>
    </row>
    <row r="432" spans="1:12" s="142" customFormat="1">
      <c r="A432" s="66" t="s">
        <v>1562</v>
      </c>
      <c r="B432" s="66"/>
      <c r="C432" s="80"/>
      <c r="D432" s="66"/>
      <c r="E432" s="80"/>
      <c r="F432" s="80"/>
      <c r="G432" s="80"/>
      <c r="H432" s="112"/>
      <c r="I432" s="68"/>
      <c r="J432" s="66"/>
      <c r="K432" s="72"/>
      <c r="L432" s="68"/>
    </row>
    <row r="433" spans="1:12" s="142" customFormat="1">
      <c r="A433" s="66" t="s">
        <v>1985</v>
      </c>
      <c r="B433" s="66"/>
      <c r="C433" s="80"/>
      <c r="D433" s="66"/>
      <c r="E433" s="80"/>
      <c r="F433" s="80"/>
      <c r="G433" s="80"/>
      <c r="H433" s="112"/>
      <c r="I433" s="68"/>
      <c r="J433" s="66"/>
      <c r="K433" s="72"/>
      <c r="L433" s="68"/>
    </row>
    <row r="434" spans="1:12" s="142" customFormat="1">
      <c r="A434" s="66" t="s">
        <v>152</v>
      </c>
      <c r="B434" s="66"/>
      <c r="C434" s="80"/>
      <c r="D434" s="66"/>
      <c r="E434" s="80"/>
      <c r="F434" s="80"/>
      <c r="G434" s="80"/>
      <c r="H434" s="112"/>
      <c r="I434" s="68"/>
      <c r="J434" s="66"/>
      <c r="K434" s="72"/>
      <c r="L434" s="68"/>
    </row>
    <row r="435" spans="1:12" s="142" customFormat="1">
      <c r="A435" s="66" t="s">
        <v>1265</v>
      </c>
      <c r="B435" s="66"/>
      <c r="C435" s="80"/>
      <c r="D435" s="66"/>
      <c r="E435" s="80"/>
      <c r="F435" s="80"/>
      <c r="G435" s="80"/>
      <c r="H435" s="112"/>
      <c r="I435" s="68"/>
      <c r="J435" s="66"/>
      <c r="K435" s="72"/>
      <c r="L435" s="68"/>
    </row>
    <row r="436" spans="1:12" s="142" customFormat="1">
      <c r="A436" s="66" t="s">
        <v>275</v>
      </c>
      <c r="B436" s="66"/>
      <c r="C436" s="80"/>
      <c r="D436" s="66"/>
      <c r="E436" s="80"/>
      <c r="F436" s="80"/>
      <c r="G436" s="80"/>
      <c r="H436" s="112"/>
      <c r="I436" s="68"/>
      <c r="J436" s="66"/>
      <c r="K436" s="72"/>
      <c r="L436" s="68"/>
    </row>
    <row r="437" spans="1:12" s="142" customFormat="1">
      <c r="A437" s="66" t="s">
        <v>1986</v>
      </c>
      <c r="B437" s="66"/>
      <c r="C437" s="80"/>
      <c r="D437" s="66"/>
      <c r="E437" s="80"/>
      <c r="F437" s="80"/>
      <c r="G437" s="80"/>
      <c r="H437" s="112"/>
      <c r="I437" s="68"/>
      <c r="J437" s="77"/>
      <c r="K437" s="72"/>
      <c r="L437" s="68"/>
    </row>
    <row r="438" spans="1:12" s="142" customFormat="1">
      <c r="A438" s="66" t="s">
        <v>278</v>
      </c>
      <c r="B438" s="66"/>
      <c r="C438" s="80"/>
      <c r="D438" s="66"/>
      <c r="E438" s="80"/>
      <c r="F438" s="80"/>
      <c r="G438" s="80"/>
      <c r="H438" s="112"/>
      <c r="I438" s="68"/>
      <c r="J438" s="66"/>
      <c r="K438" s="72"/>
      <c r="L438" s="68"/>
    </row>
    <row r="439" spans="1:12" s="142" customFormat="1">
      <c r="A439" s="66" t="s">
        <v>783</v>
      </c>
      <c r="B439" s="66"/>
      <c r="C439" s="80"/>
      <c r="D439" s="66"/>
      <c r="E439" s="80"/>
      <c r="F439" s="80"/>
      <c r="G439" s="80"/>
      <c r="H439" s="112"/>
      <c r="I439" s="68"/>
      <c r="J439" s="66"/>
      <c r="K439" s="72"/>
      <c r="L439" s="68"/>
    </row>
    <row r="440" spans="1:12" s="142" customFormat="1">
      <c r="A440" s="66" t="s">
        <v>1569</v>
      </c>
      <c r="B440" s="66"/>
      <c r="C440" s="80"/>
      <c r="D440" s="66"/>
      <c r="E440" s="80"/>
      <c r="F440" s="80"/>
      <c r="G440" s="80"/>
      <c r="H440" s="112"/>
      <c r="I440" s="68"/>
      <c r="J440" s="66"/>
      <c r="K440" s="72"/>
      <c r="L440" s="68"/>
    </row>
    <row r="441" spans="1:12" s="142" customFormat="1">
      <c r="A441" s="66" t="s">
        <v>225</v>
      </c>
      <c r="B441" s="66"/>
      <c r="C441" s="80"/>
      <c r="D441" s="66"/>
      <c r="E441" s="80"/>
      <c r="F441" s="80"/>
      <c r="G441" s="80"/>
      <c r="H441" s="112"/>
      <c r="I441" s="68"/>
      <c r="J441" s="66"/>
      <c r="K441" s="72"/>
      <c r="L441" s="68"/>
    </row>
    <row r="442" spans="1:12" s="142" customFormat="1">
      <c r="A442" s="66" t="s">
        <v>1987</v>
      </c>
      <c r="B442" s="66"/>
      <c r="C442" s="80"/>
      <c r="D442" s="66"/>
      <c r="E442" s="80"/>
      <c r="F442" s="80"/>
      <c r="G442" s="80"/>
      <c r="H442" s="112"/>
      <c r="I442" s="68"/>
      <c r="J442" s="66"/>
      <c r="K442" s="81"/>
      <c r="L442" s="81"/>
    </row>
    <row r="443" spans="1:12" s="142" customFormat="1">
      <c r="A443" s="66" t="s">
        <v>627</v>
      </c>
      <c r="B443" s="66"/>
      <c r="C443" s="80"/>
      <c r="D443" s="66"/>
      <c r="E443" s="80"/>
      <c r="F443" s="80"/>
      <c r="G443" s="80"/>
      <c r="H443" s="112"/>
      <c r="I443" s="68"/>
      <c r="J443" s="66"/>
      <c r="K443" s="72"/>
      <c r="L443" s="68"/>
    </row>
    <row r="444" spans="1:12" s="142" customFormat="1">
      <c r="A444" s="66" t="s">
        <v>361</v>
      </c>
      <c r="B444" s="66"/>
      <c r="C444" s="80"/>
      <c r="D444" s="66"/>
      <c r="E444" s="80"/>
      <c r="F444" s="80"/>
      <c r="G444" s="80"/>
      <c r="H444" s="112"/>
      <c r="I444" s="68"/>
      <c r="J444" s="66"/>
      <c r="K444" s="72"/>
      <c r="L444" s="68"/>
    </row>
    <row r="445" spans="1:12" s="142" customFormat="1">
      <c r="A445" s="66" t="s">
        <v>880</v>
      </c>
      <c r="B445" s="66"/>
      <c r="C445" s="80"/>
      <c r="D445" s="66"/>
      <c r="E445" s="80"/>
      <c r="F445" s="80"/>
      <c r="G445" s="80"/>
      <c r="H445" s="112"/>
      <c r="I445" s="68"/>
      <c r="J445" s="66"/>
      <c r="K445" s="72"/>
      <c r="L445" s="68"/>
    </row>
    <row r="446" spans="1:12" s="142" customFormat="1">
      <c r="A446" s="66" t="s">
        <v>1988</v>
      </c>
      <c r="B446" s="66"/>
      <c r="C446" s="80"/>
      <c r="D446" s="66"/>
      <c r="E446" s="80"/>
      <c r="F446" s="80"/>
      <c r="G446" s="80"/>
      <c r="H446" s="112"/>
      <c r="I446" s="68"/>
      <c r="J446" s="66"/>
      <c r="K446" s="72"/>
      <c r="L446" s="68"/>
    </row>
    <row r="447" spans="1:12" s="142" customFormat="1">
      <c r="A447" s="66" t="s">
        <v>1989</v>
      </c>
      <c r="B447" s="66"/>
      <c r="C447" s="80"/>
      <c r="D447" s="66"/>
      <c r="E447" s="80"/>
      <c r="F447" s="80"/>
      <c r="G447" s="80"/>
      <c r="H447" s="112"/>
      <c r="I447" s="68"/>
      <c r="J447" s="66"/>
      <c r="K447" s="72"/>
      <c r="L447" s="68"/>
    </row>
    <row r="448" spans="1:12" s="142" customFormat="1">
      <c r="A448" s="66" t="s">
        <v>1032</v>
      </c>
      <c r="B448" s="66"/>
      <c r="C448" s="80"/>
      <c r="D448" s="66"/>
      <c r="E448" s="80"/>
      <c r="F448" s="80"/>
      <c r="G448" s="80"/>
      <c r="H448" s="112"/>
      <c r="I448" s="68"/>
      <c r="J448" s="66"/>
      <c r="K448" s="72"/>
      <c r="L448" s="68"/>
    </row>
    <row r="449" spans="1:12" s="142" customFormat="1">
      <c r="A449" s="66" t="s">
        <v>1990</v>
      </c>
      <c r="B449" s="66"/>
      <c r="C449" s="80"/>
      <c r="D449" s="66"/>
      <c r="E449" s="80"/>
      <c r="F449" s="80"/>
      <c r="G449" s="80"/>
      <c r="H449" s="112"/>
      <c r="I449" s="68"/>
      <c r="J449" s="66"/>
      <c r="K449" s="72"/>
      <c r="L449" s="68"/>
    </row>
    <row r="450" spans="1:12" s="142" customFormat="1">
      <c r="A450" s="66" t="s">
        <v>364</v>
      </c>
      <c r="B450" s="66"/>
      <c r="C450" s="80"/>
      <c r="D450" s="66"/>
      <c r="E450" s="80"/>
      <c r="F450" s="80"/>
      <c r="G450" s="80"/>
      <c r="H450" s="112"/>
      <c r="I450" s="68"/>
      <c r="J450" s="66"/>
      <c r="K450" s="72"/>
      <c r="L450" s="68"/>
    </row>
    <row r="451" spans="1:12" s="142" customFormat="1">
      <c r="A451" s="66" t="s">
        <v>1991</v>
      </c>
      <c r="B451" s="66"/>
      <c r="C451" s="80"/>
      <c r="D451" s="66"/>
      <c r="E451" s="80"/>
      <c r="F451" s="80"/>
      <c r="G451" s="80"/>
      <c r="H451" s="112"/>
      <c r="I451" s="68"/>
      <c r="J451" s="66"/>
      <c r="K451" s="72"/>
      <c r="L451" s="68"/>
    </row>
    <row r="452" spans="1:12" s="142" customFormat="1">
      <c r="A452" s="66" t="s">
        <v>366</v>
      </c>
      <c r="B452" s="99">
        <v>44930</v>
      </c>
      <c r="C452" s="80"/>
      <c r="D452" s="66"/>
      <c r="E452" s="80"/>
      <c r="F452" s="80"/>
      <c r="G452" s="80"/>
      <c r="H452" s="112">
        <v>339438331</v>
      </c>
      <c r="I452" s="68"/>
      <c r="J452" s="66" t="s">
        <v>1992</v>
      </c>
      <c r="K452" s="72"/>
      <c r="L452" s="68"/>
    </row>
    <row r="453" spans="1:12" s="142" customFormat="1">
      <c r="A453" s="66" t="s">
        <v>1993</v>
      </c>
      <c r="B453" s="99">
        <v>44820</v>
      </c>
      <c r="C453" s="80" t="s">
        <v>1845</v>
      </c>
      <c r="D453" s="99">
        <v>44849</v>
      </c>
      <c r="E453" s="80" t="s">
        <v>1850</v>
      </c>
      <c r="F453" s="80"/>
      <c r="G453" s="80"/>
      <c r="H453" s="112"/>
      <c r="I453" s="68"/>
      <c r="J453" s="72" t="s">
        <v>1994</v>
      </c>
      <c r="K453" s="72"/>
      <c r="L453" s="68"/>
    </row>
    <row r="454" spans="1:12" s="142" customFormat="1">
      <c r="A454" s="66" t="s">
        <v>563</v>
      </c>
      <c r="B454" s="66"/>
      <c r="C454" s="80"/>
      <c r="D454" s="66"/>
      <c r="E454" s="80"/>
      <c r="F454" s="80"/>
      <c r="G454" s="80"/>
      <c r="H454" s="112"/>
      <c r="I454" s="68"/>
      <c r="J454" s="66"/>
      <c r="K454" s="72"/>
      <c r="L454" s="68"/>
    </row>
    <row r="455" spans="1:12" s="142" customFormat="1">
      <c r="A455" s="66" t="s">
        <v>1995</v>
      </c>
      <c r="B455" s="66"/>
      <c r="C455" s="80"/>
      <c r="D455" s="66"/>
      <c r="E455" s="80"/>
      <c r="F455" s="80"/>
      <c r="G455" s="80"/>
      <c r="H455" s="112"/>
      <c r="I455" s="68"/>
      <c r="J455" s="66"/>
      <c r="K455" s="72"/>
      <c r="L455" s="68"/>
    </row>
    <row r="456" spans="1:12" s="142" customFormat="1">
      <c r="A456" s="66" t="s">
        <v>1996</v>
      </c>
      <c r="B456" s="66"/>
      <c r="C456" s="80"/>
      <c r="D456" s="66"/>
      <c r="E456" s="80"/>
      <c r="F456" s="80"/>
      <c r="G456" s="80"/>
      <c r="H456" s="112"/>
      <c r="I456" s="68"/>
      <c r="J456" s="66"/>
      <c r="K456" s="72"/>
      <c r="L456" s="68"/>
    </row>
    <row r="457" spans="1:12" s="142" customFormat="1">
      <c r="A457" s="66" t="s">
        <v>280</v>
      </c>
      <c r="B457" s="66"/>
      <c r="C457" s="80"/>
      <c r="D457" s="66"/>
      <c r="E457" s="80"/>
      <c r="F457" s="80"/>
      <c r="G457" s="80"/>
      <c r="H457" s="112"/>
      <c r="I457" s="68"/>
      <c r="J457" s="66"/>
      <c r="K457" s="72"/>
      <c r="L457" s="68"/>
    </row>
    <row r="458" spans="1:12" s="142" customFormat="1">
      <c r="A458" s="66" t="s">
        <v>1059</v>
      </c>
      <c r="B458" s="66"/>
      <c r="C458" s="80"/>
      <c r="D458" s="66"/>
      <c r="E458" s="80"/>
      <c r="F458" s="80"/>
      <c r="G458" s="80"/>
      <c r="H458" s="112"/>
      <c r="I458" s="68"/>
      <c r="J458" s="66"/>
      <c r="K458" s="72"/>
      <c r="L458" s="68"/>
    </row>
    <row r="459" spans="1:12" s="142" customFormat="1">
      <c r="A459" s="66" t="s">
        <v>665</v>
      </c>
      <c r="B459" s="66"/>
      <c r="C459" s="80"/>
      <c r="D459" s="66"/>
      <c r="E459" s="80"/>
      <c r="F459" s="80"/>
      <c r="G459" s="80"/>
      <c r="H459" s="112"/>
      <c r="I459" s="68"/>
      <c r="J459" s="66"/>
      <c r="K459" s="72"/>
      <c r="L459" s="68"/>
    </row>
    <row r="460" spans="1:12" s="142" customFormat="1">
      <c r="A460" s="66" t="s">
        <v>1997</v>
      </c>
      <c r="B460" s="66"/>
      <c r="C460" s="80"/>
      <c r="D460" s="66"/>
      <c r="E460" s="80"/>
      <c r="F460" s="80"/>
      <c r="G460" s="80"/>
      <c r="H460" s="112"/>
      <c r="I460" s="68"/>
      <c r="J460" s="66"/>
      <c r="K460" s="72"/>
      <c r="L460" s="68"/>
    </row>
    <row r="461" spans="1:12" s="142" customFormat="1">
      <c r="A461" s="66" t="s">
        <v>1442</v>
      </c>
      <c r="B461" s="66"/>
      <c r="C461" s="80"/>
      <c r="D461" s="66"/>
      <c r="E461" s="80"/>
      <c r="F461" s="80"/>
      <c r="G461" s="80"/>
      <c r="H461" s="112"/>
      <c r="I461" s="68"/>
      <c r="J461" s="66"/>
      <c r="K461" s="72"/>
      <c r="L461" s="68"/>
    </row>
    <row r="462" spans="1:12" s="142" customFormat="1">
      <c r="A462" s="66" t="s">
        <v>68</v>
      </c>
      <c r="B462" s="66"/>
      <c r="C462" s="80"/>
      <c r="D462" s="66"/>
      <c r="E462" s="80"/>
      <c r="F462" s="80"/>
      <c r="G462" s="80"/>
      <c r="H462" s="112"/>
      <c r="I462" s="68"/>
      <c r="J462" s="66"/>
      <c r="K462" s="72"/>
      <c r="L462" s="68"/>
    </row>
    <row r="463" spans="1:12" s="142" customFormat="1">
      <c r="A463" s="66" t="s">
        <v>1096</v>
      </c>
      <c r="B463" s="66"/>
      <c r="C463" s="80"/>
      <c r="D463" s="66"/>
      <c r="E463" s="80"/>
      <c r="F463" s="80"/>
      <c r="G463" s="80"/>
      <c r="H463" s="112"/>
      <c r="I463" s="68"/>
      <c r="J463" s="66"/>
      <c r="K463" s="72"/>
      <c r="L463" s="68"/>
    </row>
    <row r="464" spans="1:12" s="142" customFormat="1">
      <c r="A464" s="66" t="s">
        <v>1061</v>
      </c>
      <c r="B464" s="66"/>
      <c r="C464" s="80"/>
      <c r="D464" s="66"/>
      <c r="E464" s="80"/>
      <c r="F464" s="80"/>
      <c r="G464" s="80"/>
      <c r="H464" s="112"/>
      <c r="I464" s="68"/>
      <c r="J464" s="66"/>
      <c r="K464" s="72"/>
      <c r="L464" s="68"/>
    </row>
    <row r="465" spans="1:12" s="142" customFormat="1">
      <c r="A465" s="66" t="s">
        <v>1998</v>
      </c>
      <c r="B465" s="66"/>
      <c r="C465" s="80"/>
      <c r="D465" s="66"/>
      <c r="E465" s="80"/>
      <c r="F465" s="80"/>
      <c r="G465" s="80"/>
      <c r="H465" s="112"/>
      <c r="I465" s="68"/>
      <c r="J465" s="66"/>
      <c r="K465" s="72"/>
      <c r="L465" s="68"/>
    </row>
    <row r="466" spans="1:12" s="142" customFormat="1">
      <c r="A466" s="66" t="s">
        <v>1999</v>
      </c>
      <c r="B466" s="66"/>
      <c r="C466" s="80"/>
      <c r="D466" s="66"/>
      <c r="E466" s="80"/>
      <c r="F466" s="80"/>
      <c r="G466" s="80"/>
      <c r="H466" s="112"/>
      <c r="I466" s="68"/>
      <c r="J466" s="66"/>
      <c r="K466" s="72"/>
      <c r="L466" s="68"/>
    </row>
    <row r="467" spans="1:12" s="142" customFormat="1">
      <c r="A467" s="66" t="s">
        <v>1136</v>
      </c>
      <c r="B467" s="66"/>
      <c r="C467" s="80"/>
      <c r="D467" s="66"/>
      <c r="E467" s="80"/>
      <c r="F467" s="80"/>
      <c r="G467" s="80"/>
      <c r="H467" s="112"/>
      <c r="I467" s="68"/>
      <c r="J467" s="66"/>
      <c r="K467" s="72"/>
      <c r="L467" s="68"/>
    </row>
    <row r="468" spans="1:12" s="142" customFormat="1">
      <c r="A468" s="66" t="s">
        <v>1267</v>
      </c>
      <c r="B468" s="66"/>
      <c r="C468" s="80"/>
      <c r="D468" s="66"/>
      <c r="E468" s="80"/>
      <c r="F468" s="80"/>
      <c r="G468" s="80"/>
      <c r="H468" s="112"/>
      <c r="I468" s="68"/>
      <c r="J468" s="66"/>
      <c r="K468" s="72"/>
      <c r="L468" s="68"/>
    </row>
    <row r="469" spans="1:12" s="142" customFormat="1">
      <c r="A469" s="66" t="s">
        <v>2000</v>
      </c>
      <c r="B469" s="66"/>
      <c r="C469" s="80"/>
      <c r="D469" s="66"/>
      <c r="E469" s="80"/>
      <c r="F469" s="80"/>
      <c r="G469" s="80"/>
      <c r="H469" s="112"/>
      <c r="I469" s="68"/>
      <c r="J469" s="66"/>
      <c r="K469" s="72"/>
      <c r="L469" s="68"/>
    </row>
    <row r="470" spans="1:12" s="142" customFormat="1">
      <c r="A470" s="66" t="s">
        <v>2001</v>
      </c>
      <c r="B470" s="66"/>
      <c r="C470" s="80"/>
      <c r="D470" s="66"/>
      <c r="E470" s="80"/>
      <c r="F470" s="80"/>
      <c r="G470" s="80"/>
      <c r="H470" s="112"/>
      <c r="I470" s="68"/>
      <c r="J470" s="66"/>
      <c r="K470" s="72"/>
      <c r="L470" s="68"/>
    </row>
    <row r="471" spans="1:12" s="142" customFormat="1">
      <c r="A471" s="66" t="s">
        <v>2002</v>
      </c>
      <c r="B471" s="66"/>
      <c r="C471" s="80"/>
      <c r="D471" s="66"/>
      <c r="E471" s="80"/>
      <c r="F471" s="80"/>
      <c r="G471" s="80"/>
      <c r="H471" s="112"/>
      <c r="I471" s="68"/>
      <c r="J471" s="66"/>
      <c r="K471" s="72"/>
      <c r="L471" s="68"/>
    </row>
    <row r="472" spans="1:12" s="142" customFormat="1">
      <c r="A472" s="66" t="s">
        <v>368</v>
      </c>
      <c r="B472" s="66"/>
      <c r="C472" s="80"/>
      <c r="D472" s="66"/>
      <c r="E472" s="80"/>
      <c r="F472" s="80"/>
      <c r="G472" s="80"/>
      <c r="H472" s="112"/>
      <c r="I472" s="68"/>
      <c r="J472" s="66"/>
      <c r="K472" s="72"/>
      <c r="L472" s="68"/>
    </row>
    <row r="473" spans="1:12" s="142" customFormat="1">
      <c r="A473" s="66" t="s">
        <v>882</v>
      </c>
      <c r="B473" s="66"/>
      <c r="C473" s="80"/>
      <c r="D473" s="66"/>
      <c r="E473" s="80"/>
      <c r="F473" s="80"/>
      <c r="G473" s="80"/>
      <c r="H473" s="112"/>
      <c r="I473" s="68"/>
      <c r="J473" s="66"/>
      <c r="K473" s="72"/>
      <c r="L473" s="68"/>
    </row>
    <row r="474" spans="1:12" s="142" customFormat="1">
      <c r="A474" s="66" t="s">
        <v>2003</v>
      </c>
      <c r="B474" s="66"/>
      <c r="C474" s="80"/>
      <c r="D474" s="66"/>
      <c r="E474" s="80"/>
      <c r="F474" s="80"/>
      <c r="G474" s="80"/>
      <c r="H474" s="112"/>
      <c r="I474" s="68"/>
      <c r="J474" s="66"/>
      <c r="K474" s="72"/>
      <c r="L474" s="68"/>
    </row>
    <row r="475" spans="1:12" s="142" customFormat="1">
      <c r="A475" s="66" t="s">
        <v>70</v>
      </c>
      <c r="B475" s="66"/>
      <c r="C475" s="80"/>
      <c r="D475" s="66"/>
      <c r="E475" s="80"/>
      <c r="F475" s="80"/>
      <c r="G475" s="80"/>
      <c r="H475" s="112"/>
      <c r="I475" s="68"/>
      <c r="J475" s="66"/>
      <c r="K475" s="72"/>
      <c r="L475" s="68"/>
    </row>
    <row r="476" spans="1:12" s="142" customFormat="1">
      <c r="A476" s="66" t="s">
        <v>2004</v>
      </c>
      <c r="B476" s="66"/>
      <c r="C476" s="80"/>
      <c r="D476" s="66"/>
      <c r="E476" s="80"/>
      <c r="F476" s="80"/>
      <c r="G476" s="80"/>
      <c r="H476" s="112"/>
      <c r="I476" s="68"/>
      <c r="J476" s="66"/>
      <c r="K476" s="72"/>
      <c r="L476" s="68"/>
    </row>
    <row r="477" spans="1:12" s="142" customFormat="1">
      <c r="A477" s="66" t="s">
        <v>2005</v>
      </c>
      <c r="B477" s="66"/>
      <c r="C477" s="80"/>
      <c r="D477" s="66"/>
      <c r="E477" s="80"/>
      <c r="F477" s="80"/>
      <c r="G477" s="80"/>
      <c r="H477" s="112"/>
      <c r="I477" s="68"/>
      <c r="J477" s="66"/>
      <c r="K477" s="72"/>
      <c r="L477" s="68"/>
    </row>
    <row r="478" spans="1:12" s="142" customFormat="1">
      <c r="A478" s="66" t="s">
        <v>2006</v>
      </c>
      <c r="B478" s="66"/>
      <c r="C478" s="80"/>
      <c r="D478" s="66"/>
      <c r="E478" s="80"/>
      <c r="F478" s="80"/>
      <c r="G478" s="80"/>
      <c r="H478" s="112">
        <v>474025667</v>
      </c>
      <c r="I478" s="68"/>
      <c r="J478" s="66" t="s">
        <v>1906</v>
      </c>
      <c r="K478" s="72"/>
      <c r="L478" s="68"/>
    </row>
    <row r="479" spans="1:12" s="142" customFormat="1">
      <c r="A479" s="66" t="s">
        <v>227</v>
      </c>
      <c r="B479" s="66"/>
      <c r="C479" s="80"/>
      <c r="D479" s="66"/>
      <c r="E479" s="80"/>
      <c r="F479" s="80"/>
      <c r="G479" s="80"/>
      <c r="H479" s="112">
        <v>349486837</v>
      </c>
      <c r="I479" s="68"/>
      <c r="J479" s="66" t="s">
        <v>1906</v>
      </c>
      <c r="K479" s="72"/>
      <c r="L479" s="68"/>
    </row>
    <row r="480" spans="1:12" s="142" customFormat="1">
      <c r="A480" s="66" t="s">
        <v>2007</v>
      </c>
      <c r="B480" s="66"/>
      <c r="C480" s="80"/>
      <c r="D480" s="66"/>
      <c r="E480" s="80"/>
      <c r="F480" s="80"/>
      <c r="G480" s="80"/>
      <c r="H480" s="112"/>
      <c r="I480" s="68"/>
      <c r="J480" s="66"/>
      <c r="K480" s="72"/>
      <c r="L480" s="68"/>
    </row>
    <row r="481" spans="1:12" s="142" customFormat="1">
      <c r="A481" s="66" t="s">
        <v>2008</v>
      </c>
      <c r="B481" s="66"/>
      <c r="C481" s="80"/>
      <c r="D481" s="66"/>
      <c r="E481" s="80"/>
      <c r="F481" s="80"/>
      <c r="G481" s="80"/>
      <c r="H481" s="112"/>
      <c r="I481" s="68"/>
      <c r="J481" s="66"/>
      <c r="K481" s="72"/>
      <c r="L481" s="68"/>
    </row>
    <row r="482" spans="1:12" s="142" customFormat="1">
      <c r="A482" s="66" t="s">
        <v>2009</v>
      </c>
      <c r="B482" s="66"/>
      <c r="C482" s="80"/>
      <c r="D482" s="66"/>
      <c r="E482" s="80"/>
      <c r="F482" s="80"/>
      <c r="G482" s="80"/>
      <c r="H482" s="112"/>
      <c r="I482" s="68"/>
      <c r="J482" s="66"/>
      <c r="K482" s="72"/>
      <c r="L482" s="68"/>
    </row>
    <row r="483" spans="1:12" s="142" customFormat="1">
      <c r="A483" s="66" t="s">
        <v>2010</v>
      </c>
      <c r="B483" s="66"/>
      <c r="C483" s="80"/>
      <c r="D483" s="66"/>
      <c r="E483" s="80"/>
      <c r="F483" s="80"/>
      <c r="G483" s="80"/>
      <c r="H483" s="112"/>
      <c r="I483" s="68"/>
      <c r="J483" s="66"/>
      <c r="K483" s="72"/>
      <c r="L483" s="68"/>
    </row>
    <row r="484" spans="1:12" s="142" customFormat="1">
      <c r="A484" s="66" t="s">
        <v>2011</v>
      </c>
      <c r="B484" s="66"/>
      <c r="C484" s="80"/>
      <c r="D484" s="66"/>
      <c r="E484" s="80"/>
      <c r="F484" s="80"/>
      <c r="G484" s="80"/>
      <c r="H484" s="112"/>
      <c r="I484" s="68"/>
      <c r="J484" s="66"/>
      <c r="K484" s="72"/>
      <c r="L484" s="68"/>
    </row>
    <row r="485" spans="1:12" s="142" customFormat="1">
      <c r="A485" s="66" t="s">
        <v>1139</v>
      </c>
      <c r="B485" s="66"/>
      <c r="C485" s="80"/>
      <c r="D485" s="66"/>
      <c r="E485" s="80"/>
      <c r="F485" s="80"/>
      <c r="G485" s="80"/>
      <c r="H485" s="112"/>
      <c r="I485" s="68"/>
      <c r="J485" s="66"/>
      <c r="K485" s="72"/>
      <c r="L485" s="68"/>
    </row>
    <row r="486" spans="1:12" s="142" customFormat="1">
      <c r="A486" s="66" t="s">
        <v>1459</v>
      </c>
      <c r="B486" s="99">
        <v>44707</v>
      </c>
      <c r="C486" s="80" t="s">
        <v>1891</v>
      </c>
      <c r="D486" s="66"/>
      <c r="E486" s="80"/>
      <c r="F486" s="80"/>
      <c r="G486" s="80"/>
      <c r="H486" s="112"/>
      <c r="I486" s="68"/>
      <c r="J486" s="66" t="s">
        <v>2012</v>
      </c>
      <c r="K486" s="72"/>
      <c r="L486" s="68"/>
    </row>
    <row r="487" spans="1:12" s="142" customFormat="1">
      <c r="A487" s="66" t="s">
        <v>1098</v>
      </c>
      <c r="B487" s="66"/>
      <c r="C487" s="80"/>
      <c r="D487" s="66"/>
      <c r="E487" s="80"/>
      <c r="F487" s="80"/>
      <c r="G487" s="80"/>
      <c r="H487" s="112"/>
      <c r="I487" s="68"/>
      <c r="J487" s="66"/>
      <c r="K487" s="72"/>
      <c r="L487" s="68"/>
    </row>
    <row r="488" spans="1:12" s="142" customFormat="1">
      <c r="A488" s="66" t="s">
        <v>566</v>
      </c>
      <c r="B488" s="66"/>
      <c r="C488" s="80"/>
      <c r="D488" s="66"/>
      <c r="E488" s="80"/>
      <c r="F488" s="80"/>
      <c r="G488" s="80"/>
      <c r="H488" s="112"/>
      <c r="I488" s="68"/>
      <c r="J488" s="66"/>
      <c r="K488" s="72"/>
      <c r="L488" s="68"/>
    </row>
    <row r="489" spans="1:12" s="142" customFormat="1">
      <c r="A489" s="66" t="s">
        <v>2013</v>
      </c>
      <c r="B489" s="66"/>
      <c r="C489" s="80"/>
      <c r="D489" s="66"/>
      <c r="E489" s="80"/>
      <c r="F489" s="80"/>
      <c r="G489" s="80"/>
      <c r="H489" s="112"/>
      <c r="I489" s="68"/>
      <c r="J489" s="66"/>
      <c r="K489" s="72"/>
      <c r="L489" s="68"/>
    </row>
    <row r="490" spans="1:12" s="142" customFormat="1">
      <c r="A490" s="66" t="s">
        <v>2014</v>
      </c>
      <c r="B490" s="66"/>
      <c r="C490" s="80"/>
      <c r="D490" s="66"/>
      <c r="E490" s="80"/>
      <c r="F490" s="80"/>
      <c r="G490" s="80"/>
      <c r="H490" s="112"/>
      <c r="I490" s="68"/>
      <c r="J490" s="66"/>
      <c r="K490" s="72"/>
      <c r="L490" s="68"/>
    </row>
    <row r="491" spans="1:12" s="142" customFormat="1">
      <c r="A491" s="66" t="s">
        <v>283</v>
      </c>
      <c r="B491" s="66"/>
      <c r="C491" s="80"/>
      <c r="D491" s="66"/>
      <c r="E491" s="80"/>
      <c r="F491" s="80"/>
      <c r="G491" s="80"/>
      <c r="H491" s="112"/>
      <c r="I491" s="68"/>
      <c r="J491" s="66"/>
      <c r="K491" s="72"/>
      <c r="L491" s="68"/>
    </row>
    <row r="492" spans="1:12" s="142" customFormat="1">
      <c r="A492" s="66" t="s">
        <v>284</v>
      </c>
      <c r="B492" s="66"/>
      <c r="C492" s="80"/>
      <c r="D492" s="66"/>
      <c r="E492" s="80"/>
      <c r="F492" s="80"/>
      <c r="G492" s="80"/>
      <c r="H492" s="112"/>
      <c r="I492" s="68"/>
      <c r="J492" s="66"/>
      <c r="K492" s="72"/>
      <c r="L492" s="68"/>
    </row>
    <row r="493" spans="1:12" s="142" customFormat="1">
      <c r="A493" s="66" t="s">
        <v>2015</v>
      </c>
      <c r="B493" s="66"/>
      <c r="C493" s="80"/>
      <c r="D493" s="66"/>
      <c r="E493" s="80"/>
      <c r="F493" s="80"/>
      <c r="G493" s="80"/>
      <c r="H493" s="112"/>
      <c r="I493" s="68"/>
      <c r="J493" s="66"/>
      <c r="K493" s="72"/>
      <c r="L493" s="68"/>
    </row>
    <row r="494" spans="1:12" s="142" customFormat="1">
      <c r="A494" s="66" t="s">
        <v>155</v>
      </c>
      <c r="B494" s="66"/>
      <c r="C494" s="80"/>
      <c r="D494" s="66"/>
      <c r="E494" s="80"/>
      <c r="F494" s="80"/>
      <c r="G494" s="80"/>
      <c r="H494" s="112"/>
      <c r="I494" s="68"/>
      <c r="J494" s="66"/>
      <c r="K494" s="72"/>
      <c r="L494" s="68"/>
    </row>
    <row r="495" spans="1:12" s="142" customFormat="1">
      <c r="A495" s="66" t="s">
        <v>73</v>
      </c>
      <c r="B495" s="66"/>
      <c r="C495" s="80"/>
      <c r="D495" s="66"/>
      <c r="E495" s="80"/>
      <c r="F495" s="80"/>
      <c r="G495" s="80"/>
      <c r="H495" s="112"/>
      <c r="I495" s="68"/>
      <c r="J495" s="66"/>
      <c r="K495" s="72"/>
      <c r="L495" s="68"/>
    </row>
    <row r="496" spans="1:12" s="142" customFormat="1">
      <c r="A496" s="66" t="s">
        <v>2016</v>
      </c>
      <c r="B496" s="66"/>
      <c r="C496" s="80"/>
      <c r="D496" s="66"/>
      <c r="E496" s="80"/>
      <c r="F496" s="80"/>
      <c r="G496" s="80"/>
      <c r="H496" s="112"/>
      <c r="I496" s="68"/>
      <c r="J496" s="66"/>
      <c r="K496" s="72"/>
      <c r="L496" s="68"/>
    </row>
    <row r="497" spans="1:12" s="142" customFormat="1">
      <c r="A497" s="66" t="s">
        <v>786</v>
      </c>
      <c r="B497" s="66"/>
      <c r="C497" s="80"/>
      <c r="D497" s="66"/>
      <c r="E497" s="80"/>
      <c r="F497" s="80"/>
      <c r="G497" s="80"/>
      <c r="H497" s="112"/>
      <c r="I497" s="68"/>
      <c r="J497" s="66"/>
      <c r="K497" s="72"/>
      <c r="L497" s="68"/>
    </row>
    <row r="498" spans="1:12" s="142" customFormat="1">
      <c r="A498" s="66" t="s">
        <v>75</v>
      </c>
      <c r="B498" s="66"/>
      <c r="C498" s="80"/>
      <c r="D498" s="66"/>
      <c r="E498" s="80"/>
      <c r="F498" s="80"/>
      <c r="G498" s="80"/>
      <c r="H498" s="112"/>
      <c r="I498" s="68"/>
      <c r="J498" s="66"/>
      <c r="K498" s="72"/>
      <c r="L498" s="68"/>
    </row>
    <row r="499" spans="1:12" s="142" customFormat="1">
      <c r="A499" s="66" t="s">
        <v>2017</v>
      </c>
      <c r="B499" s="66"/>
      <c r="C499" s="80"/>
      <c r="D499" s="66"/>
      <c r="E499" s="80"/>
      <c r="F499" s="80"/>
      <c r="G499" s="80"/>
      <c r="H499" s="112"/>
      <c r="I499" s="68"/>
      <c r="J499" s="66"/>
      <c r="K499" s="72"/>
      <c r="L499" s="68"/>
    </row>
    <row r="500" spans="1:12" s="142" customFormat="1">
      <c r="A500" s="66" t="s">
        <v>2018</v>
      </c>
      <c r="B500" s="66"/>
      <c r="C500" s="80"/>
      <c r="D500" s="66"/>
      <c r="E500" s="80"/>
      <c r="F500" s="80"/>
      <c r="G500" s="80"/>
      <c r="H500" s="112"/>
      <c r="I500" s="68"/>
      <c r="J500" s="66"/>
      <c r="K500" s="72"/>
      <c r="L500" s="68"/>
    </row>
    <row r="501" spans="1:12" s="142" customFormat="1">
      <c r="A501" s="66" t="s">
        <v>2019</v>
      </c>
      <c r="B501" s="66"/>
      <c r="C501" s="80"/>
      <c r="D501" s="66"/>
      <c r="E501" s="80"/>
      <c r="F501" s="80"/>
      <c r="G501" s="80"/>
      <c r="H501" s="112"/>
      <c r="I501" s="68"/>
      <c r="J501" s="66"/>
      <c r="K501" s="72"/>
      <c r="L501" s="68"/>
    </row>
    <row r="502" spans="1:12" s="142" customFormat="1">
      <c r="A502" s="66" t="s">
        <v>2020</v>
      </c>
      <c r="B502" s="66"/>
      <c r="C502" s="80"/>
      <c r="D502" s="66"/>
      <c r="E502" s="80"/>
      <c r="F502" s="80"/>
      <c r="G502" s="80"/>
      <c r="H502" s="112"/>
      <c r="I502" s="68"/>
      <c r="J502" s="66"/>
      <c r="K502" s="72"/>
      <c r="L502" s="68"/>
    </row>
    <row r="503" spans="1:12" s="142" customFormat="1">
      <c r="A503" s="66" t="s">
        <v>1707</v>
      </c>
      <c r="B503" s="66"/>
      <c r="C503" s="80"/>
      <c r="D503" s="66"/>
      <c r="E503" s="80"/>
      <c r="F503" s="80"/>
      <c r="G503" s="80"/>
      <c r="H503" s="112"/>
      <c r="I503" s="68"/>
      <c r="J503" s="66"/>
      <c r="K503" s="72"/>
      <c r="L503" s="68"/>
    </row>
    <row r="504" spans="1:12" s="142" customFormat="1">
      <c r="A504" s="66" t="s">
        <v>2021</v>
      </c>
      <c r="B504" s="66"/>
      <c r="C504" s="80"/>
      <c r="D504" s="66"/>
      <c r="E504" s="80"/>
      <c r="F504" s="80"/>
      <c r="G504" s="80"/>
      <c r="H504" s="112"/>
      <c r="I504" s="68"/>
      <c r="J504" s="66"/>
      <c r="K504" s="72"/>
      <c r="L504" s="68"/>
    </row>
    <row r="505" spans="1:12" s="142" customFormat="1">
      <c r="A505" s="66" t="s">
        <v>2022</v>
      </c>
      <c r="B505" s="66"/>
      <c r="C505" s="80"/>
      <c r="D505" s="66"/>
      <c r="E505" s="80"/>
      <c r="F505" s="80"/>
      <c r="G505" s="80"/>
      <c r="H505" s="112"/>
      <c r="I505" s="68"/>
      <c r="J505" s="66"/>
      <c r="K505" s="72"/>
      <c r="L505" s="68"/>
    </row>
    <row r="506" spans="1:12" s="142" customFormat="1">
      <c r="A506" s="66" t="s">
        <v>2023</v>
      </c>
      <c r="B506" s="66"/>
      <c r="C506" s="80"/>
      <c r="D506" s="66"/>
      <c r="E506" s="80"/>
      <c r="F506" s="80"/>
      <c r="G506" s="80"/>
      <c r="H506" s="112"/>
      <c r="I506" s="68"/>
      <c r="J506" s="66"/>
      <c r="K506" s="72"/>
      <c r="L506" s="68"/>
    </row>
    <row r="507" spans="1:12" s="142" customFormat="1">
      <c r="A507" s="66" t="s">
        <v>158</v>
      </c>
      <c r="B507" s="99">
        <v>44945</v>
      </c>
      <c r="C507" s="80" t="s">
        <v>1891</v>
      </c>
      <c r="D507" s="66"/>
      <c r="E507" s="80"/>
      <c r="F507" s="80"/>
      <c r="G507" s="80"/>
      <c r="H507" s="112"/>
      <c r="I507" s="68"/>
      <c r="J507" s="66"/>
      <c r="K507" s="72"/>
      <c r="L507" s="68"/>
    </row>
    <row r="508" spans="1:12" s="142" customFormat="1">
      <c r="A508" s="66" t="s">
        <v>286</v>
      </c>
      <c r="B508" s="66"/>
      <c r="C508" s="80"/>
      <c r="D508" s="66"/>
      <c r="E508" s="80"/>
      <c r="F508" s="80"/>
      <c r="G508" s="80"/>
      <c r="H508" s="112"/>
      <c r="I508" s="68"/>
      <c r="J508" s="66"/>
      <c r="K508" s="72"/>
      <c r="L508" s="68"/>
    </row>
    <row r="509" spans="1:12" s="142" customFormat="1">
      <c r="A509" s="66" t="s">
        <v>2024</v>
      </c>
      <c r="B509" s="66"/>
      <c r="C509" s="80"/>
      <c r="D509" s="66"/>
      <c r="E509" s="80"/>
      <c r="F509" s="80"/>
      <c r="G509" s="80"/>
      <c r="H509" s="112"/>
      <c r="I509" s="68"/>
      <c r="J509" s="66"/>
      <c r="K509" s="72"/>
      <c r="L509" s="68"/>
    </row>
    <row r="510" spans="1:12" s="142" customFormat="1">
      <c r="A510" s="66" t="s">
        <v>77</v>
      </c>
      <c r="B510" s="99">
        <v>44601</v>
      </c>
      <c r="C510" s="80" t="s">
        <v>1891</v>
      </c>
      <c r="D510" s="66"/>
      <c r="E510" s="80"/>
      <c r="F510" s="80"/>
      <c r="G510" s="80"/>
      <c r="H510" s="112">
        <v>250000000</v>
      </c>
      <c r="I510" s="68"/>
      <c r="J510" s="66" t="s">
        <v>2025</v>
      </c>
      <c r="K510" s="72"/>
      <c r="L510" s="68"/>
    </row>
    <row r="511" spans="1:12" s="142" customFormat="1">
      <c r="A511" s="66" t="s">
        <v>80</v>
      </c>
      <c r="B511" s="66"/>
      <c r="C511" s="80"/>
      <c r="D511" s="66"/>
      <c r="E511" s="80"/>
      <c r="F511" s="80"/>
      <c r="G511" s="80"/>
      <c r="H511" s="112"/>
      <c r="I511" s="68"/>
      <c r="J511" s="66"/>
      <c r="K511" s="72"/>
      <c r="L511" s="68"/>
    </row>
    <row r="512" spans="1:12" s="142" customFormat="1">
      <c r="A512" s="66" t="s">
        <v>1101</v>
      </c>
      <c r="B512" s="66"/>
      <c r="C512" s="80"/>
      <c r="D512" s="66"/>
      <c r="E512" s="80"/>
      <c r="F512" s="80"/>
      <c r="G512" s="80"/>
      <c r="H512" s="112"/>
      <c r="I512" s="68"/>
      <c r="J512" s="66"/>
      <c r="K512" s="72"/>
      <c r="L512" s="68"/>
    </row>
    <row r="513" spans="1:12" s="142" customFormat="1">
      <c r="A513" s="66" t="s">
        <v>1185</v>
      </c>
      <c r="B513" s="66"/>
      <c r="C513" s="80"/>
      <c r="D513" s="66"/>
      <c r="E513" s="80"/>
      <c r="F513" s="80"/>
      <c r="G513" s="80"/>
      <c r="H513" s="112"/>
      <c r="I513" s="68"/>
      <c r="J513" s="66"/>
      <c r="K513" s="72"/>
      <c r="L513" s="68"/>
    </row>
    <row r="514" spans="1:12" s="142" customFormat="1">
      <c r="A514" s="66" t="s">
        <v>160</v>
      </c>
      <c r="B514" s="99">
        <v>44945</v>
      </c>
      <c r="C514" s="80" t="s">
        <v>1846</v>
      </c>
      <c r="D514" s="66"/>
      <c r="E514" s="80"/>
      <c r="F514" s="80"/>
      <c r="G514" s="80"/>
      <c r="H514" s="112"/>
      <c r="I514" s="68"/>
      <c r="J514" s="66"/>
      <c r="K514" s="72"/>
      <c r="L514" s="68"/>
    </row>
    <row r="515" spans="1:12" s="142" customFormat="1">
      <c r="A515" s="66" t="s">
        <v>1241</v>
      </c>
      <c r="B515" s="99">
        <v>44945</v>
      </c>
      <c r="C515" s="80" t="s">
        <v>1846</v>
      </c>
      <c r="D515" s="66"/>
      <c r="E515" s="80"/>
      <c r="F515" s="80"/>
      <c r="G515" s="80"/>
      <c r="H515" s="112"/>
      <c r="I515" s="68"/>
      <c r="J515" s="66"/>
      <c r="K515" s="72"/>
      <c r="L515" s="68"/>
    </row>
    <row r="516" spans="1:12" s="142" customFormat="1">
      <c r="A516" s="66" t="s">
        <v>2026</v>
      </c>
      <c r="B516" s="66"/>
      <c r="C516" s="80"/>
      <c r="D516" s="66"/>
      <c r="E516" s="80"/>
      <c r="F516" s="80"/>
      <c r="G516" s="80"/>
      <c r="H516" s="112"/>
      <c r="I516" s="68"/>
      <c r="J516" s="66"/>
      <c r="K516" s="72"/>
      <c r="L516" s="68"/>
    </row>
    <row r="517" spans="1:12" s="142" customFormat="1">
      <c r="A517" s="66" t="s">
        <v>606</v>
      </c>
      <c r="B517" s="99">
        <v>44945</v>
      </c>
      <c r="C517" s="80" t="s">
        <v>1846</v>
      </c>
      <c r="D517" s="66"/>
      <c r="E517" s="80"/>
      <c r="F517" s="80"/>
      <c r="G517" s="80"/>
      <c r="H517" s="112"/>
      <c r="I517" s="68"/>
      <c r="J517" s="66"/>
      <c r="K517" s="72"/>
      <c r="L517" s="68"/>
    </row>
    <row r="518" spans="1:12" s="142" customFormat="1">
      <c r="A518" s="66" t="s">
        <v>2027</v>
      </c>
      <c r="B518" s="99">
        <v>44945</v>
      </c>
      <c r="C518" s="80" t="s">
        <v>1846</v>
      </c>
      <c r="D518" s="66"/>
      <c r="E518" s="80"/>
      <c r="F518" s="80"/>
      <c r="G518" s="80"/>
      <c r="H518" s="112"/>
      <c r="I518" s="68"/>
      <c r="J518" s="66" t="s">
        <v>2028</v>
      </c>
      <c r="K518" s="72"/>
      <c r="L518" s="68"/>
    </row>
    <row r="519" spans="1:12" s="142" customFormat="1">
      <c r="A519" s="66" t="s">
        <v>1238</v>
      </c>
      <c r="B519" s="99">
        <v>44726</v>
      </c>
      <c r="C519" s="66" t="s">
        <v>1891</v>
      </c>
      <c r="D519" s="66"/>
      <c r="E519" s="66"/>
      <c r="F519" s="66"/>
      <c r="G519" s="66"/>
      <c r="H519" s="110"/>
      <c r="I519" s="68"/>
      <c r="J519" s="66"/>
      <c r="K519" s="86"/>
      <c r="L519" s="68"/>
    </row>
    <row r="520" spans="1:12" s="142" customFormat="1">
      <c r="A520" s="66" t="s">
        <v>667</v>
      </c>
      <c r="B520" s="66"/>
      <c r="C520" s="66"/>
      <c r="D520" s="66"/>
      <c r="E520" s="66"/>
      <c r="F520" s="66"/>
      <c r="G520" s="66"/>
      <c r="H520" s="110"/>
      <c r="I520" s="68"/>
      <c r="J520" s="66"/>
      <c r="K520" s="72"/>
      <c r="L520" s="68"/>
    </row>
    <row r="521" spans="1:12">
      <c r="A521" s="66" t="s">
        <v>82</v>
      </c>
      <c r="B521" s="66"/>
      <c r="C521" s="80"/>
      <c r="D521" s="66"/>
      <c r="E521" s="80"/>
      <c r="F521" s="80"/>
      <c r="G521" s="80"/>
      <c r="H521" s="112"/>
      <c r="I521" s="68"/>
      <c r="J521" s="66"/>
      <c r="K521" s="72"/>
      <c r="L521" s="68"/>
    </row>
    <row r="522" spans="1:12">
      <c r="A522" s="66" t="s">
        <v>1063</v>
      </c>
      <c r="B522" s="85"/>
      <c r="C522" s="66"/>
      <c r="D522" s="85"/>
      <c r="E522" s="66"/>
      <c r="F522" s="66"/>
      <c r="G522" s="66"/>
      <c r="H522" s="110"/>
      <c r="I522" s="68"/>
      <c r="J522" s="66"/>
      <c r="K522" s="72"/>
      <c r="L522" s="68"/>
    </row>
    <row r="523" spans="1:12">
      <c r="A523" s="66" t="s">
        <v>2029</v>
      </c>
      <c r="B523" s="66"/>
      <c r="C523" s="80"/>
      <c r="D523" s="66"/>
      <c r="E523" s="80"/>
      <c r="F523" s="80"/>
      <c r="G523" s="80"/>
      <c r="H523" s="112"/>
      <c r="I523" s="68"/>
      <c r="J523" s="66"/>
      <c r="K523" s="72"/>
      <c r="L523" s="68"/>
    </row>
    <row r="524" spans="1:12">
      <c r="A524" s="66" t="s">
        <v>2030</v>
      </c>
      <c r="B524" s="99">
        <v>44946</v>
      </c>
      <c r="C524" s="80" t="s">
        <v>1860</v>
      </c>
      <c r="D524" s="66"/>
      <c r="E524" s="80"/>
      <c r="F524" s="80"/>
      <c r="G524" s="80"/>
      <c r="H524" s="112"/>
      <c r="I524" s="68"/>
      <c r="J524" s="66" t="s">
        <v>2031</v>
      </c>
      <c r="K524" s="72"/>
      <c r="L524" s="68"/>
    </row>
    <row r="525" spans="1:12">
      <c r="A525" s="66" t="s">
        <v>569</v>
      </c>
      <c r="B525" s="99">
        <v>44946</v>
      </c>
      <c r="C525" s="80" t="s">
        <v>1860</v>
      </c>
      <c r="D525" s="66"/>
      <c r="E525" s="80"/>
      <c r="F525" s="80"/>
      <c r="G525" s="80"/>
      <c r="H525" s="112"/>
      <c r="I525" s="68"/>
      <c r="J525" s="66"/>
      <c r="K525" s="72"/>
      <c r="L525" s="68"/>
    </row>
    <row r="526" spans="1:12">
      <c r="A526" s="66" t="s">
        <v>1269</v>
      </c>
      <c r="B526" s="99">
        <v>44943</v>
      </c>
      <c r="C526" s="80" t="s">
        <v>1845</v>
      </c>
      <c r="D526" s="99">
        <v>44943</v>
      </c>
      <c r="E526" s="80"/>
      <c r="F526" s="80"/>
      <c r="G526" s="80"/>
      <c r="H526" s="112">
        <v>181764163</v>
      </c>
      <c r="I526" s="68"/>
      <c r="J526" s="66"/>
      <c r="K526" s="72"/>
      <c r="L526" s="68"/>
    </row>
    <row r="527" spans="1:12">
      <c r="A527" s="66" t="s">
        <v>289</v>
      </c>
      <c r="B527" s="99">
        <v>44844</v>
      </c>
      <c r="C527" s="80" t="s">
        <v>1891</v>
      </c>
      <c r="D527" s="66"/>
      <c r="E527" s="80"/>
      <c r="F527" s="80"/>
      <c r="G527" s="80"/>
      <c r="H527" s="112">
        <v>667074202</v>
      </c>
      <c r="I527" s="68"/>
      <c r="J527" s="66"/>
      <c r="K527" s="72"/>
      <c r="L527" s="68"/>
    </row>
    <row r="528" spans="1:12">
      <c r="A528" s="66" t="s">
        <v>715</v>
      </c>
      <c r="B528" s="99">
        <v>44946</v>
      </c>
      <c r="C528" s="80" t="s">
        <v>1860</v>
      </c>
      <c r="D528" s="66"/>
      <c r="E528" s="80"/>
      <c r="F528" s="80"/>
      <c r="G528" s="80"/>
      <c r="H528" s="112"/>
      <c r="I528" s="68"/>
      <c r="J528" s="66"/>
      <c r="K528" s="72"/>
      <c r="L528" s="68"/>
    </row>
    <row r="529" spans="1:12">
      <c r="A529" s="66" t="s">
        <v>1550</v>
      </c>
      <c r="B529" s="99">
        <v>44946</v>
      </c>
      <c r="C529" s="80" t="s">
        <v>1860</v>
      </c>
      <c r="D529" s="66"/>
      <c r="E529" s="80"/>
      <c r="F529" s="80"/>
      <c r="G529" s="80"/>
      <c r="H529" s="112"/>
      <c r="I529" s="68"/>
      <c r="J529" s="66"/>
      <c r="K529" s="72"/>
      <c r="L529" s="68"/>
    </row>
    <row r="530" spans="1:12">
      <c r="A530" s="66" t="s">
        <v>84</v>
      </c>
      <c r="B530" s="99">
        <v>44946</v>
      </c>
      <c r="C530" s="80" t="s">
        <v>1846</v>
      </c>
      <c r="D530" s="66"/>
      <c r="E530" s="80"/>
      <c r="F530" s="80"/>
      <c r="G530" s="80"/>
      <c r="H530" s="112"/>
      <c r="I530" s="68"/>
      <c r="J530" s="66"/>
      <c r="K530" s="72"/>
      <c r="L530" s="68"/>
    </row>
    <row r="531" spans="1:12">
      <c r="A531" s="66" t="s">
        <v>162</v>
      </c>
      <c r="B531" s="99">
        <v>44875</v>
      </c>
      <c r="C531" s="85" t="s">
        <v>1845</v>
      </c>
      <c r="D531" s="99">
        <v>44877</v>
      </c>
      <c r="E531" s="85"/>
      <c r="F531" s="85"/>
      <c r="G531" s="85" t="s">
        <v>1850</v>
      </c>
      <c r="H531" s="115"/>
      <c r="I531" s="68"/>
      <c r="J531" s="66" t="s">
        <v>2032</v>
      </c>
      <c r="K531" s="72"/>
      <c r="L531" s="68"/>
    </row>
    <row r="532" spans="1:12">
      <c r="A532" s="66" t="s">
        <v>1188</v>
      </c>
      <c r="B532" s="66"/>
      <c r="C532" s="80"/>
      <c r="D532" s="66"/>
      <c r="E532" s="80"/>
      <c r="F532" s="80"/>
      <c r="G532" s="80"/>
      <c r="H532" s="112"/>
      <c r="I532" s="68"/>
      <c r="J532" s="66"/>
      <c r="K532" s="86"/>
      <c r="L532" s="68"/>
    </row>
    <row r="533" spans="1:12">
      <c r="A533" s="66" t="s">
        <v>995</v>
      </c>
      <c r="B533" s="99">
        <v>44947</v>
      </c>
      <c r="C533" s="80" t="s">
        <v>1860</v>
      </c>
      <c r="D533" s="66"/>
      <c r="E533" s="80"/>
      <c r="F533" s="80"/>
      <c r="G533" s="80"/>
      <c r="H533" s="112"/>
      <c r="I533" s="68"/>
      <c r="J533" s="66"/>
      <c r="K533" s="72"/>
      <c r="L533" s="68"/>
    </row>
    <row r="534" spans="1:12">
      <c r="A534" s="66" t="s">
        <v>1065</v>
      </c>
      <c r="B534" s="99">
        <v>44947</v>
      </c>
      <c r="C534" s="80" t="s">
        <v>1846</v>
      </c>
      <c r="D534" s="66"/>
      <c r="E534" s="80"/>
      <c r="F534" s="80"/>
      <c r="G534" s="80"/>
      <c r="H534" s="112"/>
      <c r="I534" s="68"/>
      <c r="J534" s="66"/>
      <c r="K534" s="86"/>
      <c r="L534" s="68"/>
    </row>
    <row r="535" spans="1:12">
      <c r="A535" s="66" t="s">
        <v>492</v>
      </c>
      <c r="B535" s="66"/>
      <c r="C535" s="80"/>
      <c r="D535" s="66"/>
      <c r="E535" s="80"/>
      <c r="F535" s="80"/>
      <c r="G535" s="80"/>
      <c r="H535" s="112"/>
      <c r="I535" s="68"/>
      <c r="J535" s="66"/>
      <c r="K535" s="72"/>
      <c r="L535" s="68"/>
    </row>
    <row r="536" spans="1:12">
      <c r="A536" s="66" t="s">
        <v>1228</v>
      </c>
      <c r="B536" s="66"/>
      <c r="C536" s="80"/>
      <c r="D536" s="66"/>
      <c r="E536" s="80"/>
      <c r="F536" s="80"/>
      <c r="G536" s="80"/>
      <c r="H536" s="112"/>
      <c r="I536" s="68"/>
      <c r="J536" s="66"/>
      <c r="K536" s="72"/>
      <c r="L536" s="68"/>
    </row>
    <row r="537" spans="1:12">
      <c r="A537" s="66" t="s">
        <v>2033</v>
      </c>
      <c r="B537" s="66"/>
      <c r="C537" s="80"/>
      <c r="D537" s="66"/>
      <c r="E537" s="80"/>
      <c r="F537" s="80"/>
      <c r="G537" s="80"/>
      <c r="H537" s="112"/>
      <c r="I537" s="68"/>
      <c r="J537" s="66"/>
      <c r="K537" s="72"/>
      <c r="L537" s="68"/>
    </row>
    <row r="538" spans="1:12">
      <c r="A538" s="66" t="s">
        <v>87</v>
      </c>
      <c r="B538" s="99">
        <v>44945</v>
      </c>
      <c r="C538" s="80" t="s">
        <v>1846</v>
      </c>
      <c r="D538" s="66"/>
      <c r="E538" s="80"/>
      <c r="F538" s="80"/>
      <c r="G538" s="80"/>
      <c r="H538" s="112"/>
      <c r="I538" s="68"/>
      <c r="J538" s="66"/>
      <c r="K538" s="72"/>
      <c r="L538" s="68"/>
    </row>
    <row r="539" spans="1:12">
      <c r="A539" s="66" t="s">
        <v>370</v>
      </c>
      <c r="B539" s="66"/>
      <c r="C539" s="87"/>
      <c r="D539" s="66"/>
      <c r="E539" s="87"/>
      <c r="F539" s="87"/>
      <c r="G539" s="87"/>
      <c r="H539" s="112"/>
      <c r="I539" s="68"/>
      <c r="J539" s="66"/>
      <c r="K539" s="72"/>
      <c r="L539" s="68"/>
    </row>
    <row r="540" spans="1:12">
      <c r="A540" s="66" t="s">
        <v>747</v>
      </c>
      <c r="B540" s="99">
        <v>44945</v>
      </c>
      <c r="C540" s="80" t="s">
        <v>1846</v>
      </c>
      <c r="D540" s="66"/>
      <c r="E540" s="80"/>
      <c r="F540" s="80"/>
      <c r="G540" s="80"/>
      <c r="H540" s="112"/>
      <c r="I540" s="68"/>
      <c r="J540" s="66"/>
      <c r="K540" s="88"/>
      <c r="L540" s="68"/>
    </row>
    <row r="541" spans="1:12">
      <c r="A541" s="66" t="s">
        <v>291</v>
      </c>
      <c r="B541" s="99">
        <v>44914</v>
      </c>
      <c r="C541" s="80" t="s">
        <v>1891</v>
      </c>
      <c r="D541" s="66"/>
      <c r="E541" s="80"/>
      <c r="F541" s="80"/>
      <c r="G541" s="80"/>
      <c r="H541" s="112"/>
      <c r="I541" s="68"/>
      <c r="J541" s="66"/>
      <c r="K541" s="72"/>
      <c r="L541" s="68"/>
    </row>
    <row r="542" spans="1:12">
      <c r="A542" s="66" t="s">
        <v>90</v>
      </c>
      <c r="B542" s="66"/>
      <c r="C542" s="80"/>
      <c r="D542" s="66"/>
      <c r="E542" s="80"/>
      <c r="F542" s="80"/>
      <c r="G542" s="80"/>
      <c r="H542" s="112"/>
      <c r="I542" s="68"/>
      <c r="J542" s="66"/>
      <c r="K542" s="72"/>
      <c r="L542" s="68"/>
    </row>
    <row r="543" spans="1:12">
      <c r="A543" s="66" t="s">
        <v>927</v>
      </c>
      <c r="B543" s="66"/>
      <c r="C543" s="80"/>
      <c r="D543" s="66"/>
      <c r="E543" s="80"/>
      <c r="F543" s="80"/>
      <c r="G543" s="80"/>
      <c r="H543" s="112"/>
      <c r="I543" s="68"/>
      <c r="J543" s="66"/>
      <c r="K543" s="72"/>
      <c r="L543" s="68"/>
    </row>
    <row r="544" spans="1:12">
      <c r="A544" s="66" t="s">
        <v>2034</v>
      </c>
      <c r="B544" s="66"/>
      <c r="C544" s="80"/>
      <c r="D544" s="66"/>
      <c r="E544" s="80"/>
      <c r="F544" s="80"/>
      <c r="G544" s="80"/>
      <c r="H544" s="112"/>
      <c r="I544" s="68"/>
      <c r="J544" s="66"/>
      <c r="K544" s="72"/>
      <c r="L544" s="68"/>
    </row>
    <row r="545" spans="1:12">
      <c r="A545" s="66" t="s">
        <v>164</v>
      </c>
      <c r="B545" s="66"/>
      <c r="C545" s="80"/>
      <c r="D545" s="66"/>
      <c r="E545" s="80"/>
      <c r="F545" s="80"/>
      <c r="G545" s="80"/>
      <c r="H545" s="112">
        <v>604951760</v>
      </c>
      <c r="I545" s="68"/>
      <c r="J545" s="66" t="s">
        <v>2025</v>
      </c>
      <c r="K545" s="72"/>
      <c r="L545" s="68"/>
    </row>
    <row r="546" spans="1:12">
      <c r="A546" s="66" t="s">
        <v>750</v>
      </c>
      <c r="B546" s="99"/>
      <c r="C546" s="80" t="s">
        <v>1846</v>
      </c>
      <c r="D546" s="66"/>
      <c r="E546" s="80"/>
      <c r="F546" s="80"/>
      <c r="G546" s="80"/>
      <c r="H546" s="112"/>
      <c r="I546" s="68"/>
      <c r="J546" s="66"/>
      <c r="K546" s="72"/>
      <c r="L546" s="68"/>
    </row>
    <row r="547" spans="1:12">
      <c r="A547" s="66" t="s">
        <v>718</v>
      </c>
      <c r="B547" s="66"/>
      <c r="C547" s="80"/>
      <c r="D547" s="66"/>
      <c r="E547" s="80"/>
      <c r="F547" s="80"/>
      <c r="G547" s="80"/>
      <c r="H547" s="112"/>
      <c r="I547" s="68"/>
      <c r="J547" s="66"/>
      <c r="K547" s="72"/>
      <c r="L547" s="68"/>
    </row>
    <row r="548" spans="1:12">
      <c r="A548" s="66" t="s">
        <v>1830</v>
      </c>
      <c r="B548" s="66"/>
      <c r="C548" s="80"/>
      <c r="D548" s="66"/>
      <c r="E548" s="80"/>
      <c r="F548" s="80"/>
      <c r="G548" s="80"/>
      <c r="H548" s="112"/>
      <c r="I548" s="68"/>
      <c r="J548" s="66"/>
      <c r="K548" s="72"/>
      <c r="L548" s="68"/>
    </row>
    <row r="549" spans="1:12">
      <c r="A549" s="66" t="s">
        <v>422</v>
      </c>
      <c r="B549" s="66"/>
      <c r="C549" s="80"/>
      <c r="D549" s="66"/>
      <c r="E549" s="80"/>
      <c r="F549" s="80"/>
      <c r="G549" s="80"/>
      <c r="H549" s="112"/>
      <c r="I549" s="68"/>
      <c r="J549" s="66"/>
      <c r="K549" s="72"/>
      <c r="L549" s="68"/>
    </row>
    <row r="550" spans="1:12">
      <c r="A550" s="66" t="s">
        <v>1254</v>
      </c>
      <c r="B550" s="66"/>
      <c r="C550" s="80"/>
      <c r="D550" s="66"/>
      <c r="E550" s="80"/>
      <c r="F550" s="80"/>
      <c r="G550" s="80"/>
      <c r="H550" s="112">
        <v>333513047</v>
      </c>
      <c r="I550" s="68"/>
      <c r="J550" s="66"/>
      <c r="K550" s="72"/>
      <c r="L550" s="68"/>
    </row>
    <row r="551" spans="1:12">
      <c r="A551" s="66" t="s">
        <v>1141</v>
      </c>
      <c r="B551" s="66"/>
      <c r="C551" s="80"/>
      <c r="D551" s="66"/>
      <c r="E551" s="80"/>
      <c r="F551" s="80"/>
      <c r="G551" s="80"/>
      <c r="H551" s="112"/>
      <c r="I551" s="68"/>
      <c r="J551" s="66"/>
      <c r="K551" s="72"/>
      <c r="L551" s="68"/>
    </row>
    <row r="552" spans="1:12" s="142" customFormat="1">
      <c r="A552" s="66" t="s">
        <v>424</v>
      </c>
      <c r="B552" s="66"/>
      <c r="C552" s="80"/>
      <c r="D552" s="66"/>
      <c r="E552" s="80"/>
      <c r="F552" s="80"/>
      <c r="G552" s="80"/>
      <c r="H552" s="112"/>
      <c r="I552" s="68"/>
      <c r="J552" s="66"/>
      <c r="K552" s="72"/>
      <c r="L552" s="68"/>
    </row>
    <row r="553" spans="1:12" s="142" customFormat="1">
      <c r="A553" s="66" t="s">
        <v>294</v>
      </c>
      <c r="B553" s="99">
        <v>44804</v>
      </c>
      <c r="C553" s="80" t="s">
        <v>1845</v>
      </c>
      <c r="D553" s="99">
        <v>44856</v>
      </c>
      <c r="E553" s="80" t="s">
        <v>1850</v>
      </c>
      <c r="F553" s="80"/>
      <c r="G553" s="80"/>
      <c r="H553" s="112"/>
      <c r="I553" s="68"/>
      <c r="J553" s="72" t="s">
        <v>2035</v>
      </c>
      <c r="K553" s="72"/>
      <c r="L553" s="68"/>
    </row>
    <row r="554" spans="1:12" s="142" customFormat="1">
      <c r="A554" s="66" t="s">
        <v>930</v>
      </c>
      <c r="B554" s="99">
        <v>44945</v>
      </c>
      <c r="C554" s="80" t="s">
        <v>1846</v>
      </c>
      <c r="D554" s="66"/>
      <c r="E554" s="80"/>
      <c r="F554" s="80"/>
      <c r="G554" s="80"/>
      <c r="H554" s="112"/>
      <c r="I554" s="68"/>
      <c r="J554" s="66"/>
      <c r="K554" s="72"/>
      <c r="L554" s="68"/>
    </row>
    <row r="555" spans="1:12" s="142" customFormat="1">
      <c r="A555" s="66" t="s">
        <v>1714</v>
      </c>
      <c r="B555" s="66" t="s">
        <v>2036</v>
      </c>
      <c r="C555" s="80" t="s">
        <v>1846</v>
      </c>
      <c r="D555" s="66"/>
      <c r="E555" s="80"/>
      <c r="F555" s="80"/>
      <c r="G555" s="80"/>
      <c r="H555" s="112"/>
      <c r="I555" s="68"/>
      <c r="J555" s="66"/>
      <c r="K555" s="72"/>
      <c r="L555" s="68"/>
    </row>
    <row r="556" spans="1:12" s="142" customFormat="1">
      <c r="A556" s="66" t="s">
        <v>884</v>
      </c>
      <c r="B556" s="66"/>
      <c r="C556" s="80"/>
      <c r="D556" s="66"/>
      <c r="E556" s="80"/>
      <c r="F556" s="80"/>
      <c r="G556" s="80"/>
      <c r="H556" s="112"/>
      <c r="I556" s="68"/>
      <c r="J556" s="66"/>
      <c r="K556" s="72"/>
      <c r="L556" s="68"/>
    </row>
    <row r="557" spans="1:12" s="142" customFormat="1">
      <c r="A557" s="66" t="s">
        <v>2037</v>
      </c>
      <c r="B557" s="66"/>
      <c r="C557" s="80"/>
      <c r="D557" s="66"/>
      <c r="E557" s="80"/>
      <c r="F557" s="80"/>
      <c r="G557" s="80"/>
      <c r="H557" s="112"/>
      <c r="I557" s="68"/>
      <c r="J557" s="66"/>
      <c r="K557" s="72"/>
      <c r="L557" s="68"/>
    </row>
    <row r="558" spans="1:12" s="142" customFormat="1">
      <c r="A558" s="66" t="s">
        <v>2038</v>
      </c>
      <c r="B558" s="66"/>
      <c r="C558" s="80"/>
      <c r="D558" s="66"/>
      <c r="E558" s="80"/>
      <c r="F558" s="80"/>
      <c r="G558" s="80"/>
      <c r="H558" s="112"/>
      <c r="I558" s="68"/>
      <c r="J558" s="66"/>
      <c r="K558" s="72"/>
      <c r="L558" s="68"/>
    </row>
    <row r="559" spans="1:12" s="142" customFormat="1">
      <c r="A559" s="66" t="s">
        <v>2039</v>
      </c>
      <c r="B559" s="66"/>
      <c r="C559" s="80"/>
      <c r="D559" s="66"/>
      <c r="E559" s="80"/>
      <c r="F559" s="80"/>
      <c r="G559" s="80"/>
      <c r="H559" s="112"/>
      <c r="I559" s="68"/>
      <c r="J559" s="66"/>
      <c r="K559" s="72"/>
      <c r="L559" s="68"/>
    </row>
    <row r="560" spans="1:12" s="142" customFormat="1">
      <c r="A560" s="66" t="s">
        <v>372</v>
      </c>
      <c r="B560" s="99">
        <v>44945</v>
      </c>
      <c r="C560" s="80" t="s">
        <v>1846</v>
      </c>
      <c r="D560" s="66"/>
      <c r="E560" s="80"/>
      <c r="F560" s="80"/>
      <c r="G560" s="80"/>
      <c r="H560" s="112">
        <v>391494714</v>
      </c>
      <c r="I560" s="68"/>
      <c r="J560" s="66" t="s">
        <v>2025</v>
      </c>
      <c r="K560" s="72"/>
      <c r="L560" s="68"/>
    </row>
    <row r="561" spans="1:12" s="142" customFormat="1">
      <c r="A561" s="66" t="s">
        <v>2040</v>
      </c>
      <c r="B561" s="66"/>
      <c r="C561" s="80"/>
      <c r="D561" s="66"/>
      <c r="E561" s="80"/>
      <c r="F561" s="80"/>
      <c r="G561" s="80"/>
      <c r="H561" s="112"/>
      <c r="I561" s="68"/>
      <c r="J561" s="66"/>
      <c r="K561" s="72"/>
      <c r="L561" s="68"/>
    </row>
    <row r="562" spans="1:12" s="142" customFormat="1">
      <c r="A562" s="66" t="s">
        <v>932</v>
      </c>
      <c r="B562" s="66"/>
      <c r="C562" s="80"/>
      <c r="D562" s="66"/>
      <c r="E562" s="80"/>
      <c r="F562" s="80"/>
      <c r="G562" s="80"/>
      <c r="H562" s="112"/>
      <c r="I562" s="68"/>
      <c r="J562" s="66"/>
      <c r="K562" s="72"/>
      <c r="L562" s="68"/>
    </row>
    <row r="563" spans="1:12" s="142" customFormat="1">
      <c r="A563" s="66" t="s">
        <v>2041</v>
      </c>
      <c r="B563" s="66"/>
      <c r="C563" s="80"/>
      <c r="D563" s="66"/>
      <c r="E563" s="80"/>
      <c r="F563" s="80"/>
      <c r="G563" s="80"/>
      <c r="H563" s="112"/>
      <c r="I563" s="68"/>
      <c r="J563" s="66"/>
      <c r="K563" s="72"/>
      <c r="L563" s="68"/>
    </row>
    <row r="564" spans="1:12" s="142" customFormat="1">
      <c r="A564" s="66" t="s">
        <v>2042</v>
      </c>
      <c r="B564" s="66"/>
      <c r="C564" s="80"/>
      <c r="D564" s="66"/>
      <c r="E564" s="80"/>
      <c r="F564" s="80"/>
      <c r="G564" s="80"/>
      <c r="H564" s="112"/>
      <c r="I564" s="68"/>
      <c r="J564" s="66"/>
      <c r="K564" s="72"/>
      <c r="L564" s="68"/>
    </row>
    <row r="565" spans="1:12" s="142" customFormat="1">
      <c r="A565" s="66" t="s">
        <v>2043</v>
      </c>
      <c r="B565" s="66"/>
      <c r="C565" s="80"/>
      <c r="D565" s="66"/>
      <c r="E565" s="80"/>
      <c r="F565" s="80"/>
      <c r="G565" s="80"/>
      <c r="H565" s="112"/>
      <c r="I565" s="68"/>
      <c r="J565" s="66"/>
      <c r="K565" s="72"/>
      <c r="L565" s="68"/>
    </row>
    <row r="566" spans="1:12" s="142" customFormat="1">
      <c r="A566" s="66" t="s">
        <v>2044</v>
      </c>
      <c r="B566" s="66"/>
      <c r="C566" s="80"/>
      <c r="D566" s="66"/>
      <c r="E566" s="80"/>
      <c r="F566" s="80"/>
      <c r="G566" s="80"/>
      <c r="H566" s="112"/>
      <c r="I566" s="68"/>
      <c r="J566" s="66"/>
      <c r="K566" s="72"/>
      <c r="L566" s="68"/>
    </row>
    <row r="567" spans="1:12" s="142" customFormat="1">
      <c r="A567" s="66" t="s">
        <v>2045</v>
      </c>
      <c r="B567" s="66"/>
      <c r="C567" s="80"/>
      <c r="D567" s="66"/>
      <c r="E567" s="80"/>
      <c r="F567" s="80"/>
      <c r="G567" s="80"/>
      <c r="H567" s="112"/>
      <c r="I567" s="68"/>
      <c r="J567" s="66"/>
      <c r="K567" s="72"/>
      <c r="L567" s="68"/>
    </row>
    <row r="568" spans="1:12" s="142" customFormat="1">
      <c r="A568" s="66" t="s">
        <v>2046</v>
      </c>
      <c r="B568" s="66"/>
      <c r="C568" s="80"/>
      <c r="D568" s="66"/>
      <c r="E568" s="80"/>
      <c r="F568" s="80"/>
      <c r="G568" s="80"/>
      <c r="H568" s="112"/>
      <c r="I568" s="68"/>
      <c r="J568" s="66"/>
      <c r="K568" s="72"/>
      <c r="L568" s="68"/>
    </row>
    <row r="569" spans="1:12" s="142" customFormat="1">
      <c r="A569" s="66" t="s">
        <v>2047</v>
      </c>
      <c r="B569" s="66"/>
      <c r="C569" s="80"/>
      <c r="D569" s="66"/>
      <c r="E569" s="80"/>
      <c r="F569" s="80"/>
      <c r="G569" s="80"/>
      <c r="H569" s="112"/>
      <c r="I569" s="68"/>
      <c r="J569" s="66"/>
      <c r="K569" s="72"/>
      <c r="L569" s="68"/>
    </row>
    <row r="570" spans="1:12" s="142" customFormat="1">
      <c r="A570" s="66" t="s">
        <v>2048</v>
      </c>
      <c r="B570" s="66"/>
      <c r="C570" s="80"/>
      <c r="D570" s="66"/>
      <c r="E570" s="80"/>
      <c r="F570" s="80"/>
      <c r="G570" s="80"/>
      <c r="H570" s="112"/>
      <c r="I570" s="68"/>
      <c r="J570" s="66"/>
      <c r="K570" s="72"/>
      <c r="L570" s="68"/>
    </row>
    <row r="571" spans="1:12" s="142" customFormat="1">
      <c r="A571" s="66" t="s">
        <v>1540</v>
      </c>
      <c r="B571" s="66"/>
      <c r="C571" s="80"/>
      <c r="D571" s="66"/>
      <c r="E571" s="80"/>
      <c r="F571" s="80"/>
      <c r="G571" s="80"/>
      <c r="H571" s="112">
        <v>194120851</v>
      </c>
      <c r="I571" s="68"/>
      <c r="J571" s="72" t="s">
        <v>2025</v>
      </c>
      <c r="K571" s="72"/>
      <c r="L571" s="68"/>
    </row>
    <row r="572" spans="1:12" s="142" customFormat="1">
      <c r="A572" s="66" t="s">
        <v>1564</v>
      </c>
      <c r="B572" s="66"/>
      <c r="C572" s="80"/>
      <c r="D572" s="66"/>
      <c r="E572" s="80"/>
      <c r="F572" s="80"/>
      <c r="G572" s="80"/>
      <c r="H572" s="112"/>
      <c r="I572" s="68"/>
      <c r="J572" s="66"/>
      <c r="K572" s="72"/>
      <c r="L572" s="68"/>
    </row>
    <row r="573" spans="1:12" s="142" customFormat="1">
      <c r="A573" s="66" t="s">
        <v>1516</v>
      </c>
      <c r="B573" s="66"/>
      <c r="C573" s="80"/>
      <c r="D573" s="66"/>
      <c r="E573" s="80"/>
      <c r="F573" s="80"/>
      <c r="G573" s="80"/>
      <c r="H573" s="112"/>
      <c r="I573" s="68"/>
      <c r="J573" s="66"/>
      <c r="K573" s="72"/>
      <c r="L573" s="71"/>
    </row>
    <row r="574" spans="1:12" s="142" customFormat="1">
      <c r="A574" s="66" t="s">
        <v>2049</v>
      </c>
      <c r="B574" s="99">
        <v>44945</v>
      </c>
      <c r="C574" s="80" t="s">
        <v>1846</v>
      </c>
      <c r="D574" s="66"/>
      <c r="E574" s="80"/>
      <c r="F574" s="80"/>
      <c r="G574" s="80"/>
      <c r="H574" s="112"/>
      <c r="I574" s="68"/>
      <c r="J574" s="66" t="s">
        <v>2050</v>
      </c>
      <c r="K574" s="72"/>
      <c r="L574" s="71"/>
    </row>
    <row r="575" spans="1:12" s="142" customFormat="1">
      <c r="A575" s="66" t="s">
        <v>297</v>
      </c>
      <c r="B575" s="99">
        <v>44833</v>
      </c>
      <c r="C575" s="80" t="s">
        <v>1845</v>
      </c>
      <c r="D575" s="99">
        <v>44862</v>
      </c>
      <c r="E575" s="80" t="s">
        <v>1850</v>
      </c>
      <c r="F575" s="80"/>
      <c r="G575" s="80"/>
      <c r="H575" s="112"/>
      <c r="I575" s="68"/>
      <c r="J575" s="72" t="s">
        <v>2051</v>
      </c>
      <c r="K575" s="72"/>
      <c r="L575" s="68"/>
    </row>
    <row r="576" spans="1:12" s="142" customFormat="1">
      <c r="A576" s="66" t="s">
        <v>846</v>
      </c>
      <c r="B576" s="66"/>
      <c r="C576" s="80"/>
      <c r="D576" s="66"/>
      <c r="E576" s="80"/>
      <c r="F576" s="80"/>
      <c r="G576" s="80"/>
      <c r="H576" s="112"/>
      <c r="I576" s="68"/>
      <c r="J576" s="66"/>
      <c r="K576" s="72"/>
      <c r="L576" s="68"/>
    </row>
    <row r="577" spans="1:12" s="142" customFormat="1">
      <c r="A577" s="66" t="s">
        <v>849</v>
      </c>
      <c r="B577" s="66"/>
      <c r="C577" s="80"/>
      <c r="D577" s="66"/>
      <c r="E577" s="80"/>
      <c r="F577" s="80"/>
      <c r="G577" s="80"/>
      <c r="H577" s="112"/>
      <c r="I577" s="68"/>
      <c r="J577" s="66"/>
      <c r="K577" s="72"/>
      <c r="L577" s="68"/>
    </row>
    <row r="578" spans="1:12" s="142" customFormat="1">
      <c r="A578" s="66" t="s">
        <v>230</v>
      </c>
      <c r="B578" s="99">
        <v>44832</v>
      </c>
      <c r="C578" s="80" t="s">
        <v>1845</v>
      </c>
      <c r="D578" s="99">
        <v>44849</v>
      </c>
      <c r="E578" s="80" t="s">
        <v>1850</v>
      </c>
      <c r="F578" s="80"/>
      <c r="G578" s="80"/>
      <c r="H578" s="112"/>
      <c r="I578" s="68"/>
      <c r="J578" s="72" t="s">
        <v>1994</v>
      </c>
      <c r="K578" s="72"/>
      <c r="L578" s="68"/>
    </row>
    <row r="579" spans="1:12" s="142" customFormat="1">
      <c r="A579" s="66" t="s">
        <v>1190</v>
      </c>
      <c r="B579" s="66"/>
      <c r="C579" s="80"/>
      <c r="D579" s="66"/>
      <c r="E579" s="80"/>
      <c r="F579" s="80"/>
      <c r="G579" s="80"/>
      <c r="H579" s="112"/>
      <c r="I579" s="68"/>
      <c r="J579" s="66"/>
      <c r="K579" s="72"/>
      <c r="L579" s="71"/>
    </row>
    <row r="580" spans="1:12" s="142" customFormat="1">
      <c r="A580" s="66" t="s">
        <v>721</v>
      </c>
      <c r="B580" s="66"/>
      <c r="C580" s="80"/>
      <c r="D580" s="66"/>
      <c r="E580" s="80"/>
      <c r="F580" s="80"/>
      <c r="G580" s="80"/>
      <c r="H580" s="112"/>
      <c r="I580" s="68"/>
      <c r="J580" s="66"/>
      <c r="K580" s="72"/>
      <c r="L580" s="68"/>
    </row>
    <row r="581" spans="1:12" s="142" customFormat="1">
      <c r="A581" s="66" t="s">
        <v>788</v>
      </c>
      <c r="B581" s="99">
        <v>44874</v>
      </c>
      <c r="C581" s="80" t="s">
        <v>1845</v>
      </c>
      <c r="D581" s="99">
        <v>44874</v>
      </c>
      <c r="E581" s="80" t="s">
        <v>1850</v>
      </c>
      <c r="F581" s="80"/>
      <c r="G581" s="80"/>
      <c r="H581" s="112"/>
      <c r="I581" s="68"/>
      <c r="J581" s="66" t="s">
        <v>1857</v>
      </c>
      <c r="K581" s="72"/>
      <c r="L581" s="71"/>
    </row>
    <row r="582" spans="1:12" s="142" customFormat="1">
      <c r="A582" s="66" t="s">
        <v>375</v>
      </c>
      <c r="B582" s="99">
        <v>44831</v>
      </c>
      <c r="C582" s="80" t="s">
        <v>1845</v>
      </c>
      <c r="D582" s="99">
        <v>44849</v>
      </c>
      <c r="E582" s="80" t="s">
        <v>1850</v>
      </c>
      <c r="F582" s="80"/>
      <c r="G582" s="80"/>
      <c r="H582" s="112"/>
      <c r="I582" s="68"/>
      <c r="J582" s="72" t="s">
        <v>1994</v>
      </c>
      <c r="K582" s="72"/>
      <c r="L582" s="71"/>
    </row>
    <row r="583" spans="1:12" s="142" customFormat="1">
      <c r="A583" s="66" t="s">
        <v>753</v>
      </c>
      <c r="B583" s="66"/>
      <c r="C583" s="80"/>
      <c r="D583" s="66"/>
      <c r="E583" s="80"/>
      <c r="F583" s="80"/>
      <c r="G583" s="80"/>
      <c r="H583" s="112"/>
      <c r="I583" s="68"/>
      <c r="J583" s="66"/>
      <c r="K583" s="72"/>
      <c r="L583" s="71"/>
    </row>
    <row r="584" spans="1:12" s="142" customFormat="1">
      <c r="A584" s="66" t="s">
        <v>1067</v>
      </c>
      <c r="B584" s="99">
        <v>44792</v>
      </c>
      <c r="C584" s="80" t="s">
        <v>1845</v>
      </c>
      <c r="D584" s="99">
        <v>44849</v>
      </c>
      <c r="E584" s="80" t="s">
        <v>1850</v>
      </c>
      <c r="F584" s="80"/>
      <c r="G584" s="80"/>
      <c r="H584" s="112"/>
      <c r="I584" s="68"/>
      <c r="J584" s="72" t="s">
        <v>1994</v>
      </c>
      <c r="K584" s="72"/>
      <c r="L584" s="68"/>
    </row>
    <row r="585" spans="1:12" s="142" customFormat="1">
      <c r="A585" s="66" t="s">
        <v>886</v>
      </c>
      <c r="B585" s="99">
        <v>44832</v>
      </c>
      <c r="C585" s="80" t="s">
        <v>1845</v>
      </c>
      <c r="D585" s="99">
        <v>44849</v>
      </c>
      <c r="E585" s="80" t="s">
        <v>1850</v>
      </c>
      <c r="F585" s="80"/>
      <c r="G585" s="80"/>
      <c r="H585" s="112"/>
      <c r="I585" s="68"/>
      <c r="J585" s="72" t="s">
        <v>1994</v>
      </c>
      <c r="K585" s="72"/>
      <c r="L585" s="71"/>
    </row>
    <row r="586" spans="1:12" s="142" customFormat="1">
      <c r="A586" s="66" t="s">
        <v>299</v>
      </c>
      <c r="B586" s="99"/>
      <c r="C586" s="80"/>
      <c r="D586" s="99"/>
      <c r="E586" s="80"/>
      <c r="F586" s="80"/>
      <c r="G586" s="80"/>
      <c r="H586" s="112">
        <v>324547654</v>
      </c>
      <c r="I586" s="68"/>
      <c r="J586" s="72" t="s">
        <v>2025</v>
      </c>
      <c r="K586" s="72"/>
      <c r="L586" s="68"/>
    </row>
    <row r="587" spans="1:12" s="142" customFormat="1">
      <c r="A587" s="66" t="s">
        <v>2052</v>
      </c>
      <c r="B587" s="66"/>
      <c r="C587" s="80"/>
      <c r="D587" s="66"/>
      <c r="E587" s="80"/>
      <c r="F587" s="80"/>
      <c r="G587" s="80"/>
      <c r="H587" s="112"/>
      <c r="I587" s="68"/>
      <c r="J587" s="66"/>
      <c r="K587" s="72"/>
      <c r="L587" s="68"/>
    </row>
    <row r="588" spans="1:12" s="142" customFormat="1">
      <c r="A588" s="66" t="s">
        <v>1069</v>
      </c>
      <c r="B588" s="99">
        <v>44858</v>
      </c>
      <c r="C588" s="80" t="s">
        <v>1845</v>
      </c>
      <c r="D588" s="99">
        <v>44849</v>
      </c>
      <c r="E588" s="80" t="s">
        <v>1850</v>
      </c>
      <c r="F588" s="80"/>
      <c r="G588" s="80"/>
      <c r="H588" s="112"/>
      <c r="I588" s="68"/>
      <c r="J588" s="72" t="s">
        <v>1994</v>
      </c>
      <c r="K588" s="72"/>
      <c r="L588" s="68"/>
    </row>
    <row r="589" spans="1:12" s="142" customFormat="1">
      <c r="A589" s="66" t="s">
        <v>1523</v>
      </c>
      <c r="B589" s="66"/>
      <c r="C589" s="80"/>
      <c r="D589" s="66"/>
      <c r="E589" s="80"/>
      <c r="F589" s="80"/>
      <c r="G589" s="80"/>
      <c r="H589" s="112"/>
      <c r="I589" s="68"/>
      <c r="J589" s="66"/>
      <c r="K589" s="72"/>
      <c r="L589" s="68"/>
    </row>
    <row r="590" spans="1:12" s="142" customFormat="1">
      <c r="A590" s="66" t="s">
        <v>2053</v>
      </c>
      <c r="B590" s="66"/>
      <c r="C590" s="80"/>
      <c r="D590" s="66"/>
      <c r="E590" s="80"/>
      <c r="F590" s="80"/>
      <c r="G590" s="80"/>
      <c r="H590" s="112"/>
      <c r="I590" s="68"/>
      <c r="J590" s="66"/>
      <c r="K590" s="72"/>
      <c r="L590" s="68"/>
    </row>
    <row r="591" spans="1:12" s="142" customFormat="1">
      <c r="A591" s="66" t="s">
        <v>755</v>
      </c>
      <c r="B591" s="66"/>
      <c r="C591" s="80"/>
      <c r="D591" s="66"/>
      <c r="E591" s="80"/>
      <c r="F591" s="80"/>
      <c r="G591" s="80"/>
      <c r="H591" s="112"/>
      <c r="I591" s="68"/>
      <c r="J591" s="66"/>
      <c r="K591" s="72"/>
      <c r="L591" s="68"/>
    </row>
    <row r="592" spans="1:12" s="142" customFormat="1">
      <c r="A592" s="66" t="s">
        <v>2054</v>
      </c>
      <c r="B592" s="66"/>
      <c r="C592" s="80"/>
      <c r="D592" s="66"/>
      <c r="E592" s="80"/>
      <c r="F592" s="80"/>
      <c r="G592" s="80"/>
      <c r="H592" s="112"/>
      <c r="I592" s="68"/>
      <c r="J592" s="66"/>
      <c r="K592" s="72"/>
      <c r="L592" s="68"/>
    </row>
    <row r="593" spans="1:12" s="142" customFormat="1">
      <c r="A593" s="66" t="s">
        <v>2055</v>
      </c>
      <c r="B593" s="66"/>
      <c r="C593" s="80"/>
      <c r="D593" s="66"/>
      <c r="E593" s="80"/>
      <c r="F593" s="80"/>
      <c r="G593" s="80"/>
      <c r="H593" s="112"/>
      <c r="I593" s="68"/>
      <c r="J593" s="66"/>
      <c r="K593" s="72"/>
      <c r="L593" s="68"/>
    </row>
    <row r="594" spans="1:12" s="142" customFormat="1">
      <c r="A594" s="66" t="s">
        <v>167</v>
      </c>
      <c r="B594" s="66"/>
      <c r="C594" s="80"/>
      <c r="D594" s="66"/>
      <c r="E594" s="80"/>
      <c r="F594" s="80"/>
      <c r="G594" s="80"/>
      <c r="H594" s="112"/>
      <c r="I594" s="68"/>
      <c r="J594" s="66"/>
      <c r="K594" s="72"/>
      <c r="L594" s="68"/>
    </row>
    <row r="595" spans="1:12" s="142" customFormat="1">
      <c r="A595" s="66" t="s">
        <v>2056</v>
      </c>
      <c r="B595" s="66"/>
      <c r="C595" s="80"/>
      <c r="D595" s="66"/>
      <c r="E595" s="80"/>
      <c r="F595" s="80"/>
      <c r="G595" s="80"/>
      <c r="H595" s="112"/>
      <c r="I595" s="68"/>
      <c r="J595" s="66"/>
      <c r="K595" s="72"/>
      <c r="L595" s="68"/>
    </row>
    <row r="596" spans="1:12" s="142" customFormat="1">
      <c r="A596" s="66" t="s">
        <v>2057</v>
      </c>
      <c r="B596" s="66"/>
      <c r="C596" s="80"/>
      <c r="D596" s="66"/>
      <c r="E596" s="80"/>
      <c r="F596" s="80"/>
      <c r="G596" s="80"/>
      <c r="H596" s="112"/>
      <c r="I596" s="68"/>
      <c r="J596" s="66"/>
      <c r="K596" s="72"/>
      <c r="L596" s="68"/>
    </row>
    <row r="597" spans="1:12" s="142" customFormat="1">
      <c r="A597" s="66" t="s">
        <v>2058</v>
      </c>
      <c r="B597" s="66"/>
      <c r="C597" s="80"/>
      <c r="D597" s="66"/>
      <c r="E597" s="80"/>
      <c r="F597" s="80"/>
      <c r="G597" s="80"/>
      <c r="H597" s="112"/>
      <c r="I597" s="68"/>
      <c r="J597" s="66"/>
      <c r="K597" s="72"/>
      <c r="L597" s="68"/>
    </row>
    <row r="598" spans="1:12" s="142" customFormat="1">
      <c r="A598" s="66" t="s">
        <v>93</v>
      </c>
      <c r="B598" s="66"/>
      <c r="C598" s="80"/>
      <c r="D598" s="66"/>
      <c r="E598" s="80"/>
      <c r="F598" s="80"/>
      <c r="G598" s="80"/>
      <c r="H598" s="112"/>
      <c r="I598" s="68"/>
      <c r="J598" s="66"/>
      <c r="K598" s="72"/>
      <c r="L598" s="68"/>
    </row>
    <row r="599" spans="1:12" s="142" customFormat="1">
      <c r="A599" s="66" t="s">
        <v>2059</v>
      </c>
      <c r="B599" s="66"/>
      <c r="C599" s="80"/>
      <c r="D599" s="66"/>
      <c r="E599" s="80"/>
      <c r="F599" s="80"/>
      <c r="G599" s="80"/>
      <c r="H599" s="112"/>
      <c r="I599" s="68"/>
      <c r="J599" s="66"/>
      <c r="K599" s="72"/>
      <c r="L599" s="68"/>
    </row>
    <row r="600" spans="1:12" s="142" customFormat="1">
      <c r="A600" s="66" t="s">
        <v>301</v>
      </c>
      <c r="B600" s="66"/>
      <c r="C600" s="80"/>
      <c r="D600" s="66"/>
      <c r="E600" s="80"/>
      <c r="F600" s="80"/>
      <c r="G600" s="80"/>
      <c r="H600" s="112">
        <v>207546638</v>
      </c>
      <c r="I600" s="68"/>
      <c r="J600" s="66" t="s">
        <v>2025</v>
      </c>
      <c r="K600" s="72"/>
      <c r="L600" s="68"/>
    </row>
    <row r="601" spans="1:12" s="142" customFormat="1">
      <c r="A601" s="66" t="s">
        <v>170</v>
      </c>
      <c r="B601" s="66"/>
      <c r="C601" s="80"/>
      <c r="D601" s="66"/>
      <c r="E601" s="80"/>
      <c r="F601" s="80"/>
      <c r="G601" s="80"/>
      <c r="H601" s="112"/>
      <c r="I601" s="68"/>
      <c r="J601" s="66"/>
      <c r="K601" s="72"/>
      <c r="L601" s="68"/>
    </row>
    <row r="602" spans="1:12" s="142" customFormat="1">
      <c r="A602" s="66" t="s">
        <v>2060</v>
      </c>
      <c r="B602" s="66"/>
      <c r="C602" s="80"/>
      <c r="D602" s="66"/>
      <c r="E602" s="80"/>
      <c r="F602" s="80"/>
      <c r="G602" s="80"/>
      <c r="H602" s="112"/>
      <c r="I602" s="68"/>
      <c r="J602" s="66"/>
      <c r="K602" s="72"/>
      <c r="L602" s="68"/>
    </row>
    <row r="603" spans="1:12" s="142" customFormat="1">
      <c r="A603" s="66" t="s">
        <v>1465</v>
      </c>
      <c r="B603" s="66"/>
      <c r="C603" s="80"/>
      <c r="D603" s="66"/>
      <c r="E603" s="80"/>
      <c r="F603" s="80"/>
      <c r="G603" s="80"/>
      <c r="H603" s="112">
        <v>302784671</v>
      </c>
      <c r="I603" s="68"/>
      <c r="J603" s="66" t="s">
        <v>2025</v>
      </c>
      <c r="K603" s="72"/>
      <c r="L603" s="68"/>
    </row>
    <row r="604" spans="1:12" s="142" customFormat="1">
      <c r="A604" s="66" t="s">
        <v>2061</v>
      </c>
      <c r="B604" s="66"/>
      <c r="C604" s="80"/>
      <c r="D604" s="66"/>
      <c r="E604" s="80"/>
      <c r="F604" s="80"/>
      <c r="G604" s="80"/>
      <c r="H604" s="112"/>
      <c r="I604" s="68"/>
      <c r="J604" s="66"/>
      <c r="K604" s="72"/>
      <c r="L604" s="68"/>
    </row>
    <row r="605" spans="1:12" s="142" customFormat="1">
      <c r="A605" s="66" t="s">
        <v>377</v>
      </c>
      <c r="B605" s="66"/>
      <c r="C605" s="80"/>
      <c r="D605" s="66"/>
      <c r="E605" s="80"/>
      <c r="F605" s="80"/>
      <c r="G605" s="80"/>
      <c r="H605" s="112"/>
      <c r="I605" s="68"/>
      <c r="J605" s="66"/>
      <c r="K605" s="72"/>
      <c r="L605" s="68"/>
    </row>
    <row r="606" spans="1:12" s="142" customFormat="1">
      <c r="A606" s="66" t="s">
        <v>303</v>
      </c>
      <c r="B606" s="66"/>
      <c r="C606" s="80"/>
      <c r="D606" s="66"/>
      <c r="E606" s="80"/>
      <c r="F606" s="80"/>
      <c r="G606" s="80"/>
      <c r="H606" s="112"/>
      <c r="I606" s="68"/>
      <c r="J606" s="66"/>
      <c r="K606" s="72"/>
      <c r="L606" s="68"/>
    </row>
    <row r="607" spans="1:12" s="142" customFormat="1">
      <c r="A607" s="66" t="s">
        <v>2062</v>
      </c>
      <c r="B607" s="66"/>
      <c r="C607" s="80"/>
      <c r="D607" s="66"/>
      <c r="E607" s="80"/>
      <c r="F607" s="80"/>
      <c r="G607" s="80"/>
      <c r="H607" s="112"/>
      <c r="I607" s="68"/>
      <c r="J607" s="66"/>
      <c r="K607" s="72"/>
      <c r="L607" s="68"/>
    </row>
    <row r="608" spans="1:12" s="142" customFormat="1">
      <c r="A608" s="66" t="s">
        <v>2063</v>
      </c>
      <c r="B608" s="66"/>
      <c r="C608" s="80"/>
      <c r="D608" s="66"/>
      <c r="E608" s="80"/>
      <c r="F608" s="80"/>
      <c r="G608" s="80"/>
      <c r="H608" s="112"/>
      <c r="I608" s="68"/>
      <c r="J608" s="66"/>
      <c r="K608" s="72"/>
      <c r="L608" s="68"/>
    </row>
    <row r="609" spans="1:12" s="142" customFormat="1">
      <c r="A609" s="66" t="s">
        <v>2064</v>
      </c>
      <c r="B609" s="66"/>
      <c r="C609" s="80"/>
      <c r="D609" s="66"/>
      <c r="E609" s="80"/>
      <c r="F609" s="80"/>
      <c r="G609" s="80"/>
      <c r="H609" s="112"/>
      <c r="I609" s="68"/>
      <c r="J609" s="66"/>
      <c r="K609" s="72"/>
      <c r="L609" s="68"/>
    </row>
    <row r="610" spans="1:12" s="142" customFormat="1">
      <c r="A610" s="66" t="s">
        <v>2065</v>
      </c>
      <c r="B610" s="66"/>
      <c r="C610" s="80"/>
      <c r="D610" s="66"/>
      <c r="E610" s="80"/>
      <c r="F610" s="80"/>
      <c r="G610" s="80"/>
      <c r="H610" s="112"/>
      <c r="I610" s="68"/>
      <c r="J610" s="66"/>
      <c r="K610" s="72"/>
      <c r="L610" s="68"/>
    </row>
    <row r="611" spans="1:12" s="142" customFormat="1">
      <c r="A611" s="68" t="s">
        <v>1641</v>
      </c>
      <c r="B611" s="66"/>
      <c r="C611" s="66"/>
      <c r="D611" s="66"/>
      <c r="E611" s="66"/>
      <c r="F611" s="66"/>
      <c r="G611" s="66"/>
      <c r="H611" s="110"/>
      <c r="I611" s="68"/>
      <c r="J611" s="68"/>
      <c r="K611" s="68"/>
      <c r="L611" s="68"/>
    </row>
    <row r="612" spans="1:12" s="142" customFormat="1">
      <c r="A612" s="68" t="s">
        <v>2066</v>
      </c>
      <c r="B612" s="66"/>
      <c r="C612" s="66"/>
      <c r="D612" s="66"/>
      <c r="E612" s="66"/>
      <c r="F612" s="66"/>
      <c r="G612" s="66"/>
      <c r="H612" s="110"/>
      <c r="I612" s="68"/>
      <c r="J612" s="68"/>
      <c r="K612" s="68"/>
      <c r="L612" s="68"/>
    </row>
    <row r="613" spans="1:12" s="142" customFormat="1">
      <c r="A613" s="68" t="s">
        <v>1071</v>
      </c>
      <c r="B613" s="66"/>
      <c r="C613" s="66"/>
      <c r="D613" s="66"/>
      <c r="E613" s="66"/>
      <c r="F613" s="66"/>
      <c r="G613" s="66"/>
      <c r="H613" s="110"/>
      <c r="I613" s="68"/>
      <c r="J613" s="68"/>
      <c r="K613" s="68"/>
      <c r="L613" s="68"/>
    </row>
    <row r="614" spans="1:12" s="142" customFormat="1">
      <c r="A614" s="68" t="s">
        <v>2067</v>
      </c>
      <c r="B614" s="66"/>
      <c r="C614" s="66"/>
      <c r="D614" s="66"/>
      <c r="E614" s="66"/>
      <c r="F614" s="66"/>
      <c r="G614" s="66"/>
      <c r="H614" s="110"/>
      <c r="I614" s="68"/>
      <c r="J614" s="68"/>
      <c r="K614" s="68"/>
      <c r="L614" s="68"/>
    </row>
    <row r="615" spans="1:12" s="142" customFormat="1">
      <c r="A615" s="68" t="s">
        <v>1144</v>
      </c>
      <c r="B615" s="66"/>
      <c r="C615" s="66"/>
      <c r="D615" s="66"/>
      <c r="E615" s="66"/>
      <c r="F615" s="66"/>
      <c r="G615" s="66"/>
      <c r="H615" s="110"/>
      <c r="I615" s="68"/>
      <c r="J615" s="68"/>
      <c r="K615" s="68"/>
      <c r="L615" s="68"/>
    </row>
    <row r="616" spans="1:12" s="142" customFormat="1">
      <c r="A616" s="68" t="s">
        <v>758</v>
      </c>
      <c r="B616" s="66"/>
      <c r="C616" s="66"/>
      <c r="D616" s="66"/>
      <c r="E616" s="66"/>
      <c r="F616" s="66"/>
      <c r="G616" s="66"/>
      <c r="H616" s="110"/>
      <c r="I616" s="68"/>
      <c r="J616" s="68"/>
      <c r="K616" s="68"/>
      <c r="L616" s="68"/>
    </row>
    <row r="617" spans="1:12" s="142" customFormat="1">
      <c r="A617" s="68" t="s">
        <v>2068</v>
      </c>
      <c r="B617" s="66"/>
      <c r="C617" s="66"/>
      <c r="D617" s="66"/>
      <c r="E617" s="66"/>
      <c r="F617" s="66"/>
      <c r="G617" s="66"/>
      <c r="H617" s="110"/>
      <c r="I617" s="68"/>
      <c r="J617" s="68"/>
      <c r="K617" s="68"/>
      <c r="L617" s="68"/>
    </row>
    <row r="618" spans="1:12" s="142" customFormat="1">
      <c r="A618" s="68" t="s">
        <v>2069</v>
      </c>
      <c r="B618" s="66"/>
      <c r="C618" s="66"/>
      <c r="D618" s="66"/>
      <c r="E618" s="66"/>
      <c r="F618" s="66"/>
      <c r="G618" s="66"/>
      <c r="H618" s="110"/>
      <c r="I618" s="68"/>
      <c r="J618" s="68"/>
      <c r="K618" s="89"/>
      <c r="L618" s="68"/>
    </row>
    <row r="619" spans="1:12" s="142" customFormat="1">
      <c r="A619" s="68" t="s">
        <v>1674</v>
      </c>
      <c r="B619" s="66"/>
      <c r="C619" s="66"/>
      <c r="D619" s="66"/>
      <c r="E619" s="66"/>
      <c r="F619" s="66"/>
      <c r="G619" s="66"/>
      <c r="H619" s="110"/>
      <c r="I619" s="68"/>
      <c r="J619" s="68"/>
      <c r="K619" s="68"/>
      <c r="L619" s="68"/>
    </row>
    <row r="620" spans="1:12" s="142" customFormat="1">
      <c r="A620" s="68" t="s">
        <v>1581</v>
      </c>
      <c r="B620" s="66"/>
      <c r="C620" s="66"/>
      <c r="D620" s="66"/>
      <c r="E620" s="66"/>
      <c r="F620" s="66"/>
      <c r="G620" s="66"/>
      <c r="H620" s="110"/>
      <c r="I620" s="68"/>
      <c r="J620" s="68"/>
      <c r="K620" s="68"/>
      <c r="L620" s="68"/>
    </row>
    <row r="621" spans="1:12" s="142" customFormat="1">
      <c r="A621" s="68" t="s">
        <v>2070</v>
      </c>
      <c r="B621" s="66"/>
      <c r="C621" s="66"/>
      <c r="D621" s="66"/>
      <c r="E621" s="66"/>
      <c r="F621" s="66"/>
      <c r="G621" s="66"/>
      <c r="H621" s="110"/>
      <c r="I621" s="68"/>
      <c r="J621" s="68"/>
      <c r="K621" s="68"/>
      <c r="L621" s="68"/>
    </row>
    <row r="622" spans="1:12" s="142" customFormat="1">
      <c r="A622" s="68" t="s">
        <v>2071</v>
      </c>
      <c r="B622" s="66"/>
      <c r="C622" s="66"/>
      <c r="D622" s="66"/>
      <c r="E622" s="66"/>
      <c r="F622" s="66"/>
      <c r="G622" s="66"/>
      <c r="H622" s="110"/>
      <c r="I622" s="68"/>
      <c r="J622" s="68"/>
      <c r="K622" s="68"/>
      <c r="L622" s="68"/>
    </row>
    <row r="623" spans="1:12" s="142" customFormat="1">
      <c r="A623" s="68" t="s">
        <v>790</v>
      </c>
      <c r="B623" s="99">
        <v>44875</v>
      </c>
      <c r="C623" s="99" t="s">
        <v>1845</v>
      </c>
      <c r="D623" s="99">
        <v>44877</v>
      </c>
      <c r="E623" s="66" t="s">
        <v>1856</v>
      </c>
      <c r="F623" s="66"/>
      <c r="G623" s="66"/>
      <c r="H623" s="110"/>
      <c r="I623" s="68"/>
      <c r="J623" s="66" t="s">
        <v>2072</v>
      </c>
      <c r="K623" s="68"/>
      <c r="L623" s="68"/>
    </row>
    <row r="624" spans="1:12" s="142" customFormat="1">
      <c r="A624" s="68" t="s">
        <v>2073</v>
      </c>
      <c r="B624" s="66"/>
      <c r="C624" s="66"/>
      <c r="D624" s="66"/>
      <c r="E624" s="66"/>
      <c r="F624" s="66"/>
      <c r="G624" s="66"/>
      <c r="H624" s="110"/>
      <c r="I624" s="68"/>
      <c r="J624" s="68"/>
      <c r="K624" s="68"/>
      <c r="L624" s="68"/>
    </row>
    <row r="625" spans="1:12" s="142" customFormat="1">
      <c r="A625" s="68" t="s">
        <v>2074</v>
      </c>
      <c r="B625" s="66"/>
      <c r="C625" s="66"/>
      <c r="D625" s="66"/>
      <c r="E625" s="66"/>
      <c r="F625" s="66"/>
      <c r="G625" s="66"/>
      <c r="H625" s="110"/>
      <c r="I625" s="68"/>
      <c r="J625" s="68"/>
      <c r="K625" s="68"/>
      <c r="L625" s="68"/>
    </row>
    <row r="626" spans="1:12" s="142" customFormat="1">
      <c r="A626" s="68" t="s">
        <v>2075</v>
      </c>
      <c r="B626" s="66"/>
      <c r="C626" s="66"/>
      <c r="D626" s="66"/>
      <c r="E626" s="66"/>
      <c r="F626" s="66"/>
      <c r="G626" s="66"/>
      <c r="H626" s="110"/>
      <c r="I626" s="68"/>
      <c r="J626" s="68"/>
      <c r="K626" s="68"/>
      <c r="L626" s="68"/>
    </row>
    <row r="627" spans="1:12" s="142" customFormat="1">
      <c r="A627" s="68" t="s">
        <v>1653</v>
      </c>
      <c r="B627" s="66"/>
      <c r="C627" s="66"/>
      <c r="D627" s="66"/>
      <c r="E627" s="66"/>
      <c r="F627" s="66"/>
      <c r="G627" s="66"/>
      <c r="H627" s="110"/>
      <c r="I627" s="68"/>
      <c r="J627" s="68"/>
      <c r="K627" s="68"/>
      <c r="L627" s="68"/>
    </row>
    <row r="628" spans="1:12" s="142" customFormat="1">
      <c r="A628" s="68" t="s">
        <v>2076</v>
      </c>
      <c r="B628" s="66"/>
      <c r="C628" s="66"/>
      <c r="D628" s="66"/>
      <c r="E628" s="66"/>
      <c r="F628" s="66"/>
      <c r="G628" s="66"/>
      <c r="H628" s="110"/>
      <c r="I628" s="68"/>
      <c r="J628" s="68"/>
      <c r="K628" s="68"/>
      <c r="L628" s="68"/>
    </row>
    <row r="629" spans="1:12" s="142" customFormat="1">
      <c r="A629" s="68" t="s">
        <v>2077</v>
      </c>
      <c r="B629" s="66"/>
      <c r="C629" s="66"/>
      <c r="D629" s="66"/>
      <c r="E629" s="66"/>
      <c r="F629" s="66"/>
      <c r="G629" s="66"/>
      <c r="H629" s="110"/>
      <c r="I629" s="68"/>
      <c r="J629" s="68"/>
      <c r="K629" s="68"/>
      <c r="L629" s="68"/>
    </row>
    <row r="630" spans="1:12" s="142" customFormat="1">
      <c r="A630" s="68" t="s">
        <v>2078</v>
      </c>
      <c r="B630" s="66"/>
      <c r="C630" s="66"/>
      <c r="D630" s="66"/>
      <c r="E630" s="66"/>
      <c r="F630" s="66"/>
      <c r="G630" s="66"/>
      <c r="H630" s="110"/>
      <c r="I630" s="68"/>
      <c r="J630" s="68"/>
      <c r="K630" s="68"/>
      <c r="L630" s="68"/>
    </row>
    <row r="631" spans="1:12" s="142" customFormat="1">
      <c r="A631" s="68" t="s">
        <v>975</v>
      </c>
      <c r="B631" s="66"/>
      <c r="C631" s="66"/>
      <c r="D631" s="66"/>
      <c r="E631" s="66"/>
      <c r="F631" s="66"/>
      <c r="G631" s="66"/>
      <c r="H631" s="110"/>
      <c r="I631" s="68"/>
      <c r="J631" s="68"/>
      <c r="K631" s="68"/>
      <c r="L631" s="68"/>
    </row>
    <row r="632" spans="1:12" s="142" customFormat="1">
      <c r="A632" s="68" t="s">
        <v>2079</v>
      </c>
      <c r="B632" s="66"/>
      <c r="C632" s="66"/>
      <c r="D632" s="66"/>
      <c r="E632" s="66"/>
      <c r="F632" s="66"/>
      <c r="G632" s="66"/>
      <c r="H632" s="110"/>
      <c r="I632" s="68"/>
      <c r="J632" s="68"/>
      <c r="K632" s="68"/>
      <c r="L632" s="68"/>
    </row>
    <row r="633" spans="1:12" s="142" customFormat="1">
      <c r="A633" s="68" t="s">
        <v>1597</v>
      </c>
      <c r="B633" s="66"/>
      <c r="C633" s="66"/>
      <c r="D633" s="66"/>
      <c r="E633" s="66"/>
      <c r="F633" s="66"/>
      <c r="G633" s="66"/>
      <c r="H633" s="110"/>
      <c r="I633" s="68"/>
      <c r="J633" s="68"/>
      <c r="K633" s="68"/>
      <c r="L633" s="68"/>
    </row>
    <row r="634" spans="1:12" s="142" customFormat="1">
      <c r="A634" s="68" t="s">
        <v>2080</v>
      </c>
      <c r="B634" s="66"/>
      <c r="C634" s="66"/>
      <c r="D634" s="66"/>
      <c r="E634" s="66"/>
      <c r="F634" s="66"/>
      <c r="G634" s="66"/>
      <c r="H634" s="110"/>
      <c r="I634" s="68"/>
      <c r="J634" s="68"/>
      <c r="K634" s="68"/>
      <c r="L634" s="68"/>
    </row>
    <row r="635" spans="1:12" s="142" customFormat="1">
      <c r="A635" s="68" t="s">
        <v>669</v>
      </c>
      <c r="B635" s="66"/>
      <c r="C635" s="66"/>
      <c r="D635" s="66"/>
      <c r="E635" s="66"/>
      <c r="F635" s="66"/>
      <c r="G635" s="66"/>
      <c r="H635" s="110"/>
      <c r="I635" s="68"/>
      <c r="J635" s="68"/>
      <c r="K635" s="68"/>
      <c r="L635" s="68"/>
    </row>
    <row r="636" spans="1:12" s="142" customFormat="1">
      <c r="A636" s="68" t="s">
        <v>1109</v>
      </c>
      <c r="B636" s="66"/>
      <c r="C636" s="66"/>
      <c r="D636" s="66"/>
      <c r="E636" s="66"/>
      <c r="F636" s="66"/>
      <c r="G636" s="66"/>
      <c r="H636" s="110"/>
      <c r="I636" s="68"/>
      <c r="J636" s="68"/>
      <c r="K636" s="68"/>
      <c r="L636" s="68"/>
    </row>
    <row r="637" spans="1:12" s="142" customFormat="1">
      <c r="A637" s="68" t="s">
        <v>1644</v>
      </c>
      <c r="B637" s="66"/>
      <c r="C637" s="66"/>
      <c r="D637" s="66"/>
      <c r="E637" s="66"/>
      <c r="F637" s="66"/>
      <c r="G637" s="66"/>
      <c r="H637" s="110"/>
      <c r="I637" s="68"/>
      <c r="J637" s="68"/>
      <c r="K637" s="68"/>
      <c r="L637" s="68"/>
    </row>
    <row r="638" spans="1:12" s="142" customFormat="1">
      <c r="A638" s="68" t="s">
        <v>2081</v>
      </c>
      <c r="B638" s="66"/>
      <c r="C638" s="66"/>
      <c r="D638" s="66"/>
      <c r="E638" s="66"/>
      <c r="F638" s="66"/>
      <c r="G638" s="66"/>
      <c r="H638" s="110"/>
      <c r="I638" s="68"/>
      <c r="J638" s="68"/>
      <c r="K638" s="68"/>
      <c r="L638" s="68"/>
    </row>
    <row r="639" spans="1:12" s="142" customFormat="1">
      <c r="A639" s="68" t="s">
        <v>2082</v>
      </c>
      <c r="B639" s="66"/>
      <c r="C639" s="66"/>
      <c r="D639" s="66"/>
      <c r="E639" s="66"/>
      <c r="F639" s="66"/>
      <c r="G639" s="66"/>
      <c r="H639" s="110"/>
      <c r="I639" s="68"/>
      <c r="J639" s="68"/>
      <c r="K639" s="68"/>
      <c r="L639" s="68"/>
    </row>
    <row r="640" spans="1:12" s="142" customFormat="1">
      <c r="A640" s="68" t="s">
        <v>2083</v>
      </c>
      <c r="B640" s="66"/>
      <c r="C640" s="66"/>
      <c r="D640" s="66"/>
      <c r="E640" s="66"/>
      <c r="F640" s="66"/>
      <c r="G640" s="66"/>
      <c r="H640" s="110"/>
      <c r="I640" s="68"/>
      <c r="J640" s="68"/>
      <c r="K640" s="68"/>
      <c r="L640" s="68"/>
    </row>
    <row r="641" spans="1:12" s="142" customFormat="1">
      <c r="A641" s="68" t="s">
        <v>2084</v>
      </c>
      <c r="B641" s="66"/>
      <c r="C641" s="66"/>
      <c r="D641" s="66"/>
      <c r="E641" s="66"/>
      <c r="F641" s="66"/>
      <c r="G641" s="66"/>
      <c r="H641" s="110"/>
      <c r="I641" s="68"/>
      <c r="J641" s="68"/>
      <c r="K641" s="68"/>
      <c r="L641" s="68"/>
    </row>
    <row r="642" spans="1:12" s="142" customFormat="1">
      <c r="A642" s="68" t="s">
        <v>1672</v>
      </c>
      <c r="B642" s="66"/>
      <c r="C642" s="66"/>
      <c r="D642" s="66"/>
      <c r="E642" s="66"/>
      <c r="F642" s="66"/>
      <c r="G642" s="66"/>
      <c r="H642" s="110"/>
      <c r="I642" s="68"/>
      <c r="J642" s="68"/>
      <c r="K642" s="68"/>
      <c r="L642" s="68"/>
    </row>
    <row r="643" spans="1:12" s="142" customFormat="1">
      <c r="A643" s="68" t="s">
        <v>1757</v>
      </c>
      <c r="B643" s="66"/>
      <c r="C643" s="66"/>
      <c r="D643" s="66"/>
      <c r="E643" s="66"/>
      <c r="F643" s="66"/>
      <c r="G643" s="66"/>
      <c r="H643" s="110"/>
      <c r="I643" s="68"/>
      <c r="J643" s="68"/>
      <c r="K643" s="68"/>
      <c r="L643" s="68"/>
    </row>
    <row r="644" spans="1:12" s="142" customFormat="1">
      <c r="A644" s="68" t="s">
        <v>2085</v>
      </c>
      <c r="B644" s="67"/>
      <c r="C644" s="67"/>
      <c r="D644" s="67"/>
      <c r="E644" s="67"/>
      <c r="F644" s="67"/>
      <c r="G644" s="67"/>
      <c r="H644" s="110"/>
      <c r="I644" s="68"/>
      <c r="J644" s="68"/>
      <c r="K644" s="68"/>
      <c r="L644" s="68"/>
    </row>
    <row r="645" spans="1:12" s="142" customFormat="1">
      <c r="A645" s="68" t="s">
        <v>2086</v>
      </c>
      <c r="B645" s="67"/>
      <c r="C645" s="67"/>
      <c r="D645" s="67"/>
      <c r="E645" s="67"/>
      <c r="F645" s="67"/>
      <c r="G645" s="67"/>
      <c r="H645" s="110"/>
      <c r="I645" s="68"/>
      <c r="J645" s="68"/>
      <c r="K645" s="68"/>
      <c r="L645" s="68"/>
    </row>
    <row r="646" spans="1:12" s="142" customFormat="1">
      <c r="A646" s="68" t="s">
        <v>1635</v>
      </c>
      <c r="B646" s="67"/>
      <c r="C646" s="67"/>
      <c r="D646" s="67"/>
      <c r="E646" s="67"/>
      <c r="F646" s="67"/>
      <c r="G646" s="67"/>
      <c r="H646" s="110"/>
      <c r="I646" s="68"/>
      <c r="J646" s="68"/>
      <c r="K646" s="68"/>
      <c r="L646" s="68"/>
    </row>
    <row r="647" spans="1:12" s="142" customFormat="1">
      <c r="A647" s="68" t="s">
        <v>2087</v>
      </c>
      <c r="B647" s="67"/>
      <c r="C647" s="67"/>
      <c r="D647" s="67"/>
      <c r="E647" s="67"/>
      <c r="F647" s="67"/>
      <c r="G647" s="67"/>
      <c r="H647" s="110"/>
      <c r="I647" s="68"/>
      <c r="J647" s="68"/>
      <c r="K647" s="68"/>
      <c r="L647" s="68"/>
    </row>
    <row r="648" spans="1:12" s="142" customFormat="1">
      <c r="A648" s="68" t="s">
        <v>573</v>
      </c>
      <c r="B648" s="98">
        <v>44874</v>
      </c>
      <c r="C648" s="67" t="s">
        <v>1845</v>
      </c>
      <c r="D648" s="98">
        <v>44874</v>
      </c>
      <c r="E648" s="67" t="s">
        <v>1850</v>
      </c>
      <c r="F648" s="67"/>
      <c r="G648" s="67"/>
      <c r="H648" s="110"/>
      <c r="I648" s="68"/>
      <c r="J648" s="66" t="s">
        <v>1857</v>
      </c>
      <c r="K648" s="68"/>
      <c r="L648" s="68"/>
    </row>
    <row r="649" spans="1:12" s="142" customFormat="1">
      <c r="A649" s="68" t="s">
        <v>937</v>
      </c>
      <c r="B649" s="98">
        <v>44820</v>
      </c>
      <c r="C649" s="67" t="s">
        <v>1845</v>
      </c>
      <c r="D649" s="98">
        <v>44823</v>
      </c>
      <c r="E649" s="67" t="s">
        <v>1850</v>
      </c>
      <c r="F649" s="67"/>
      <c r="G649" s="67"/>
      <c r="H649" s="110"/>
      <c r="I649" s="68"/>
      <c r="J649" s="72" t="s">
        <v>2088</v>
      </c>
      <c r="K649" s="68"/>
      <c r="L649" s="68"/>
    </row>
    <row r="650" spans="1:12" s="142" customFormat="1">
      <c r="A650" s="68" t="s">
        <v>672</v>
      </c>
      <c r="B650" s="67"/>
      <c r="C650" s="67"/>
      <c r="D650" s="67"/>
      <c r="E650" s="67"/>
      <c r="F650" s="67"/>
      <c r="G650" s="67"/>
      <c r="H650" s="110"/>
      <c r="I650" s="68"/>
      <c r="J650" s="68"/>
      <c r="K650" s="68"/>
      <c r="L650" s="68"/>
    </row>
    <row r="651" spans="1:12" s="142" customFormat="1">
      <c r="A651" s="68" t="s">
        <v>972</v>
      </c>
      <c r="B651" s="67"/>
      <c r="C651" s="67"/>
      <c r="D651" s="67"/>
      <c r="E651" s="67"/>
      <c r="F651" s="67"/>
      <c r="G651" s="67"/>
      <c r="H651" s="110"/>
      <c r="I651" s="68"/>
      <c r="J651" s="68"/>
      <c r="K651" s="68"/>
      <c r="L651" s="68"/>
    </row>
    <row r="652" spans="1:12" s="142" customFormat="1">
      <c r="A652" s="68" t="s">
        <v>793</v>
      </c>
      <c r="B652" s="67"/>
      <c r="C652" s="67"/>
      <c r="D652" s="67"/>
      <c r="E652" s="67"/>
      <c r="F652" s="67"/>
      <c r="G652" s="67"/>
      <c r="H652" s="110"/>
      <c r="I652" s="68"/>
      <c r="J652" s="68"/>
      <c r="K652" s="68"/>
      <c r="L652" s="68"/>
    </row>
    <row r="653" spans="1:12" s="142" customFormat="1">
      <c r="A653" s="68" t="s">
        <v>1662</v>
      </c>
      <c r="B653" s="67"/>
      <c r="C653" s="67"/>
      <c r="D653" s="67"/>
      <c r="E653" s="67"/>
      <c r="F653" s="67"/>
      <c r="G653" s="67"/>
      <c r="H653" s="110"/>
      <c r="I653" s="68"/>
      <c r="J653" s="68"/>
      <c r="K653" s="68"/>
      <c r="L653" s="68"/>
    </row>
    <row r="654" spans="1:12" s="142" customFormat="1">
      <c r="A654" s="68" t="s">
        <v>2089</v>
      </c>
      <c r="B654" s="67"/>
      <c r="C654" s="67"/>
      <c r="D654" s="67"/>
      <c r="E654" s="67"/>
      <c r="F654" s="67"/>
      <c r="G654" s="67"/>
      <c r="H654" s="110"/>
      <c r="I654" s="68"/>
      <c r="J654" s="68"/>
      <c r="K654" s="68"/>
      <c r="L654" s="68"/>
    </row>
    <row r="655" spans="1:12" s="142" customFormat="1">
      <c r="A655" s="68" t="s">
        <v>2090</v>
      </c>
      <c r="B655" s="67"/>
      <c r="C655" s="67"/>
      <c r="D655" s="67"/>
      <c r="E655" s="67"/>
      <c r="F655" s="67"/>
      <c r="G655" s="67"/>
      <c r="H655" s="110"/>
      <c r="I655" s="68"/>
      <c r="J655" s="68"/>
      <c r="K655" s="68"/>
      <c r="L655" s="68"/>
    </row>
    <row r="656" spans="1:12" s="142" customFormat="1">
      <c r="A656" s="68" t="s">
        <v>2091</v>
      </c>
      <c r="B656" s="66"/>
      <c r="C656" s="66"/>
      <c r="D656" s="66"/>
      <c r="E656" s="66"/>
      <c r="F656" s="66"/>
      <c r="G656" s="66"/>
      <c r="H656" s="110"/>
      <c r="I656" s="68"/>
      <c r="J656" s="68"/>
      <c r="K656" s="68"/>
      <c r="L656" s="68"/>
    </row>
    <row r="657" spans="1:12" s="142" customFormat="1">
      <c r="A657" s="68" t="s">
        <v>2092</v>
      </c>
      <c r="B657" s="67"/>
      <c r="C657" s="67"/>
      <c r="D657" s="67"/>
      <c r="E657" s="67"/>
      <c r="F657" s="67"/>
      <c r="G657" s="67"/>
      <c r="H657" s="110"/>
      <c r="I657" s="68"/>
      <c r="J657" s="68"/>
      <c r="K657" s="68"/>
      <c r="L657" s="68"/>
    </row>
    <row r="658" spans="1:12" s="142" customFormat="1">
      <c r="A658" s="68" t="s">
        <v>2093</v>
      </c>
      <c r="B658" s="67"/>
      <c r="C658" s="67"/>
      <c r="D658" s="67"/>
      <c r="E658" s="67"/>
      <c r="F658" s="67"/>
      <c r="G658" s="67"/>
      <c r="H658" s="110"/>
      <c r="I658" s="68"/>
      <c r="J658" s="68"/>
      <c r="K658" s="68"/>
      <c r="L658" s="68"/>
    </row>
    <row r="659" spans="1:12" s="142" customFormat="1">
      <c r="A659" s="68" t="s">
        <v>1034</v>
      </c>
      <c r="B659" s="67"/>
      <c r="C659" s="67"/>
      <c r="D659" s="67"/>
      <c r="E659" s="67"/>
      <c r="F659" s="67"/>
      <c r="G659" s="67"/>
      <c r="H659" s="110"/>
      <c r="I659" s="68"/>
      <c r="J659" s="68"/>
      <c r="K659" s="68"/>
      <c r="L659" s="68"/>
    </row>
    <row r="660" spans="1:12" s="142" customFormat="1">
      <c r="A660" s="68" t="s">
        <v>2094</v>
      </c>
      <c r="B660" s="66"/>
      <c r="C660" s="66"/>
      <c r="D660" s="66"/>
      <c r="E660" s="66"/>
      <c r="F660" s="66"/>
      <c r="G660" s="66"/>
      <c r="H660" s="110"/>
      <c r="I660" s="68"/>
      <c r="J660" s="68"/>
      <c r="K660" s="68"/>
      <c r="L660" s="68"/>
    </row>
    <row r="661" spans="1:12" s="142" customFormat="1">
      <c r="A661" s="68" t="s">
        <v>2095</v>
      </c>
      <c r="B661" s="67"/>
      <c r="C661" s="67"/>
      <c r="D661" s="67"/>
      <c r="E661" s="67"/>
      <c r="F661" s="67"/>
      <c r="G661" s="67"/>
      <c r="H661" s="110"/>
      <c r="I661" s="68"/>
      <c r="J661" s="68"/>
      <c r="K661" s="68"/>
      <c r="L661" s="68"/>
    </row>
    <row r="662" spans="1:12" s="142" customFormat="1">
      <c r="A662" s="68" t="s">
        <v>889</v>
      </c>
      <c r="B662" s="98">
        <v>44847</v>
      </c>
      <c r="C662" s="67" t="s">
        <v>1845</v>
      </c>
      <c r="D662" s="98">
        <v>44874</v>
      </c>
      <c r="E662" s="67" t="s">
        <v>1850</v>
      </c>
      <c r="F662" s="67"/>
      <c r="G662" s="67"/>
      <c r="H662" s="110"/>
      <c r="I662" s="68"/>
      <c r="J662" s="66" t="s">
        <v>1851</v>
      </c>
      <c r="K662" s="68"/>
      <c r="L662" s="68"/>
    </row>
    <row r="663" spans="1:12" s="142" customFormat="1">
      <c r="A663" s="68" t="s">
        <v>1073</v>
      </c>
      <c r="B663" s="67"/>
      <c r="C663" s="67"/>
      <c r="D663" s="67"/>
      <c r="E663" s="67"/>
      <c r="F663" s="67"/>
      <c r="G663" s="67"/>
      <c r="H663" s="110"/>
      <c r="I663" s="68"/>
      <c r="J663" s="68"/>
      <c r="K663" s="68"/>
      <c r="L663" s="68"/>
    </row>
    <row r="664" spans="1:12" s="142" customFormat="1">
      <c r="A664" s="68" t="s">
        <v>674</v>
      </c>
      <c r="B664" s="98">
        <v>44837</v>
      </c>
      <c r="C664" s="67" t="s">
        <v>1845</v>
      </c>
      <c r="D664" s="98">
        <v>44874</v>
      </c>
      <c r="E664" s="67" t="s">
        <v>1850</v>
      </c>
      <c r="F664" s="67"/>
      <c r="G664" s="67"/>
      <c r="H664" s="110"/>
      <c r="I664" s="68"/>
      <c r="J664" s="66" t="s">
        <v>2096</v>
      </c>
      <c r="K664" s="68"/>
      <c r="L664" s="68"/>
    </row>
    <row r="665" spans="1:12" s="142" customFormat="1">
      <c r="A665" s="68" t="s">
        <v>2097</v>
      </c>
      <c r="B665" s="66"/>
      <c r="C665" s="66"/>
      <c r="D665" s="66"/>
      <c r="E665" s="66"/>
      <c r="F665" s="66"/>
      <c r="G665" s="66"/>
      <c r="H665" s="110"/>
      <c r="I665" s="68"/>
      <c r="J665" s="68"/>
      <c r="K665" s="68"/>
      <c r="L665" s="68"/>
    </row>
    <row r="666" spans="1:12" s="142" customFormat="1">
      <c r="A666" s="68" t="s">
        <v>2098</v>
      </c>
      <c r="B666" s="66"/>
      <c r="C666" s="66"/>
      <c r="D666" s="66"/>
      <c r="E666" s="66"/>
      <c r="F666" s="66"/>
      <c r="G666" s="66"/>
      <c r="H666" s="110"/>
      <c r="I666" s="68"/>
      <c r="J666" s="68"/>
      <c r="K666" s="68"/>
      <c r="L666" s="68"/>
    </row>
    <row r="667" spans="1:12" s="142" customFormat="1">
      <c r="A667" s="68" t="s">
        <v>495</v>
      </c>
      <c r="B667" s="67"/>
      <c r="C667" s="67"/>
      <c r="D667" s="67"/>
      <c r="E667" s="67"/>
      <c r="F667" s="67"/>
      <c r="G667" s="67"/>
      <c r="H667" s="110"/>
      <c r="I667" s="68"/>
      <c r="J667" s="68"/>
      <c r="K667" s="68"/>
      <c r="L667" s="68"/>
    </row>
    <row r="668" spans="1:12">
      <c r="A668" s="68" t="s">
        <v>796</v>
      </c>
      <c r="B668" s="67"/>
      <c r="C668" s="67"/>
      <c r="D668" s="67"/>
      <c r="E668" s="67"/>
      <c r="F668" s="67"/>
      <c r="G668" s="67"/>
      <c r="H668" s="110"/>
      <c r="I668" s="68"/>
      <c r="J668" s="68"/>
      <c r="K668" s="68"/>
      <c r="L668" s="68"/>
    </row>
    <row r="669" spans="1:12">
      <c r="A669" s="68" t="s">
        <v>1656</v>
      </c>
      <c r="B669" s="67"/>
      <c r="C669" s="67"/>
      <c r="D669" s="67"/>
      <c r="E669" s="67"/>
      <c r="F669" s="67"/>
      <c r="G669" s="67"/>
      <c r="H669" s="110"/>
      <c r="I669" s="68"/>
      <c r="J669" s="68"/>
      <c r="K669" s="68"/>
      <c r="L669" s="68"/>
    </row>
    <row r="670" spans="1:12">
      <c r="A670" s="68" t="s">
        <v>2099</v>
      </c>
      <c r="B670" s="67"/>
      <c r="C670" s="67"/>
      <c r="D670" s="67"/>
      <c r="E670" s="67"/>
      <c r="F670" s="67"/>
      <c r="G670" s="67"/>
      <c r="H670" s="110"/>
      <c r="I670" s="68"/>
      <c r="J670" s="68"/>
      <c r="K670" s="68"/>
      <c r="L670" s="68"/>
    </row>
    <row r="671" spans="1:12">
      <c r="A671" s="68" t="s">
        <v>2100</v>
      </c>
      <c r="B671" s="67"/>
      <c r="C671" s="67"/>
      <c r="D671" s="67"/>
      <c r="E671" s="67"/>
      <c r="F671" s="67"/>
      <c r="G671" s="67"/>
      <c r="H671" s="110"/>
      <c r="I671" s="68"/>
      <c r="J671" s="68"/>
      <c r="K671" s="68"/>
      <c r="L671" s="68"/>
    </row>
    <row r="672" spans="1:12">
      <c r="A672" s="83" t="s">
        <v>727</v>
      </c>
      <c r="B672" s="83"/>
      <c r="C672" s="83"/>
      <c r="D672" s="83"/>
      <c r="E672" s="83"/>
      <c r="F672" s="83"/>
      <c r="G672" s="83"/>
      <c r="H672" s="116"/>
      <c r="I672" s="83"/>
      <c r="J672" s="83"/>
      <c r="K672" s="83"/>
      <c r="L672" s="83"/>
    </row>
    <row r="673" spans="1:12">
      <c r="A673" s="81" t="s">
        <v>1623</v>
      </c>
      <c r="B673" s="91"/>
      <c r="C673" s="91"/>
      <c r="D673" s="91"/>
      <c r="E673" s="91"/>
      <c r="F673" s="91"/>
      <c r="G673" s="91"/>
      <c r="H673" s="113"/>
      <c r="I673" s="83"/>
      <c r="J673" s="81"/>
      <c r="K673" s="92"/>
      <c r="L673" s="92"/>
    </row>
    <row r="674" spans="1:12">
      <c r="A674" s="81" t="s">
        <v>2101</v>
      </c>
      <c r="B674" s="91"/>
      <c r="C674" s="91"/>
      <c r="D674" s="91"/>
      <c r="E674" s="91"/>
      <c r="F674" s="91"/>
      <c r="G674" s="91"/>
      <c r="H674" s="113"/>
      <c r="I674" s="83"/>
      <c r="J674" s="81"/>
      <c r="K674" s="92"/>
      <c r="L674" s="92"/>
    </row>
    <row r="675" spans="1:12">
      <c r="A675" s="81" t="s">
        <v>2102</v>
      </c>
      <c r="B675" s="91"/>
      <c r="C675" s="91"/>
      <c r="D675" s="91"/>
      <c r="E675" s="91"/>
      <c r="F675" s="91"/>
      <c r="G675" s="91"/>
      <c r="H675" s="113"/>
      <c r="I675" s="83"/>
      <c r="J675" s="81"/>
      <c r="K675" s="92"/>
      <c r="L675" s="92"/>
    </row>
    <row r="676" spans="1:12">
      <c r="A676" s="81" t="s">
        <v>2103</v>
      </c>
      <c r="B676" s="91"/>
      <c r="C676" s="91"/>
      <c r="D676" s="91"/>
      <c r="E676" s="91"/>
      <c r="F676" s="91"/>
      <c r="G676" s="91"/>
      <c r="H676" s="113"/>
      <c r="I676" s="83"/>
      <c r="J676" s="81"/>
      <c r="K676" s="92"/>
      <c r="L676" s="92"/>
    </row>
    <row r="677" spans="1:12">
      <c r="A677" s="81" t="s">
        <v>2104</v>
      </c>
      <c r="B677" s="91"/>
      <c r="C677" s="91"/>
      <c r="D677" s="91"/>
      <c r="E677" s="91"/>
      <c r="F677" s="91"/>
      <c r="G677" s="91"/>
      <c r="H677" s="113"/>
      <c r="I677" s="83"/>
      <c r="J677" s="81"/>
      <c r="K677" s="92"/>
      <c r="L677" s="92"/>
    </row>
    <row r="678" spans="1:12">
      <c r="A678" s="81" t="s">
        <v>1793</v>
      </c>
      <c r="B678" s="91"/>
      <c r="C678" s="91"/>
      <c r="D678" s="91"/>
      <c r="E678" s="91"/>
      <c r="F678" s="91"/>
      <c r="G678" s="91"/>
      <c r="H678" s="113"/>
      <c r="I678" s="83"/>
      <c r="J678" s="81"/>
      <c r="K678" s="92"/>
      <c r="L678" s="92"/>
    </row>
    <row r="679" spans="1:12">
      <c r="A679" s="81" t="s">
        <v>1695</v>
      </c>
      <c r="B679" s="83"/>
      <c r="C679" s="83"/>
      <c r="D679" s="83"/>
      <c r="E679" s="83"/>
      <c r="F679" s="83"/>
      <c r="G679" s="83"/>
      <c r="H679" s="116"/>
      <c r="I679" s="83"/>
      <c r="J679" s="81"/>
      <c r="K679" s="92"/>
      <c r="L679" s="92"/>
    </row>
    <row r="680" spans="1:12">
      <c r="A680" s="81" t="s">
        <v>2105</v>
      </c>
      <c r="B680" s="91"/>
      <c r="C680" s="91"/>
      <c r="D680" s="91"/>
      <c r="E680" s="91"/>
      <c r="F680" s="91"/>
      <c r="G680" s="91"/>
      <c r="H680" s="113"/>
      <c r="I680" s="83"/>
      <c r="J680" s="81"/>
      <c r="K680" s="92"/>
      <c r="L680" s="92"/>
    </row>
    <row r="681" spans="1:12">
      <c r="A681" s="81" t="s">
        <v>2106</v>
      </c>
      <c r="B681" s="91"/>
      <c r="C681" s="91"/>
      <c r="D681" s="91"/>
      <c r="E681" s="91"/>
      <c r="F681" s="91"/>
      <c r="G681" s="91"/>
      <c r="H681" s="113"/>
      <c r="I681" s="83"/>
      <c r="J681" s="81"/>
      <c r="K681" s="92"/>
      <c r="L681" s="92"/>
    </row>
    <row r="682" spans="1:12">
      <c r="A682" s="81" t="s">
        <v>1608</v>
      </c>
      <c r="B682" s="91"/>
      <c r="C682" s="91"/>
      <c r="D682" s="91"/>
      <c r="E682" s="91"/>
      <c r="F682" s="91"/>
      <c r="G682" s="91"/>
      <c r="H682" s="113"/>
      <c r="I682" s="83"/>
      <c r="J682" s="81"/>
      <c r="K682" s="92"/>
      <c r="L682" s="92"/>
    </row>
    <row r="683" spans="1:12">
      <c r="A683" s="81" t="s">
        <v>1680</v>
      </c>
      <c r="B683" s="91"/>
      <c r="C683" s="91"/>
      <c r="D683" s="91"/>
      <c r="E683" s="91"/>
      <c r="F683" s="91"/>
      <c r="G683" s="91"/>
      <c r="H683" s="113"/>
      <c r="I683" s="83"/>
      <c r="J683" s="81"/>
      <c r="K683" s="92"/>
      <c r="L683" s="92"/>
    </row>
    <row r="684" spans="1:12">
      <c r="A684" s="81" t="s">
        <v>1811</v>
      </c>
      <c r="B684" s="91"/>
      <c r="C684" s="91"/>
      <c r="D684" s="91"/>
      <c r="E684" s="91"/>
      <c r="F684" s="91"/>
      <c r="G684" s="91"/>
      <c r="H684" s="113"/>
      <c r="I684" s="83"/>
      <c r="J684" s="81"/>
      <c r="K684" s="92"/>
      <c r="L684" s="92"/>
    </row>
    <row r="685" spans="1:12">
      <c r="A685" s="81" t="s">
        <v>2107</v>
      </c>
      <c r="B685" s="91"/>
      <c r="C685" s="91"/>
      <c r="D685" s="91"/>
      <c r="E685" s="91"/>
      <c r="F685" s="91"/>
      <c r="G685" s="91"/>
      <c r="H685" s="113"/>
      <c r="I685" s="83"/>
      <c r="J685" s="81"/>
      <c r="K685" s="92"/>
      <c r="L685" s="92"/>
    </row>
    <row r="686" spans="1:12">
      <c r="A686" s="81" t="s">
        <v>2108</v>
      </c>
      <c r="B686" s="91"/>
      <c r="C686" s="91"/>
      <c r="D686" s="91"/>
      <c r="E686" s="91"/>
      <c r="F686" s="91"/>
      <c r="G686" s="91"/>
      <c r="H686" s="113"/>
      <c r="I686" s="83"/>
      <c r="J686" s="81"/>
      <c r="K686" s="92"/>
      <c r="L686" s="92"/>
    </row>
    <row r="687" spans="1:12">
      <c r="A687" s="81" t="s">
        <v>1610</v>
      </c>
      <c r="B687" s="91"/>
      <c r="C687" s="91"/>
      <c r="D687" s="91"/>
      <c r="E687" s="91"/>
      <c r="F687" s="91"/>
      <c r="G687" s="91"/>
      <c r="H687" s="113"/>
      <c r="I687" s="83"/>
      <c r="J687" s="81"/>
      <c r="K687" s="92"/>
      <c r="L687" s="92"/>
    </row>
    <row r="688" spans="1:12">
      <c r="A688" s="81" t="s">
        <v>2109</v>
      </c>
      <c r="B688" s="91"/>
      <c r="C688" s="91"/>
      <c r="D688" s="91"/>
      <c r="E688" s="91"/>
      <c r="F688" s="91"/>
      <c r="G688" s="91"/>
      <c r="H688" s="113"/>
      <c r="I688" s="83"/>
      <c r="J688" s="81"/>
      <c r="K688" s="92"/>
      <c r="L688" s="92"/>
    </row>
    <row r="689" spans="1:12">
      <c r="A689" s="81" t="s">
        <v>1809</v>
      </c>
      <c r="B689" s="91"/>
      <c r="C689" s="91"/>
      <c r="D689" s="91"/>
      <c r="E689" s="91"/>
      <c r="F689" s="91"/>
      <c r="G689" s="91"/>
      <c r="H689" s="113"/>
      <c r="I689" s="83"/>
      <c r="J689" s="81"/>
      <c r="K689" s="92"/>
      <c r="L689" s="92"/>
    </row>
    <row r="690" spans="1:12">
      <c r="A690" s="81" t="s">
        <v>1768</v>
      </c>
      <c r="B690" s="91"/>
      <c r="C690" s="91"/>
      <c r="D690" s="91"/>
      <c r="E690" s="91"/>
      <c r="F690" s="91"/>
      <c r="G690" s="91"/>
      <c r="H690" s="113"/>
      <c r="I690" s="83"/>
      <c r="J690" s="81"/>
      <c r="K690" s="92"/>
      <c r="L690" s="92"/>
    </row>
    <row r="691" spans="1:12">
      <c r="A691" s="81" t="s">
        <v>1770</v>
      </c>
      <c r="B691" s="91"/>
      <c r="C691" s="91"/>
      <c r="D691" s="91"/>
      <c r="E691" s="91"/>
      <c r="F691" s="91"/>
      <c r="G691" s="91"/>
      <c r="H691" s="113"/>
      <c r="I691" s="83"/>
      <c r="J691" s="81"/>
      <c r="K691" s="92"/>
      <c r="L691" s="92"/>
    </row>
    <row r="692" spans="1:12">
      <c r="A692" s="81" t="s">
        <v>1753</v>
      </c>
      <c r="B692" s="91"/>
      <c r="C692" s="91"/>
      <c r="D692" s="91"/>
      <c r="E692" s="91"/>
      <c r="F692" s="91"/>
      <c r="G692" s="91"/>
      <c r="H692" s="113"/>
      <c r="I692" s="83"/>
      <c r="J692" s="81"/>
      <c r="K692" s="92"/>
      <c r="L692" s="92"/>
    </row>
    <row r="693" spans="1:12">
      <c r="A693" s="81" t="s">
        <v>2110</v>
      </c>
      <c r="B693" s="91"/>
      <c r="C693" s="91"/>
      <c r="D693" s="91"/>
      <c r="E693" s="91"/>
      <c r="F693" s="91"/>
      <c r="G693" s="91"/>
      <c r="H693" s="113"/>
      <c r="I693" s="83"/>
      <c r="J693" s="81"/>
      <c r="K693" s="92"/>
      <c r="L693" s="92"/>
    </row>
    <row r="694" spans="1:12">
      <c r="A694" s="81" t="s">
        <v>1761</v>
      </c>
      <c r="B694" s="91"/>
      <c r="C694" s="91"/>
      <c r="D694" s="91"/>
      <c r="E694" s="91"/>
      <c r="F694" s="91"/>
      <c r="G694" s="91"/>
      <c r="H694" s="113"/>
      <c r="I694" s="83"/>
      <c r="J694" s="81"/>
      <c r="K694" s="92"/>
      <c r="L694" s="92"/>
    </row>
    <row r="695" spans="1:12">
      <c r="A695" s="81" t="s">
        <v>2111</v>
      </c>
      <c r="B695" s="91"/>
      <c r="C695" s="91"/>
      <c r="D695" s="91"/>
      <c r="E695" s="91"/>
      <c r="F695" s="91"/>
      <c r="G695" s="91"/>
      <c r="H695" s="113"/>
      <c r="I695" s="83"/>
      <c r="J695" s="81"/>
      <c r="K695" s="92"/>
      <c r="L695" s="92"/>
    </row>
    <row r="696" spans="1:12">
      <c r="A696" s="81" t="s">
        <v>1745</v>
      </c>
      <c r="B696" s="91"/>
      <c r="C696" s="91"/>
      <c r="D696" s="91"/>
      <c r="E696" s="91"/>
      <c r="F696" s="91"/>
      <c r="G696" s="91"/>
      <c r="H696" s="113"/>
      <c r="I696" s="83"/>
      <c r="J696" s="81"/>
      <c r="K696" s="92"/>
      <c r="L696" s="92"/>
    </row>
    <row r="697" spans="1:12">
      <c r="A697" s="81" t="s">
        <v>2112</v>
      </c>
      <c r="B697" s="91"/>
      <c r="C697" s="91"/>
      <c r="D697" s="91"/>
      <c r="E697" s="91"/>
      <c r="F697" s="91"/>
      <c r="G697" s="91"/>
      <c r="H697" s="113"/>
      <c r="I697" s="83"/>
      <c r="J697" s="81"/>
      <c r="K697" s="92"/>
      <c r="L697" s="92"/>
    </row>
    <row r="698" spans="1:12">
      <c r="A698" s="81" t="s">
        <v>2113</v>
      </c>
      <c r="B698" s="91"/>
      <c r="C698" s="91"/>
      <c r="D698" s="91"/>
      <c r="E698" s="91"/>
      <c r="F698" s="91"/>
      <c r="G698" s="91"/>
      <c r="H698" s="113"/>
      <c r="I698" s="83"/>
      <c r="J698" s="81"/>
      <c r="K698" s="92"/>
      <c r="L698" s="92"/>
    </row>
    <row r="699" spans="1:12">
      <c r="A699" s="81" t="s">
        <v>2114</v>
      </c>
      <c r="B699" s="91"/>
      <c r="C699" s="91"/>
      <c r="D699" s="91"/>
      <c r="E699" s="91"/>
      <c r="F699" s="91"/>
      <c r="G699" s="91"/>
      <c r="H699" s="113"/>
      <c r="I699" s="83"/>
      <c r="J699" s="81"/>
      <c r="K699" s="92"/>
      <c r="L699" s="92"/>
    </row>
    <row r="700" spans="1:12">
      <c r="A700" s="81" t="s">
        <v>1795</v>
      </c>
      <c r="B700" s="91"/>
      <c r="C700" s="91"/>
      <c r="D700" s="91"/>
      <c r="E700" s="91"/>
      <c r="F700" s="91"/>
      <c r="G700" s="91"/>
      <c r="H700" s="113"/>
      <c r="I700" s="83"/>
      <c r="J700" s="81"/>
      <c r="K700" s="92"/>
      <c r="L700" s="92"/>
    </row>
    <row r="701" spans="1:12">
      <c r="A701" s="81" t="s">
        <v>1274</v>
      </c>
      <c r="B701" s="91"/>
      <c r="C701" s="91"/>
      <c r="D701" s="91"/>
      <c r="E701" s="91"/>
      <c r="F701" s="91"/>
      <c r="G701" s="91"/>
      <c r="H701" s="113"/>
      <c r="I701" s="83"/>
      <c r="J701" s="81"/>
      <c r="K701" s="92"/>
      <c r="L701" s="92"/>
    </row>
    <row r="702" spans="1:12">
      <c r="A702" s="81" t="s">
        <v>2115</v>
      </c>
      <c r="B702" s="91"/>
      <c r="C702" s="91"/>
      <c r="D702" s="91"/>
      <c r="E702" s="91"/>
      <c r="F702" s="91"/>
      <c r="G702" s="91"/>
      <c r="H702" s="113"/>
      <c r="I702" s="83"/>
      <c r="J702" s="81"/>
      <c r="K702" s="92"/>
      <c r="L702" s="92"/>
    </row>
    <row r="703" spans="1:12">
      <c r="A703" s="81" t="s">
        <v>1772</v>
      </c>
      <c r="B703" s="91"/>
      <c r="C703" s="91"/>
      <c r="D703" s="91"/>
      <c r="E703" s="91"/>
      <c r="F703" s="91"/>
      <c r="G703" s="91"/>
      <c r="H703" s="113"/>
      <c r="I703" s="83"/>
      <c r="J703" s="81"/>
      <c r="K703" s="92"/>
      <c r="L703" s="92"/>
    </row>
    <row r="704" spans="1:12">
      <c r="A704" s="81" t="s">
        <v>1700</v>
      </c>
      <c r="B704" s="91"/>
      <c r="C704" s="91"/>
      <c r="D704" s="91"/>
      <c r="E704" s="91"/>
      <c r="F704" s="91"/>
      <c r="G704" s="91"/>
      <c r="H704" s="113"/>
      <c r="I704" s="83"/>
      <c r="J704" s="81"/>
      <c r="K704" s="92"/>
      <c r="L704" s="92"/>
    </row>
    <row r="705" spans="1:12">
      <c r="A705" s="81" t="s">
        <v>2116</v>
      </c>
      <c r="B705" s="91"/>
      <c r="C705" s="91"/>
      <c r="D705" s="91"/>
      <c r="E705" s="91"/>
      <c r="F705" s="91"/>
      <c r="G705" s="91"/>
      <c r="H705" s="113"/>
      <c r="I705" s="83"/>
      <c r="J705" s="81"/>
      <c r="K705" s="92"/>
      <c r="L705" s="92"/>
    </row>
    <row r="706" spans="1:12">
      <c r="A706" s="81" t="s">
        <v>2117</v>
      </c>
      <c r="B706" s="91"/>
      <c r="C706" s="91"/>
      <c r="D706" s="91"/>
      <c r="E706" s="91"/>
      <c r="F706" s="91"/>
      <c r="G706" s="91"/>
      <c r="H706" s="113"/>
      <c r="I706" s="83"/>
      <c r="J706" s="81"/>
      <c r="K706" s="92"/>
      <c r="L706" s="92"/>
    </row>
    <row r="707" spans="1:12">
      <c r="A707" s="81" t="s">
        <v>2118</v>
      </c>
      <c r="B707" s="91"/>
      <c r="C707" s="91"/>
      <c r="D707" s="91"/>
      <c r="E707" s="91"/>
      <c r="F707" s="91"/>
      <c r="G707" s="91"/>
      <c r="H707" s="113"/>
      <c r="I707" s="83"/>
      <c r="J707" s="81"/>
      <c r="K707" s="92"/>
      <c r="L707" s="92"/>
    </row>
    <row r="708" spans="1:12">
      <c r="A708" s="81" t="s">
        <v>2119</v>
      </c>
      <c r="B708" s="91"/>
      <c r="C708" s="91"/>
      <c r="D708" s="91"/>
      <c r="E708" s="91"/>
      <c r="F708" s="91"/>
      <c r="G708" s="91"/>
      <c r="H708" s="113"/>
      <c r="I708" s="83"/>
      <c r="J708" s="81"/>
      <c r="K708" s="92"/>
      <c r="L708" s="92"/>
    </row>
    <row r="709" spans="1:12">
      <c r="A709" s="81" t="s">
        <v>2120</v>
      </c>
      <c r="B709" s="91"/>
      <c r="C709" s="91"/>
      <c r="D709" s="91"/>
      <c r="E709" s="91"/>
      <c r="F709" s="91"/>
      <c r="G709" s="91"/>
      <c r="H709" s="113"/>
      <c r="I709" s="83"/>
      <c r="J709" s="81"/>
      <c r="K709" s="92"/>
      <c r="L709" s="92"/>
    </row>
    <row r="710" spans="1:12">
      <c r="A710" s="81" t="s">
        <v>2121</v>
      </c>
      <c r="B710" s="91"/>
      <c r="C710" s="91"/>
      <c r="D710" s="91"/>
      <c r="E710" s="91"/>
      <c r="F710" s="91"/>
      <c r="G710" s="91"/>
      <c r="H710" s="113"/>
      <c r="I710" s="83"/>
      <c r="J710" s="81"/>
      <c r="K710" s="92"/>
      <c r="L710" s="92"/>
    </row>
    <row r="711" spans="1:12">
      <c r="A711" s="81" t="s">
        <v>2122</v>
      </c>
      <c r="B711" s="91"/>
      <c r="C711" s="91"/>
      <c r="D711" s="91"/>
      <c r="E711" s="91"/>
      <c r="F711" s="91"/>
      <c r="G711" s="91"/>
      <c r="H711" s="113"/>
      <c r="I711" s="83"/>
      <c r="J711" s="81"/>
      <c r="K711" s="92"/>
      <c r="L711" s="92"/>
    </row>
    <row r="712" spans="1:12">
      <c r="A712" s="81" t="s">
        <v>1594</v>
      </c>
      <c r="B712" s="91"/>
      <c r="C712" s="91"/>
      <c r="D712" s="91"/>
      <c r="E712" s="91"/>
      <c r="F712" s="91"/>
      <c r="G712" s="91"/>
      <c r="H712" s="113"/>
      <c r="I712" s="83"/>
      <c r="J712" s="81"/>
      <c r="K712" s="92"/>
      <c r="L712" s="92"/>
    </row>
    <row r="713" spans="1:12">
      <c r="A713" s="81" t="s">
        <v>2123</v>
      </c>
      <c r="B713" s="91"/>
      <c r="C713" s="91"/>
      <c r="D713" s="91"/>
      <c r="E713" s="91"/>
      <c r="F713" s="91"/>
      <c r="G713" s="91"/>
      <c r="H713" s="113"/>
      <c r="I713" s="83"/>
      <c r="J713" s="81"/>
      <c r="K713" s="92"/>
      <c r="L713" s="92"/>
    </row>
    <row r="714" spans="1:12">
      <c r="A714" s="81" t="s">
        <v>2124</v>
      </c>
      <c r="B714" s="91"/>
      <c r="C714" s="91"/>
      <c r="D714" s="91"/>
      <c r="E714" s="91"/>
      <c r="F714" s="91"/>
      <c r="G714" s="91"/>
      <c r="H714" s="113"/>
      <c r="I714" s="83"/>
      <c r="J714" s="81"/>
      <c r="K714" s="92"/>
      <c r="L714" s="92"/>
    </row>
    <row r="715" spans="1:12">
      <c r="A715" s="81" t="s">
        <v>2125</v>
      </c>
      <c r="B715" s="91"/>
      <c r="C715" s="91"/>
      <c r="D715" s="91"/>
      <c r="E715" s="91"/>
      <c r="F715" s="91"/>
      <c r="G715" s="91"/>
      <c r="H715" s="113"/>
      <c r="I715" s="83"/>
      <c r="J715" s="81"/>
      <c r="K715" s="92"/>
      <c r="L715" s="92"/>
    </row>
    <row r="716" spans="1:12">
      <c r="A716" s="81" t="s">
        <v>1702</v>
      </c>
      <c r="B716" s="91"/>
      <c r="C716" s="91"/>
      <c r="D716" s="91"/>
      <c r="E716" s="91"/>
      <c r="F716" s="91"/>
      <c r="G716" s="91"/>
      <c r="H716" s="113"/>
      <c r="I716" s="83"/>
      <c r="J716" s="81"/>
      <c r="K716" s="92"/>
      <c r="L716" s="92"/>
    </row>
    <row r="717" spans="1:12">
      <c r="A717" s="81" t="s">
        <v>576</v>
      </c>
      <c r="B717" s="91"/>
      <c r="C717" s="91"/>
      <c r="D717" s="91"/>
      <c r="E717" s="91"/>
      <c r="F717" s="91"/>
      <c r="G717" s="91"/>
      <c r="H717" s="113"/>
      <c r="I717" s="83"/>
      <c r="J717" s="81"/>
      <c r="K717" s="92"/>
      <c r="L717" s="92"/>
    </row>
    <row r="718" spans="1:12">
      <c r="A718" s="81" t="s">
        <v>1613</v>
      </c>
      <c r="B718" s="91"/>
      <c r="C718" s="91"/>
      <c r="D718" s="91"/>
      <c r="E718" s="91"/>
      <c r="F718" s="91"/>
      <c r="G718" s="91"/>
      <c r="H718" s="113"/>
      <c r="I718" s="83"/>
      <c r="J718" s="81"/>
      <c r="K718" s="92"/>
      <c r="L718" s="92"/>
    </row>
    <row r="719" spans="1:12">
      <c r="A719" s="81" t="s">
        <v>2126</v>
      </c>
      <c r="B719" s="91"/>
      <c r="C719" s="91"/>
      <c r="D719" s="91"/>
      <c r="E719" s="91"/>
      <c r="F719" s="91"/>
      <c r="G719" s="91"/>
      <c r="H719" s="113"/>
      <c r="I719" s="83"/>
      <c r="J719" s="81"/>
      <c r="K719" s="92"/>
      <c r="L719" s="92"/>
    </row>
    <row r="720" spans="1:12">
      <c r="A720" s="81" t="s">
        <v>2127</v>
      </c>
      <c r="B720" s="91"/>
      <c r="C720" s="91"/>
      <c r="D720" s="91"/>
      <c r="E720" s="91"/>
      <c r="F720" s="91"/>
      <c r="G720" s="91"/>
      <c r="H720" s="113"/>
      <c r="I720" s="83"/>
      <c r="J720" s="81"/>
      <c r="K720" s="92"/>
      <c r="L720" s="92"/>
    </row>
    <row r="721" spans="1:12">
      <c r="A721" s="81" t="s">
        <v>2128</v>
      </c>
      <c r="B721" s="91"/>
      <c r="C721" s="91"/>
      <c r="D721" s="91"/>
      <c r="E721" s="91"/>
      <c r="F721" s="91"/>
      <c r="G721" s="91"/>
      <c r="H721" s="113"/>
      <c r="I721" s="83"/>
      <c r="J721" s="81"/>
      <c r="K721" s="92"/>
      <c r="L721" s="92"/>
    </row>
    <row r="722" spans="1:12">
      <c r="A722" s="81" t="s">
        <v>1730</v>
      </c>
      <c r="B722" s="91"/>
      <c r="C722" s="91"/>
      <c r="D722" s="91"/>
      <c r="E722" s="91"/>
      <c r="F722" s="91"/>
      <c r="G722" s="91"/>
      <c r="H722" s="113"/>
      <c r="I722" s="83"/>
      <c r="J722" s="81"/>
      <c r="K722" s="92"/>
      <c r="L722" s="92"/>
    </row>
    <row r="723" spans="1:12">
      <c r="A723" s="81" t="s">
        <v>2129</v>
      </c>
      <c r="B723" s="91"/>
      <c r="C723" s="91"/>
      <c r="D723" s="91"/>
      <c r="E723" s="91"/>
      <c r="F723" s="91"/>
      <c r="G723" s="91"/>
      <c r="H723" s="113"/>
      <c r="I723" s="83"/>
      <c r="J723" s="81"/>
      <c r="K723" s="92"/>
      <c r="L723" s="92"/>
    </row>
    <row r="724" spans="1:12">
      <c r="A724" s="81" t="s">
        <v>2130</v>
      </c>
      <c r="B724" s="91"/>
      <c r="C724" s="91"/>
      <c r="D724" s="91"/>
      <c r="E724" s="91"/>
      <c r="F724" s="91"/>
      <c r="G724" s="91"/>
      <c r="H724" s="113"/>
      <c r="I724" s="83"/>
      <c r="J724" s="81"/>
      <c r="K724" s="92"/>
      <c r="L724" s="92"/>
    </row>
    <row r="725" spans="1:12">
      <c r="A725" s="81" t="s">
        <v>1735</v>
      </c>
      <c r="B725" s="91"/>
      <c r="C725" s="91"/>
      <c r="D725" s="91"/>
      <c r="E725" s="91"/>
      <c r="F725" s="91"/>
      <c r="G725" s="91"/>
      <c r="H725" s="113"/>
      <c r="I725" s="83"/>
      <c r="J725" s="81"/>
      <c r="K725" s="92"/>
      <c r="L725" s="92"/>
    </row>
    <row r="726" spans="1:12">
      <c r="A726" s="81" t="s">
        <v>2131</v>
      </c>
      <c r="B726" s="91"/>
      <c r="C726" s="91"/>
      <c r="D726" s="91"/>
      <c r="E726" s="91"/>
      <c r="F726" s="91"/>
      <c r="G726" s="91"/>
      <c r="H726" s="113"/>
      <c r="I726" s="83"/>
      <c r="J726" s="81"/>
      <c r="K726" s="92"/>
      <c r="L726" s="92"/>
    </row>
    <row r="727" spans="1:12">
      <c r="A727" s="81" t="s">
        <v>1620</v>
      </c>
      <c r="B727" s="91"/>
      <c r="C727" s="91"/>
      <c r="D727" s="91"/>
      <c r="E727" s="91"/>
      <c r="F727" s="91"/>
      <c r="G727" s="91"/>
      <c r="H727" s="113"/>
      <c r="I727" s="83"/>
      <c r="J727" s="81"/>
      <c r="K727" s="92"/>
      <c r="L727" s="92"/>
    </row>
    <row r="728" spans="1:12">
      <c r="A728" s="81" t="s">
        <v>2132</v>
      </c>
      <c r="B728" s="91"/>
      <c r="C728" s="91"/>
      <c r="D728" s="91"/>
      <c r="E728" s="91"/>
      <c r="F728" s="91"/>
      <c r="G728" s="91"/>
      <c r="H728" s="113"/>
      <c r="I728" s="83"/>
      <c r="J728" s="81"/>
      <c r="K728" s="92"/>
      <c r="L728" s="92"/>
    </row>
    <row r="729" spans="1:12">
      <c r="A729" s="81" t="s">
        <v>1625</v>
      </c>
      <c r="B729" s="91"/>
      <c r="C729" s="91"/>
      <c r="D729" s="91"/>
      <c r="E729" s="91"/>
      <c r="F729" s="91"/>
      <c r="G729" s="91"/>
      <c r="H729" s="113"/>
      <c r="I729" s="83"/>
      <c r="J729" s="81"/>
      <c r="K729" s="92"/>
      <c r="L729" s="92"/>
    </row>
    <row r="730" spans="1:12">
      <c r="A730" s="81" t="s">
        <v>1638</v>
      </c>
      <c r="B730" s="91"/>
      <c r="C730" s="91"/>
      <c r="D730" s="91"/>
      <c r="E730" s="91"/>
      <c r="F730" s="91"/>
      <c r="G730" s="91"/>
      <c r="H730" s="113"/>
      <c r="I730" s="83"/>
      <c r="J730" s="81"/>
      <c r="K730" s="92"/>
      <c r="L730" s="92"/>
    </row>
    <row r="731" spans="1:12">
      <c r="A731" s="81" t="s">
        <v>1797</v>
      </c>
      <c r="B731" s="91"/>
      <c r="C731" s="91"/>
      <c r="D731" s="91"/>
      <c r="E731" s="91"/>
      <c r="F731" s="91"/>
      <c r="G731" s="91"/>
      <c r="H731" s="113"/>
      <c r="I731" s="83"/>
      <c r="J731" s="81"/>
      <c r="K731" s="92"/>
      <c r="L731" s="92"/>
    </row>
    <row r="732" spans="1:12">
      <c r="A732" s="81" t="s">
        <v>1732</v>
      </c>
      <c r="B732" s="91"/>
      <c r="C732" s="91"/>
      <c r="D732" s="91"/>
      <c r="E732" s="91"/>
      <c r="F732" s="91"/>
      <c r="G732" s="91"/>
      <c r="H732" s="113"/>
      <c r="I732" s="83"/>
      <c r="J732" s="81"/>
      <c r="K732" s="92"/>
      <c r="L732" s="92"/>
    </row>
    <row r="733" spans="1:12">
      <c r="A733" s="81" t="s">
        <v>2133</v>
      </c>
      <c r="B733" s="91"/>
      <c r="C733" s="91"/>
      <c r="D733" s="91"/>
      <c r="E733" s="91"/>
      <c r="F733" s="91"/>
      <c r="G733" s="91"/>
      <c r="H733" s="113"/>
      <c r="I733" s="83"/>
      <c r="J733" s="81"/>
      <c r="K733" s="92"/>
      <c r="L733" s="92"/>
    </row>
    <row r="734" spans="1:12">
      <c r="A734" s="81" t="s">
        <v>2134</v>
      </c>
      <c r="B734" s="91"/>
      <c r="C734" s="91"/>
      <c r="D734" s="91"/>
      <c r="E734" s="91"/>
      <c r="F734" s="91"/>
      <c r="G734" s="91"/>
      <c r="H734" s="113"/>
      <c r="I734" s="83"/>
      <c r="J734" s="81"/>
      <c r="K734" s="92"/>
      <c r="L734" s="92"/>
    </row>
    <row r="735" spans="1:12">
      <c r="A735" s="81" t="s">
        <v>2135</v>
      </c>
      <c r="B735" s="91"/>
      <c r="C735" s="91"/>
      <c r="D735" s="91"/>
      <c r="E735" s="91"/>
      <c r="F735" s="91"/>
      <c r="G735" s="91"/>
      <c r="H735" s="113"/>
      <c r="I735" s="83"/>
      <c r="J735" s="81"/>
      <c r="K735" s="92"/>
      <c r="L735" s="92"/>
    </row>
    <row r="736" spans="1:12">
      <c r="A736" s="81" t="s">
        <v>1813</v>
      </c>
      <c r="B736" s="91"/>
      <c r="C736" s="91"/>
      <c r="D736" s="91"/>
      <c r="E736" s="91"/>
      <c r="F736" s="91"/>
      <c r="G736" s="91"/>
      <c r="H736" s="113"/>
      <c r="I736" s="83"/>
      <c r="J736" s="81"/>
      <c r="K736" s="92"/>
      <c r="L736" s="92"/>
    </row>
    <row r="737" spans="1:12">
      <c r="A737" s="81" t="s">
        <v>2136</v>
      </c>
      <c r="B737" s="91"/>
      <c r="C737" s="91"/>
      <c r="D737" s="91"/>
      <c r="E737" s="91"/>
      <c r="F737" s="91"/>
      <c r="G737" s="91"/>
      <c r="H737" s="113"/>
      <c r="I737" s="83"/>
      <c r="J737" s="81"/>
      <c r="K737" s="92"/>
      <c r="L737" s="92"/>
    </row>
    <row r="738" spans="1:12">
      <c r="A738" s="81" t="s">
        <v>2137</v>
      </c>
      <c r="B738" s="91"/>
      <c r="C738" s="91"/>
      <c r="D738" s="91"/>
      <c r="E738" s="91"/>
      <c r="F738" s="91"/>
      <c r="G738" s="91"/>
      <c r="H738" s="113"/>
      <c r="I738" s="83"/>
      <c r="J738" s="81"/>
      <c r="K738" s="92"/>
      <c r="L738" s="92"/>
    </row>
    <row r="739" spans="1:12">
      <c r="A739" s="81" t="s">
        <v>1747</v>
      </c>
      <c r="B739" s="91"/>
      <c r="C739" s="91"/>
      <c r="D739" s="91"/>
      <c r="E739" s="91"/>
      <c r="F739" s="91"/>
      <c r="G739" s="91"/>
      <c r="H739" s="113"/>
      <c r="I739" s="83"/>
      <c r="J739" s="81"/>
      <c r="K739" s="92"/>
      <c r="L739" s="92"/>
    </row>
    <row r="740" spans="1:12">
      <c r="A740" s="81" t="s">
        <v>1627</v>
      </c>
      <c r="B740" s="83"/>
      <c r="C740" s="83"/>
      <c r="D740" s="83"/>
      <c r="E740" s="83"/>
      <c r="F740" s="83"/>
      <c r="G740" s="83"/>
      <c r="H740" s="116"/>
      <c r="I740" s="83"/>
      <c r="J740" s="81"/>
      <c r="K740" s="92"/>
      <c r="L740" s="92"/>
    </row>
    <row r="741" spans="1:12">
      <c r="A741" s="81" t="s">
        <v>1737</v>
      </c>
      <c r="B741" s="83"/>
      <c r="C741" s="83"/>
      <c r="D741" s="83"/>
      <c r="E741" s="83"/>
      <c r="F741" s="83"/>
      <c r="G741" s="83"/>
      <c r="H741" s="116"/>
      <c r="I741" s="83"/>
      <c r="J741" s="81"/>
      <c r="K741" s="92"/>
      <c r="L741" s="92"/>
    </row>
    <row r="742" spans="1:12">
      <c r="A742" s="81" t="s">
        <v>2138</v>
      </c>
      <c r="B742" s="83"/>
      <c r="C742" s="83"/>
      <c r="D742" s="83"/>
      <c r="E742" s="83"/>
      <c r="F742" s="83"/>
      <c r="G742" s="83"/>
      <c r="H742" s="116"/>
      <c r="I742" s="83"/>
      <c r="J742" s="81"/>
      <c r="K742" s="92"/>
      <c r="L742" s="92"/>
    </row>
    <row r="743" spans="1:12">
      <c r="A743" s="81" t="s">
        <v>1664</v>
      </c>
      <c r="B743" s="83"/>
      <c r="C743" s="83"/>
      <c r="D743" s="83"/>
      <c r="E743" s="83"/>
      <c r="F743" s="83"/>
      <c r="G743" s="83"/>
      <c r="H743" s="116"/>
      <c r="I743" s="83"/>
      <c r="J743" s="81"/>
      <c r="K743" s="92"/>
      <c r="L743" s="92"/>
    </row>
    <row r="744" spans="1:12">
      <c r="A744" s="81" t="s">
        <v>2139</v>
      </c>
      <c r="B744" s="83"/>
      <c r="C744" s="83"/>
      <c r="D744" s="83"/>
      <c r="E744" s="83"/>
      <c r="F744" s="83"/>
      <c r="G744" s="83"/>
      <c r="H744" s="116"/>
      <c r="I744" s="83"/>
      <c r="J744" s="81"/>
      <c r="K744" s="92"/>
      <c r="L744" s="92"/>
    </row>
    <row r="745" spans="1:12">
      <c r="A745" s="81" t="s">
        <v>1588</v>
      </c>
      <c r="B745" s="83"/>
      <c r="C745" s="83"/>
      <c r="D745" s="83"/>
      <c r="E745" s="83"/>
      <c r="F745" s="83"/>
      <c r="G745" s="83"/>
      <c r="H745" s="116"/>
      <c r="I745" s="83"/>
      <c r="J745" s="81"/>
      <c r="K745" s="92"/>
      <c r="L745" s="92"/>
    </row>
    <row r="746" spans="1:12">
      <c r="A746" s="81" t="s">
        <v>1720</v>
      </c>
      <c r="B746" s="83"/>
      <c r="C746" s="83"/>
      <c r="D746" s="83"/>
      <c r="E746" s="83"/>
      <c r="F746" s="83"/>
      <c r="G746" s="83"/>
      <c r="H746" s="116"/>
      <c r="I746" s="83"/>
      <c r="J746" s="81"/>
      <c r="K746" s="92"/>
      <c r="L746" s="92"/>
    </row>
    <row r="747" spans="1:12">
      <c r="A747" s="81" t="s">
        <v>1667</v>
      </c>
      <c r="B747" s="83"/>
      <c r="C747" s="83"/>
      <c r="D747" s="83"/>
      <c r="E747" s="83"/>
      <c r="F747" s="83"/>
      <c r="G747" s="83"/>
      <c r="H747" s="116"/>
      <c r="I747" s="83"/>
      <c r="J747" s="81"/>
      <c r="K747" s="92"/>
      <c r="L747" s="92"/>
    </row>
    <row r="748" spans="1:12">
      <c r="A748" s="81" t="s">
        <v>2140</v>
      </c>
      <c r="B748" s="83"/>
      <c r="C748" s="83"/>
      <c r="D748" s="83"/>
      <c r="E748" s="83"/>
      <c r="F748" s="83"/>
      <c r="G748" s="83"/>
      <c r="H748" s="116"/>
      <c r="I748" s="83"/>
      <c r="J748" s="81"/>
      <c r="K748" s="92"/>
      <c r="L748" s="92"/>
    </row>
    <row r="749" spans="1:12">
      <c r="A749" s="81" t="s">
        <v>1684</v>
      </c>
      <c r="B749" s="83"/>
      <c r="C749" s="83"/>
      <c r="D749" s="83"/>
      <c r="E749" s="83"/>
      <c r="F749" s="83"/>
      <c r="G749" s="83"/>
      <c r="H749" s="116"/>
      <c r="I749" s="83"/>
      <c r="J749" s="81"/>
      <c r="K749" s="92"/>
      <c r="L749" s="92"/>
    </row>
    <row r="750" spans="1:12">
      <c r="A750" s="81" t="s">
        <v>1669</v>
      </c>
      <c r="B750" s="83"/>
      <c r="C750" s="83"/>
      <c r="D750" s="83"/>
      <c r="E750" s="83"/>
      <c r="F750" s="83"/>
      <c r="G750" s="83"/>
      <c r="H750" s="116"/>
      <c r="I750" s="83"/>
      <c r="J750" s="81"/>
      <c r="K750" s="92"/>
      <c r="L750" s="92"/>
    </row>
    <row r="751" spans="1:12">
      <c r="A751" s="81" t="s">
        <v>2141</v>
      </c>
      <c r="B751" s="83"/>
      <c r="C751" s="83"/>
      <c r="D751" s="83"/>
      <c r="E751" s="83"/>
      <c r="F751" s="83"/>
      <c r="G751" s="83"/>
      <c r="H751" s="116"/>
      <c r="I751" s="83"/>
      <c r="J751" s="81"/>
      <c r="K751" s="92"/>
      <c r="L751" s="92"/>
    </row>
    <row r="752" spans="1:12">
      <c r="A752" s="81" t="s">
        <v>1616</v>
      </c>
      <c r="B752" s="83"/>
      <c r="C752" s="83"/>
      <c r="D752" s="83"/>
      <c r="E752" s="83"/>
      <c r="F752" s="83"/>
      <c r="G752" s="83"/>
      <c r="H752" s="116"/>
      <c r="I752" s="83"/>
      <c r="J752" s="81"/>
      <c r="K752" s="92"/>
      <c r="L752" s="92"/>
    </row>
    <row r="753" spans="1:12">
      <c r="A753" s="81" t="s">
        <v>2142</v>
      </c>
      <c r="B753" s="83"/>
      <c r="C753" s="83"/>
      <c r="D753" s="83"/>
      <c r="E753" s="83"/>
      <c r="F753" s="83"/>
      <c r="G753" s="83"/>
      <c r="H753" s="116"/>
      <c r="I753" s="83"/>
      <c r="J753" s="81"/>
      <c r="K753" s="92"/>
      <c r="L753" s="92"/>
    </row>
    <row r="754" spans="1:12">
      <c r="A754" s="81" t="s">
        <v>1599</v>
      </c>
      <c r="B754" s="83"/>
      <c r="C754" s="83"/>
      <c r="D754" s="83"/>
      <c r="E754" s="83"/>
      <c r="F754" s="83"/>
      <c r="G754" s="83"/>
      <c r="H754" s="116"/>
      <c r="I754" s="83"/>
      <c r="J754" s="81"/>
      <c r="K754" s="92"/>
      <c r="L754" s="92"/>
    </row>
    <row r="755" spans="1:12">
      <c r="A755" s="81" t="s">
        <v>2143</v>
      </c>
      <c r="B755" s="83"/>
      <c r="C755" s="83"/>
      <c r="D755" s="83"/>
      <c r="E755" s="83"/>
      <c r="F755" s="83"/>
      <c r="G755" s="83"/>
      <c r="H755" s="116"/>
      <c r="I755" s="83"/>
      <c r="J755" s="81"/>
      <c r="K755" s="92"/>
      <c r="L755" s="92"/>
    </row>
    <row r="756" spans="1:12">
      <c r="A756" s="81" t="s">
        <v>2144</v>
      </c>
      <c r="B756" s="83"/>
      <c r="C756" s="83"/>
      <c r="D756" s="83"/>
      <c r="E756" s="83"/>
      <c r="F756" s="83"/>
      <c r="G756" s="83"/>
      <c r="H756" s="116"/>
      <c r="I756" s="83"/>
      <c r="J756" s="81"/>
      <c r="K756" s="92"/>
      <c r="L756" s="92"/>
    </row>
    <row r="757" spans="1:12">
      <c r="A757" s="81" t="s">
        <v>2145</v>
      </c>
      <c r="B757" s="83"/>
      <c r="C757" s="83"/>
      <c r="D757" s="83"/>
      <c r="E757" s="83"/>
      <c r="F757" s="83"/>
      <c r="G757" s="83"/>
      <c r="H757" s="116"/>
      <c r="I757" s="83"/>
      <c r="J757" s="81"/>
      <c r="K757" s="92"/>
      <c r="L757" s="92"/>
    </row>
    <row r="758" spans="1:12">
      <c r="A758" s="81" t="s">
        <v>2146</v>
      </c>
      <c r="B758" s="83"/>
      <c r="C758" s="83"/>
      <c r="D758" s="83"/>
      <c r="E758" s="83"/>
      <c r="F758" s="83"/>
      <c r="G758" s="83"/>
      <c r="H758" s="116"/>
      <c r="I758" s="83"/>
      <c r="J758" s="81"/>
      <c r="K758" s="92"/>
      <c r="L758" s="92"/>
    </row>
    <row r="759" spans="1:12">
      <c r="A759" s="81" t="s">
        <v>939</v>
      </c>
      <c r="B759" s="83"/>
      <c r="C759" s="83"/>
      <c r="D759" s="83"/>
      <c r="E759" s="83"/>
      <c r="F759" s="83"/>
      <c r="G759" s="83"/>
      <c r="H759" s="116"/>
      <c r="I759" s="83"/>
      <c r="J759" s="81"/>
      <c r="K759" s="92"/>
      <c r="L759" s="92"/>
    </row>
    <row r="760" spans="1:12">
      <c r="A760" s="81" t="s">
        <v>1697</v>
      </c>
      <c r="B760" s="83"/>
      <c r="C760" s="83"/>
      <c r="D760" s="83"/>
      <c r="E760" s="83"/>
      <c r="F760" s="83"/>
      <c r="G760" s="83"/>
      <c r="H760" s="116"/>
      <c r="I760" s="83"/>
      <c r="J760" s="81"/>
      <c r="K760" s="92"/>
      <c r="L760" s="92"/>
    </row>
    <row r="761" spans="1:12">
      <c r="A761" s="81" t="s">
        <v>2147</v>
      </c>
      <c r="B761" s="83"/>
      <c r="C761" s="83"/>
      <c r="D761" s="83"/>
      <c r="E761" s="83"/>
      <c r="F761" s="83"/>
      <c r="G761" s="83"/>
      <c r="H761" s="116"/>
      <c r="I761" s="83"/>
      <c r="J761" s="81"/>
      <c r="K761" s="92"/>
      <c r="L761" s="92"/>
    </row>
    <row r="762" spans="1:12">
      <c r="A762" s="81" t="s">
        <v>1629</v>
      </c>
      <c r="B762" s="83"/>
      <c r="C762" s="83"/>
      <c r="D762" s="83"/>
      <c r="E762" s="83"/>
      <c r="F762" s="83"/>
      <c r="G762" s="83"/>
      <c r="H762" s="116"/>
      <c r="I762" s="83"/>
      <c r="J762" s="81"/>
      <c r="K762" s="92"/>
      <c r="L762" s="92"/>
    </row>
    <row r="763" spans="1:12">
      <c r="A763" s="81" t="s">
        <v>2148</v>
      </c>
      <c r="B763" s="83"/>
      <c r="C763" s="83"/>
      <c r="D763" s="83"/>
      <c r="E763" s="83"/>
      <c r="F763" s="83"/>
      <c r="G763" s="83"/>
      <c r="H763" s="116"/>
      <c r="I763" s="83"/>
      <c r="J763" s="81"/>
      <c r="K763" s="92"/>
      <c r="L763" s="92"/>
    </row>
    <row r="764" spans="1:12">
      <c r="A764" s="81" t="s">
        <v>1801</v>
      </c>
      <c r="B764" s="83"/>
      <c r="C764" s="83"/>
      <c r="D764" s="83"/>
      <c r="E764" s="83"/>
      <c r="F764" s="83"/>
      <c r="G764" s="83"/>
      <c r="H764" s="116"/>
      <c r="I764" s="83"/>
      <c r="J764" s="81"/>
      <c r="K764" s="92"/>
      <c r="L764" s="92"/>
    </row>
    <row r="765" spans="1:12">
      <c r="A765" s="81" t="s">
        <v>2149</v>
      </c>
      <c r="B765" s="83"/>
      <c r="C765" s="83"/>
      <c r="D765" s="83"/>
      <c r="E765" s="83"/>
      <c r="F765" s="83"/>
      <c r="G765" s="83"/>
      <c r="H765" s="116"/>
      <c r="I765" s="83"/>
      <c r="J765" s="81"/>
      <c r="K765" s="92"/>
      <c r="L765" s="92"/>
    </row>
    <row r="766" spans="1:12">
      <c r="A766" s="81" t="s">
        <v>1686</v>
      </c>
      <c r="B766" s="83"/>
      <c r="C766" s="83"/>
      <c r="D766" s="83"/>
      <c r="E766" s="83"/>
      <c r="F766" s="83"/>
      <c r="G766" s="83"/>
      <c r="H766" s="116"/>
      <c r="I766" s="83"/>
      <c r="J766" s="81"/>
      <c r="K766" s="92"/>
      <c r="L766" s="92"/>
    </row>
    <row r="767" spans="1:12">
      <c r="A767" s="81" t="s">
        <v>1601</v>
      </c>
      <c r="B767" s="83"/>
      <c r="C767" s="83"/>
      <c r="D767" s="83"/>
      <c r="E767" s="83"/>
      <c r="F767" s="83"/>
      <c r="G767" s="83"/>
      <c r="H767" s="116"/>
      <c r="I767" s="83"/>
      <c r="J767" s="81"/>
      <c r="K767" s="92"/>
      <c r="L767" s="92"/>
    </row>
    <row r="768" spans="1:12">
      <c r="A768" s="81" t="s">
        <v>2150</v>
      </c>
      <c r="B768" s="83"/>
      <c r="C768" s="83"/>
      <c r="D768" s="83"/>
      <c r="E768" s="83"/>
      <c r="F768" s="83"/>
      <c r="G768" s="83"/>
      <c r="H768" s="116"/>
      <c r="I768" s="83"/>
      <c r="J768" s="81"/>
      <c r="K768" s="92"/>
      <c r="L768" s="92"/>
    </row>
    <row r="769" spans="1:12">
      <c r="A769" s="81" t="s">
        <v>2151</v>
      </c>
      <c r="B769" s="83"/>
      <c r="C769" s="83"/>
      <c r="D769" s="83"/>
      <c r="E769" s="83"/>
      <c r="F769" s="83"/>
      <c r="G769" s="83"/>
      <c r="H769" s="116"/>
      <c r="I769" s="83"/>
      <c r="J769" s="81"/>
      <c r="K769" s="92"/>
      <c r="L769" s="92"/>
    </row>
    <row r="770" spans="1:12">
      <c r="A770" s="81" t="s">
        <v>1688</v>
      </c>
      <c r="B770" s="83"/>
      <c r="C770" s="83"/>
      <c r="D770" s="83"/>
      <c r="E770" s="83"/>
      <c r="F770" s="83"/>
      <c r="G770" s="83"/>
      <c r="H770" s="116"/>
      <c r="I770" s="83"/>
      <c r="J770" s="81"/>
      <c r="K770" s="92"/>
      <c r="L770" s="92"/>
    </row>
    <row r="771" spans="1:12">
      <c r="A771" s="81" t="s">
        <v>2152</v>
      </c>
      <c r="B771" s="90"/>
      <c r="C771" s="90"/>
      <c r="D771" s="90"/>
      <c r="E771" s="90"/>
      <c r="F771" s="90"/>
      <c r="G771" s="90"/>
      <c r="H771" s="116"/>
      <c r="I771" s="83"/>
      <c r="J771" s="81"/>
      <c r="K771" s="92"/>
      <c r="L771" s="92"/>
    </row>
    <row r="772" spans="1:12">
      <c r="A772" s="81" t="s">
        <v>1603</v>
      </c>
      <c r="B772" s="83"/>
      <c r="C772" s="83"/>
      <c r="D772" s="83"/>
      <c r="E772" s="83"/>
      <c r="F772" s="83"/>
      <c r="G772" s="83"/>
      <c r="H772" s="116"/>
      <c r="I772" s="83"/>
      <c r="J772" s="81"/>
      <c r="K772" s="92"/>
      <c r="L772" s="92"/>
    </row>
    <row r="773" spans="1:12">
      <c r="A773" s="81" t="s">
        <v>1755</v>
      </c>
      <c r="B773" s="83"/>
      <c r="C773" s="83"/>
      <c r="D773" s="83"/>
      <c r="E773" s="83"/>
      <c r="F773" s="83"/>
      <c r="G773" s="83"/>
      <c r="H773" s="116"/>
      <c r="I773" s="83"/>
      <c r="J773" s="81"/>
      <c r="K773" s="92"/>
      <c r="L773" s="92"/>
    </row>
    <row r="774" spans="1:12">
      <c r="A774" s="81" t="s">
        <v>2153</v>
      </c>
      <c r="B774" s="83"/>
      <c r="C774" s="83"/>
      <c r="D774" s="83"/>
      <c r="E774" s="83"/>
      <c r="F774" s="83"/>
      <c r="G774" s="83"/>
      <c r="H774" s="116"/>
      <c r="I774" s="83"/>
      <c r="J774" s="81"/>
      <c r="K774" s="92"/>
      <c r="L774" s="92"/>
    </row>
    <row r="775" spans="1:12">
      <c r="A775" s="81" t="s">
        <v>2154</v>
      </c>
      <c r="B775" s="83"/>
      <c r="C775" s="83"/>
      <c r="D775" s="83"/>
      <c r="E775" s="83"/>
      <c r="F775" s="83"/>
      <c r="G775" s="83"/>
      <c r="H775" s="116"/>
      <c r="I775" s="83"/>
      <c r="J775" s="81"/>
      <c r="K775" s="92"/>
      <c r="L775" s="92"/>
    </row>
    <row r="776" spans="1:12">
      <c r="A776" s="81" t="s">
        <v>2155</v>
      </c>
      <c r="B776" s="83"/>
      <c r="C776" s="83"/>
      <c r="D776" s="83"/>
      <c r="E776" s="83"/>
      <c r="F776" s="83"/>
      <c r="G776" s="83"/>
      <c r="H776" s="116"/>
      <c r="I776" s="83"/>
      <c r="J776" s="81"/>
      <c r="K776" s="92"/>
      <c r="L776" s="92"/>
    </row>
    <row r="777" spans="1:12">
      <c r="A777" s="81" t="s">
        <v>1111</v>
      </c>
      <c r="B777" s="83"/>
      <c r="C777" s="83"/>
      <c r="D777" s="83"/>
      <c r="E777" s="83"/>
      <c r="F777" s="83"/>
      <c r="G777" s="83"/>
      <c r="H777" s="116"/>
      <c r="I777" s="83"/>
      <c r="J777" s="81"/>
      <c r="K777" s="92"/>
      <c r="L777" s="92"/>
    </row>
    <row r="778" spans="1:12">
      <c r="A778" s="81" t="s">
        <v>2156</v>
      </c>
      <c r="B778" s="83"/>
      <c r="C778" s="83"/>
      <c r="D778" s="83"/>
      <c r="E778" s="83"/>
      <c r="F778" s="83"/>
      <c r="G778" s="83"/>
      <c r="H778" s="116"/>
      <c r="I778" s="83"/>
      <c r="J778" s="81"/>
      <c r="K778" s="92"/>
      <c r="L778" s="92"/>
    </row>
    <row r="779" spans="1:12">
      <c r="A779" s="81" t="s">
        <v>1605</v>
      </c>
      <c r="B779" s="83"/>
      <c r="C779" s="83"/>
      <c r="D779" s="83"/>
      <c r="E779" s="83"/>
      <c r="F779" s="83"/>
      <c r="G779" s="83"/>
      <c r="H779" s="116"/>
      <c r="I779" s="83"/>
      <c r="J779" s="81"/>
      <c r="K779" s="92"/>
      <c r="L779" s="92"/>
    </row>
    <row r="780" spans="1:12">
      <c r="A780" s="81" t="s">
        <v>2157</v>
      </c>
      <c r="B780" s="83"/>
      <c r="C780" s="83"/>
      <c r="D780" s="83"/>
      <c r="E780" s="83"/>
      <c r="F780" s="83"/>
      <c r="G780" s="83"/>
      <c r="H780" s="116"/>
      <c r="I780" s="83"/>
      <c r="J780" s="81"/>
      <c r="K780" s="92"/>
      <c r="L780" s="92"/>
    </row>
    <row r="781" spans="1:12">
      <c r="A781" s="81" t="s">
        <v>2158</v>
      </c>
      <c r="B781" s="91"/>
      <c r="C781" s="91"/>
      <c r="D781" s="91"/>
      <c r="E781" s="91"/>
      <c r="F781" s="91"/>
      <c r="G781" s="91"/>
      <c r="H781" s="113"/>
      <c r="I781" s="83"/>
      <c r="J781" s="81"/>
      <c r="K781" s="92"/>
      <c r="L781" s="92"/>
    </row>
    <row r="782" spans="1:12">
      <c r="A782" s="68" t="s">
        <v>2159</v>
      </c>
      <c r="B782" s="67"/>
      <c r="C782" s="67"/>
      <c r="D782" s="67"/>
      <c r="E782" s="67"/>
      <c r="F782" s="67"/>
      <c r="G782" s="67"/>
      <c r="H782" s="110"/>
      <c r="I782" s="68"/>
      <c r="J782" s="68"/>
      <c r="K782" s="68"/>
      <c r="L782" s="68"/>
    </row>
    <row r="783" spans="1:12">
      <c r="A783" s="68" t="s">
        <v>1815</v>
      </c>
      <c r="B783" s="67"/>
      <c r="C783" s="67"/>
      <c r="D783" s="67"/>
      <c r="E783" s="67"/>
      <c r="F783" s="67"/>
      <c r="G783" s="67"/>
      <c r="H783" s="110"/>
      <c r="I783" s="68"/>
      <c r="J783" s="68"/>
      <c r="K783" s="68"/>
      <c r="L783" s="68"/>
    </row>
    <row r="1086" spans="1:1" s="142" customFormat="1">
      <c r="A1086" s="68" t="s">
        <v>2160</v>
      </c>
    </row>
    <row r="1087" spans="1:1" s="142" customFormat="1">
      <c r="A1087" s="68" t="s">
        <v>2161</v>
      </c>
    </row>
  </sheetData>
  <sheetProtection selectLockedCells="1"/>
  <mergeCells count="1">
    <mergeCell ref="E1:G1"/>
  </mergeCells>
  <conditionalFormatting sqref="A1:L783">
    <cfRule type="expression" dxfId="22" priority="1">
      <formula>ROW()=CELL("fila")</formula>
    </cfRule>
  </conditionalFormatting>
  <pageMargins left="0.7" right="0.7" top="0.75" bottom="0.75" header="0.3" footer="0.3"/>
  <pageSetup orientation="portrait" horizont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0C51-9D8D-41CC-AC03-66DFB4B07298}">
  <sheetPr codeName="Hoja9"/>
  <dimension ref="A1:N199"/>
  <sheetViews>
    <sheetView workbookViewId="0">
      <pane ySplit="1" topLeftCell="A95" activePane="bottomLeft" state="frozen"/>
      <selection activeCell="G1" sqref="G1"/>
      <selection pane="bottomLeft" activeCell="A112" sqref="A112"/>
    </sheetView>
  </sheetViews>
  <sheetFormatPr baseColWidth="10" defaultColWidth="10.6640625" defaultRowHeight="27" customHeight="1"/>
  <cols>
    <col min="1" max="1" width="13.109375" customWidth="1"/>
    <col min="2" max="2" width="18.5546875" customWidth="1"/>
    <col min="3" max="3" width="24.5546875" customWidth="1"/>
    <col min="4" max="4" width="26.88671875" customWidth="1"/>
    <col min="5" max="5" width="28.109375" customWidth="1"/>
    <col min="6" max="6" width="112" bestFit="1" customWidth="1"/>
    <col min="7" max="7" width="35" bestFit="1" customWidth="1"/>
    <col min="8" max="8" width="35" customWidth="1"/>
    <col min="9" max="9" width="33.6640625" bestFit="1" customWidth="1"/>
    <col min="10" max="10" width="29.109375" customWidth="1"/>
    <col min="11" max="11" width="16.44140625" customWidth="1"/>
    <col min="12" max="12" width="54.109375" bestFit="1" customWidth="1"/>
    <col min="13" max="13" width="59.88671875" bestFit="1" customWidth="1"/>
    <col min="14" max="14" width="27.88671875" bestFit="1" customWidth="1"/>
    <col min="15" max="15" width="8.6640625" bestFit="1" customWidth="1"/>
    <col min="16" max="16" width="78.44140625" customWidth="1"/>
  </cols>
  <sheetData>
    <row r="1" spans="1:14" s="118" customFormat="1" ht="13.8">
      <c r="A1" s="155" t="s">
        <v>2</v>
      </c>
      <c r="B1" s="156" t="s">
        <v>2162</v>
      </c>
      <c r="C1" s="156" t="s">
        <v>2163</v>
      </c>
      <c r="D1" s="156" t="s">
        <v>2164</v>
      </c>
      <c r="E1" s="156" t="s">
        <v>2165</v>
      </c>
      <c r="F1" s="156" t="s">
        <v>10</v>
      </c>
      <c r="G1" s="156" t="s">
        <v>2166</v>
      </c>
      <c r="H1" s="156" t="s">
        <v>2167</v>
      </c>
      <c r="I1" s="156" t="s">
        <v>2168</v>
      </c>
      <c r="J1" s="157" t="s">
        <v>1233</v>
      </c>
      <c r="K1" s="156" t="s">
        <v>2169</v>
      </c>
      <c r="L1" s="156" t="s">
        <v>2170</v>
      </c>
      <c r="M1" s="156" t="s">
        <v>2171</v>
      </c>
      <c r="N1" s="158" t="s">
        <v>2172</v>
      </c>
    </row>
    <row r="2" spans="1:14" s="118" customFormat="1" ht="13.8">
      <c r="A2" s="147">
        <v>162870</v>
      </c>
      <c r="B2" s="98">
        <v>44930</v>
      </c>
      <c r="C2" s="136">
        <v>44904</v>
      </c>
      <c r="D2" s="68" t="s">
        <v>1845</v>
      </c>
      <c r="E2" s="68"/>
      <c r="F2" s="68" t="s">
        <v>2173</v>
      </c>
      <c r="G2" s="68">
        <v>162870</v>
      </c>
      <c r="H2" s="68"/>
      <c r="I2" s="138" t="s">
        <v>1846</v>
      </c>
      <c r="J2" s="71" t="s">
        <v>2174</v>
      </c>
      <c r="K2" s="68"/>
      <c r="L2" s="68"/>
      <c r="M2" s="68"/>
      <c r="N2" s="154" t="s">
        <v>2175</v>
      </c>
    </row>
    <row r="3" spans="1:14" s="118" customFormat="1" ht="27.6">
      <c r="A3" s="147">
        <v>160274</v>
      </c>
      <c r="B3" s="98">
        <v>44947</v>
      </c>
      <c r="C3" s="98">
        <v>44396</v>
      </c>
      <c r="D3" s="68" t="s">
        <v>1845</v>
      </c>
      <c r="E3" s="68" t="s">
        <v>2176</v>
      </c>
      <c r="F3" s="70" t="s">
        <v>2177</v>
      </c>
      <c r="G3" s="68" t="s">
        <v>1845</v>
      </c>
      <c r="H3" s="161" t="s">
        <v>2167</v>
      </c>
      <c r="I3" s="138" t="s">
        <v>1846</v>
      </c>
      <c r="J3" s="71" t="s">
        <v>2178</v>
      </c>
      <c r="K3" s="68"/>
      <c r="L3" s="68"/>
      <c r="M3" s="68"/>
      <c r="N3" s="152"/>
    </row>
    <row r="4" spans="1:14" s="118" customFormat="1" ht="27.6">
      <c r="A4" s="147">
        <v>160993</v>
      </c>
      <c r="B4" s="98">
        <v>44947</v>
      </c>
      <c r="C4" s="136">
        <v>45190</v>
      </c>
      <c r="D4" s="68" t="s">
        <v>1845</v>
      </c>
      <c r="E4" s="68" t="s">
        <v>2176</v>
      </c>
      <c r="F4" s="70" t="s">
        <v>2177</v>
      </c>
      <c r="G4" s="68" t="s">
        <v>1845</v>
      </c>
      <c r="H4" s="161" t="s">
        <v>2167</v>
      </c>
      <c r="I4" s="138" t="s">
        <v>1846</v>
      </c>
      <c r="J4" s="71" t="s">
        <v>2179</v>
      </c>
      <c r="K4" s="68"/>
      <c r="L4" s="68"/>
      <c r="M4" s="68"/>
      <c r="N4" s="152"/>
    </row>
    <row r="5" spans="1:14" s="118" customFormat="1" ht="41.4">
      <c r="A5" s="147">
        <v>163021</v>
      </c>
      <c r="B5" s="237">
        <v>44946</v>
      </c>
      <c r="C5" s="238">
        <v>44259</v>
      </c>
      <c r="D5" s="68" t="s">
        <v>1845</v>
      </c>
      <c r="E5" s="68" t="s">
        <v>2176</v>
      </c>
      <c r="F5" s="70" t="s">
        <v>2180</v>
      </c>
      <c r="G5" s="68" t="s">
        <v>1845</v>
      </c>
      <c r="H5" s="161" t="s">
        <v>2167</v>
      </c>
      <c r="I5" s="138" t="s">
        <v>1846</v>
      </c>
      <c r="J5" s="71" t="s">
        <v>2181</v>
      </c>
      <c r="K5" s="68"/>
      <c r="L5" s="68"/>
      <c r="M5" s="68"/>
      <c r="N5" s="152"/>
    </row>
    <row r="6" spans="1:14" s="118" customFormat="1" ht="13.8">
      <c r="A6" s="147">
        <v>162889</v>
      </c>
      <c r="B6" s="241">
        <v>44930</v>
      </c>
      <c r="C6" s="136">
        <v>44660</v>
      </c>
      <c r="D6" s="68" t="s">
        <v>1845</v>
      </c>
      <c r="E6" s="68"/>
      <c r="F6" s="68" t="s">
        <v>2173</v>
      </c>
      <c r="G6" s="68">
        <v>162889</v>
      </c>
      <c r="H6" s="68"/>
      <c r="I6" s="138" t="s">
        <v>1846</v>
      </c>
      <c r="J6" s="71" t="s">
        <v>2182</v>
      </c>
      <c r="K6" s="68"/>
      <c r="L6" s="68"/>
      <c r="M6" s="68"/>
      <c r="N6" s="152" t="s">
        <v>2175</v>
      </c>
    </row>
    <row r="7" spans="1:14" s="118" customFormat="1" ht="13.8">
      <c r="A7" s="147">
        <v>181093</v>
      </c>
      <c r="B7" s="98">
        <v>44939</v>
      </c>
      <c r="C7" s="238">
        <v>43841</v>
      </c>
      <c r="D7" s="68" t="s">
        <v>1845</v>
      </c>
      <c r="E7" s="68" t="s">
        <v>2176</v>
      </c>
      <c r="F7" s="68" t="s">
        <v>2183</v>
      </c>
      <c r="G7" s="68" t="s">
        <v>1891</v>
      </c>
      <c r="H7" s="68"/>
      <c r="I7" s="138"/>
      <c r="J7" s="71" t="s">
        <v>2184</v>
      </c>
      <c r="K7" s="68"/>
      <c r="L7" s="68"/>
      <c r="M7" s="68"/>
      <c r="N7" s="152"/>
    </row>
    <row r="8" spans="1:14" s="118" customFormat="1" ht="13.8">
      <c r="A8" s="147">
        <v>181159</v>
      </c>
      <c r="B8" s="98">
        <v>44901</v>
      </c>
      <c r="C8" s="136">
        <v>44795</v>
      </c>
      <c r="D8" s="68" t="s">
        <v>1845</v>
      </c>
      <c r="E8" s="68"/>
      <c r="F8" s="68" t="s">
        <v>2185</v>
      </c>
      <c r="G8" s="68" t="s">
        <v>2186</v>
      </c>
      <c r="H8" s="68"/>
      <c r="I8" s="138"/>
      <c r="J8" s="71" t="s">
        <v>2187</v>
      </c>
      <c r="K8" s="68"/>
      <c r="L8" s="68"/>
      <c r="M8" s="68"/>
      <c r="N8" s="152"/>
    </row>
    <row r="9" spans="1:14" s="118" customFormat="1" ht="13.8">
      <c r="A9" s="147">
        <v>181159</v>
      </c>
      <c r="B9" s="244"/>
      <c r="C9" s="238"/>
      <c r="D9" s="68"/>
      <c r="E9" s="68"/>
      <c r="F9" s="68"/>
      <c r="G9" s="68"/>
      <c r="H9" s="68"/>
      <c r="I9" s="138"/>
      <c r="J9" s="71"/>
      <c r="K9" s="68"/>
      <c r="L9" s="68"/>
      <c r="M9" s="68"/>
      <c r="N9" s="152"/>
    </row>
    <row r="10" spans="1:14" s="118" customFormat="1" ht="13.8">
      <c r="A10" s="147">
        <v>181738</v>
      </c>
      <c r="B10" s="241">
        <v>44938</v>
      </c>
      <c r="C10" s="238">
        <v>43204</v>
      </c>
      <c r="D10" s="68" t="s">
        <v>1846</v>
      </c>
      <c r="E10" s="68" t="s">
        <v>2188</v>
      </c>
      <c r="F10" s="68" t="s">
        <v>2189</v>
      </c>
      <c r="G10" s="68"/>
      <c r="H10" s="68"/>
      <c r="I10" s="138"/>
      <c r="J10" s="71"/>
      <c r="K10" s="68"/>
      <c r="L10" s="68"/>
      <c r="M10" s="68"/>
      <c r="N10" s="152"/>
    </row>
    <row r="11" spans="1:14" s="118" customFormat="1" ht="13.8">
      <c r="A11" s="147">
        <v>181836</v>
      </c>
      <c r="B11" s="98">
        <v>44899</v>
      </c>
      <c r="C11" s="136">
        <v>44714</v>
      </c>
      <c r="D11" s="68" t="s">
        <v>1845</v>
      </c>
      <c r="E11" s="68"/>
      <c r="F11" s="68" t="s">
        <v>2190</v>
      </c>
      <c r="G11" s="68">
        <v>181836</v>
      </c>
      <c r="H11" s="68"/>
      <c r="I11" s="138"/>
      <c r="J11" s="71"/>
      <c r="K11" s="68"/>
      <c r="L11" s="68"/>
      <c r="M11" s="68"/>
      <c r="N11" s="152"/>
    </row>
    <row r="12" spans="1:14" s="118" customFormat="1" ht="13.8">
      <c r="A12" s="147">
        <v>181839</v>
      </c>
      <c r="B12" s="98">
        <v>44899</v>
      </c>
      <c r="C12" s="136">
        <v>44278</v>
      </c>
      <c r="D12" s="68" t="s">
        <v>1845</v>
      </c>
      <c r="E12" s="68"/>
      <c r="F12" s="68" t="s">
        <v>2191</v>
      </c>
      <c r="G12" s="68">
        <v>181839</v>
      </c>
      <c r="H12" s="68"/>
      <c r="I12" s="138"/>
      <c r="J12" s="71"/>
      <c r="K12" s="68"/>
      <c r="L12" s="68"/>
      <c r="M12" s="68"/>
      <c r="N12" s="152"/>
    </row>
    <row r="13" spans="1:14" s="118" customFormat="1" ht="13.8">
      <c r="A13" s="147">
        <v>183176</v>
      </c>
      <c r="B13" s="98">
        <v>44899</v>
      </c>
      <c r="C13" s="68"/>
      <c r="D13" s="68"/>
      <c r="E13" s="68"/>
      <c r="F13" s="68" t="s">
        <v>2192</v>
      </c>
      <c r="G13" s="68">
        <v>183176</v>
      </c>
      <c r="H13" s="68"/>
      <c r="I13" s="138"/>
      <c r="J13" s="71"/>
      <c r="K13" s="68"/>
      <c r="L13" s="68"/>
      <c r="M13" s="68"/>
      <c r="N13" s="152"/>
    </row>
    <row r="14" spans="1:14" s="118" customFormat="1" ht="13.8">
      <c r="A14" s="147">
        <v>194288</v>
      </c>
      <c r="B14" s="98">
        <v>44899</v>
      </c>
      <c r="C14" s="68"/>
      <c r="D14" s="68"/>
      <c r="E14" s="68"/>
      <c r="F14" s="68" t="s">
        <v>2193</v>
      </c>
      <c r="G14" s="68">
        <v>194288</v>
      </c>
      <c r="H14" s="68"/>
      <c r="I14" s="138"/>
      <c r="J14" s="71"/>
      <c r="K14" s="68"/>
      <c r="L14" s="68"/>
      <c r="M14" s="68"/>
      <c r="N14" s="152"/>
    </row>
    <row r="15" spans="1:14" s="118" customFormat="1" ht="13.8">
      <c r="A15" s="147">
        <v>197328</v>
      </c>
      <c r="B15" s="98">
        <v>44947</v>
      </c>
      <c r="C15" s="238">
        <v>44127</v>
      </c>
      <c r="D15" s="68"/>
      <c r="E15" s="68"/>
      <c r="F15" s="68"/>
      <c r="G15" s="68"/>
      <c r="H15" s="161"/>
      <c r="I15" s="138"/>
      <c r="J15" s="71"/>
      <c r="K15" s="68"/>
      <c r="L15" s="68"/>
      <c r="M15" s="68"/>
      <c r="N15" s="152"/>
    </row>
    <row r="16" spans="1:14" s="118" customFormat="1" ht="41.4">
      <c r="A16" s="147">
        <v>218440</v>
      </c>
      <c r="B16" s="98">
        <v>44918</v>
      </c>
      <c r="C16" s="136">
        <v>43152</v>
      </c>
      <c r="D16" s="68" t="s">
        <v>1846</v>
      </c>
      <c r="E16" s="68"/>
      <c r="F16" s="70" t="s">
        <v>2194</v>
      </c>
      <c r="G16" s="68"/>
      <c r="H16" s="68"/>
      <c r="I16" s="138"/>
      <c r="J16" s="71"/>
      <c r="K16" s="68"/>
      <c r="L16" s="68"/>
      <c r="M16" s="68"/>
      <c r="N16" s="152"/>
    </row>
    <row r="17" spans="1:14" s="118" customFormat="1" ht="41.4">
      <c r="A17" s="147">
        <v>239545</v>
      </c>
      <c r="B17" s="98">
        <v>44947</v>
      </c>
      <c r="C17" s="238"/>
      <c r="D17" s="68"/>
      <c r="E17" s="68"/>
      <c r="F17" s="70" t="s">
        <v>2195</v>
      </c>
      <c r="G17" s="68"/>
      <c r="H17" s="161" t="s">
        <v>2167</v>
      </c>
      <c r="I17" s="138"/>
      <c r="J17" s="71"/>
      <c r="K17" s="68"/>
      <c r="L17" s="68"/>
      <c r="M17" s="68"/>
      <c r="N17" s="152"/>
    </row>
    <row r="18" spans="1:14" s="118" customFormat="1" ht="13.8">
      <c r="A18" s="147">
        <v>242284</v>
      </c>
      <c r="B18" s="98">
        <v>44901</v>
      </c>
      <c r="C18" s="136">
        <v>44819</v>
      </c>
      <c r="D18" s="68" t="s">
        <v>1846</v>
      </c>
      <c r="E18" s="68"/>
      <c r="F18" s="68" t="s">
        <v>2196</v>
      </c>
      <c r="G18" s="68">
        <v>242284</v>
      </c>
      <c r="H18" s="68"/>
      <c r="I18" s="138" t="s">
        <v>1846</v>
      </c>
      <c r="J18" s="71" t="s">
        <v>2197</v>
      </c>
      <c r="K18" s="68"/>
      <c r="L18" s="68"/>
      <c r="M18" s="68"/>
      <c r="N18" s="152"/>
    </row>
    <row r="19" spans="1:14" s="118" customFormat="1" ht="13.8">
      <c r="A19" s="147">
        <v>246647</v>
      </c>
      <c r="B19" s="98">
        <v>44899</v>
      </c>
      <c r="C19" s="136">
        <v>44890</v>
      </c>
      <c r="D19" s="68" t="s">
        <v>1845</v>
      </c>
      <c r="E19" s="68"/>
      <c r="F19" s="68" t="s">
        <v>2198</v>
      </c>
      <c r="G19" s="68">
        <v>246647</v>
      </c>
      <c r="H19" s="68"/>
      <c r="I19" s="71" t="s">
        <v>1846</v>
      </c>
      <c r="J19" s="68"/>
      <c r="K19" s="68"/>
      <c r="L19" s="68"/>
      <c r="M19" s="68"/>
      <c r="N19" s="152"/>
    </row>
    <row r="20" spans="1:14" s="118" customFormat="1" ht="13.8">
      <c r="A20" s="147">
        <v>247720</v>
      </c>
      <c r="B20" s="98">
        <v>44901</v>
      </c>
      <c r="C20" s="136">
        <v>44810</v>
      </c>
      <c r="D20" s="68" t="s">
        <v>1846</v>
      </c>
      <c r="E20" s="68"/>
      <c r="F20" s="68" t="s">
        <v>2199</v>
      </c>
      <c r="G20" s="68">
        <v>247720</v>
      </c>
      <c r="H20" s="68"/>
      <c r="I20" s="140" t="s">
        <v>2200</v>
      </c>
      <c r="J20" s="71" t="s">
        <v>2201</v>
      </c>
      <c r="K20" s="68"/>
      <c r="L20" s="68"/>
      <c r="M20" s="68"/>
      <c r="N20" s="152"/>
    </row>
    <row r="21" spans="1:14" s="118" customFormat="1" ht="13.8">
      <c r="A21" s="147">
        <v>247724</v>
      </c>
      <c r="B21" s="98">
        <v>44901</v>
      </c>
      <c r="C21" s="136">
        <v>44845</v>
      </c>
      <c r="D21" s="68" t="s">
        <v>1846</v>
      </c>
      <c r="E21" s="68"/>
      <c r="F21" s="68" t="s">
        <v>2202</v>
      </c>
      <c r="G21" s="68">
        <v>247724</v>
      </c>
      <c r="H21" s="68"/>
      <c r="I21" s="139" t="s">
        <v>2200</v>
      </c>
      <c r="J21" s="71" t="s">
        <v>1466</v>
      </c>
      <c r="K21" s="68"/>
      <c r="L21" s="68"/>
      <c r="M21" s="68"/>
      <c r="N21" s="152"/>
    </row>
    <row r="22" spans="1:14" s="118" customFormat="1" ht="27.6">
      <c r="A22" s="146" t="s">
        <v>502</v>
      </c>
      <c r="B22" s="99">
        <v>44936</v>
      </c>
      <c r="C22" s="68" t="s">
        <v>2203</v>
      </c>
      <c r="D22" s="66" t="s">
        <v>1846</v>
      </c>
      <c r="E22" s="66" t="s">
        <v>2204</v>
      </c>
      <c r="F22" s="72" t="s">
        <v>2205</v>
      </c>
      <c r="G22" s="66" t="s">
        <v>2206</v>
      </c>
      <c r="H22" s="66"/>
      <c r="I22" s="68" t="s">
        <v>1846</v>
      </c>
      <c r="J22" s="119"/>
      <c r="K22" s="120"/>
      <c r="L22" s="72"/>
      <c r="M22" s="69"/>
      <c r="N22" s="149"/>
    </row>
    <row r="23" spans="1:14" s="118" customFormat="1" ht="27.6">
      <c r="A23" s="146" t="s">
        <v>2207</v>
      </c>
      <c r="B23" s="99">
        <v>44936</v>
      </c>
      <c r="C23" s="68" t="s">
        <v>2203</v>
      </c>
      <c r="D23" s="66" t="s">
        <v>1845</v>
      </c>
      <c r="E23" s="66" t="s">
        <v>2176</v>
      </c>
      <c r="F23" s="72" t="s">
        <v>2208</v>
      </c>
      <c r="G23" s="66" t="s">
        <v>2209</v>
      </c>
      <c r="H23" s="66"/>
      <c r="I23" s="68" t="s">
        <v>1845</v>
      </c>
      <c r="J23" s="119"/>
      <c r="K23" s="120"/>
      <c r="L23" s="72"/>
      <c r="M23" s="69"/>
      <c r="N23" s="149"/>
    </row>
    <row r="24" spans="1:14" s="118" customFormat="1" ht="13.8">
      <c r="A24" s="146" t="s">
        <v>2207</v>
      </c>
      <c r="B24" s="66"/>
      <c r="C24" s="68"/>
      <c r="D24" s="66"/>
      <c r="E24" s="66"/>
      <c r="F24" s="72"/>
      <c r="G24" s="66"/>
      <c r="H24" s="66"/>
      <c r="I24" s="68"/>
      <c r="J24" s="119"/>
      <c r="K24" s="120"/>
      <c r="L24" s="72"/>
      <c r="M24" s="69"/>
      <c r="N24" s="149"/>
    </row>
    <row r="25" spans="1:14" s="118" customFormat="1" ht="41.4">
      <c r="A25" s="146" t="s">
        <v>2210</v>
      </c>
      <c r="B25" s="99">
        <v>44936</v>
      </c>
      <c r="C25" s="68" t="s">
        <v>1845</v>
      </c>
      <c r="D25" s="66" t="s">
        <v>1845</v>
      </c>
      <c r="E25" s="66" t="s">
        <v>2176</v>
      </c>
      <c r="F25" s="121" t="s">
        <v>2211</v>
      </c>
      <c r="G25" s="66" t="s">
        <v>2206</v>
      </c>
      <c r="H25" s="66"/>
      <c r="I25" s="68" t="s">
        <v>2212</v>
      </c>
      <c r="J25" s="119"/>
      <c r="K25" s="120"/>
      <c r="L25" s="72"/>
      <c r="M25" s="69"/>
      <c r="N25" s="149"/>
    </row>
    <row r="26" spans="1:14" s="118" customFormat="1" ht="13.8">
      <c r="A26" s="146" t="s">
        <v>2213</v>
      </c>
      <c r="B26" s="99">
        <v>44936</v>
      </c>
      <c r="C26" s="66"/>
      <c r="D26" s="66" t="s">
        <v>1845</v>
      </c>
      <c r="E26" s="66" t="s">
        <v>2214</v>
      </c>
      <c r="F26" s="72" t="s">
        <v>2215</v>
      </c>
      <c r="G26" s="66" t="s">
        <v>2206</v>
      </c>
      <c r="H26" s="66"/>
      <c r="I26" s="68" t="s">
        <v>1845</v>
      </c>
      <c r="J26" s="119"/>
      <c r="K26" s="120"/>
      <c r="L26" s="72"/>
      <c r="M26" s="66"/>
      <c r="N26" s="149"/>
    </row>
    <row r="27" spans="1:14" s="118" customFormat="1" ht="27.6">
      <c r="A27" s="146" t="s">
        <v>435</v>
      </c>
      <c r="B27" s="99">
        <v>44936</v>
      </c>
      <c r="C27" s="66" t="s">
        <v>1845</v>
      </c>
      <c r="D27" s="66" t="s">
        <v>1846</v>
      </c>
      <c r="E27" s="66"/>
      <c r="F27" s="72" t="s">
        <v>2216</v>
      </c>
      <c r="G27" s="66" t="s">
        <v>2209</v>
      </c>
      <c r="H27" s="66"/>
      <c r="I27" s="68" t="s">
        <v>1845</v>
      </c>
      <c r="J27" s="119"/>
      <c r="K27" s="120"/>
      <c r="L27" s="72"/>
      <c r="M27" s="66"/>
      <c r="N27" s="149"/>
    </row>
    <row r="28" spans="1:14" s="122" customFormat="1" ht="13.8">
      <c r="A28" s="146" t="s">
        <v>435</v>
      </c>
      <c r="B28" s="66"/>
      <c r="C28" s="68"/>
      <c r="D28" s="66"/>
      <c r="E28" s="66"/>
      <c r="F28" s="72"/>
      <c r="G28" s="66"/>
      <c r="H28" s="66"/>
      <c r="I28" s="68"/>
      <c r="J28" s="119"/>
      <c r="K28" s="120"/>
      <c r="L28" s="72"/>
      <c r="M28" s="69"/>
      <c r="N28" s="149"/>
    </row>
    <row r="29" spans="1:14" s="122" customFormat="1" ht="27.6">
      <c r="A29" s="146" t="s">
        <v>2217</v>
      </c>
      <c r="B29" s="99">
        <v>44863</v>
      </c>
      <c r="C29" s="66" t="s">
        <v>1846</v>
      </c>
      <c r="D29" s="66" t="s">
        <v>1845</v>
      </c>
      <c r="E29" s="66"/>
      <c r="F29" s="72" t="s">
        <v>2218</v>
      </c>
      <c r="G29" s="66" t="s">
        <v>2209</v>
      </c>
      <c r="H29" s="66"/>
      <c r="I29" s="68" t="s">
        <v>1846</v>
      </c>
      <c r="J29" s="119"/>
      <c r="K29" s="120"/>
      <c r="L29" s="72"/>
      <c r="M29" s="66"/>
      <c r="N29" s="149"/>
    </row>
    <row r="30" spans="1:14" s="122" customFormat="1" ht="13.8">
      <c r="A30" s="146" t="s">
        <v>678</v>
      </c>
      <c r="B30" s="99">
        <v>44863</v>
      </c>
      <c r="C30" s="66" t="s">
        <v>1845</v>
      </c>
      <c r="D30" s="66" t="s">
        <v>1846</v>
      </c>
      <c r="E30" s="66"/>
      <c r="F30" s="72" t="s">
        <v>2219</v>
      </c>
      <c r="G30" s="66" t="s">
        <v>2209</v>
      </c>
      <c r="H30" s="66"/>
      <c r="I30" s="68" t="s">
        <v>1845</v>
      </c>
      <c r="J30" s="119"/>
      <c r="K30" s="120"/>
      <c r="L30" s="72"/>
      <c r="M30" s="66"/>
      <c r="N30" s="149"/>
    </row>
    <row r="31" spans="1:14" s="122" customFormat="1" ht="13.8">
      <c r="A31" s="146" t="s">
        <v>2220</v>
      </c>
      <c r="B31" s="67"/>
      <c r="C31" s="68"/>
      <c r="D31" s="66"/>
      <c r="E31" s="66"/>
      <c r="F31" s="72"/>
      <c r="G31" s="66"/>
      <c r="H31" s="66"/>
      <c r="I31" s="68"/>
      <c r="J31" s="119"/>
      <c r="K31" s="120"/>
      <c r="L31" s="72"/>
      <c r="M31" s="69"/>
      <c r="N31" s="149"/>
    </row>
    <row r="32" spans="1:14" s="122" customFormat="1" ht="13.8">
      <c r="A32" s="146" t="s">
        <v>2221</v>
      </c>
      <c r="B32" s="66"/>
      <c r="C32" s="66"/>
      <c r="D32" s="66"/>
      <c r="E32" s="66"/>
      <c r="F32" s="72"/>
      <c r="G32" s="66"/>
      <c r="H32" s="66"/>
      <c r="I32" s="68"/>
      <c r="J32" s="119"/>
      <c r="K32" s="120"/>
      <c r="L32" s="72"/>
      <c r="M32" s="69"/>
      <c r="N32" s="149"/>
    </row>
    <row r="33" spans="1:14" s="122" customFormat="1" ht="13.8">
      <c r="A33" s="146" t="s">
        <v>1854</v>
      </c>
      <c r="B33" s="99">
        <v>44725</v>
      </c>
      <c r="C33" s="66" t="s">
        <v>1845</v>
      </c>
      <c r="D33" s="66" t="s">
        <v>1845</v>
      </c>
      <c r="E33" s="66"/>
      <c r="F33" s="72" t="s">
        <v>2222</v>
      </c>
      <c r="G33" s="66" t="s">
        <v>2209</v>
      </c>
      <c r="H33" s="66"/>
      <c r="I33" s="68" t="s">
        <v>1846</v>
      </c>
      <c r="J33" s="119"/>
      <c r="K33" s="120"/>
      <c r="L33" s="72"/>
      <c r="M33" s="69"/>
      <c r="N33" s="149"/>
    </row>
    <row r="34" spans="1:14" s="122" customFormat="1" ht="13.8">
      <c r="A34" s="146" t="s">
        <v>2223</v>
      </c>
      <c r="B34" s="67"/>
      <c r="C34" s="68"/>
      <c r="D34" s="68"/>
      <c r="E34" s="68"/>
      <c r="F34" s="70"/>
      <c r="G34" s="68"/>
      <c r="H34" s="68"/>
      <c r="I34" s="68"/>
      <c r="J34" s="71"/>
      <c r="K34" s="137"/>
      <c r="L34" s="70"/>
      <c r="M34" s="69"/>
      <c r="N34" s="152"/>
    </row>
    <row r="35" spans="1:14" s="122" customFormat="1" ht="13.8">
      <c r="A35" s="146" t="s">
        <v>2224</v>
      </c>
      <c r="B35" s="67"/>
      <c r="C35" s="68"/>
      <c r="D35" s="66"/>
      <c r="E35" s="66"/>
      <c r="F35" s="72"/>
      <c r="G35" s="66"/>
      <c r="H35" s="66"/>
      <c r="I35" s="68"/>
      <c r="J35" s="119"/>
      <c r="K35" s="120"/>
      <c r="L35" s="70"/>
      <c r="M35" s="66"/>
      <c r="N35" s="149"/>
    </row>
    <row r="36" spans="1:14" s="122" customFormat="1" ht="13.8">
      <c r="A36" s="146" t="s">
        <v>2225</v>
      </c>
      <c r="B36" s="66"/>
      <c r="C36" s="68"/>
      <c r="D36" s="66"/>
      <c r="E36" s="66"/>
      <c r="F36" s="72"/>
      <c r="G36" s="66"/>
      <c r="H36" s="66"/>
      <c r="I36" s="68"/>
      <c r="J36" s="119"/>
      <c r="K36" s="120"/>
      <c r="L36" s="70"/>
      <c r="M36" s="69"/>
      <c r="N36" s="149"/>
    </row>
    <row r="37" spans="1:14" s="122" customFormat="1" ht="13.8">
      <c r="A37" s="146" t="s">
        <v>2226</v>
      </c>
      <c r="B37" s="67"/>
      <c r="C37" s="68"/>
      <c r="D37" s="66"/>
      <c r="E37" s="66"/>
      <c r="F37" s="72"/>
      <c r="G37" s="66"/>
      <c r="H37" s="66"/>
      <c r="I37" s="68"/>
      <c r="J37" s="119"/>
      <c r="K37" s="120"/>
      <c r="L37" s="70"/>
      <c r="M37" s="69"/>
      <c r="N37" s="149"/>
    </row>
    <row r="38" spans="1:14" s="122" customFormat="1" ht="13.8">
      <c r="A38" s="146" t="s">
        <v>2227</v>
      </c>
      <c r="B38" s="66"/>
      <c r="C38" s="68"/>
      <c r="D38" s="66"/>
      <c r="E38" s="66"/>
      <c r="F38" s="72"/>
      <c r="G38" s="66"/>
      <c r="H38" s="66"/>
      <c r="I38" s="68"/>
      <c r="J38" s="119"/>
      <c r="K38" s="120"/>
      <c r="L38" s="70"/>
      <c r="M38" s="69"/>
      <c r="N38" s="149"/>
    </row>
    <row r="39" spans="1:14" s="122" customFormat="1" ht="13.8">
      <c r="A39" s="146" t="s">
        <v>2228</v>
      </c>
      <c r="B39" s="66"/>
      <c r="C39" s="66"/>
      <c r="D39" s="66"/>
      <c r="E39" s="66"/>
      <c r="F39" s="72"/>
      <c r="G39" s="66"/>
      <c r="H39" s="66"/>
      <c r="I39" s="66"/>
      <c r="J39" s="119"/>
      <c r="K39" s="120"/>
      <c r="L39" s="72"/>
      <c r="M39" s="66"/>
      <c r="N39" s="149"/>
    </row>
    <row r="40" spans="1:14" s="122" customFormat="1" ht="13.8">
      <c r="A40" s="146" t="s">
        <v>2229</v>
      </c>
      <c r="B40" s="66"/>
      <c r="C40" s="68"/>
      <c r="D40" s="66"/>
      <c r="E40" s="66"/>
      <c r="F40" s="72"/>
      <c r="G40" s="66"/>
      <c r="H40" s="66"/>
      <c r="I40" s="68"/>
      <c r="J40" s="119"/>
      <c r="K40" s="120"/>
      <c r="L40" s="70"/>
      <c r="M40" s="69"/>
      <c r="N40" s="149"/>
    </row>
    <row r="41" spans="1:14" s="122" customFormat="1" ht="13.8">
      <c r="A41" s="146" t="s">
        <v>2230</v>
      </c>
      <c r="B41" s="66"/>
      <c r="C41" s="66"/>
      <c r="D41" s="66"/>
      <c r="E41" s="66"/>
      <c r="F41" s="72"/>
      <c r="G41" s="66"/>
      <c r="H41" s="66"/>
      <c r="I41" s="66"/>
      <c r="J41" s="119"/>
      <c r="K41" s="120"/>
      <c r="L41" s="72"/>
      <c r="M41" s="66"/>
      <c r="N41" s="149"/>
    </row>
    <row r="42" spans="1:14" s="122" customFormat="1" ht="13.8">
      <c r="A42" s="146" t="s">
        <v>2231</v>
      </c>
      <c r="B42" s="66"/>
      <c r="C42" s="68"/>
      <c r="D42" s="66"/>
      <c r="E42" s="66"/>
      <c r="F42" s="72"/>
      <c r="G42" s="66"/>
      <c r="H42" s="66"/>
      <c r="I42" s="68"/>
      <c r="J42" s="119"/>
      <c r="K42" s="120"/>
      <c r="L42" s="70"/>
      <c r="M42" s="66"/>
      <c r="N42" s="149"/>
    </row>
    <row r="43" spans="1:14" s="122" customFormat="1" ht="13.8">
      <c r="A43" s="146" t="s">
        <v>2232</v>
      </c>
      <c r="B43" s="66"/>
      <c r="C43" s="68"/>
      <c r="D43" s="66"/>
      <c r="E43" s="66"/>
      <c r="F43" s="72"/>
      <c r="G43" s="66"/>
      <c r="H43" s="66"/>
      <c r="I43" s="68"/>
      <c r="J43" s="119"/>
      <c r="K43" s="120"/>
      <c r="L43" s="70"/>
      <c r="M43" s="69"/>
      <c r="N43" s="149"/>
    </row>
    <row r="44" spans="1:14" s="122" customFormat="1" ht="13.8">
      <c r="A44" s="146" t="s">
        <v>2233</v>
      </c>
      <c r="B44" s="67"/>
      <c r="C44" s="68"/>
      <c r="D44" s="66"/>
      <c r="E44" s="66"/>
      <c r="F44" s="72"/>
      <c r="G44" s="66"/>
      <c r="H44" s="66"/>
      <c r="I44" s="68"/>
      <c r="J44" s="119"/>
      <c r="K44" s="120"/>
      <c r="L44" s="70"/>
      <c r="M44" s="69"/>
      <c r="N44" s="149"/>
    </row>
    <row r="45" spans="1:14" s="122" customFormat="1" ht="13.8">
      <c r="A45" s="146" t="s">
        <v>2234</v>
      </c>
      <c r="B45" s="67"/>
      <c r="C45" s="68"/>
      <c r="D45" s="66"/>
      <c r="E45" s="66"/>
      <c r="F45" s="72"/>
      <c r="G45" s="66"/>
      <c r="H45" s="66"/>
      <c r="I45" s="68"/>
      <c r="J45" s="119"/>
      <c r="K45" s="120"/>
      <c r="L45" s="70"/>
      <c r="M45" s="69"/>
      <c r="N45" s="149"/>
    </row>
    <row r="46" spans="1:14" s="122" customFormat="1" ht="13.8">
      <c r="A46" s="147" t="s">
        <v>1869</v>
      </c>
      <c r="B46" s="241">
        <v>44936</v>
      </c>
      <c r="C46" s="240">
        <v>43903</v>
      </c>
      <c r="D46" s="68" t="s">
        <v>1845</v>
      </c>
      <c r="E46" s="68" t="s">
        <v>2176</v>
      </c>
      <c r="F46" s="68" t="s">
        <v>2235</v>
      </c>
      <c r="G46" s="68" t="s">
        <v>2209</v>
      </c>
      <c r="H46" s="68"/>
      <c r="I46" s="138" t="s">
        <v>1846</v>
      </c>
      <c r="J46" s="71"/>
      <c r="K46" s="137"/>
      <c r="L46" s="68"/>
      <c r="M46" s="68"/>
      <c r="N46" s="152"/>
    </row>
    <row r="47" spans="1:14" s="122" customFormat="1" ht="13.8">
      <c r="A47" s="146" t="s">
        <v>1160</v>
      </c>
      <c r="B47" s="66"/>
      <c r="C47" s="68"/>
      <c r="D47" s="66"/>
      <c r="E47" s="66"/>
      <c r="F47" s="72"/>
      <c r="G47" s="66"/>
      <c r="H47" s="66"/>
      <c r="I47" s="68"/>
      <c r="J47" s="119"/>
      <c r="K47" s="120"/>
      <c r="L47" s="70"/>
      <c r="M47" s="69"/>
      <c r="N47" s="149"/>
    </row>
    <row r="48" spans="1:14" s="122" customFormat="1" ht="13.8">
      <c r="A48" s="146" t="s">
        <v>2236</v>
      </c>
      <c r="B48" s="66"/>
      <c r="C48" s="68"/>
      <c r="D48" s="66"/>
      <c r="E48" s="66"/>
      <c r="F48" s="72"/>
      <c r="G48" s="66"/>
      <c r="H48" s="66"/>
      <c r="I48" s="68"/>
      <c r="J48" s="119"/>
      <c r="K48" s="120"/>
      <c r="L48" s="70"/>
      <c r="M48" s="69"/>
      <c r="N48" s="149"/>
    </row>
    <row r="49" spans="1:14" s="122" customFormat="1" ht="13.8">
      <c r="A49" s="146" t="s">
        <v>2237</v>
      </c>
      <c r="B49" s="67"/>
      <c r="C49" s="68"/>
      <c r="D49" s="66"/>
      <c r="E49" s="66"/>
      <c r="F49" s="72"/>
      <c r="G49" s="66"/>
      <c r="H49" s="66"/>
      <c r="I49" s="68"/>
      <c r="J49" s="119"/>
      <c r="K49" s="120"/>
      <c r="L49" s="70"/>
      <c r="M49" s="69"/>
      <c r="N49" s="149"/>
    </row>
    <row r="50" spans="1:14" s="122" customFormat="1" ht="13.8">
      <c r="A50" s="146" t="s">
        <v>2238</v>
      </c>
      <c r="B50" s="67"/>
      <c r="C50" s="68"/>
      <c r="D50" s="66"/>
      <c r="E50" s="66"/>
      <c r="F50" s="72"/>
      <c r="G50" s="66"/>
      <c r="H50" s="66"/>
      <c r="I50" s="68"/>
      <c r="J50" s="119"/>
      <c r="K50" s="120"/>
      <c r="L50" s="70"/>
      <c r="M50" s="69"/>
      <c r="N50" s="149"/>
    </row>
    <row r="51" spans="1:14" s="122" customFormat="1" ht="13.8">
      <c r="A51" s="146" t="s">
        <v>2239</v>
      </c>
      <c r="B51" s="66"/>
      <c r="C51" s="66"/>
      <c r="D51" s="66"/>
      <c r="E51" s="66"/>
      <c r="F51" s="72"/>
      <c r="G51" s="66"/>
      <c r="H51" s="66"/>
      <c r="I51" s="68"/>
      <c r="J51" s="119"/>
      <c r="K51" s="120"/>
      <c r="L51" s="70"/>
      <c r="M51" s="66"/>
      <c r="N51" s="149"/>
    </row>
    <row r="52" spans="1:14" s="122" customFormat="1" ht="13.8">
      <c r="A52" s="146" t="s">
        <v>2240</v>
      </c>
      <c r="B52" s="247"/>
      <c r="C52" s="68"/>
      <c r="D52" s="66"/>
      <c r="E52" s="66"/>
      <c r="F52" s="72"/>
      <c r="G52" s="66"/>
      <c r="H52" s="66"/>
      <c r="I52" s="68"/>
      <c r="J52" s="119"/>
      <c r="K52" s="120"/>
      <c r="L52" s="70"/>
      <c r="M52" s="69"/>
      <c r="N52" s="149"/>
    </row>
    <row r="53" spans="1:14" s="122" customFormat="1" ht="13.8">
      <c r="A53" s="146" t="s">
        <v>2241</v>
      </c>
      <c r="B53" s="66"/>
      <c r="C53" s="66"/>
      <c r="D53" s="66"/>
      <c r="E53" s="66"/>
      <c r="F53" s="72"/>
      <c r="G53" s="66"/>
      <c r="H53" s="66"/>
      <c r="I53" s="68"/>
      <c r="J53" s="119"/>
      <c r="K53" s="120"/>
      <c r="L53" s="70"/>
      <c r="M53" s="66"/>
      <c r="N53" s="149"/>
    </row>
    <row r="54" spans="1:14" s="122" customFormat="1" ht="13.8">
      <c r="A54" s="146" t="s">
        <v>1881</v>
      </c>
      <c r="B54" s="99">
        <v>44785</v>
      </c>
      <c r="C54" s="66" t="s">
        <v>1845</v>
      </c>
      <c r="D54" s="66" t="s">
        <v>1845</v>
      </c>
      <c r="E54" s="66"/>
      <c r="F54" s="72" t="s">
        <v>2242</v>
      </c>
      <c r="G54" s="66" t="s">
        <v>2209</v>
      </c>
      <c r="H54" s="66"/>
      <c r="I54" s="68" t="s">
        <v>1846</v>
      </c>
      <c r="J54" s="119"/>
      <c r="K54" s="120"/>
      <c r="L54" s="70"/>
      <c r="M54" s="66"/>
      <c r="N54" s="149"/>
    </row>
    <row r="55" spans="1:14" s="122" customFormat="1" ht="13.8">
      <c r="A55" s="146" t="s">
        <v>2243</v>
      </c>
      <c r="B55" s="66"/>
      <c r="C55" s="66"/>
      <c r="D55" s="66"/>
      <c r="E55" s="66"/>
      <c r="F55" s="66"/>
      <c r="G55" s="66"/>
      <c r="H55" s="66"/>
      <c r="I55" s="68"/>
      <c r="J55" s="119"/>
      <c r="K55" s="120"/>
      <c r="L55" s="70"/>
      <c r="M55" s="69"/>
      <c r="N55" s="149"/>
    </row>
    <row r="56" spans="1:14" s="122" customFormat="1" ht="13.8">
      <c r="A56" s="146" t="s">
        <v>2244</v>
      </c>
      <c r="B56" s="67"/>
      <c r="C56" s="68"/>
      <c r="D56" s="66"/>
      <c r="E56" s="66"/>
      <c r="F56" s="72"/>
      <c r="G56" s="66"/>
      <c r="H56" s="66"/>
      <c r="I56" s="68"/>
      <c r="J56" s="119"/>
      <c r="K56" s="120"/>
      <c r="L56" s="70"/>
      <c r="M56" s="69"/>
      <c r="N56" s="149"/>
    </row>
    <row r="57" spans="1:14" s="122" customFormat="1" ht="13.8">
      <c r="A57" s="146" t="s">
        <v>955</v>
      </c>
      <c r="B57" s="66"/>
      <c r="C57" s="68"/>
      <c r="D57" s="66"/>
      <c r="E57" s="66"/>
      <c r="F57" s="72"/>
      <c r="G57" s="66"/>
      <c r="H57" s="66"/>
      <c r="I57" s="68"/>
      <c r="J57" s="119"/>
      <c r="K57" s="120"/>
      <c r="L57" s="70"/>
      <c r="M57" s="69"/>
      <c r="N57" s="149"/>
    </row>
    <row r="58" spans="1:14" s="122" customFormat="1" ht="13.8">
      <c r="A58" s="146" t="s">
        <v>2245</v>
      </c>
      <c r="B58" s="66"/>
      <c r="C58" s="68"/>
      <c r="D58" s="66"/>
      <c r="E58" s="66"/>
      <c r="F58" s="72"/>
      <c r="G58" s="66"/>
      <c r="H58" s="66"/>
      <c r="I58" s="68"/>
      <c r="J58" s="119"/>
      <c r="K58" s="120"/>
      <c r="L58" s="70"/>
      <c r="M58" s="69"/>
      <c r="N58" s="149"/>
    </row>
    <row r="59" spans="1:14" s="122" customFormat="1" ht="13.8">
      <c r="A59" s="146" t="s">
        <v>2246</v>
      </c>
      <c r="B59" s="66"/>
      <c r="C59" s="66"/>
      <c r="D59" s="66"/>
      <c r="E59" s="66"/>
      <c r="F59" s="72"/>
      <c r="G59" s="66"/>
      <c r="H59" s="66"/>
      <c r="I59" s="68"/>
      <c r="J59" s="119"/>
      <c r="K59" s="120"/>
      <c r="L59" s="70"/>
      <c r="M59" s="69"/>
      <c r="N59" s="149"/>
    </row>
    <row r="60" spans="1:14" s="122" customFormat="1" ht="13.8">
      <c r="A60" s="146" t="s">
        <v>2247</v>
      </c>
      <c r="B60" s="66"/>
      <c r="C60" s="66"/>
      <c r="D60" s="66"/>
      <c r="E60" s="66"/>
      <c r="F60" s="72"/>
      <c r="G60" s="66"/>
      <c r="H60" s="66"/>
      <c r="I60" s="68"/>
      <c r="J60" s="119"/>
      <c r="K60" s="120"/>
      <c r="L60" s="70"/>
      <c r="M60" s="66"/>
      <c r="N60" s="149"/>
    </row>
    <row r="61" spans="1:14" s="122" customFormat="1" ht="13.8">
      <c r="A61" s="146" t="s">
        <v>2248</v>
      </c>
      <c r="B61" s="66"/>
      <c r="C61" s="68"/>
      <c r="D61" s="66"/>
      <c r="E61" s="66"/>
      <c r="F61" s="72"/>
      <c r="G61" s="66"/>
      <c r="H61" s="66"/>
      <c r="I61" s="123"/>
      <c r="J61" s="119"/>
      <c r="K61" s="120"/>
      <c r="L61" s="66"/>
      <c r="M61" s="66"/>
      <c r="N61" s="149"/>
    </row>
    <row r="62" spans="1:14" s="118" customFormat="1" ht="13.8">
      <c r="A62" s="146" t="s">
        <v>1512</v>
      </c>
      <c r="B62" s="66"/>
      <c r="C62" s="68"/>
      <c r="D62" s="66"/>
      <c r="E62" s="66"/>
      <c r="F62" s="72"/>
      <c r="G62" s="72"/>
      <c r="H62" s="72"/>
      <c r="I62" s="68"/>
      <c r="J62" s="119"/>
      <c r="K62" s="120"/>
      <c r="L62" s="70"/>
      <c r="M62" s="66"/>
      <c r="N62" s="149"/>
    </row>
    <row r="63" spans="1:14" s="118" customFormat="1" ht="13.8">
      <c r="A63" s="146" t="s">
        <v>2249</v>
      </c>
      <c r="B63" s="66"/>
      <c r="C63" s="66"/>
      <c r="D63" s="66"/>
      <c r="E63" s="66"/>
      <c r="F63" s="72"/>
      <c r="G63" s="66"/>
      <c r="H63" s="66"/>
      <c r="I63" s="68"/>
      <c r="J63" s="119"/>
      <c r="K63" s="120"/>
      <c r="L63" s="70"/>
      <c r="M63" s="66"/>
      <c r="N63" s="149"/>
    </row>
    <row r="64" spans="1:14" s="118" customFormat="1" ht="13.8">
      <c r="A64" s="146" t="s">
        <v>2250</v>
      </c>
      <c r="B64" s="66"/>
      <c r="C64" s="66"/>
      <c r="D64" s="66"/>
      <c r="E64" s="66"/>
      <c r="F64" s="72"/>
      <c r="G64" s="66"/>
      <c r="H64" s="66"/>
      <c r="I64" s="68"/>
      <c r="J64" s="119"/>
      <c r="K64" s="120"/>
      <c r="L64" s="70"/>
      <c r="M64" s="69"/>
      <c r="N64" s="149"/>
    </row>
    <row r="65" spans="1:14" s="118" customFormat="1" ht="13.8">
      <c r="A65" s="146" t="s">
        <v>1557</v>
      </c>
      <c r="B65" s="66"/>
      <c r="C65" s="66"/>
      <c r="D65" s="75"/>
      <c r="E65" s="75"/>
      <c r="F65" s="124"/>
      <c r="G65" s="75"/>
      <c r="H65" s="75"/>
      <c r="I65" s="123"/>
      <c r="J65" s="125"/>
      <c r="K65" s="126"/>
      <c r="L65" s="66"/>
      <c r="M65" s="75"/>
      <c r="N65" s="150"/>
    </row>
    <row r="66" spans="1:14" s="118" customFormat="1" ht="13.8">
      <c r="A66" s="146" t="s">
        <v>2251</v>
      </c>
      <c r="B66" s="66"/>
      <c r="C66" s="66"/>
      <c r="D66" s="66"/>
      <c r="E66" s="66"/>
      <c r="F66" s="72"/>
      <c r="G66" s="66"/>
      <c r="H66" s="66"/>
      <c r="I66" s="68"/>
      <c r="J66" s="119"/>
      <c r="K66" s="120"/>
      <c r="L66" s="66"/>
      <c r="M66" s="68"/>
      <c r="N66" s="149"/>
    </row>
    <row r="67" spans="1:14" s="118" customFormat="1" ht="13.8">
      <c r="A67" s="147" t="s">
        <v>1905</v>
      </c>
      <c r="B67" s="239">
        <v>44936</v>
      </c>
      <c r="C67" s="239">
        <v>44315</v>
      </c>
      <c r="D67" s="68" t="s">
        <v>1845</v>
      </c>
      <c r="E67" s="68" t="s">
        <v>2176</v>
      </c>
      <c r="F67" s="68" t="s">
        <v>2252</v>
      </c>
      <c r="G67" s="68" t="s">
        <v>2209</v>
      </c>
      <c r="H67" s="68"/>
      <c r="I67" s="138" t="s">
        <v>1846</v>
      </c>
      <c r="J67" s="71"/>
      <c r="K67" s="137"/>
      <c r="L67" s="68"/>
      <c r="M67" s="68"/>
      <c r="N67" s="152"/>
    </row>
    <row r="68" spans="1:14" s="118" customFormat="1" ht="13.8">
      <c r="A68" s="146" t="s">
        <v>2253</v>
      </c>
      <c r="B68" s="66"/>
      <c r="C68" s="68"/>
      <c r="D68" s="66"/>
      <c r="E68" s="66"/>
      <c r="F68" s="72"/>
      <c r="G68" s="66"/>
      <c r="H68" s="66"/>
      <c r="I68" s="68"/>
      <c r="J68" s="119"/>
      <c r="K68" s="120"/>
      <c r="L68" s="66"/>
      <c r="M68" s="68"/>
      <c r="N68" s="151"/>
    </row>
    <row r="69" spans="1:14" s="118" customFormat="1" ht="27.6">
      <c r="A69" s="146" t="s">
        <v>2254</v>
      </c>
      <c r="B69" s="99">
        <v>44940</v>
      </c>
      <c r="C69" s="136">
        <v>44529</v>
      </c>
      <c r="D69" s="66" t="s">
        <v>1845</v>
      </c>
      <c r="E69" s="66" t="s">
        <v>2176</v>
      </c>
      <c r="F69" s="72" t="s">
        <v>2255</v>
      </c>
      <c r="G69" s="66" t="s">
        <v>2256</v>
      </c>
      <c r="H69" s="66"/>
      <c r="I69" s="123" t="s">
        <v>1846</v>
      </c>
      <c r="J69" s="119"/>
      <c r="K69" s="120"/>
      <c r="L69" s="66"/>
      <c r="M69" s="66"/>
      <c r="N69" s="151"/>
    </row>
    <row r="70" spans="1:14" s="118" customFormat="1" ht="13.8">
      <c r="A70" s="146" t="s">
        <v>2257</v>
      </c>
      <c r="B70" s="66"/>
      <c r="C70" s="66"/>
      <c r="D70" s="66"/>
      <c r="E70" s="66"/>
      <c r="F70" s="72"/>
      <c r="G70" s="66"/>
      <c r="H70" s="66"/>
      <c r="I70" s="123"/>
      <c r="J70" s="119"/>
      <c r="K70" s="120"/>
      <c r="L70" s="66"/>
      <c r="M70" s="66"/>
      <c r="N70" s="151"/>
    </row>
    <row r="71" spans="1:14" s="118" customFormat="1" ht="13.8">
      <c r="A71" s="147" t="s">
        <v>1910</v>
      </c>
      <c r="B71" s="239">
        <v>44936</v>
      </c>
      <c r="C71" s="239">
        <v>44319</v>
      </c>
      <c r="D71" s="68" t="s">
        <v>1845</v>
      </c>
      <c r="E71" s="68" t="s">
        <v>2176</v>
      </c>
      <c r="F71" s="68" t="s">
        <v>2258</v>
      </c>
      <c r="G71" s="68" t="s">
        <v>2209</v>
      </c>
      <c r="H71" s="68"/>
      <c r="I71" s="138" t="s">
        <v>1846</v>
      </c>
      <c r="J71" s="71"/>
      <c r="K71" s="137"/>
      <c r="L71" s="68"/>
      <c r="M71" s="68"/>
      <c r="N71" s="152"/>
    </row>
    <row r="72" spans="1:14" s="118" customFormat="1" ht="13.8">
      <c r="A72" s="146" t="s">
        <v>2259</v>
      </c>
      <c r="B72" s="246"/>
      <c r="C72" s="66"/>
      <c r="D72" s="66"/>
      <c r="E72" s="66"/>
      <c r="F72" s="72"/>
      <c r="G72" s="66"/>
      <c r="H72" s="66"/>
      <c r="I72" s="68"/>
      <c r="J72" s="119"/>
      <c r="K72" s="120"/>
      <c r="L72" s="70"/>
      <c r="M72" s="69"/>
      <c r="N72" s="151"/>
    </row>
    <row r="73" spans="1:14" s="118" customFormat="1" ht="13.8">
      <c r="A73" s="146" t="s">
        <v>2260</v>
      </c>
      <c r="B73" s="66"/>
      <c r="C73" s="66"/>
      <c r="D73" s="66"/>
      <c r="E73" s="66"/>
      <c r="F73" s="72"/>
      <c r="G73" s="66"/>
      <c r="H73" s="66"/>
      <c r="I73" s="68"/>
      <c r="J73" s="119"/>
      <c r="K73" s="120"/>
      <c r="L73" s="70"/>
      <c r="M73" s="66"/>
      <c r="N73" s="151"/>
    </row>
    <row r="74" spans="1:14" s="118" customFormat="1" ht="13.8">
      <c r="A74" s="147" t="s">
        <v>1915</v>
      </c>
      <c r="B74" s="99">
        <v>44937</v>
      </c>
      <c r="C74" s="238">
        <v>42849</v>
      </c>
      <c r="D74" s="68" t="s">
        <v>1845</v>
      </c>
      <c r="E74" s="68" t="s">
        <v>2214</v>
      </c>
      <c r="F74" s="68" t="s">
        <v>2261</v>
      </c>
      <c r="G74" s="68" t="s">
        <v>2256</v>
      </c>
      <c r="H74" s="68"/>
      <c r="I74" s="138" t="s">
        <v>1845</v>
      </c>
      <c r="J74" s="71"/>
      <c r="K74" s="137"/>
      <c r="L74" s="68"/>
      <c r="M74" s="68"/>
      <c r="N74" s="152" t="s">
        <v>2175</v>
      </c>
    </row>
    <row r="75" spans="1:14" s="118" customFormat="1" ht="13.8">
      <c r="A75" s="146" t="s">
        <v>1917</v>
      </c>
      <c r="B75" s="99">
        <v>44934</v>
      </c>
      <c r="C75" s="99">
        <v>44319</v>
      </c>
      <c r="D75" s="66" t="s">
        <v>1845</v>
      </c>
      <c r="E75" s="66" t="s">
        <v>2176</v>
      </c>
      <c r="F75" s="72" t="s">
        <v>2262</v>
      </c>
      <c r="G75" s="66">
        <v>162986</v>
      </c>
      <c r="H75" s="66"/>
      <c r="I75" s="123" t="s">
        <v>1846</v>
      </c>
      <c r="J75" s="119"/>
      <c r="K75" s="120"/>
      <c r="L75" s="66"/>
      <c r="M75" s="66"/>
      <c r="N75" s="151"/>
    </row>
    <row r="76" spans="1:14" s="118" customFormat="1" ht="13.8">
      <c r="A76" s="146" t="s">
        <v>698</v>
      </c>
      <c r="B76" s="66"/>
      <c r="C76" s="68"/>
      <c r="D76" s="66"/>
      <c r="E76" s="66"/>
      <c r="F76" s="72"/>
      <c r="G76" s="66"/>
      <c r="H76" s="66"/>
      <c r="I76" s="68"/>
      <c r="J76" s="119"/>
      <c r="K76" s="120"/>
      <c r="L76" s="70"/>
      <c r="M76" s="69"/>
      <c r="N76" s="149"/>
    </row>
    <row r="77" spans="1:14" s="118" customFormat="1" ht="13.8">
      <c r="A77" s="146" t="s">
        <v>2263</v>
      </c>
      <c r="B77" s="66"/>
      <c r="C77" s="66"/>
      <c r="D77" s="66"/>
      <c r="E77" s="66"/>
      <c r="F77" s="72"/>
      <c r="G77" s="66"/>
      <c r="H77" s="66"/>
      <c r="I77" s="68"/>
      <c r="J77" s="119"/>
      <c r="K77" s="120"/>
      <c r="L77" s="70"/>
      <c r="M77" s="66"/>
      <c r="N77" s="149"/>
    </row>
    <row r="78" spans="1:14" s="118" customFormat="1" ht="13.8">
      <c r="A78" s="146" t="s">
        <v>2264</v>
      </c>
      <c r="B78" s="66"/>
      <c r="C78" s="66"/>
      <c r="D78" s="66"/>
      <c r="E78" s="66"/>
      <c r="F78" s="72"/>
      <c r="G78" s="66"/>
      <c r="H78" s="66"/>
      <c r="I78" s="68"/>
      <c r="J78" s="119"/>
      <c r="K78" s="120"/>
      <c r="L78" s="70"/>
      <c r="M78" s="66"/>
      <c r="N78" s="149"/>
    </row>
    <row r="79" spans="1:14" s="118" customFormat="1" ht="13.8">
      <c r="A79" s="146" t="s">
        <v>2265</v>
      </c>
      <c r="B79" s="66"/>
      <c r="C79" s="68"/>
      <c r="D79" s="66"/>
      <c r="E79" s="66"/>
      <c r="F79" s="72"/>
      <c r="G79" s="66"/>
      <c r="H79" s="66"/>
      <c r="I79" s="68"/>
      <c r="J79" s="119"/>
      <c r="K79" s="120"/>
      <c r="L79" s="70"/>
      <c r="M79" s="69"/>
      <c r="N79" s="149"/>
    </row>
    <row r="80" spans="1:14" s="118" customFormat="1" ht="13.8">
      <c r="A80" s="146" t="s">
        <v>2266</v>
      </c>
      <c r="B80" s="66"/>
      <c r="C80" s="66"/>
      <c r="D80" s="66"/>
      <c r="E80" s="66"/>
      <c r="F80" s="72"/>
      <c r="G80" s="66"/>
      <c r="H80" s="66"/>
      <c r="I80" s="68"/>
      <c r="J80" s="119"/>
      <c r="K80" s="120"/>
      <c r="L80" s="70"/>
      <c r="M80" s="66"/>
      <c r="N80" s="149"/>
    </row>
    <row r="81" spans="1:14" s="118" customFormat="1" ht="13.8">
      <c r="A81" s="146" t="s">
        <v>2267</v>
      </c>
      <c r="B81" s="66"/>
      <c r="C81" s="66"/>
      <c r="D81" s="66"/>
      <c r="E81" s="66"/>
      <c r="F81" s="72"/>
      <c r="G81" s="66"/>
      <c r="H81" s="66"/>
      <c r="I81" s="68"/>
      <c r="J81" s="119"/>
      <c r="K81" s="120"/>
      <c r="L81" s="70"/>
      <c r="M81" s="66"/>
      <c r="N81" s="149"/>
    </row>
    <row r="82" spans="1:14" s="118" customFormat="1" ht="13.8">
      <c r="A82" s="146" t="s">
        <v>2268</v>
      </c>
      <c r="B82" s="66"/>
      <c r="C82" s="68"/>
      <c r="D82" s="66"/>
      <c r="E82" s="66"/>
      <c r="F82" s="72"/>
      <c r="G82" s="66"/>
      <c r="H82" s="66"/>
      <c r="I82" s="68"/>
      <c r="J82" s="119"/>
      <c r="K82" s="120"/>
      <c r="L82" s="70"/>
      <c r="M82" s="69"/>
      <c r="N82" s="149"/>
    </row>
    <row r="83" spans="1:14" s="122" customFormat="1" ht="13.8">
      <c r="A83" s="146" t="s">
        <v>2269</v>
      </c>
      <c r="B83" s="66"/>
      <c r="C83" s="68"/>
      <c r="D83" s="66"/>
      <c r="E83" s="66"/>
      <c r="F83" s="72"/>
      <c r="G83" s="66"/>
      <c r="H83" s="66"/>
      <c r="I83" s="68"/>
      <c r="J83" s="119"/>
      <c r="K83" s="120"/>
      <c r="L83" s="70"/>
      <c r="M83" s="69"/>
      <c r="N83" s="149"/>
    </row>
    <row r="84" spans="1:14" s="122" customFormat="1" ht="13.8">
      <c r="A84" s="146" t="s">
        <v>2270</v>
      </c>
      <c r="B84" s="99">
        <v>44940</v>
      </c>
      <c r="C84" s="99">
        <v>43382</v>
      </c>
      <c r="D84" s="66" t="s">
        <v>1845</v>
      </c>
      <c r="E84" s="66" t="s">
        <v>2176</v>
      </c>
      <c r="F84" s="72" t="s">
        <v>2271</v>
      </c>
      <c r="G84" s="66" t="s">
        <v>2206</v>
      </c>
      <c r="H84" s="66"/>
      <c r="I84" s="123" t="s">
        <v>1846</v>
      </c>
      <c r="J84" s="119"/>
      <c r="K84" s="120"/>
      <c r="L84" s="66"/>
      <c r="M84" s="66"/>
      <c r="N84" s="149"/>
    </row>
    <row r="85" spans="1:14" s="122" customFormat="1" ht="13.8">
      <c r="A85" s="146" t="s">
        <v>2272</v>
      </c>
      <c r="B85" s="66"/>
      <c r="C85" s="66"/>
      <c r="D85" s="66"/>
      <c r="E85" s="66"/>
      <c r="F85" s="72"/>
      <c r="G85" s="66"/>
      <c r="H85" s="66"/>
      <c r="I85" s="68"/>
      <c r="J85" s="119"/>
      <c r="K85" s="120"/>
      <c r="L85" s="70"/>
      <c r="M85" s="69"/>
      <c r="N85" s="149"/>
    </row>
    <row r="86" spans="1:14" s="122" customFormat="1" ht="13.8">
      <c r="A86" s="146" t="s">
        <v>2273</v>
      </c>
      <c r="B86" s="66"/>
      <c r="C86" s="66"/>
      <c r="D86" s="66"/>
      <c r="E86" s="66"/>
      <c r="F86" s="72"/>
      <c r="G86" s="66"/>
      <c r="H86" s="66"/>
      <c r="I86" s="68"/>
      <c r="J86" s="119"/>
      <c r="K86" s="120"/>
      <c r="L86" s="70"/>
      <c r="M86" s="66"/>
      <c r="N86" s="149"/>
    </row>
    <row r="87" spans="1:14" s="122" customFormat="1" ht="13.8">
      <c r="A87" s="146" t="s">
        <v>2274</v>
      </c>
      <c r="B87" s="66"/>
      <c r="C87" s="68"/>
      <c r="D87" s="66"/>
      <c r="E87" s="66"/>
      <c r="F87" s="72"/>
      <c r="G87" s="66"/>
      <c r="H87" s="66"/>
      <c r="I87" s="68"/>
      <c r="J87" s="119"/>
      <c r="K87" s="120"/>
      <c r="L87" s="70"/>
      <c r="M87" s="69"/>
      <c r="N87" s="149"/>
    </row>
    <row r="88" spans="1:14" s="122" customFormat="1" ht="13.8">
      <c r="A88" s="146" t="s">
        <v>2275</v>
      </c>
      <c r="B88" s="66"/>
      <c r="C88" s="66"/>
      <c r="D88" s="66"/>
      <c r="E88" s="66"/>
      <c r="F88" s="72"/>
      <c r="G88" s="66"/>
      <c r="H88" s="66"/>
      <c r="I88" s="68"/>
      <c r="J88" s="119"/>
      <c r="K88" s="120"/>
      <c r="L88" s="70"/>
      <c r="M88" s="66"/>
      <c r="N88" s="149"/>
    </row>
    <row r="89" spans="1:14" s="122" customFormat="1" ht="13.8">
      <c r="A89" s="146" t="s">
        <v>2276</v>
      </c>
      <c r="B89" s="66"/>
      <c r="C89" s="68"/>
      <c r="D89" s="66"/>
      <c r="E89" s="66"/>
      <c r="F89" s="72"/>
      <c r="G89" s="66"/>
      <c r="H89" s="66"/>
      <c r="I89" s="68"/>
      <c r="J89" s="119"/>
      <c r="K89" s="120"/>
      <c r="L89" s="70"/>
      <c r="M89" s="69"/>
      <c r="N89" s="149"/>
    </row>
    <row r="90" spans="1:14" s="122" customFormat="1" ht="13.8">
      <c r="A90" s="146" t="s">
        <v>2277</v>
      </c>
      <c r="B90" s="66"/>
      <c r="C90" s="66"/>
      <c r="D90" s="66"/>
      <c r="E90" s="66"/>
      <c r="F90" s="72"/>
      <c r="G90" s="66"/>
      <c r="H90" s="66"/>
      <c r="I90" s="68"/>
      <c r="J90" s="119"/>
      <c r="K90" s="120"/>
      <c r="L90" s="70"/>
      <c r="M90" s="69"/>
      <c r="N90" s="149"/>
    </row>
    <row r="91" spans="1:14" s="122" customFormat="1" ht="13.8">
      <c r="A91" s="146" t="s">
        <v>2278</v>
      </c>
      <c r="B91" s="66"/>
      <c r="C91" s="66"/>
      <c r="D91" s="66"/>
      <c r="E91" s="66"/>
      <c r="F91" s="72"/>
      <c r="G91" s="66"/>
      <c r="H91" s="66"/>
      <c r="I91" s="68"/>
      <c r="J91" s="119"/>
      <c r="K91" s="120"/>
      <c r="L91" s="70"/>
      <c r="M91" s="69"/>
      <c r="N91" s="149"/>
    </row>
    <row r="92" spans="1:14" s="122" customFormat="1" ht="13.8">
      <c r="A92" s="146" t="s">
        <v>2279</v>
      </c>
      <c r="B92" s="66"/>
      <c r="C92" s="68"/>
      <c r="D92" s="66"/>
      <c r="E92" s="66"/>
      <c r="F92" s="72"/>
      <c r="G92" s="66"/>
      <c r="H92" s="66"/>
      <c r="I92" s="68"/>
      <c r="J92" s="119"/>
      <c r="K92" s="120"/>
      <c r="L92" s="70"/>
      <c r="M92" s="69"/>
      <c r="N92" s="149"/>
    </row>
    <row r="93" spans="1:14" s="122" customFormat="1" ht="13.8">
      <c r="A93" s="146" t="s">
        <v>2280</v>
      </c>
      <c r="B93" s="66"/>
      <c r="C93" s="68"/>
      <c r="D93" s="66"/>
      <c r="E93" s="66"/>
      <c r="F93" s="72"/>
      <c r="G93" s="66"/>
      <c r="H93" s="66"/>
      <c r="I93" s="68"/>
      <c r="J93" s="119"/>
      <c r="K93" s="120"/>
      <c r="L93" s="70"/>
      <c r="M93" s="69"/>
      <c r="N93" s="149"/>
    </row>
    <row r="94" spans="1:14" s="122" customFormat="1" ht="13.8">
      <c r="A94" s="147" t="s">
        <v>1951</v>
      </c>
      <c r="B94" s="239">
        <v>44936</v>
      </c>
      <c r="C94" s="240">
        <v>44379</v>
      </c>
      <c r="D94" s="68" t="s">
        <v>1845</v>
      </c>
      <c r="E94" s="68" t="s">
        <v>2176</v>
      </c>
      <c r="F94" s="68" t="s">
        <v>2281</v>
      </c>
      <c r="G94" s="68"/>
      <c r="H94" s="68"/>
      <c r="I94" s="138"/>
      <c r="J94" s="71"/>
      <c r="K94" s="137"/>
      <c r="L94" s="68"/>
      <c r="M94" s="68"/>
      <c r="N94" s="152"/>
    </row>
    <row r="95" spans="1:14" s="122" customFormat="1" ht="13.8">
      <c r="A95" s="146" t="s">
        <v>1952</v>
      </c>
      <c r="B95" s="85"/>
      <c r="C95" s="136">
        <v>44417</v>
      </c>
      <c r="D95" s="66" t="s">
        <v>1845</v>
      </c>
      <c r="E95" s="66" t="s">
        <v>2176</v>
      </c>
      <c r="F95" s="72" t="s">
        <v>2282</v>
      </c>
      <c r="G95" s="66">
        <v>162895</v>
      </c>
      <c r="H95" s="66"/>
      <c r="I95" s="68" t="s">
        <v>1846</v>
      </c>
      <c r="J95" s="119"/>
      <c r="K95" s="120"/>
      <c r="L95" s="70"/>
      <c r="M95" s="69"/>
      <c r="N95" s="149"/>
    </row>
    <row r="96" spans="1:14" s="122" customFormat="1" ht="13.8">
      <c r="A96" s="146" t="s">
        <v>1954</v>
      </c>
      <c r="B96" s="239">
        <v>44942</v>
      </c>
      <c r="C96" s="238">
        <v>44412</v>
      </c>
      <c r="D96" s="68" t="s">
        <v>1845</v>
      </c>
      <c r="E96" s="68" t="s">
        <v>2214</v>
      </c>
      <c r="F96" s="68" t="s">
        <v>2283</v>
      </c>
      <c r="G96" s="68">
        <v>163450</v>
      </c>
      <c r="H96" s="68"/>
      <c r="I96" s="138" t="s">
        <v>1845</v>
      </c>
      <c r="J96" s="71"/>
      <c r="K96" s="137"/>
      <c r="L96" s="68"/>
      <c r="M96" s="68"/>
      <c r="N96" s="152"/>
    </row>
    <row r="97" spans="1:14" s="122" customFormat="1" ht="13.8">
      <c r="A97" s="147" t="s">
        <v>1956</v>
      </c>
      <c r="B97" s="239">
        <v>44936</v>
      </c>
      <c r="C97" s="238">
        <v>44365</v>
      </c>
      <c r="D97" s="68" t="s">
        <v>1845</v>
      </c>
      <c r="E97" s="68" t="s">
        <v>2176</v>
      </c>
      <c r="F97" s="68" t="s">
        <v>2185</v>
      </c>
      <c r="G97" s="68"/>
      <c r="H97" s="68"/>
      <c r="I97" s="138" t="s">
        <v>1846</v>
      </c>
      <c r="J97" s="71"/>
      <c r="K97" s="137"/>
      <c r="L97" s="68"/>
      <c r="M97" s="68"/>
      <c r="N97" s="152"/>
    </row>
    <row r="98" spans="1:14" s="122" customFormat="1" ht="13.8">
      <c r="A98" s="146" t="s">
        <v>1029</v>
      </c>
      <c r="B98" s="239">
        <v>44939</v>
      </c>
      <c r="C98" s="68"/>
      <c r="D98" s="66" t="s">
        <v>1846</v>
      </c>
      <c r="E98" s="66" t="s">
        <v>2214</v>
      </c>
      <c r="F98" s="72" t="s">
        <v>2284</v>
      </c>
      <c r="G98" s="68" t="s">
        <v>1891</v>
      </c>
      <c r="H98" s="68"/>
      <c r="I98" s="68" t="s">
        <v>1845</v>
      </c>
      <c r="J98" s="119"/>
      <c r="K98" s="120"/>
      <c r="L98" s="68"/>
      <c r="M98" s="69"/>
      <c r="N98" s="149"/>
    </row>
    <row r="99" spans="1:14" s="122" customFormat="1" ht="13.8">
      <c r="A99" s="146" t="s">
        <v>2285</v>
      </c>
      <c r="B99" s="239">
        <v>44936</v>
      </c>
      <c r="C99" s="136">
        <v>44225</v>
      </c>
      <c r="D99" s="69" t="s">
        <v>1845</v>
      </c>
      <c r="E99" s="69" t="s">
        <v>2214</v>
      </c>
      <c r="F99" s="82" t="s">
        <v>2286</v>
      </c>
      <c r="G99" s="82" t="s">
        <v>1845</v>
      </c>
      <c r="H99" s="82"/>
      <c r="I99" s="68" t="s">
        <v>1846</v>
      </c>
      <c r="J99" s="127"/>
      <c r="K99" s="120"/>
      <c r="L99" s="82"/>
      <c r="M99" s="81"/>
      <c r="N99" s="149"/>
    </row>
    <row r="100" spans="1:14" s="122" customFormat="1" ht="13.8">
      <c r="A100" s="146" t="s">
        <v>2287</v>
      </c>
      <c r="B100" s="239">
        <v>44939</v>
      </c>
      <c r="C100" s="136">
        <v>44523</v>
      </c>
      <c r="D100" s="66" t="s">
        <v>1845</v>
      </c>
      <c r="E100" s="66" t="s">
        <v>2214</v>
      </c>
      <c r="F100" s="243" t="s">
        <v>2286</v>
      </c>
      <c r="G100" s="68" t="s">
        <v>1891</v>
      </c>
      <c r="H100" s="68"/>
      <c r="I100" s="68" t="s">
        <v>1845</v>
      </c>
      <c r="J100" s="119"/>
      <c r="K100" s="120"/>
      <c r="L100" s="68"/>
      <c r="M100" s="68"/>
      <c r="N100" s="149"/>
    </row>
    <row r="101" spans="1:14" s="122" customFormat="1" ht="13.8">
      <c r="A101" s="146" t="s">
        <v>2288</v>
      </c>
      <c r="B101" s="66"/>
      <c r="C101" s="68"/>
      <c r="D101" s="66"/>
      <c r="E101" s="66"/>
      <c r="F101" s="72"/>
      <c r="G101" s="68"/>
      <c r="H101" s="68"/>
      <c r="I101" s="123"/>
      <c r="J101" s="119"/>
      <c r="K101" s="120"/>
      <c r="L101" s="68"/>
      <c r="M101" s="69"/>
      <c r="N101" s="149"/>
    </row>
    <row r="102" spans="1:14" s="122" customFormat="1" ht="13.8">
      <c r="A102" s="147" t="s">
        <v>2007</v>
      </c>
      <c r="B102" s="239">
        <v>44939</v>
      </c>
      <c r="C102" s="240">
        <v>44587</v>
      </c>
      <c r="D102" s="68" t="s">
        <v>1845</v>
      </c>
      <c r="E102" s="68" t="s">
        <v>2214</v>
      </c>
      <c r="F102" s="68" t="s">
        <v>2289</v>
      </c>
      <c r="G102" s="68" t="s">
        <v>1891</v>
      </c>
      <c r="H102" s="68"/>
      <c r="I102" s="138" t="s">
        <v>2212</v>
      </c>
      <c r="J102" s="71"/>
      <c r="K102" s="137"/>
      <c r="L102" s="68"/>
      <c r="M102" s="68"/>
      <c r="N102" s="152"/>
    </row>
    <row r="103" spans="1:14" s="122" customFormat="1" ht="13.8">
      <c r="A103" s="146" t="s">
        <v>1182</v>
      </c>
      <c r="B103" s="66"/>
      <c r="C103" s="68"/>
      <c r="D103" s="66"/>
      <c r="E103" s="66"/>
      <c r="F103" s="72"/>
      <c r="G103" s="68"/>
      <c r="H103" s="68"/>
      <c r="I103" s="68"/>
      <c r="J103" s="119"/>
      <c r="K103" s="120"/>
      <c r="L103" s="68"/>
      <c r="M103" s="69"/>
      <c r="N103" s="149"/>
    </row>
    <row r="104" spans="1:14" s="122" customFormat="1" ht="13.8">
      <c r="A104" s="146" t="s">
        <v>1104</v>
      </c>
      <c r="B104" s="99">
        <v>44945</v>
      </c>
      <c r="C104" s="68"/>
      <c r="D104" s="66" t="s">
        <v>1846</v>
      </c>
      <c r="E104" s="66" t="s">
        <v>2214</v>
      </c>
      <c r="F104" s="72" t="s">
        <v>2290</v>
      </c>
      <c r="G104" s="68" t="s">
        <v>1891</v>
      </c>
      <c r="H104" s="68"/>
      <c r="I104" s="68" t="s">
        <v>1845</v>
      </c>
      <c r="J104" s="119"/>
      <c r="K104" s="120"/>
      <c r="L104" s="68"/>
      <c r="M104" s="69"/>
      <c r="N104" s="149"/>
    </row>
    <row r="105" spans="1:14" s="122" customFormat="1" ht="13.8">
      <c r="A105" s="253" t="s">
        <v>2027</v>
      </c>
      <c r="B105" s="239">
        <v>44940</v>
      </c>
      <c r="C105" s="240">
        <v>44564</v>
      </c>
      <c r="D105" s="68" t="s">
        <v>1845</v>
      </c>
      <c r="E105" s="68" t="s">
        <v>2214</v>
      </c>
      <c r="F105" s="68" t="s">
        <v>2291</v>
      </c>
      <c r="G105" s="68" t="s">
        <v>1845</v>
      </c>
      <c r="H105" s="68"/>
      <c r="I105" s="138" t="s">
        <v>2212</v>
      </c>
      <c r="J105" s="71"/>
      <c r="K105" s="137"/>
      <c r="L105" s="68"/>
      <c r="M105" s="68"/>
      <c r="N105" s="152"/>
    </row>
    <row r="106" spans="1:14" s="122" customFormat="1" ht="13.8">
      <c r="A106" s="146" t="s">
        <v>2030</v>
      </c>
      <c r="B106" s="239">
        <v>44943</v>
      </c>
      <c r="C106" s="136">
        <v>44883</v>
      </c>
      <c r="D106" s="66" t="s">
        <v>1845</v>
      </c>
      <c r="E106" s="66" t="s">
        <v>2214</v>
      </c>
      <c r="F106" s="72" t="s">
        <v>2292</v>
      </c>
      <c r="G106" s="68" t="s">
        <v>1845</v>
      </c>
      <c r="H106" s="68"/>
      <c r="I106" s="68" t="s">
        <v>2212</v>
      </c>
      <c r="J106" s="119"/>
      <c r="K106" s="120"/>
      <c r="L106" s="68"/>
      <c r="M106" s="69"/>
      <c r="N106" s="149"/>
    </row>
    <row r="107" spans="1:14" s="122" customFormat="1" ht="13.8">
      <c r="A107" s="146" t="s">
        <v>609</v>
      </c>
      <c r="B107" s="66"/>
      <c r="C107" s="68"/>
      <c r="D107" s="66"/>
      <c r="E107" s="66"/>
      <c r="F107" s="72"/>
      <c r="G107" s="68"/>
      <c r="H107" s="68"/>
      <c r="I107" s="68"/>
      <c r="J107" s="119"/>
      <c r="K107" s="120"/>
      <c r="L107" s="68"/>
      <c r="M107" s="69"/>
      <c r="N107" s="149"/>
    </row>
    <row r="108" spans="1:14" s="122" customFormat="1" ht="13.8">
      <c r="A108" s="146" t="s">
        <v>2049</v>
      </c>
      <c r="B108" s="99">
        <v>44945</v>
      </c>
      <c r="C108" s="136">
        <v>44120</v>
      </c>
      <c r="D108" s="66" t="s">
        <v>1845</v>
      </c>
      <c r="E108" s="66" t="s">
        <v>2214</v>
      </c>
      <c r="F108" s="72" t="s">
        <v>2293</v>
      </c>
      <c r="G108" s="71" t="s">
        <v>1845</v>
      </c>
      <c r="H108" s="71" t="s">
        <v>2167</v>
      </c>
      <c r="I108" s="68" t="s">
        <v>1846</v>
      </c>
      <c r="J108" s="119"/>
      <c r="K108" s="120"/>
      <c r="L108" s="68"/>
      <c r="M108" s="68"/>
      <c r="N108" s="149"/>
    </row>
    <row r="109" spans="1:14" s="122" customFormat="1" ht="13.8">
      <c r="A109" s="146" t="s">
        <v>2294</v>
      </c>
      <c r="B109" s="66"/>
      <c r="C109" s="68"/>
      <c r="D109" s="66"/>
      <c r="E109" s="66"/>
      <c r="F109" s="72"/>
      <c r="G109" s="71"/>
      <c r="H109" s="71"/>
      <c r="I109" s="68"/>
      <c r="J109" s="119"/>
      <c r="K109" s="120"/>
      <c r="L109" s="71"/>
      <c r="M109" s="69"/>
      <c r="N109" s="149"/>
    </row>
    <row r="110" spans="1:14" s="122" customFormat="1" ht="13.8">
      <c r="A110" s="146" t="s">
        <v>2295</v>
      </c>
      <c r="B110" s="99">
        <v>44936</v>
      </c>
      <c r="C110" s="136">
        <v>44524</v>
      </c>
      <c r="D110" s="66" t="s">
        <v>1845</v>
      </c>
      <c r="E110" s="66" t="s">
        <v>2176</v>
      </c>
      <c r="F110" s="72" t="s">
        <v>2296</v>
      </c>
      <c r="G110" s="71"/>
      <c r="H110" s="71"/>
      <c r="I110" s="68" t="s">
        <v>1846</v>
      </c>
      <c r="J110" s="119"/>
      <c r="K110" s="120"/>
      <c r="L110" s="68"/>
      <c r="M110" s="68"/>
      <c r="N110" s="149"/>
    </row>
    <row r="111" spans="1:14" s="122" customFormat="1" ht="13.8">
      <c r="A111" s="146" t="s">
        <v>2297</v>
      </c>
      <c r="B111" s="66"/>
      <c r="C111" s="68"/>
      <c r="D111" s="66"/>
      <c r="E111" s="66"/>
      <c r="F111" s="72"/>
      <c r="G111" s="68"/>
      <c r="H111" s="68"/>
      <c r="I111" s="68"/>
      <c r="J111" s="119"/>
      <c r="K111" s="120"/>
      <c r="L111" s="71"/>
      <c r="M111" s="69"/>
      <c r="N111" s="149"/>
    </row>
    <row r="112" spans="1:14" s="122" customFormat="1" ht="13.8">
      <c r="A112" s="146" t="s">
        <v>2298</v>
      </c>
      <c r="B112" s="66"/>
      <c r="C112" s="68"/>
      <c r="D112" s="66"/>
      <c r="E112" s="66"/>
      <c r="F112" s="72"/>
      <c r="G112" s="71"/>
      <c r="H112" s="71"/>
      <c r="I112" s="68"/>
      <c r="J112" s="119"/>
      <c r="K112" s="120"/>
      <c r="L112" s="71"/>
      <c r="M112" s="69"/>
      <c r="N112" s="149"/>
    </row>
    <row r="113" spans="1:14" s="122" customFormat="1" ht="13.8">
      <c r="A113" s="147" t="s">
        <v>2055</v>
      </c>
      <c r="B113" s="237">
        <v>44938</v>
      </c>
      <c r="C113" s="238">
        <v>43711</v>
      </c>
      <c r="D113" s="68" t="s">
        <v>1845</v>
      </c>
      <c r="E113" s="68" t="s">
        <v>2214</v>
      </c>
      <c r="F113" s="68" t="s">
        <v>2299</v>
      </c>
      <c r="G113" s="71" t="s">
        <v>2300</v>
      </c>
      <c r="H113" s="71"/>
      <c r="I113" s="138" t="s">
        <v>1846</v>
      </c>
      <c r="J113" s="71"/>
      <c r="K113" s="137"/>
      <c r="L113" s="71"/>
      <c r="M113" s="68"/>
      <c r="N113" s="152"/>
    </row>
    <row r="114" spans="1:14" s="122" customFormat="1" ht="13.8">
      <c r="A114" s="147" t="s">
        <v>2301</v>
      </c>
      <c r="B114" s="66"/>
      <c r="C114" s="68"/>
      <c r="D114" s="68"/>
      <c r="E114" s="68"/>
      <c r="F114" s="68"/>
      <c r="G114" s="68"/>
      <c r="H114" s="68"/>
      <c r="I114" s="68"/>
      <c r="J114" s="71"/>
      <c r="K114" s="68"/>
      <c r="L114" s="68"/>
      <c r="M114" s="68"/>
      <c r="N114" s="152"/>
    </row>
    <row r="115" spans="1:14" s="122" customFormat="1" ht="13.8">
      <c r="A115" s="147" t="s">
        <v>2302</v>
      </c>
      <c r="B115" s="66"/>
      <c r="C115" s="68"/>
      <c r="D115" s="68"/>
      <c r="E115" s="68"/>
      <c r="F115" s="68"/>
      <c r="G115" s="68"/>
      <c r="H115" s="68"/>
      <c r="I115" s="68"/>
      <c r="J115" s="71"/>
      <c r="K115" s="68"/>
      <c r="L115" s="68"/>
      <c r="M115" s="68"/>
      <c r="N115" s="152"/>
    </row>
    <row r="116" spans="1:14" s="122" customFormat="1" ht="13.8">
      <c r="A116" s="147" t="s">
        <v>2303</v>
      </c>
      <c r="B116" s="66"/>
      <c r="C116" s="68"/>
      <c r="D116" s="68"/>
      <c r="E116" s="68"/>
      <c r="F116" s="68"/>
      <c r="G116" s="68"/>
      <c r="H116" s="68"/>
      <c r="I116" s="68"/>
      <c r="J116" s="71"/>
      <c r="K116" s="68"/>
      <c r="L116" s="68"/>
      <c r="M116" s="68"/>
      <c r="N116" s="152"/>
    </row>
    <row r="117" spans="1:14" s="122" customFormat="1" ht="13.8">
      <c r="A117" s="147" t="s">
        <v>1106</v>
      </c>
      <c r="B117" s="66"/>
      <c r="C117" s="68"/>
      <c r="D117" s="68"/>
      <c r="E117" s="68"/>
      <c r="F117" s="68"/>
      <c r="G117" s="68"/>
      <c r="H117" s="68"/>
      <c r="I117" s="68"/>
      <c r="J117" s="71"/>
      <c r="K117" s="68"/>
      <c r="L117" s="68"/>
      <c r="M117" s="69"/>
      <c r="N117" s="152"/>
    </row>
    <row r="118" spans="1:14" s="118" customFormat="1" ht="13.8">
      <c r="A118" s="147" t="s">
        <v>1650</v>
      </c>
      <c r="B118" s="66"/>
      <c r="C118" s="68"/>
      <c r="D118" s="68"/>
      <c r="E118" s="68"/>
      <c r="F118" s="68"/>
      <c r="G118" s="68"/>
      <c r="H118" s="68"/>
      <c r="I118" s="68"/>
      <c r="J118" s="71"/>
      <c r="K118" s="68"/>
      <c r="L118" s="68"/>
      <c r="M118" s="68"/>
      <c r="N118" s="152"/>
    </row>
    <row r="119" spans="1:14" s="118" customFormat="1" ht="13.8">
      <c r="A119" s="147" t="s">
        <v>1659</v>
      </c>
      <c r="B119" s="66"/>
      <c r="C119" s="68"/>
      <c r="D119" s="68"/>
      <c r="E119" s="68"/>
      <c r="F119" s="68"/>
      <c r="G119" s="68"/>
      <c r="H119" s="68"/>
      <c r="I119" s="68"/>
      <c r="J119" s="71"/>
      <c r="K119" s="68"/>
      <c r="L119" s="68"/>
      <c r="M119" s="68"/>
      <c r="N119" s="152"/>
    </row>
    <row r="120" spans="1:14" s="118" customFormat="1" ht="13.8">
      <c r="A120" s="147" t="s">
        <v>2304</v>
      </c>
      <c r="B120" s="66"/>
      <c r="C120" s="68"/>
      <c r="D120" s="68"/>
      <c r="E120" s="68"/>
      <c r="F120" s="68"/>
      <c r="G120" s="68"/>
      <c r="H120" s="68"/>
      <c r="I120" s="68"/>
      <c r="J120" s="71"/>
      <c r="K120" s="68"/>
      <c r="L120" s="68"/>
      <c r="M120" s="68"/>
      <c r="N120" s="152"/>
    </row>
    <row r="121" spans="1:14" s="118" customFormat="1" ht="13.8">
      <c r="A121" s="147" t="s">
        <v>2305</v>
      </c>
      <c r="B121" s="66"/>
      <c r="C121" s="68"/>
      <c r="D121" s="68"/>
      <c r="E121" s="68"/>
      <c r="F121" s="68"/>
      <c r="G121" s="68"/>
      <c r="H121" s="68"/>
      <c r="I121" s="68"/>
      <c r="J121" s="71"/>
      <c r="K121" s="68"/>
      <c r="L121" s="68"/>
      <c r="M121" s="68"/>
      <c r="N121" s="152"/>
    </row>
    <row r="122" spans="1:14" s="118" customFormat="1" ht="13.8">
      <c r="A122" s="147" t="s">
        <v>2306</v>
      </c>
      <c r="B122" s="66"/>
      <c r="C122" s="68"/>
      <c r="D122" s="68"/>
      <c r="E122" s="68"/>
      <c r="F122" s="68"/>
      <c r="G122" s="68"/>
      <c r="H122" s="68"/>
      <c r="I122" s="68"/>
      <c r="J122" s="71"/>
      <c r="K122" s="68"/>
      <c r="L122" s="68"/>
      <c r="M122" s="68"/>
      <c r="N122" s="152"/>
    </row>
    <row r="123" spans="1:14" s="118" customFormat="1" ht="13.8">
      <c r="A123" s="147" t="s">
        <v>1572</v>
      </c>
      <c r="B123" s="66"/>
      <c r="C123" s="68"/>
      <c r="D123" s="68"/>
      <c r="E123" s="68"/>
      <c r="F123" s="68"/>
      <c r="G123" s="68"/>
      <c r="H123" s="68"/>
      <c r="I123" s="68"/>
      <c r="J123" s="71"/>
      <c r="K123" s="68"/>
      <c r="L123" s="68"/>
      <c r="M123" s="68"/>
      <c r="N123" s="152"/>
    </row>
    <row r="124" spans="1:14" s="118" customFormat="1" ht="13.8">
      <c r="A124" s="147" t="s">
        <v>2307</v>
      </c>
      <c r="B124" s="67"/>
      <c r="C124" s="68"/>
      <c r="D124" s="68"/>
      <c r="E124" s="68"/>
      <c r="F124" s="68"/>
      <c r="G124" s="68"/>
      <c r="H124" s="68"/>
      <c r="I124" s="68"/>
      <c r="J124" s="71"/>
      <c r="K124" s="68"/>
      <c r="L124" s="68"/>
      <c r="M124" s="68"/>
      <c r="N124" s="152"/>
    </row>
    <row r="125" spans="1:14" s="118" customFormat="1" ht="13.8">
      <c r="A125" s="147" t="s">
        <v>760</v>
      </c>
      <c r="B125" s="67"/>
      <c r="C125" s="68"/>
      <c r="D125" s="68"/>
      <c r="E125" s="68"/>
      <c r="F125" s="68"/>
      <c r="G125" s="68"/>
      <c r="H125" s="68"/>
      <c r="I125" s="68"/>
      <c r="J125" s="71"/>
      <c r="K125" s="68"/>
      <c r="L125" s="68"/>
      <c r="M125" s="66"/>
      <c r="N125" s="152"/>
    </row>
    <row r="126" spans="1:14" s="118" customFormat="1" ht="13.8">
      <c r="A126" s="147" t="s">
        <v>2308</v>
      </c>
      <c r="B126" s="67"/>
      <c r="C126" s="68"/>
      <c r="D126" s="68"/>
      <c r="E126" s="68"/>
      <c r="F126" s="68"/>
      <c r="G126" s="68"/>
      <c r="H126" s="68"/>
      <c r="I126" s="68"/>
      <c r="J126" s="71"/>
      <c r="K126" s="68"/>
      <c r="L126" s="68"/>
      <c r="M126" s="68"/>
      <c r="N126" s="152"/>
    </row>
    <row r="127" spans="1:14" s="118" customFormat="1" ht="13.8">
      <c r="A127" s="147" t="s">
        <v>2309</v>
      </c>
      <c r="B127" s="67"/>
      <c r="C127" s="68"/>
      <c r="D127" s="68"/>
      <c r="E127" s="68"/>
      <c r="F127" s="68"/>
      <c r="G127" s="68"/>
      <c r="H127" s="68"/>
      <c r="I127" s="68"/>
      <c r="J127" s="71"/>
      <c r="K127" s="68"/>
      <c r="L127" s="68"/>
      <c r="M127" s="68"/>
      <c r="N127" s="152"/>
    </row>
    <row r="128" spans="1:14" s="118" customFormat="1" ht="13.8">
      <c r="A128" s="147" t="s">
        <v>724</v>
      </c>
      <c r="B128" s="67"/>
      <c r="C128" s="68"/>
      <c r="D128" s="68"/>
      <c r="E128" s="68"/>
      <c r="F128" s="68"/>
      <c r="G128" s="68"/>
      <c r="H128" s="68"/>
      <c r="I128" s="68"/>
      <c r="J128" s="71"/>
      <c r="K128" s="68"/>
      <c r="L128" s="68"/>
      <c r="M128" s="69"/>
      <c r="N128" s="152"/>
    </row>
    <row r="129" spans="1:14" s="118" customFormat="1" ht="13.8">
      <c r="A129" s="147" t="s">
        <v>2310</v>
      </c>
      <c r="B129" s="67"/>
      <c r="C129" s="68"/>
      <c r="D129" s="68"/>
      <c r="E129" s="68"/>
      <c r="F129" s="68"/>
      <c r="G129" s="68"/>
      <c r="H129" s="68"/>
      <c r="I129" s="68"/>
      <c r="J129" s="71"/>
      <c r="K129" s="68"/>
      <c r="L129" s="68"/>
      <c r="M129" s="68"/>
      <c r="N129" s="152"/>
    </row>
    <row r="130" spans="1:14" s="118" customFormat="1" ht="13.8">
      <c r="A130" s="147" t="s">
        <v>2311</v>
      </c>
      <c r="B130" s="67"/>
      <c r="C130" s="68"/>
      <c r="D130" s="68"/>
      <c r="E130" s="68"/>
      <c r="F130" s="68"/>
      <c r="G130" s="68"/>
      <c r="H130" s="68"/>
      <c r="I130" s="68"/>
      <c r="J130" s="71"/>
      <c r="K130" s="68"/>
      <c r="L130" s="68"/>
      <c r="M130" s="68"/>
      <c r="N130" s="152"/>
    </row>
    <row r="131" spans="1:14" s="118" customFormat="1" ht="13.8">
      <c r="A131" s="147" t="s">
        <v>2312</v>
      </c>
      <c r="B131" s="67"/>
      <c r="C131" s="68"/>
      <c r="D131" s="68"/>
      <c r="E131" s="68"/>
      <c r="F131" s="68"/>
      <c r="G131" s="68"/>
      <c r="H131" s="68"/>
      <c r="I131" s="68"/>
      <c r="J131" s="71"/>
      <c r="K131" s="68"/>
      <c r="L131" s="68"/>
      <c r="M131" s="68"/>
      <c r="N131" s="152"/>
    </row>
    <row r="132" spans="1:14" s="118" customFormat="1" ht="13.8">
      <c r="A132" s="147" t="s">
        <v>2313</v>
      </c>
      <c r="B132" s="67"/>
      <c r="C132" s="68"/>
      <c r="D132" s="68"/>
      <c r="E132" s="68"/>
      <c r="F132" s="68"/>
      <c r="G132" s="68"/>
      <c r="H132" s="68"/>
      <c r="I132" s="68"/>
      <c r="J132" s="71"/>
      <c r="K132" s="68"/>
      <c r="L132" s="68"/>
      <c r="M132" s="68"/>
      <c r="N132" s="152"/>
    </row>
    <row r="133" spans="1:14" s="122" customFormat="1" ht="13.8">
      <c r="A133" s="147" t="s">
        <v>612</v>
      </c>
      <c r="B133" s="67"/>
      <c r="C133" s="68"/>
      <c r="D133" s="68"/>
      <c r="E133" s="68"/>
      <c r="F133" s="68"/>
      <c r="G133" s="68"/>
      <c r="H133" s="68"/>
      <c r="I133" s="68"/>
      <c r="J133" s="71"/>
      <c r="K133" s="68"/>
      <c r="L133" s="68"/>
      <c r="M133" s="69"/>
      <c r="N133" s="152"/>
    </row>
    <row r="134" spans="1:14" s="122" customFormat="1" ht="13.8">
      <c r="A134" s="147" t="s">
        <v>2314</v>
      </c>
      <c r="B134" s="67"/>
      <c r="C134" s="68"/>
      <c r="D134" s="68"/>
      <c r="E134" s="68"/>
      <c r="F134" s="68"/>
      <c r="G134" s="68"/>
      <c r="H134" s="68"/>
      <c r="I134" s="68"/>
      <c r="J134" s="71"/>
      <c r="K134" s="68"/>
      <c r="L134" s="68"/>
      <c r="M134" s="68"/>
      <c r="N134" s="152"/>
    </row>
    <row r="135" spans="1:14" s="122" customFormat="1" ht="13.8">
      <c r="A135" s="147" t="s">
        <v>2315</v>
      </c>
      <c r="B135" s="67"/>
      <c r="C135" s="68"/>
      <c r="D135" s="68"/>
      <c r="E135" s="68"/>
      <c r="F135" s="68"/>
      <c r="G135" s="68"/>
      <c r="H135" s="68"/>
      <c r="I135" s="68"/>
      <c r="J135" s="71"/>
      <c r="K135" s="68"/>
      <c r="L135" s="68"/>
      <c r="M135" s="68"/>
      <c r="N135" s="152"/>
    </row>
    <row r="136" spans="1:14" s="122" customFormat="1" ht="13.8">
      <c r="A136" s="147" t="s">
        <v>2316</v>
      </c>
      <c r="B136" s="67"/>
      <c r="C136" s="68"/>
      <c r="D136" s="68"/>
      <c r="E136" s="68"/>
      <c r="F136" s="68"/>
      <c r="G136" s="68"/>
      <c r="H136" s="68"/>
      <c r="I136" s="68"/>
      <c r="J136" s="71"/>
      <c r="K136" s="68"/>
      <c r="L136" s="68"/>
      <c r="M136" s="68"/>
      <c r="N136" s="152"/>
    </row>
    <row r="137" spans="1:14" s="122" customFormat="1" ht="13.8">
      <c r="A137" s="147" t="s">
        <v>2317</v>
      </c>
      <c r="B137" s="67"/>
      <c r="C137" s="68"/>
      <c r="D137" s="68"/>
      <c r="E137" s="68"/>
      <c r="F137" s="68"/>
      <c r="G137" s="68"/>
      <c r="H137" s="68"/>
      <c r="I137" s="68"/>
      <c r="J137" s="71"/>
      <c r="K137" s="68"/>
      <c r="L137" s="68"/>
      <c r="M137" s="68"/>
      <c r="N137" s="152"/>
    </row>
    <row r="138" spans="1:14" s="122" customFormat="1" ht="13.8">
      <c r="A138" s="147" t="s">
        <v>2318</v>
      </c>
      <c r="B138" s="67"/>
      <c r="C138" s="68"/>
      <c r="D138" s="68"/>
      <c r="E138" s="68"/>
      <c r="F138" s="68"/>
      <c r="G138" s="68"/>
      <c r="H138" s="68"/>
      <c r="I138" s="66"/>
      <c r="J138" s="71"/>
      <c r="K138" s="68"/>
      <c r="L138" s="68"/>
      <c r="M138" s="68"/>
      <c r="N138" s="152"/>
    </row>
    <row r="139" spans="1:14" s="122" customFormat="1" ht="13.8">
      <c r="A139" s="148" t="s">
        <v>2319</v>
      </c>
      <c r="B139" s="128"/>
      <c r="C139" s="83"/>
      <c r="D139" s="81"/>
      <c r="E139" s="81"/>
      <c r="F139" s="92"/>
      <c r="G139" s="92"/>
      <c r="H139" s="92"/>
      <c r="I139" s="83"/>
      <c r="J139" s="90"/>
      <c r="K139" s="129"/>
      <c r="L139" s="130"/>
      <c r="M139" s="81"/>
      <c r="N139" s="153"/>
    </row>
    <row r="140" spans="1:14" s="122" customFormat="1" ht="13.8">
      <c r="A140" s="148" t="s">
        <v>2320</v>
      </c>
      <c r="B140" s="91"/>
      <c r="C140" s="83"/>
      <c r="D140" s="81"/>
      <c r="E140" s="81"/>
      <c r="F140" s="92"/>
      <c r="G140" s="92"/>
      <c r="H140" s="92"/>
      <c r="I140" s="83"/>
      <c r="J140" s="90"/>
      <c r="K140" s="129"/>
      <c r="L140" s="81"/>
      <c r="M140" s="81"/>
      <c r="N140" s="153"/>
    </row>
    <row r="141" spans="1:14" s="122" customFormat="1" ht="13.8">
      <c r="A141" s="148" t="s">
        <v>2321</v>
      </c>
      <c r="B141" s="91"/>
      <c r="C141" s="83"/>
      <c r="D141" s="81"/>
      <c r="E141" s="81"/>
      <c r="F141" s="92"/>
      <c r="G141" s="92"/>
      <c r="H141" s="92"/>
      <c r="I141" s="83"/>
      <c r="J141" s="90"/>
      <c r="K141" s="129"/>
      <c r="L141" s="81"/>
      <c r="M141" s="81"/>
      <c r="N141" s="153"/>
    </row>
    <row r="142" spans="1:14" s="122" customFormat="1" ht="13.8">
      <c r="A142" s="148" t="s">
        <v>2322</v>
      </c>
      <c r="B142" s="91"/>
      <c r="C142" s="83"/>
      <c r="D142" s="81"/>
      <c r="E142" s="81"/>
      <c r="F142" s="92"/>
      <c r="G142" s="92"/>
      <c r="H142" s="92"/>
      <c r="I142" s="83"/>
      <c r="J142" s="90"/>
      <c r="K142" s="129"/>
      <c r="L142" s="81"/>
      <c r="M142" s="81"/>
      <c r="N142" s="153"/>
    </row>
    <row r="143" spans="1:14" s="122" customFormat="1" ht="13.8">
      <c r="A143" s="148" t="s">
        <v>2323</v>
      </c>
      <c r="B143" s="91"/>
      <c r="C143" s="83"/>
      <c r="D143" s="81"/>
      <c r="E143" s="81"/>
      <c r="F143" s="92"/>
      <c r="G143" s="92"/>
      <c r="H143" s="92"/>
      <c r="I143" s="83"/>
      <c r="J143" s="90"/>
      <c r="K143" s="129"/>
      <c r="L143" s="131"/>
      <c r="M143" s="131"/>
      <c r="N143" s="153"/>
    </row>
    <row r="144" spans="1:14" s="122" customFormat="1" ht="13.8">
      <c r="A144" s="148" t="s">
        <v>2324</v>
      </c>
      <c r="B144" s="91"/>
      <c r="C144" s="83"/>
      <c r="D144" s="81"/>
      <c r="E144" s="81"/>
      <c r="F144" s="92"/>
      <c r="G144" s="92"/>
      <c r="H144" s="92"/>
      <c r="I144" s="83"/>
      <c r="J144" s="90"/>
      <c r="K144" s="129"/>
      <c r="L144" s="131"/>
      <c r="M144" s="81"/>
      <c r="N144" s="153"/>
    </row>
    <row r="145" spans="1:14" s="122" customFormat="1" ht="13.8">
      <c r="A145" s="148" t="s">
        <v>1743</v>
      </c>
      <c r="B145" s="91"/>
      <c r="C145" s="83"/>
      <c r="D145" s="81"/>
      <c r="E145" s="81"/>
      <c r="F145" s="92"/>
      <c r="G145" s="92"/>
      <c r="H145" s="92"/>
      <c r="I145" s="83"/>
      <c r="J145" s="90"/>
      <c r="K145" s="129"/>
      <c r="L145" s="81"/>
      <c r="M145" s="81"/>
      <c r="N145" s="153"/>
    </row>
    <row r="146" spans="1:14" s="122" customFormat="1" ht="13.8">
      <c r="A146" s="148" t="s">
        <v>2325</v>
      </c>
      <c r="B146" s="91"/>
      <c r="C146" s="83"/>
      <c r="D146" s="81"/>
      <c r="E146" s="81"/>
      <c r="F146" s="92"/>
      <c r="G146" s="92"/>
      <c r="H146" s="92"/>
      <c r="I146" s="83"/>
      <c r="J146" s="90"/>
      <c r="K146" s="129"/>
      <c r="L146" s="81"/>
      <c r="M146" s="131"/>
      <c r="N146" s="153"/>
    </row>
    <row r="147" spans="1:14" s="122" customFormat="1" ht="13.8">
      <c r="A147" s="148" t="s">
        <v>2326</v>
      </c>
      <c r="B147" s="91"/>
      <c r="C147" s="83"/>
      <c r="D147" s="81"/>
      <c r="E147" s="81"/>
      <c r="F147" s="92"/>
      <c r="G147" s="92"/>
      <c r="H147" s="92"/>
      <c r="I147" s="83"/>
      <c r="J147" s="90"/>
      <c r="K147" s="129"/>
      <c r="L147" s="131"/>
      <c r="M147" s="131"/>
      <c r="N147" s="153"/>
    </row>
    <row r="148" spans="1:14" s="122" customFormat="1" ht="13.8">
      <c r="A148" s="148" t="s">
        <v>2327</v>
      </c>
      <c r="B148" s="91"/>
      <c r="C148" s="83"/>
      <c r="D148" s="81"/>
      <c r="E148" s="81"/>
      <c r="F148" s="92"/>
      <c r="G148" s="92"/>
      <c r="H148" s="92"/>
      <c r="I148" s="83"/>
      <c r="J148" s="90"/>
      <c r="K148" s="129"/>
      <c r="L148" s="81"/>
      <c r="M148" s="131"/>
      <c r="N148" s="153"/>
    </row>
    <row r="149" spans="1:14" s="122" customFormat="1" ht="13.8">
      <c r="A149" s="148" t="s">
        <v>2328</v>
      </c>
      <c r="B149" s="91"/>
      <c r="C149" s="83"/>
      <c r="D149" s="81"/>
      <c r="E149" s="81"/>
      <c r="F149" s="92"/>
      <c r="G149" s="92"/>
      <c r="H149" s="92"/>
      <c r="I149" s="83"/>
      <c r="J149" s="90"/>
      <c r="K149" s="129"/>
      <c r="L149" s="131"/>
      <c r="M149" s="131"/>
      <c r="N149" s="153"/>
    </row>
    <row r="150" spans="1:14" s="122" customFormat="1" ht="13.8">
      <c r="A150" s="148" t="s">
        <v>2329</v>
      </c>
      <c r="B150" s="91"/>
      <c r="C150" s="83"/>
      <c r="D150" s="81"/>
      <c r="E150" s="81"/>
      <c r="F150" s="92"/>
      <c r="G150" s="92"/>
      <c r="H150" s="92"/>
      <c r="I150" s="83"/>
      <c r="J150" s="90"/>
      <c r="K150" s="129"/>
      <c r="L150" s="131"/>
      <c r="M150" s="131"/>
      <c r="N150" s="153"/>
    </row>
    <row r="151" spans="1:14" s="122" customFormat="1" ht="13.8">
      <c r="A151" s="148" t="s">
        <v>2330</v>
      </c>
      <c r="B151" s="91"/>
      <c r="C151" s="83"/>
      <c r="D151" s="81"/>
      <c r="E151" s="81"/>
      <c r="F151" s="92"/>
      <c r="G151" s="92"/>
      <c r="H151" s="92"/>
      <c r="I151" s="83"/>
      <c r="J151" s="90"/>
      <c r="K151" s="129"/>
      <c r="L151" s="81"/>
      <c r="M151" s="81"/>
      <c r="N151" s="153"/>
    </row>
    <row r="152" spans="1:14" s="122" customFormat="1" ht="13.8">
      <c r="A152" s="148" t="s">
        <v>2331</v>
      </c>
      <c r="B152" s="91"/>
      <c r="C152" s="83"/>
      <c r="D152" s="81"/>
      <c r="E152" s="81"/>
      <c r="F152" s="92"/>
      <c r="G152" s="92"/>
      <c r="H152" s="92"/>
      <c r="I152" s="83"/>
      <c r="J152" s="90"/>
      <c r="K152" s="129"/>
      <c r="L152" s="131"/>
      <c r="M152" s="131"/>
      <c r="N152" s="153"/>
    </row>
    <row r="153" spans="1:14" s="122" customFormat="1" ht="13.8">
      <c r="A153" s="148" t="s">
        <v>2332</v>
      </c>
      <c r="B153" s="91"/>
      <c r="C153" s="83"/>
      <c r="D153" s="81"/>
      <c r="E153" s="81"/>
      <c r="F153" s="92"/>
      <c r="G153" s="92"/>
      <c r="H153" s="92"/>
      <c r="I153" s="83"/>
      <c r="J153" s="90"/>
      <c r="K153" s="129"/>
      <c r="L153" s="81"/>
      <c r="M153" s="131"/>
      <c r="N153" s="153"/>
    </row>
    <row r="154" spans="1:14" s="122" customFormat="1" ht="13.8">
      <c r="A154" s="148" t="s">
        <v>1682</v>
      </c>
      <c r="B154" s="91"/>
      <c r="C154" s="83"/>
      <c r="D154" s="81"/>
      <c r="E154" s="81"/>
      <c r="F154" s="92"/>
      <c r="G154" s="92"/>
      <c r="H154" s="92"/>
      <c r="I154" s="83"/>
      <c r="J154" s="90"/>
      <c r="K154" s="129"/>
      <c r="L154" s="81"/>
      <c r="M154" s="131"/>
      <c r="N154" s="153"/>
    </row>
    <row r="155" spans="1:14" s="122" customFormat="1" ht="13.8">
      <c r="A155" s="148" t="s">
        <v>2333</v>
      </c>
      <c r="B155" s="91"/>
      <c r="C155" s="83"/>
      <c r="D155" s="81"/>
      <c r="E155" s="81"/>
      <c r="F155" s="92"/>
      <c r="G155" s="92"/>
      <c r="H155" s="92"/>
      <c r="I155" s="83"/>
      <c r="J155" s="90"/>
      <c r="K155" s="129"/>
      <c r="L155" s="81"/>
      <c r="M155" s="81"/>
      <c r="N155" s="153"/>
    </row>
    <row r="156" spans="1:14" s="122" customFormat="1" ht="13.8">
      <c r="A156" s="148" t="s">
        <v>2334</v>
      </c>
      <c r="B156" s="91"/>
      <c r="C156" s="83"/>
      <c r="D156" s="81"/>
      <c r="E156" s="81"/>
      <c r="F156" s="92"/>
      <c r="G156" s="92"/>
      <c r="H156" s="92"/>
      <c r="I156" s="83"/>
      <c r="J156" s="90"/>
      <c r="K156" s="129"/>
      <c r="L156" s="131"/>
      <c r="M156" s="81"/>
      <c r="N156" s="153"/>
    </row>
    <row r="157" spans="1:14" s="122" customFormat="1" ht="13.8">
      <c r="A157" s="148" t="s">
        <v>1761</v>
      </c>
      <c r="B157" s="132">
        <v>44899</v>
      </c>
      <c r="C157" s="133">
        <v>44726</v>
      </c>
      <c r="D157" s="81" t="s">
        <v>1845</v>
      </c>
      <c r="E157" s="81"/>
      <c r="F157" s="92" t="s">
        <v>2185</v>
      </c>
      <c r="G157" s="92"/>
      <c r="H157" s="92"/>
      <c r="I157" s="83"/>
      <c r="J157" s="90"/>
      <c r="K157" s="129"/>
      <c r="L157" s="131"/>
      <c r="M157" s="81"/>
      <c r="N157" s="153"/>
    </row>
    <row r="158" spans="1:14" s="122" customFormat="1" ht="13.8">
      <c r="A158" s="148" t="s">
        <v>2335</v>
      </c>
      <c r="B158" s="91"/>
      <c r="C158" s="83"/>
      <c r="D158" s="81"/>
      <c r="E158" s="81"/>
      <c r="F158" s="92"/>
      <c r="G158" s="92"/>
      <c r="H158" s="92"/>
      <c r="I158" s="83"/>
      <c r="J158" s="90"/>
      <c r="K158" s="129"/>
      <c r="L158" s="131"/>
      <c r="M158" s="81"/>
      <c r="N158" s="153"/>
    </row>
    <row r="159" spans="1:14" s="122" customFormat="1" ht="13.8">
      <c r="A159" s="148" t="s">
        <v>2336</v>
      </c>
      <c r="B159" s="91"/>
      <c r="C159" s="83"/>
      <c r="D159" s="81"/>
      <c r="E159" s="81"/>
      <c r="F159" s="92"/>
      <c r="G159" s="92"/>
      <c r="H159" s="92"/>
      <c r="I159" s="83"/>
      <c r="J159" s="90"/>
      <c r="K159" s="129"/>
      <c r="L159" s="92"/>
      <c r="M159" s="131"/>
      <c r="N159" s="153"/>
    </row>
    <row r="160" spans="1:14" s="122" customFormat="1" ht="13.8">
      <c r="A160" s="148" t="s">
        <v>2337</v>
      </c>
      <c r="B160" s="91"/>
      <c r="C160" s="83"/>
      <c r="D160" s="81"/>
      <c r="E160" s="81"/>
      <c r="F160" s="92"/>
      <c r="G160" s="92"/>
      <c r="H160" s="92"/>
      <c r="I160" s="83"/>
      <c r="J160" s="90"/>
      <c r="K160" s="129"/>
      <c r="L160" s="92"/>
      <c r="M160" s="81"/>
      <c r="N160" s="153"/>
    </row>
    <row r="161" spans="1:14" s="122" customFormat="1" ht="13.8">
      <c r="A161" s="148" t="s">
        <v>2338</v>
      </c>
      <c r="B161" s="91"/>
      <c r="C161" s="83"/>
      <c r="D161" s="81"/>
      <c r="E161" s="81"/>
      <c r="F161" s="92"/>
      <c r="G161" s="92"/>
      <c r="H161" s="92"/>
      <c r="I161" s="83"/>
      <c r="J161" s="134"/>
      <c r="K161" s="129"/>
      <c r="L161" s="92"/>
      <c r="M161" s="131"/>
      <c r="N161" s="153"/>
    </row>
    <row r="162" spans="1:14" s="122" customFormat="1" ht="13.8">
      <c r="A162" s="148" t="s">
        <v>1728</v>
      </c>
      <c r="B162" s="91"/>
      <c r="C162" s="83"/>
      <c r="D162" s="81"/>
      <c r="E162" s="81"/>
      <c r="F162" s="92"/>
      <c r="G162" s="92"/>
      <c r="H162" s="92"/>
      <c r="I162" s="83"/>
      <c r="J162" s="90"/>
      <c r="K162" s="129"/>
      <c r="L162" s="81"/>
      <c r="M162" s="81"/>
      <c r="N162" s="153"/>
    </row>
    <row r="163" spans="1:14" s="122" customFormat="1" ht="13.8">
      <c r="A163" s="148" t="s">
        <v>2339</v>
      </c>
      <c r="B163" s="91"/>
      <c r="C163" s="83"/>
      <c r="D163" s="81"/>
      <c r="E163" s="81"/>
      <c r="F163" s="92"/>
      <c r="G163" s="92"/>
      <c r="H163" s="92"/>
      <c r="I163" s="83"/>
      <c r="J163" s="90"/>
      <c r="K163" s="129"/>
      <c r="L163" s="81"/>
      <c r="M163" s="81"/>
      <c r="N163" s="153"/>
    </row>
    <row r="164" spans="1:14" s="122" customFormat="1" ht="13.8">
      <c r="A164" s="148" t="s">
        <v>2340</v>
      </c>
      <c r="B164" s="91"/>
      <c r="C164" s="83"/>
      <c r="D164" s="81"/>
      <c r="E164" s="81"/>
      <c r="F164" s="92"/>
      <c r="G164" s="92"/>
      <c r="H164" s="92"/>
      <c r="I164" s="83"/>
      <c r="J164" s="134"/>
      <c r="K164" s="129"/>
      <c r="L164" s="131"/>
      <c r="M164" s="131"/>
      <c r="N164" s="153"/>
    </row>
    <row r="165" spans="1:14" s="122" customFormat="1" ht="13.8">
      <c r="A165" s="148" t="s">
        <v>1779</v>
      </c>
      <c r="B165" s="91"/>
      <c r="C165" s="83"/>
      <c r="D165" s="81"/>
      <c r="E165" s="81"/>
      <c r="F165" s="92"/>
      <c r="G165" s="92"/>
      <c r="H165" s="92"/>
      <c r="I165" s="83"/>
      <c r="J165" s="134"/>
      <c r="K165" s="129"/>
      <c r="L165" s="81"/>
      <c r="M165" s="81"/>
      <c r="N165" s="153"/>
    </row>
    <row r="166" spans="1:14" s="122" customFormat="1" ht="13.8">
      <c r="A166" s="148" t="s">
        <v>1765</v>
      </c>
      <c r="B166" s="91"/>
      <c r="C166" s="83"/>
      <c r="D166" s="81"/>
      <c r="E166" s="81"/>
      <c r="F166" s="92"/>
      <c r="G166" s="92"/>
      <c r="H166" s="92"/>
      <c r="I166" s="83"/>
      <c r="J166" s="134"/>
      <c r="K166" s="129"/>
      <c r="L166" s="131"/>
      <c r="M166" s="131"/>
      <c r="N166" s="153"/>
    </row>
    <row r="167" spans="1:14" s="122" customFormat="1" ht="13.8">
      <c r="A167" s="148" t="s">
        <v>2341</v>
      </c>
      <c r="B167" s="91"/>
      <c r="C167" s="83"/>
      <c r="D167" s="81"/>
      <c r="E167" s="81"/>
      <c r="F167" s="92"/>
      <c r="G167" s="92"/>
      <c r="H167" s="92"/>
      <c r="I167" s="83"/>
      <c r="J167" s="90"/>
      <c r="K167" s="129"/>
      <c r="L167" s="131"/>
      <c r="M167" s="131"/>
      <c r="N167" s="153"/>
    </row>
    <row r="168" spans="1:14" s="122" customFormat="1" ht="13.8">
      <c r="A168" s="148" t="s">
        <v>2342</v>
      </c>
      <c r="B168" s="91"/>
      <c r="C168" s="83"/>
      <c r="D168" s="81"/>
      <c r="E168" s="81"/>
      <c r="F168" s="92"/>
      <c r="G168" s="92"/>
      <c r="H168" s="92"/>
      <c r="I168" s="83"/>
      <c r="J168" s="134"/>
      <c r="K168" s="129"/>
      <c r="L168" s="131"/>
      <c r="M168" s="131"/>
      <c r="N168" s="153"/>
    </row>
    <row r="169" spans="1:14" s="122" customFormat="1" ht="13.8">
      <c r="A169" s="148" t="s">
        <v>2343</v>
      </c>
      <c r="B169" s="91"/>
      <c r="C169" s="83"/>
      <c r="D169" s="81"/>
      <c r="E169" s="81"/>
      <c r="F169" s="92"/>
      <c r="G169" s="92"/>
      <c r="H169" s="92"/>
      <c r="I169" s="83"/>
      <c r="J169" s="90"/>
      <c r="K169" s="129"/>
      <c r="L169" s="92"/>
      <c r="M169" s="131"/>
      <c r="N169" s="153"/>
    </row>
    <row r="170" spans="1:14" s="122" customFormat="1" ht="13.8">
      <c r="A170" s="148" t="s">
        <v>2344</v>
      </c>
      <c r="B170" s="91"/>
      <c r="C170" s="83"/>
      <c r="D170" s="81"/>
      <c r="E170" s="81"/>
      <c r="F170" s="92"/>
      <c r="G170" s="92"/>
      <c r="H170" s="92"/>
      <c r="I170" s="83"/>
      <c r="J170" s="90"/>
      <c r="K170" s="129"/>
      <c r="L170" s="131"/>
      <c r="M170" s="81"/>
      <c r="N170" s="153"/>
    </row>
    <row r="171" spans="1:14" s="122" customFormat="1" ht="13.8">
      <c r="A171" s="148" t="s">
        <v>2345</v>
      </c>
      <c r="B171" s="91"/>
      <c r="C171" s="83"/>
      <c r="D171" s="81"/>
      <c r="E171" s="81"/>
      <c r="F171" s="92"/>
      <c r="G171" s="92"/>
      <c r="H171" s="92"/>
      <c r="I171" s="83"/>
      <c r="J171" s="90"/>
      <c r="K171" s="129"/>
      <c r="L171" s="92"/>
      <c r="M171" s="131"/>
      <c r="N171" s="153"/>
    </row>
    <row r="172" spans="1:14" s="122" customFormat="1" ht="13.8">
      <c r="A172" s="148" t="s">
        <v>1586</v>
      </c>
      <c r="B172" s="91"/>
      <c r="C172" s="83"/>
      <c r="D172" s="81"/>
      <c r="E172" s="81"/>
      <c r="F172" s="92"/>
      <c r="G172" s="92"/>
      <c r="H172" s="92"/>
      <c r="I172" s="83"/>
      <c r="J172" s="90"/>
      <c r="K172" s="129"/>
      <c r="L172" s="92"/>
      <c r="M172" s="131"/>
      <c r="N172" s="153"/>
    </row>
    <row r="173" spans="1:14" s="118" customFormat="1" ht="13.8">
      <c r="A173" s="148" t="s">
        <v>2346</v>
      </c>
      <c r="B173" s="91"/>
      <c r="C173" s="83"/>
      <c r="D173" s="81"/>
      <c r="E173" s="81"/>
      <c r="F173" s="92"/>
      <c r="G173" s="92"/>
      <c r="H173" s="92"/>
      <c r="I173" s="83"/>
      <c r="J173" s="90"/>
      <c r="K173" s="129"/>
      <c r="L173" s="92"/>
      <c r="M173" s="131"/>
      <c r="N173" s="153"/>
    </row>
    <row r="174" spans="1:14" s="118" customFormat="1" ht="13.8">
      <c r="A174" s="148" t="s">
        <v>2347</v>
      </c>
      <c r="B174" s="91"/>
      <c r="C174" s="83"/>
      <c r="D174" s="81"/>
      <c r="E174" s="81"/>
      <c r="F174" s="92"/>
      <c r="G174" s="92"/>
      <c r="H174" s="92"/>
      <c r="I174" s="83"/>
      <c r="J174" s="90"/>
      <c r="K174" s="129"/>
      <c r="L174" s="92"/>
      <c r="M174" s="131"/>
      <c r="N174" s="153"/>
    </row>
    <row r="175" spans="1:14" s="118" customFormat="1" ht="13.8">
      <c r="A175" s="148" t="s">
        <v>1784</v>
      </c>
      <c r="B175" s="135"/>
      <c r="C175" s="83"/>
      <c r="D175" s="81"/>
      <c r="E175" s="81"/>
      <c r="F175" s="92"/>
      <c r="G175" s="92"/>
      <c r="H175" s="92"/>
      <c r="I175" s="83"/>
      <c r="J175" s="90"/>
      <c r="K175" s="129"/>
      <c r="L175" s="131"/>
      <c r="M175" s="131"/>
      <c r="N175" s="153"/>
    </row>
    <row r="176" spans="1:14" s="118" customFormat="1" ht="13.8">
      <c r="A176" s="148" t="s">
        <v>2348</v>
      </c>
      <c r="B176" s="91"/>
      <c r="C176" s="83"/>
      <c r="D176" s="81"/>
      <c r="E176" s="81"/>
      <c r="F176" s="92"/>
      <c r="G176" s="92"/>
      <c r="H176" s="92"/>
      <c r="I176" s="83"/>
      <c r="J176" s="90"/>
      <c r="K176" s="129"/>
      <c r="L176" s="131"/>
      <c r="M176" s="131"/>
      <c r="N176" s="153"/>
    </row>
    <row r="177" spans="1:14" s="118" customFormat="1" ht="13.8">
      <c r="A177" s="148" t="s">
        <v>2349</v>
      </c>
      <c r="B177" s="91"/>
      <c r="C177" s="83"/>
      <c r="D177" s="81"/>
      <c r="E177" s="81"/>
      <c r="F177" s="92"/>
      <c r="G177" s="92"/>
      <c r="H177" s="92"/>
      <c r="I177" s="83"/>
      <c r="J177" s="90"/>
      <c r="K177" s="129"/>
      <c r="L177" s="131"/>
      <c r="M177" s="131"/>
      <c r="N177" s="153"/>
    </row>
    <row r="178" spans="1:14" s="118" customFormat="1" ht="13.8">
      <c r="A178" s="148" t="s">
        <v>1578</v>
      </c>
      <c r="B178" s="91"/>
      <c r="C178" s="83"/>
      <c r="D178" s="81"/>
      <c r="E178" s="81"/>
      <c r="F178" s="92"/>
      <c r="G178" s="92"/>
      <c r="H178" s="92"/>
      <c r="I178" s="83"/>
      <c r="J178" s="90"/>
      <c r="K178" s="129"/>
      <c r="L178" s="92"/>
      <c r="M178" s="83"/>
      <c r="N178" s="153"/>
    </row>
    <row r="179" spans="1:14" s="118" customFormat="1" ht="13.8">
      <c r="A179" s="148" t="s">
        <v>1632</v>
      </c>
      <c r="B179" s="128"/>
      <c r="C179" s="83"/>
      <c r="D179" s="81"/>
      <c r="E179" s="81"/>
      <c r="F179" s="92"/>
      <c r="G179" s="92"/>
      <c r="H179" s="92"/>
      <c r="I179" s="83"/>
      <c r="J179" s="90"/>
      <c r="K179" s="129"/>
      <c r="L179" s="83"/>
      <c r="M179" s="83"/>
      <c r="N179" s="153"/>
    </row>
    <row r="180" spans="1:14" s="118" customFormat="1" ht="13.8">
      <c r="A180" s="148" t="s">
        <v>2350</v>
      </c>
      <c r="B180" s="91"/>
      <c r="C180" s="83"/>
      <c r="D180" s="81"/>
      <c r="E180" s="81"/>
      <c r="F180" s="92"/>
      <c r="G180" s="92"/>
      <c r="H180" s="92"/>
      <c r="I180" s="83"/>
      <c r="J180" s="90"/>
      <c r="K180" s="129"/>
      <c r="L180" s="131"/>
      <c r="M180" s="81"/>
      <c r="N180" s="153"/>
    </row>
    <row r="181" spans="1:14" s="118" customFormat="1" ht="13.8">
      <c r="A181" s="148" t="s">
        <v>2351</v>
      </c>
      <c r="B181" s="91"/>
      <c r="C181" s="83"/>
      <c r="D181" s="81"/>
      <c r="E181" s="81"/>
      <c r="F181" s="92"/>
      <c r="G181" s="92"/>
      <c r="H181" s="92"/>
      <c r="I181" s="83"/>
      <c r="J181" s="134"/>
      <c r="K181" s="129"/>
      <c r="L181" s="131"/>
      <c r="M181" s="131"/>
      <c r="N181" s="153"/>
    </row>
    <row r="182" spans="1:14" s="118" customFormat="1" ht="13.8">
      <c r="A182" s="148" t="s">
        <v>2352</v>
      </c>
      <c r="B182" s="91"/>
      <c r="C182" s="83"/>
      <c r="D182" s="81"/>
      <c r="E182" s="81"/>
      <c r="F182" s="92"/>
      <c r="G182" s="92"/>
      <c r="H182" s="92"/>
      <c r="I182" s="83"/>
      <c r="J182" s="134"/>
      <c r="K182" s="129"/>
      <c r="L182" s="92"/>
      <c r="M182" s="131"/>
      <c r="N182" s="153"/>
    </row>
    <row r="183" spans="1:14" s="118" customFormat="1" ht="13.8">
      <c r="A183" s="148" t="s">
        <v>2134</v>
      </c>
      <c r="B183" s="132">
        <v>44899</v>
      </c>
      <c r="C183" s="133">
        <v>43747</v>
      </c>
      <c r="D183" s="81" t="s">
        <v>1846</v>
      </c>
      <c r="E183" s="81"/>
      <c r="F183" s="92" t="s">
        <v>2353</v>
      </c>
      <c r="G183" s="92">
        <v>226644</v>
      </c>
      <c r="H183" s="92"/>
      <c r="I183" s="83" t="s">
        <v>1846</v>
      </c>
      <c r="J183" s="134" t="s">
        <v>2354</v>
      </c>
      <c r="K183" s="129"/>
      <c r="L183" s="92"/>
      <c r="M183" s="131"/>
      <c r="N183" s="153"/>
    </row>
    <row r="184" spans="1:14" s="118" customFormat="1" ht="13.8">
      <c r="A184" s="148" t="s">
        <v>2355</v>
      </c>
      <c r="B184" s="83"/>
      <c r="C184" s="83"/>
      <c r="D184" s="81"/>
      <c r="E184" s="81"/>
      <c r="F184" s="92"/>
      <c r="G184" s="92"/>
      <c r="H184" s="92"/>
      <c r="I184" s="83"/>
      <c r="J184" s="134"/>
      <c r="K184" s="129"/>
      <c r="L184" s="92"/>
      <c r="M184" s="131"/>
      <c r="N184" s="153"/>
    </row>
    <row r="185" spans="1:14" s="118" customFormat="1" ht="13.8">
      <c r="A185" s="148" t="s">
        <v>2356</v>
      </c>
      <c r="B185" s="83"/>
      <c r="C185" s="83"/>
      <c r="D185" s="81"/>
      <c r="E185" s="81"/>
      <c r="F185" s="92"/>
      <c r="G185" s="92"/>
      <c r="H185" s="92"/>
      <c r="I185" s="83"/>
      <c r="J185" s="134"/>
      <c r="K185" s="129"/>
      <c r="L185" s="92"/>
      <c r="M185" s="131"/>
      <c r="N185" s="153"/>
    </row>
    <row r="186" spans="1:14" s="118" customFormat="1" ht="13.8">
      <c r="A186" s="148" t="s">
        <v>2357</v>
      </c>
      <c r="B186" s="83"/>
      <c r="C186" s="83"/>
      <c r="D186" s="81"/>
      <c r="E186" s="81"/>
      <c r="F186" s="92"/>
      <c r="G186" s="92"/>
      <c r="H186" s="92"/>
      <c r="I186" s="83"/>
      <c r="J186" s="134"/>
      <c r="K186" s="129"/>
      <c r="L186" s="92"/>
      <c r="M186" s="131"/>
      <c r="N186" s="153"/>
    </row>
    <row r="187" spans="1:14" s="118" customFormat="1" ht="13.8">
      <c r="A187" s="148" t="s">
        <v>2358</v>
      </c>
      <c r="B187" s="83"/>
      <c r="C187" s="83"/>
      <c r="D187" s="81"/>
      <c r="E187" s="81"/>
      <c r="F187" s="92"/>
      <c r="G187" s="92"/>
      <c r="H187" s="92"/>
      <c r="I187" s="83"/>
      <c r="J187" s="134"/>
      <c r="K187" s="129"/>
      <c r="L187" s="92"/>
      <c r="M187" s="131"/>
      <c r="N187" s="153"/>
    </row>
    <row r="188" spans="1:14" s="118" customFormat="1" ht="13.8">
      <c r="A188" s="148" t="s">
        <v>2359</v>
      </c>
      <c r="B188" s="83"/>
      <c r="C188" s="83"/>
      <c r="D188" s="81"/>
      <c r="E188" s="81"/>
      <c r="F188" s="92"/>
      <c r="G188" s="92"/>
      <c r="H188" s="92"/>
      <c r="I188" s="83"/>
      <c r="J188" s="134"/>
      <c r="K188" s="129"/>
      <c r="L188" s="92"/>
      <c r="M188" s="131"/>
      <c r="N188" s="153"/>
    </row>
    <row r="189" spans="1:14" s="122" customFormat="1" ht="13.8">
      <c r="A189" s="148" t="s">
        <v>1776</v>
      </c>
      <c r="B189" s="83"/>
      <c r="C189" s="83"/>
      <c r="D189" s="81"/>
      <c r="E189" s="81"/>
      <c r="F189" s="92"/>
      <c r="G189" s="92"/>
      <c r="H189" s="92"/>
      <c r="I189" s="83"/>
      <c r="J189" s="134"/>
      <c r="K189" s="129"/>
      <c r="L189" s="131"/>
      <c r="M189" s="131"/>
      <c r="N189" s="153"/>
    </row>
    <row r="190" spans="1:14" s="122" customFormat="1" ht="13.8">
      <c r="A190" s="148" t="s">
        <v>1647</v>
      </c>
      <c r="B190" s="83"/>
      <c r="C190" s="83"/>
      <c r="D190" s="81"/>
      <c r="E190" s="81"/>
      <c r="F190" s="92"/>
      <c r="G190" s="92"/>
      <c r="H190" s="92"/>
      <c r="I190" s="83"/>
      <c r="J190" s="134"/>
      <c r="K190" s="129"/>
      <c r="L190" s="83"/>
      <c r="M190" s="83"/>
      <c r="N190" s="153"/>
    </row>
    <row r="191" spans="1:14" s="122" customFormat="1" ht="13.8">
      <c r="A191" s="148" t="s">
        <v>2360</v>
      </c>
      <c r="B191" s="91"/>
      <c r="C191" s="83"/>
      <c r="D191" s="81"/>
      <c r="E191" s="81"/>
      <c r="F191" s="92"/>
      <c r="G191" s="92"/>
      <c r="H191" s="92"/>
      <c r="I191" s="83"/>
      <c r="J191" s="134"/>
      <c r="K191" s="129"/>
      <c r="L191" s="92"/>
      <c r="M191" s="131"/>
      <c r="N191" s="153"/>
    </row>
    <row r="192" spans="1:14" s="122" customFormat="1" ht="13.8">
      <c r="A192" s="148" t="s">
        <v>2361</v>
      </c>
      <c r="B192" s="91"/>
      <c r="C192" s="83"/>
      <c r="D192" s="81"/>
      <c r="E192" s="81"/>
      <c r="F192" s="92"/>
      <c r="G192" s="92"/>
      <c r="H192" s="92"/>
      <c r="I192" s="83"/>
      <c r="J192" s="134"/>
      <c r="K192" s="129"/>
      <c r="L192" s="92"/>
      <c r="M192" s="131"/>
      <c r="N192" s="153"/>
    </row>
    <row r="193" spans="1:14" s="122" customFormat="1" ht="13.8">
      <c r="A193" s="148" t="s">
        <v>2362</v>
      </c>
      <c r="B193" s="83"/>
      <c r="C193" s="83"/>
      <c r="D193" s="81"/>
      <c r="E193" s="81"/>
      <c r="F193" s="92"/>
      <c r="G193" s="92"/>
      <c r="H193" s="92"/>
      <c r="I193" s="83"/>
      <c r="J193" s="134"/>
      <c r="K193" s="129"/>
      <c r="L193" s="92"/>
      <c r="M193" s="131"/>
      <c r="N193" s="153"/>
    </row>
    <row r="194" spans="1:14" s="122" customFormat="1" ht="13.8">
      <c r="A194" s="148" t="s">
        <v>2363</v>
      </c>
      <c r="B194" s="91"/>
      <c r="C194" s="83"/>
      <c r="D194" s="81"/>
      <c r="E194" s="81"/>
      <c r="F194" s="92"/>
      <c r="G194" s="92"/>
      <c r="H194" s="92"/>
      <c r="I194" s="83"/>
      <c r="J194" s="134"/>
      <c r="K194" s="129"/>
      <c r="L194" s="92"/>
      <c r="M194" s="131"/>
      <c r="N194" s="153"/>
    </row>
    <row r="195" spans="1:14" s="122" customFormat="1" ht="27.6">
      <c r="A195" s="147" t="s">
        <v>2364</v>
      </c>
      <c r="B195" s="98">
        <v>44899</v>
      </c>
      <c r="C195" s="136">
        <v>44730</v>
      </c>
      <c r="D195" s="68" t="s">
        <v>1846</v>
      </c>
      <c r="E195" s="68"/>
      <c r="F195" s="70" t="s">
        <v>2365</v>
      </c>
      <c r="G195" s="68">
        <v>241364</v>
      </c>
      <c r="H195" s="68"/>
      <c r="I195" s="83" t="s">
        <v>1846</v>
      </c>
      <c r="J195" s="71"/>
      <c r="K195" s="68"/>
      <c r="L195" s="131"/>
      <c r="M195" s="81"/>
      <c r="N195" s="152"/>
    </row>
    <row r="196" spans="1:14" s="122" customFormat="1" ht="13.8">
      <c r="A196" s="159" t="s">
        <v>2366</v>
      </c>
      <c r="B196" s="245"/>
      <c r="C196" s="161"/>
      <c r="D196" s="161"/>
      <c r="E196" s="161"/>
      <c r="F196" s="161"/>
      <c r="G196" s="161"/>
      <c r="H196" s="161"/>
      <c r="I196" s="248"/>
      <c r="J196" s="163"/>
      <c r="K196" s="161"/>
      <c r="L196" s="250"/>
      <c r="M196" s="250"/>
      <c r="N196" s="252"/>
    </row>
    <row r="197" spans="1:14" ht="27" customHeight="1">
      <c r="A197" s="159" t="s">
        <v>1583</v>
      </c>
      <c r="B197" s="245"/>
      <c r="C197" s="161"/>
      <c r="D197" s="161"/>
      <c r="E197" s="161"/>
      <c r="F197" s="161"/>
      <c r="G197" s="161"/>
      <c r="H197" s="161"/>
      <c r="I197" s="248"/>
      <c r="J197" s="163"/>
      <c r="K197" s="161"/>
      <c r="L197" s="249"/>
      <c r="M197" s="249"/>
      <c r="N197" s="164"/>
    </row>
    <row r="198" spans="1:14" ht="27" customHeight="1">
      <c r="A198" s="159" t="s">
        <v>1231</v>
      </c>
      <c r="B198" s="245"/>
      <c r="C198" s="161"/>
      <c r="D198" s="161"/>
      <c r="E198" s="161"/>
      <c r="F198" s="161"/>
      <c r="G198" s="161"/>
      <c r="H198" s="161"/>
      <c r="I198" s="248"/>
      <c r="J198" s="163"/>
      <c r="K198" s="161"/>
      <c r="L198" s="161"/>
      <c r="M198" s="251"/>
      <c r="N198" s="164"/>
    </row>
    <row r="199" spans="1:14" ht="27" customHeight="1">
      <c r="A199" s="159"/>
      <c r="B199" s="242">
        <v>44901</v>
      </c>
      <c r="C199" s="160">
        <v>44826</v>
      </c>
      <c r="D199" s="161" t="s">
        <v>1845</v>
      </c>
      <c r="E199" s="161"/>
      <c r="F199" s="161" t="s">
        <v>2367</v>
      </c>
      <c r="G199" s="161" t="s">
        <v>2186</v>
      </c>
      <c r="H199" s="161"/>
      <c r="I199" s="162" t="s">
        <v>1846</v>
      </c>
      <c r="J199" s="163" t="s">
        <v>2368</v>
      </c>
      <c r="K199" s="161"/>
      <c r="L199" s="161" t="s">
        <v>2369</v>
      </c>
      <c r="M199" s="161"/>
      <c r="N199" s="164"/>
    </row>
  </sheetData>
  <conditionalFormatting sqref="A195:M195 O195:XFD195 A196:XFD1048576 A52 C52:XFD52 A53:XFD194 A1:XFD51">
    <cfRule type="expression" dxfId="21" priority="3">
      <formula>ROW()=CELL("fila")</formula>
    </cfRule>
  </conditionalFormatting>
  <conditionalFormatting sqref="N195">
    <cfRule type="expression" dxfId="20" priority="1">
      <formula>$G195="TERMINADO"</formula>
    </cfRule>
    <cfRule type="expression" dxfId="19" priority="2">
      <formula>ROW()=CELL("FILA")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EJECUCION CIRCUITO</vt:lpstr>
      <vt:lpstr>FOLDER ROJO</vt:lpstr>
      <vt:lpstr>CONSULTA UNIFICADA DE PROCESOS</vt:lpstr>
      <vt:lpstr>ESTADO POR ESTADO </vt:lpstr>
      <vt:lpstr>FOLDER NEGRO</vt:lpstr>
      <vt:lpstr>FOLDER VINOTINTO</vt:lpstr>
      <vt:lpstr>FOLDER VERDE</vt:lpstr>
      <vt:lpstr>FOLDER ROSADO</vt:lpstr>
      <vt:lpstr>VIABILIDAD</vt:lpstr>
      <vt:lpstr>TERMINADOS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2024-02-10T14:11:44Z</dcterms:modified>
  <cp:category/>
  <cp:contentStatus/>
</cp:coreProperties>
</file>